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hidePivotFieldList="1"/>
  <mc:AlternateContent xmlns:mc="http://schemas.openxmlformats.org/markup-compatibility/2006">
    <mc:Choice Requires="x15">
      <x15ac:absPath xmlns:x15ac="http://schemas.microsoft.com/office/spreadsheetml/2010/11/ac" url="H:\Study\华南理工项目\数据制备及数据汇交\西工大材料\最相关参考\"/>
    </mc:Choice>
  </mc:AlternateContent>
  <xr:revisionPtr revIDLastSave="0" documentId="13_ncr:1_{F62DEFFA-52C4-4BF5-8B57-83705E854F23}" xr6:coauthVersionLast="47" xr6:coauthVersionMax="47" xr10:uidLastSave="{00000000-0000-0000-0000-000000000000}"/>
  <bookViews>
    <workbookView xWindow="-120" yWindow="-120" windowWidth="29040" windowHeight="15840" tabRatio="734" firstSheet="32" activeTab="44" xr2:uid="{00000000-000D-0000-FFFF-FFFF00000000}"/>
  </bookViews>
  <sheets>
    <sheet name="充电服务区分区情况" sheetId="3" r:id="rId1"/>
    <sheet name="示例1" sheetId="19" r:id="rId2"/>
    <sheet name="服务区1" sheetId="23" r:id="rId3"/>
    <sheet name="服务区2" sheetId="21" r:id="rId4"/>
    <sheet name="服务区3" sheetId="22" r:id="rId5"/>
    <sheet name="服务区4" sheetId="24" r:id="rId6"/>
    <sheet name="服务区5" sheetId="25" r:id="rId7"/>
    <sheet name="服务区6" sheetId="26" r:id="rId8"/>
    <sheet name="服务区7" sheetId="27" r:id="rId9"/>
    <sheet name="服务区9" sheetId="28" r:id="rId10"/>
    <sheet name="服务区10" sheetId="29" r:id="rId11"/>
    <sheet name="服务区11" sheetId="30" r:id="rId12"/>
    <sheet name="服务区12" sheetId="31" r:id="rId13"/>
    <sheet name="服务区13" sheetId="32" r:id="rId14"/>
    <sheet name="服务区14" sheetId="33" r:id="rId15"/>
    <sheet name="服务区17" sheetId="34" r:id="rId16"/>
    <sheet name="服务区18" sheetId="35" r:id="rId17"/>
    <sheet name="服务区19" sheetId="36" r:id="rId18"/>
    <sheet name="服务区20" sheetId="37" r:id="rId19"/>
    <sheet name="服务区21" sheetId="38" r:id="rId20"/>
    <sheet name="服务区23" sheetId="39" r:id="rId21"/>
    <sheet name="服务区24" sheetId="40" r:id="rId22"/>
    <sheet name="服务区25" sheetId="41" r:id="rId23"/>
    <sheet name="服务区26" sheetId="42" r:id="rId24"/>
    <sheet name="服务区27" sheetId="43" r:id="rId25"/>
    <sheet name="服务区28" sheetId="44" r:id="rId26"/>
    <sheet name="服务区30" sheetId="45" r:id="rId27"/>
    <sheet name="服务区31" sheetId="46" r:id="rId28"/>
    <sheet name="服务区32" sheetId="47" r:id="rId29"/>
    <sheet name="服务区33" sheetId="48" r:id="rId30"/>
    <sheet name="服务区34" sheetId="49" r:id="rId31"/>
    <sheet name="服务区35" sheetId="50" r:id="rId32"/>
    <sheet name="服务区36" sheetId="51" r:id="rId33"/>
    <sheet name="服务区37" sheetId="52" r:id="rId34"/>
    <sheet name="服务区39" sheetId="53" r:id="rId35"/>
    <sheet name="服务区40" sheetId="54" r:id="rId36"/>
    <sheet name="服务区42" sheetId="55" r:id="rId37"/>
    <sheet name="服务区43" sheetId="56" r:id="rId38"/>
    <sheet name="服务区44" sheetId="57" r:id="rId39"/>
    <sheet name="服务区45" sheetId="58" r:id="rId40"/>
    <sheet name="服务区46" sheetId="59" r:id="rId41"/>
    <sheet name="服务区47" sheetId="60" r:id="rId42"/>
    <sheet name="服务区48" sheetId="61" r:id="rId43"/>
    <sheet name="服务区49" sheetId="62" r:id="rId44"/>
    <sheet name="服务区50" sheetId="63" r:id="rId45"/>
  </sheets>
  <definedNames>
    <definedName name="_xlnm._FilterDatabase" localSheetId="0" hidden="1">充电服务区分区情况!$D$1:$D$4536</definedName>
    <definedName name="_xlnm._FilterDatabase" localSheetId="2" hidden="1">服务区1!$A$4:$I$233</definedName>
    <definedName name="_xlnm._FilterDatabase" localSheetId="10" hidden="1">服务区10!$A$4:$I$53</definedName>
    <definedName name="_xlnm._FilterDatabase" localSheetId="11" hidden="1">服务区11!$A$4:$I$72</definedName>
    <definedName name="_xlnm._FilterDatabase" localSheetId="12" hidden="1">服务区12!$A$4:$I$99</definedName>
    <definedName name="_xlnm._FilterDatabase" localSheetId="13" hidden="1">服务区13!$A$4:$I$36</definedName>
    <definedName name="_xlnm._FilterDatabase" localSheetId="14" hidden="1">服务区14!$A$4:$I$53</definedName>
    <definedName name="_xlnm._FilterDatabase" localSheetId="15" hidden="1">服务区17!$A$4:$I$49</definedName>
    <definedName name="_xlnm._FilterDatabase" localSheetId="16" hidden="1">服务区18!$A$4:$I$113</definedName>
    <definedName name="_xlnm._FilterDatabase" localSheetId="17" hidden="1">服务区19!$A$4:$I$127</definedName>
    <definedName name="_xlnm._FilterDatabase" localSheetId="3" hidden="1">服务区2!$A$4:$I$78</definedName>
    <definedName name="_xlnm._FilterDatabase" localSheetId="18" hidden="1">服务区20!$A$4:$I$11</definedName>
    <definedName name="_xlnm._FilterDatabase" localSheetId="19" hidden="1">服务区21!$A$4:$I$137</definedName>
    <definedName name="_xlnm._FilterDatabase" localSheetId="20" hidden="1">服务区23!$A$4:$I$38</definedName>
    <definedName name="_xlnm._FilterDatabase" localSheetId="21" hidden="1">服务区24!$A$4:$I$43</definedName>
    <definedName name="_xlnm._FilterDatabase" localSheetId="22" hidden="1">服务区25!$A$4:$I$62</definedName>
    <definedName name="_xlnm._FilterDatabase" localSheetId="23" hidden="1">服务区26!$A$4:$I$68</definedName>
    <definedName name="_xlnm._FilterDatabase" localSheetId="24" hidden="1">服务区27!$A$4:$I$121</definedName>
    <definedName name="_xlnm._FilterDatabase" localSheetId="25" hidden="1">服务区28!$A$4:$I$80</definedName>
    <definedName name="_xlnm._FilterDatabase" localSheetId="4" hidden="1">服务区3!$A$4:$I$74</definedName>
    <definedName name="_xlnm._FilterDatabase" localSheetId="26" hidden="1">服务区30!$A$4:$I$107</definedName>
    <definedName name="_xlnm._FilterDatabase" localSheetId="27" hidden="1">服务区31!$A$4:$I$250</definedName>
    <definedName name="_xlnm._FilterDatabase" localSheetId="28" hidden="1">服务区32!$A$4:$I$122</definedName>
    <definedName name="_xlnm._FilterDatabase" localSheetId="29" hidden="1">服务区33!$A$4:$I$22</definedName>
    <definedName name="_xlnm._FilterDatabase" localSheetId="30" hidden="1">服务区34!$A$4:$I$150</definedName>
    <definedName name="_xlnm._FilterDatabase" localSheetId="31" hidden="1">服务区35!$A$4:$I$160</definedName>
    <definedName name="_xlnm._FilterDatabase" localSheetId="32" hidden="1">服务区36!$A$4:$I$34</definedName>
    <definedName name="_xlnm._FilterDatabase" localSheetId="33" hidden="1">服务区37!$A$4:$I$148</definedName>
    <definedName name="_xlnm._FilterDatabase" localSheetId="34" hidden="1">服务区39!$A$4:$I$61</definedName>
    <definedName name="_xlnm._FilterDatabase" localSheetId="5" hidden="1">服务区4!$A$4:$I$103</definedName>
    <definedName name="_xlnm._FilterDatabase" localSheetId="35" hidden="1">服务区40!$A$4:$I$88</definedName>
    <definedName name="_xlnm._FilterDatabase" localSheetId="36" hidden="1">服务区42!$A$4:$I$99</definedName>
    <definedName name="_xlnm._FilterDatabase" localSheetId="37" hidden="1">服务区43!$A$4:$I$152</definedName>
    <definedName name="_xlnm._FilterDatabase" localSheetId="38" hidden="1">服务区44!$A$4:$I$177</definedName>
    <definedName name="_xlnm._FilterDatabase" localSheetId="39" hidden="1">服务区45!$A$4:$I$158</definedName>
    <definedName name="_xlnm._FilterDatabase" localSheetId="40" hidden="1">服务区46!$A$4:$I$59</definedName>
    <definedName name="_xlnm._FilterDatabase" localSheetId="41" hidden="1">服务区47!$A$4:$I$83</definedName>
    <definedName name="_xlnm._FilterDatabase" localSheetId="42" hidden="1">服务区48!$A$4:$I$81</definedName>
    <definedName name="_xlnm._FilterDatabase" localSheetId="43" hidden="1">服务区49!$A$4:$I$82</definedName>
    <definedName name="_xlnm._FilterDatabase" localSheetId="6" hidden="1">服务区5!$A$4:$I$45</definedName>
    <definedName name="_xlnm._FilterDatabase" localSheetId="44" hidden="1">服务区50!$A$4:$I$28</definedName>
    <definedName name="_xlnm._FilterDatabase" localSheetId="7" hidden="1">服务区6!$A$4:$I$83</definedName>
    <definedName name="_xlnm._FilterDatabase" localSheetId="8" hidden="1">服务区7!$A$4:$I$101</definedName>
    <definedName name="_xlnm._FilterDatabase" localSheetId="9" hidden="1">服务区9!$A$4:$I$56</definedName>
    <definedName name="_xlnm._FilterDatabase" localSheetId="1" hidden="1">示例1!$A$4:$I$233</definedName>
  </definedNames>
  <calcPr calcId="191029"/>
  <pivotCaches>
    <pivotCache cacheId="6" r:id="rId46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8" i="50" l="1"/>
  <c r="F8" i="50" s="1"/>
  <c r="E11" i="50"/>
  <c r="F11" i="50"/>
  <c r="E14" i="50"/>
  <c r="F14" i="50" s="1"/>
  <c r="E17" i="50"/>
  <c r="F17" i="50" s="1"/>
  <c r="E20" i="50"/>
  <c r="F20" i="50"/>
  <c r="E23" i="50"/>
  <c r="F23" i="50" s="1"/>
  <c r="E26" i="50"/>
  <c r="F26" i="50" s="1"/>
  <c r="E29" i="50"/>
  <c r="F29" i="50"/>
  <c r="E32" i="50"/>
  <c r="F32" i="50" s="1"/>
  <c r="E35" i="50"/>
  <c r="F35" i="50" s="1"/>
  <c r="E38" i="50"/>
  <c r="F38" i="50"/>
  <c r="E41" i="50"/>
  <c r="F41" i="50" s="1"/>
  <c r="E44" i="50"/>
  <c r="F44" i="50" s="1"/>
  <c r="E47" i="50"/>
  <c r="F47" i="50"/>
  <c r="E50" i="50"/>
  <c r="F50" i="50" s="1"/>
  <c r="E53" i="50"/>
  <c r="F53" i="50" s="1"/>
  <c r="E56" i="50"/>
  <c r="F56" i="50"/>
  <c r="E59" i="50"/>
  <c r="F59" i="50" s="1"/>
  <c r="E62" i="50"/>
  <c r="F62" i="50" s="1"/>
  <c r="E65" i="50"/>
  <c r="F65" i="50"/>
  <c r="E68" i="50"/>
  <c r="F68" i="50" s="1"/>
  <c r="E71" i="50"/>
  <c r="F71" i="50" s="1"/>
  <c r="E74" i="50"/>
  <c r="F74" i="50"/>
  <c r="E77" i="50"/>
  <c r="F77" i="50" s="1"/>
  <c r="E80" i="50"/>
  <c r="F80" i="50" s="1"/>
  <c r="E83" i="50"/>
  <c r="F83" i="50"/>
  <c r="E86" i="50"/>
  <c r="F86" i="50" s="1"/>
  <c r="E89" i="50"/>
  <c r="F89" i="50" s="1"/>
  <c r="E92" i="50"/>
  <c r="F92" i="50"/>
  <c r="E95" i="50"/>
  <c r="F95" i="50" s="1"/>
  <c r="E98" i="50"/>
  <c r="F98" i="50" s="1"/>
  <c r="E101" i="50"/>
  <c r="F101" i="50"/>
  <c r="E104" i="50"/>
  <c r="F104" i="50" s="1"/>
  <c r="E107" i="50"/>
  <c r="F107" i="50" s="1"/>
  <c r="E110" i="50"/>
  <c r="F110" i="50"/>
  <c r="E113" i="50"/>
  <c r="F113" i="50" s="1"/>
  <c r="E116" i="50"/>
  <c r="F116" i="50" s="1"/>
  <c r="E119" i="50"/>
  <c r="F119" i="50"/>
  <c r="E122" i="50"/>
  <c r="F122" i="50" s="1"/>
  <c r="E125" i="50"/>
  <c r="F125" i="50" s="1"/>
  <c r="E128" i="50"/>
  <c r="F128" i="50"/>
  <c r="E131" i="50"/>
  <c r="F131" i="50" s="1"/>
  <c r="E134" i="50"/>
  <c r="F134" i="50" s="1"/>
  <c r="E137" i="50"/>
  <c r="F137" i="50"/>
  <c r="E140" i="50"/>
  <c r="F140" i="50" s="1"/>
  <c r="E143" i="50"/>
  <c r="F143" i="50" s="1"/>
  <c r="E146" i="50"/>
  <c r="F146" i="50"/>
  <c r="E149" i="50"/>
  <c r="F149" i="50" s="1"/>
  <c r="E152" i="50"/>
  <c r="F152" i="50" s="1"/>
  <c r="E155" i="50"/>
  <c r="F155" i="50"/>
  <c r="E158" i="50"/>
  <c r="F158" i="50" s="1"/>
  <c r="H28" i="63"/>
  <c r="G28" i="63"/>
  <c r="H26" i="63"/>
  <c r="G26" i="63"/>
  <c r="H24" i="63"/>
  <c r="G24" i="63"/>
  <c r="H22" i="63"/>
  <c r="G22" i="63"/>
  <c r="H20" i="63"/>
  <c r="G20" i="63"/>
  <c r="H18" i="63"/>
  <c r="G18" i="63"/>
  <c r="H16" i="63"/>
  <c r="G16" i="63"/>
  <c r="H14" i="63"/>
  <c r="G14" i="63"/>
  <c r="H12" i="63"/>
  <c r="G12" i="63"/>
  <c r="H10" i="63"/>
  <c r="G10" i="63"/>
  <c r="H8" i="63"/>
  <c r="G8" i="63"/>
  <c r="H6" i="63"/>
  <c r="G6" i="63"/>
  <c r="I6" i="63"/>
  <c r="I7" i="63"/>
  <c r="I8" i="63"/>
  <c r="I9" i="63"/>
  <c r="I10" i="63"/>
  <c r="I11" i="63"/>
  <c r="I12" i="63"/>
  <c r="I13" i="63"/>
  <c r="I14" i="63"/>
  <c r="I15" i="63"/>
  <c r="I16" i="63"/>
  <c r="I17" i="63"/>
  <c r="I18" i="63"/>
  <c r="I19" i="63"/>
  <c r="I20" i="63"/>
  <c r="I21" i="63"/>
  <c r="I22" i="63"/>
  <c r="I23" i="63"/>
  <c r="I24" i="63"/>
  <c r="I25" i="63"/>
  <c r="I26" i="63"/>
  <c r="I27" i="63"/>
  <c r="I28" i="63"/>
  <c r="I5" i="63"/>
  <c r="E26" i="63"/>
  <c r="F26" i="63" s="1"/>
  <c r="E15" i="63"/>
  <c r="F15" i="63" s="1"/>
  <c r="E13" i="63"/>
  <c r="F13" i="63" s="1"/>
  <c r="E16" i="63"/>
  <c r="F16" i="63" s="1"/>
  <c r="E21" i="63"/>
  <c r="F21" i="63" s="1"/>
  <c r="E10" i="63"/>
  <c r="F10" i="63" s="1"/>
  <c r="E18" i="63"/>
  <c r="F18" i="63" s="1"/>
  <c r="E14" i="63"/>
  <c r="F14" i="63" s="1"/>
  <c r="E12" i="63"/>
  <c r="F12" i="63" s="1"/>
  <c r="E11" i="63"/>
  <c r="F11" i="63" s="1"/>
  <c r="E22" i="63"/>
  <c r="F22" i="63" s="1"/>
  <c r="E28" i="63"/>
  <c r="F28" i="63" s="1"/>
  <c r="E9" i="63"/>
  <c r="F9" i="63" s="1"/>
  <c r="E6" i="63"/>
  <c r="F6" i="63" s="1"/>
  <c r="E20" i="63"/>
  <c r="F20" i="63" s="1"/>
  <c r="E7" i="63"/>
  <c r="F7" i="63" s="1"/>
  <c r="E8" i="63"/>
  <c r="F8" i="63" s="1"/>
  <c r="E5" i="63"/>
  <c r="F5" i="63" s="1"/>
  <c r="E24" i="63"/>
  <c r="F24" i="63" s="1"/>
  <c r="E19" i="63"/>
  <c r="F19" i="63" s="1"/>
  <c r="E23" i="63"/>
  <c r="F23" i="63" s="1"/>
  <c r="E17" i="63"/>
  <c r="F17" i="63" s="1"/>
  <c r="E27" i="63"/>
  <c r="F27" i="63" s="1"/>
  <c r="E25" i="63"/>
  <c r="F25" i="63" s="1"/>
  <c r="G2" i="63"/>
  <c r="H80" i="62"/>
  <c r="G80" i="62"/>
  <c r="H77" i="62"/>
  <c r="G77" i="62"/>
  <c r="H74" i="62"/>
  <c r="G74" i="62"/>
  <c r="H71" i="62"/>
  <c r="G71" i="62"/>
  <c r="H68" i="62"/>
  <c r="G68" i="62"/>
  <c r="H65" i="62"/>
  <c r="G65" i="62"/>
  <c r="H62" i="62"/>
  <c r="G62" i="62"/>
  <c r="H59" i="62"/>
  <c r="G59" i="62"/>
  <c r="H56" i="62"/>
  <c r="G56" i="62"/>
  <c r="H53" i="62"/>
  <c r="G53" i="62"/>
  <c r="H50" i="62"/>
  <c r="G50" i="62"/>
  <c r="H47" i="62"/>
  <c r="G47" i="62"/>
  <c r="H44" i="62"/>
  <c r="G44" i="62"/>
  <c r="H41" i="62"/>
  <c r="G41" i="62"/>
  <c r="H38" i="62"/>
  <c r="G38" i="62"/>
  <c r="H35" i="62"/>
  <c r="G35" i="62"/>
  <c r="H32" i="62"/>
  <c r="G32" i="62"/>
  <c r="H29" i="62"/>
  <c r="G29" i="62"/>
  <c r="H26" i="62"/>
  <c r="G26" i="62"/>
  <c r="H23" i="62"/>
  <c r="G23" i="62"/>
  <c r="H20" i="62"/>
  <c r="G20" i="62"/>
  <c r="H17" i="62"/>
  <c r="G17" i="62"/>
  <c r="H14" i="62"/>
  <c r="G14" i="62"/>
  <c r="H11" i="62"/>
  <c r="G11" i="62"/>
  <c r="H8" i="62"/>
  <c r="H84" i="62" s="1"/>
  <c r="G8" i="62"/>
  <c r="H5" i="62"/>
  <c r="G5" i="62"/>
  <c r="F84" i="62"/>
  <c r="I6" i="62"/>
  <c r="I7" i="62"/>
  <c r="I8" i="62"/>
  <c r="I9" i="62"/>
  <c r="I10" i="62"/>
  <c r="I11" i="62"/>
  <c r="I12" i="62"/>
  <c r="I13" i="62"/>
  <c r="I14" i="62"/>
  <c r="I15" i="62"/>
  <c r="I16" i="62"/>
  <c r="I17" i="62"/>
  <c r="I18" i="62"/>
  <c r="I19" i="62"/>
  <c r="I20" i="62"/>
  <c r="I21" i="62"/>
  <c r="I22" i="62"/>
  <c r="I23" i="62"/>
  <c r="I24" i="62"/>
  <c r="I25" i="62"/>
  <c r="I26" i="62"/>
  <c r="I27" i="62"/>
  <c r="I28" i="62"/>
  <c r="I29" i="62"/>
  <c r="I30" i="62"/>
  <c r="I31" i="62"/>
  <c r="I32" i="62"/>
  <c r="I33" i="62"/>
  <c r="I34" i="62"/>
  <c r="I35" i="62"/>
  <c r="I36" i="62"/>
  <c r="I37" i="62"/>
  <c r="I38" i="62"/>
  <c r="I39" i="62"/>
  <c r="I40" i="62"/>
  <c r="I41" i="62"/>
  <c r="I42" i="62"/>
  <c r="I43" i="62"/>
  <c r="I44" i="62"/>
  <c r="I45" i="62"/>
  <c r="I46" i="62"/>
  <c r="I47" i="62"/>
  <c r="I48" i="62"/>
  <c r="I49" i="62"/>
  <c r="I50" i="62"/>
  <c r="I51" i="62"/>
  <c r="I52" i="62"/>
  <c r="I53" i="62"/>
  <c r="I54" i="62"/>
  <c r="I55" i="62"/>
  <c r="I56" i="62"/>
  <c r="I57" i="62"/>
  <c r="I58" i="62"/>
  <c r="I59" i="62"/>
  <c r="I60" i="62"/>
  <c r="I61" i="62"/>
  <c r="I62" i="62"/>
  <c r="I63" i="62"/>
  <c r="I64" i="62"/>
  <c r="I65" i="62"/>
  <c r="I66" i="62"/>
  <c r="I67" i="62"/>
  <c r="I68" i="62"/>
  <c r="I69" i="62"/>
  <c r="I70" i="62"/>
  <c r="I71" i="62"/>
  <c r="I72" i="62"/>
  <c r="I73" i="62"/>
  <c r="I74" i="62"/>
  <c r="I75" i="62"/>
  <c r="I76" i="62"/>
  <c r="I77" i="62"/>
  <c r="I78" i="62"/>
  <c r="I79" i="62"/>
  <c r="I80" i="62"/>
  <c r="I81" i="62"/>
  <c r="I82" i="62"/>
  <c r="E68" i="62"/>
  <c r="F68" i="62" s="1"/>
  <c r="E69" i="62"/>
  <c r="F69" i="62" s="1"/>
  <c r="E70" i="62"/>
  <c r="F70" i="62" s="1"/>
  <c r="E62" i="62"/>
  <c r="F62" i="62" s="1"/>
  <c r="E63" i="62"/>
  <c r="F63" i="62" s="1"/>
  <c r="E72" i="62"/>
  <c r="F72" i="62" s="1"/>
  <c r="E75" i="62"/>
  <c r="F75" i="62" s="1"/>
  <c r="E74" i="62"/>
  <c r="F74" i="62" s="1"/>
  <c r="E66" i="62"/>
  <c r="F66" i="62" s="1"/>
  <c r="E59" i="62"/>
  <c r="F59" i="62" s="1"/>
  <c r="E71" i="62"/>
  <c r="F71" i="62" s="1"/>
  <c r="E64" i="62"/>
  <c r="F64" i="62" s="1"/>
  <c r="E67" i="62"/>
  <c r="F67" i="62" s="1"/>
  <c r="E60" i="62"/>
  <c r="F60" i="62" s="1"/>
  <c r="E16" i="62"/>
  <c r="F16" i="62" s="1"/>
  <c r="E42" i="62"/>
  <c r="F42" i="62" s="1"/>
  <c r="E50" i="62"/>
  <c r="F50" i="62" s="1"/>
  <c r="E56" i="62"/>
  <c r="F56" i="62" s="1"/>
  <c r="E58" i="62"/>
  <c r="F58" i="62" s="1"/>
  <c r="E23" i="62"/>
  <c r="F23" i="62" s="1"/>
  <c r="E24" i="62"/>
  <c r="F24" i="62" s="1"/>
  <c r="E7" i="62"/>
  <c r="F7" i="62" s="1"/>
  <c r="E5" i="62"/>
  <c r="F5" i="62" s="1"/>
  <c r="E15" i="62"/>
  <c r="F15" i="62" s="1"/>
  <c r="E12" i="62"/>
  <c r="F12" i="62" s="1"/>
  <c r="E9" i="62"/>
  <c r="F9" i="62" s="1"/>
  <c r="E18" i="62"/>
  <c r="F18" i="62" s="1"/>
  <c r="E27" i="62"/>
  <c r="F27" i="62" s="1"/>
  <c r="E55" i="62"/>
  <c r="F55" i="62" s="1"/>
  <c r="E21" i="62"/>
  <c r="F21" i="62" s="1"/>
  <c r="E6" i="62"/>
  <c r="F6" i="62" s="1"/>
  <c r="E8" i="62"/>
  <c r="F8" i="62" s="1"/>
  <c r="E48" i="62"/>
  <c r="F48" i="62" s="1"/>
  <c r="E45" i="62"/>
  <c r="F45" i="62" s="1"/>
  <c r="E37" i="62"/>
  <c r="F37" i="62" s="1"/>
  <c r="E14" i="62"/>
  <c r="F14" i="62" s="1"/>
  <c r="E38" i="62"/>
  <c r="F38" i="62" s="1"/>
  <c r="E39" i="62"/>
  <c r="F39" i="62" s="1"/>
  <c r="E22" i="62"/>
  <c r="F22" i="62" s="1"/>
  <c r="E80" i="62"/>
  <c r="F80" i="62" s="1"/>
  <c r="E31" i="62"/>
  <c r="F31" i="62" s="1"/>
  <c r="E53" i="62"/>
  <c r="F53" i="62" s="1"/>
  <c r="E40" i="62"/>
  <c r="F40" i="62" s="1"/>
  <c r="E19" i="62"/>
  <c r="F19" i="62" s="1"/>
  <c r="E47" i="62"/>
  <c r="F47" i="62" s="1"/>
  <c r="E41" i="62"/>
  <c r="F41" i="62" s="1"/>
  <c r="E20" i="62"/>
  <c r="F20" i="62" s="1"/>
  <c r="E25" i="62"/>
  <c r="F25" i="62" s="1"/>
  <c r="E32" i="62"/>
  <c r="F32" i="62" s="1"/>
  <c r="E10" i="62"/>
  <c r="F10" i="62" s="1"/>
  <c r="E26" i="62"/>
  <c r="F26" i="62" s="1"/>
  <c r="E51" i="62"/>
  <c r="F51" i="62" s="1"/>
  <c r="E11" i="62"/>
  <c r="F11" i="62" s="1"/>
  <c r="E52" i="62"/>
  <c r="F52" i="62" s="1"/>
  <c r="E46" i="62"/>
  <c r="F46" i="62" s="1"/>
  <c r="E36" i="62"/>
  <c r="F36" i="62" s="1"/>
  <c r="E29" i="62"/>
  <c r="F29" i="62" s="1"/>
  <c r="E17" i="62"/>
  <c r="F17" i="62" s="1"/>
  <c r="E30" i="62"/>
  <c r="F30" i="62" s="1"/>
  <c r="E34" i="62"/>
  <c r="F34" i="62" s="1"/>
  <c r="E13" i="62"/>
  <c r="F13" i="62" s="1"/>
  <c r="E33" i="62"/>
  <c r="F33" i="62" s="1"/>
  <c r="E35" i="62"/>
  <c r="F35" i="62" s="1"/>
  <c r="E61" i="62"/>
  <c r="F61" i="62" s="1"/>
  <c r="E54" i="62"/>
  <c r="F54" i="62" s="1"/>
  <c r="E65" i="62"/>
  <c r="F65" i="62" s="1"/>
  <c r="E49" i="62"/>
  <c r="F49" i="62" s="1"/>
  <c r="E43" i="62"/>
  <c r="F43" i="62" s="1"/>
  <c r="E57" i="62"/>
  <c r="F57" i="62" s="1"/>
  <c r="E44" i="62"/>
  <c r="F44" i="62" s="1"/>
  <c r="E28" i="62"/>
  <c r="F28" i="62" s="1"/>
  <c r="E76" i="62"/>
  <c r="F76" i="62" s="1"/>
  <c r="E73" i="62"/>
  <c r="F73" i="62" s="1"/>
  <c r="E81" i="62"/>
  <c r="F81" i="62" s="1"/>
  <c r="E77" i="62"/>
  <c r="F77" i="62" s="1"/>
  <c r="E82" i="62"/>
  <c r="F82" i="62" s="1"/>
  <c r="E78" i="62"/>
  <c r="F78" i="62" s="1"/>
  <c r="I5" i="62"/>
  <c r="E79" i="62"/>
  <c r="F79" i="62" s="1"/>
  <c r="G2" i="62"/>
  <c r="H80" i="61"/>
  <c r="G80" i="61"/>
  <c r="H77" i="61"/>
  <c r="G77" i="61"/>
  <c r="H74" i="61"/>
  <c r="G74" i="61"/>
  <c r="H71" i="61"/>
  <c r="G71" i="61"/>
  <c r="H68" i="61"/>
  <c r="G68" i="61"/>
  <c r="H65" i="61"/>
  <c r="G65" i="61"/>
  <c r="H62" i="61"/>
  <c r="G62" i="61"/>
  <c r="H59" i="61"/>
  <c r="G59" i="61"/>
  <c r="H56" i="61"/>
  <c r="G56" i="61"/>
  <c r="H53" i="61"/>
  <c r="G53" i="61"/>
  <c r="H50" i="61"/>
  <c r="G50" i="61"/>
  <c r="H47" i="61"/>
  <c r="G47" i="61"/>
  <c r="H44" i="61"/>
  <c r="G44" i="61"/>
  <c r="H41" i="61"/>
  <c r="G41" i="61"/>
  <c r="H38" i="61"/>
  <c r="G38" i="61"/>
  <c r="H35" i="61"/>
  <c r="G35" i="61"/>
  <c r="H32" i="61"/>
  <c r="G32" i="61"/>
  <c r="H29" i="61"/>
  <c r="G29" i="61"/>
  <c r="H26" i="61"/>
  <c r="G26" i="61"/>
  <c r="H23" i="61"/>
  <c r="G23" i="61"/>
  <c r="H20" i="61"/>
  <c r="G20" i="61"/>
  <c r="H17" i="61"/>
  <c r="G17" i="61"/>
  <c r="H14" i="61"/>
  <c r="G14" i="61"/>
  <c r="H11" i="61"/>
  <c r="G11" i="61"/>
  <c r="H8" i="61"/>
  <c r="G8" i="61"/>
  <c r="H5" i="61"/>
  <c r="G5" i="61"/>
  <c r="H83" i="61"/>
  <c r="F83" i="61"/>
  <c r="I6" i="61"/>
  <c r="I7" i="61"/>
  <c r="I8" i="61"/>
  <c r="I9" i="61"/>
  <c r="I10" i="61"/>
  <c r="I11" i="61"/>
  <c r="I12" i="61"/>
  <c r="I13" i="61"/>
  <c r="I14" i="61"/>
  <c r="I15" i="61"/>
  <c r="I16" i="61"/>
  <c r="I17" i="61"/>
  <c r="I18" i="61"/>
  <c r="I19" i="61"/>
  <c r="I20" i="61"/>
  <c r="I21" i="61"/>
  <c r="I22" i="61"/>
  <c r="I23" i="61"/>
  <c r="I24" i="61"/>
  <c r="I25" i="61"/>
  <c r="I26" i="61"/>
  <c r="I27" i="61"/>
  <c r="I28" i="61"/>
  <c r="I29" i="61"/>
  <c r="I30" i="61"/>
  <c r="I31" i="61"/>
  <c r="I32" i="61"/>
  <c r="I33" i="61"/>
  <c r="I34" i="61"/>
  <c r="I35" i="61"/>
  <c r="I36" i="61"/>
  <c r="I37" i="61"/>
  <c r="I38" i="61"/>
  <c r="I39" i="61"/>
  <c r="I40" i="61"/>
  <c r="I41" i="61"/>
  <c r="I42" i="61"/>
  <c r="I43" i="61"/>
  <c r="I44" i="61"/>
  <c r="I45" i="61"/>
  <c r="I46" i="61"/>
  <c r="I47" i="61"/>
  <c r="I48" i="61"/>
  <c r="I49" i="61"/>
  <c r="I50" i="61"/>
  <c r="I51" i="61"/>
  <c r="I52" i="61"/>
  <c r="I53" i="61"/>
  <c r="I54" i="61"/>
  <c r="I55" i="61"/>
  <c r="I56" i="61"/>
  <c r="I57" i="61"/>
  <c r="I58" i="61"/>
  <c r="I59" i="61"/>
  <c r="I60" i="61"/>
  <c r="I61" i="61"/>
  <c r="I62" i="61"/>
  <c r="I63" i="61"/>
  <c r="I64" i="61"/>
  <c r="I65" i="61"/>
  <c r="I66" i="61"/>
  <c r="I67" i="61"/>
  <c r="I68" i="61"/>
  <c r="I69" i="61"/>
  <c r="I70" i="61"/>
  <c r="I71" i="61"/>
  <c r="I72" i="61"/>
  <c r="I73" i="61"/>
  <c r="I74" i="61"/>
  <c r="I75" i="61"/>
  <c r="I76" i="61"/>
  <c r="I77" i="61"/>
  <c r="I78" i="61"/>
  <c r="I79" i="61"/>
  <c r="I80" i="61"/>
  <c r="I81" i="61"/>
  <c r="E79" i="61"/>
  <c r="F79" i="61" s="1"/>
  <c r="E30" i="61"/>
  <c r="F30" i="61" s="1"/>
  <c r="E43" i="61"/>
  <c r="F43" i="61" s="1"/>
  <c r="E77" i="61"/>
  <c r="F77" i="61" s="1"/>
  <c r="E66" i="61"/>
  <c r="F66" i="61" s="1"/>
  <c r="E34" i="61"/>
  <c r="F34" i="61"/>
  <c r="G34" i="61" s="1"/>
  <c r="E20" i="61"/>
  <c r="F20" i="61" s="1"/>
  <c r="E15" i="61"/>
  <c r="F15" i="61" s="1"/>
  <c r="E21" i="61"/>
  <c r="F21" i="61" s="1"/>
  <c r="E19" i="61"/>
  <c r="F19" i="61" s="1"/>
  <c r="E35" i="61"/>
  <c r="F35" i="61" s="1"/>
  <c r="E40" i="61"/>
  <c r="F40" i="61" s="1"/>
  <c r="G40" i="61" s="1"/>
  <c r="E45" i="61"/>
  <c r="F45" i="61" s="1"/>
  <c r="E38" i="61"/>
  <c r="F38" i="61" s="1"/>
  <c r="E52" i="61"/>
  <c r="F52" i="61" s="1"/>
  <c r="E70" i="61"/>
  <c r="F70" i="61" s="1"/>
  <c r="E49" i="61"/>
  <c r="F49" i="61" s="1"/>
  <c r="E25" i="61"/>
  <c r="F25" i="61" s="1"/>
  <c r="G25" i="61" s="1"/>
  <c r="E55" i="61"/>
  <c r="F55" i="61" s="1"/>
  <c r="E56" i="61"/>
  <c r="F56" i="61" s="1"/>
  <c r="E63" i="61"/>
  <c r="F63" i="61" s="1"/>
  <c r="E46" i="61"/>
  <c r="F46" i="61" s="1"/>
  <c r="E26" i="61"/>
  <c r="F26" i="61" s="1"/>
  <c r="E72" i="61"/>
  <c r="F72" i="61" s="1"/>
  <c r="E39" i="61"/>
  <c r="F39" i="61" s="1"/>
  <c r="E69" i="61"/>
  <c r="F69" i="61" s="1"/>
  <c r="E65" i="61"/>
  <c r="F65" i="61" s="1"/>
  <c r="E71" i="61"/>
  <c r="F71" i="61" s="1"/>
  <c r="E75" i="61"/>
  <c r="F75" i="61" s="1"/>
  <c r="E78" i="61"/>
  <c r="F78" i="61" s="1"/>
  <c r="E22" i="61"/>
  <c r="F22" i="61" s="1"/>
  <c r="E7" i="61"/>
  <c r="F7" i="61" s="1"/>
  <c r="E8" i="61"/>
  <c r="F8" i="61" s="1"/>
  <c r="E5" i="61"/>
  <c r="F5" i="61" s="1"/>
  <c r="E18" i="61"/>
  <c r="F18" i="61" s="1"/>
  <c r="E10" i="61"/>
  <c r="F10" i="61" s="1"/>
  <c r="E11" i="61"/>
  <c r="F11" i="61" s="1"/>
  <c r="E16" i="61"/>
  <c r="F16" i="61" s="1"/>
  <c r="E6" i="61"/>
  <c r="F6" i="61" s="1"/>
  <c r="E12" i="61"/>
  <c r="F12" i="61" s="1"/>
  <c r="E14" i="61"/>
  <c r="F14" i="61" s="1"/>
  <c r="E13" i="61"/>
  <c r="F13" i="61" s="1"/>
  <c r="E24" i="61"/>
  <c r="F24" i="61" s="1"/>
  <c r="E32" i="61"/>
  <c r="F32" i="61" s="1"/>
  <c r="E9" i="61"/>
  <c r="F9" i="61" s="1"/>
  <c r="E33" i="61"/>
  <c r="F33" i="61" s="1"/>
  <c r="E23" i="61"/>
  <c r="F23" i="61" s="1"/>
  <c r="E17" i="61"/>
  <c r="F17" i="61" s="1"/>
  <c r="E31" i="61"/>
  <c r="F31" i="61" s="1"/>
  <c r="E42" i="61"/>
  <c r="F42" i="61" s="1"/>
  <c r="E29" i="61"/>
  <c r="F29" i="61" s="1"/>
  <c r="E60" i="61"/>
  <c r="F60" i="61" s="1"/>
  <c r="E50" i="61"/>
  <c r="F50" i="61" s="1"/>
  <c r="E61" i="61"/>
  <c r="F61" i="61" s="1"/>
  <c r="E28" i="61"/>
  <c r="F28" i="61" s="1"/>
  <c r="E64" i="61"/>
  <c r="F64" i="61" s="1"/>
  <c r="E53" i="61"/>
  <c r="F53" i="61" s="1"/>
  <c r="E27" i="61"/>
  <c r="F27" i="61" s="1"/>
  <c r="E74" i="61"/>
  <c r="F74" i="61" s="1"/>
  <c r="E68" i="61"/>
  <c r="F68" i="61" s="1"/>
  <c r="E73" i="61"/>
  <c r="F73" i="61" s="1"/>
  <c r="E76" i="61"/>
  <c r="F76" i="61" s="1"/>
  <c r="E67" i="61"/>
  <c r="F67" i="61" s="1"/>
  <c r="E47" i="61"/>
  <c r="F47" i="61" s="1"/>
  <c r="E54" i="61"/>
  <c r="F54" i="61" s="1"/>
  <c r="E62" i="61"/>
  <c r="F62" i="61" s="1"/>
  <c r="E51" i="61"/>
  <c r="F51" i="61" s="1"/>
  <c r="E59" i="61"/>
  <c r="F59" i="61" s="1"/>
  <c r="E48" i="61"/>
  <c r="F48" i="61" s="1"/>
  <c r="E36" i="61"/>
  <c r="F36" i="61" s="1"/>
  <c r="E41" i="61"/>
  <c r="F41" i="61" s="1"/>
  <c r="E44" i="61"/>
  <c r="F44" i="61" s="1"/>
  <c r="E58" i="61"/>
  <c r="F58" i="61" s="1"/>
  <c r="E57" i="61"/>
  <c r="F57" i="61" s="1"/>
  <c r="E37" i="61"/>
  <c r="F37" i="61" s="1"/>
  <c r="E80" i="61"/>
  <c r="F80" i="61" s="1"/>
  <c r="I5" i="61"/>
  <c r="E81" i="61"/>
  <c r="F81" i="61" s="1"/>
  <c r="H81" i="61" s="1"/>
  <c r="G2" i="61"/>
  <c r="H83" i="60"/>
  <c r="G83" i="60"/>
  <c r="H80" i="60"/>
  <c r="G80" i="60"/>
  <c r="H77" i="60"/>
  <c r="G77" i="60"/>
  <c r="H74" i="60"/>
  <c r="G74" i="60"/>
  <c r="H71" i="60"/>
  <c r="G71" i="60"/>
  <c r="H68" i="60"/>
  <c r="G68" i="60"/>
  <c r="H65" i="60"/>
  <c r="G65" i="60"/>
  <c r="H62" i="60"/>
  <c r="G62" i="60"/>
  <c r="H59" i="60"/>
  <c r="G59" i="60"/>
  <c r="H56" i="60"/>
  <c r="G56" i="60"/>
  <c r="H53" i="60"/>
  <c r="G53" i="60"/>
  <c r="H50" i="60"/>
  <c r="G50" i="60"/>
  <c r="H47" i="60"/>
  <c r="G47" i="60"/>
  <c r="H44" i="60"/>
  <c r="G44" i="60"/>
  <c r="H41" i="60"/>
  <c r="G41" i="60"/>
  <c r="H38" i="60"/>
  <c r="G38" i="60"/>
  <c r="H35" i="60"/>
  <c r="G35" i="60"/>
  <c r="H32" i="60"/>
  <c r="G32" i="60"/>
  <c r="H29" i="60"/>
  <c r="G29" i="60"/>
  <c r="H26" i="60"/>
  <c r="G26" i="60"/>
  <c r="H23" i="60"/>
  <c r="G23" i="60"/>
  <c r="H20" i="60"/>
  <c r="G20" i="60"/>
  <c r="H17" i="60"/>
  <c r="G17" i="60"/>
  <c r="H14" i="60"/>
  <c r="G14" i="60"/>
  <c r="H11" i="60"/>
  <c r="G11" i="60"/>
  <c r="H8" i="60"/>
  <c r="G8" i="60"/>
  <c r="G85" i="60" s="1"/>
  <c r="H5" i="60"/>
  <c r="G5" i="60"/>
  <c r="F85" i="60"/>
  <c r="I6" i="60"/>
  <c r="I7" i="60"/>
  <c r="I8" i="60"/>
  <c r="I9" i="60"/>
  <c r="I10" i="60"/>
  <c r="I11" i="60"/>
  <c r="I12" i="60"/>
  <c r="I13" i="60"/>
  <c r="I14" i="60"/>
  <c r="I15" i="60"/>
  <c r="I16" i="60"/>
  <c r="I17" i="60"/>
  <c r="I18" i="60"/>
  <c r="I19" i="60"/>
  <c r="I20" i="60"/>
  <c r="I21" i="60"/>
  <c r="I22" i="60"/>
  <c r="I23" i="60"/>
  <c r="I24" i="60"/>
  <c r="I25" i="60"/>
  <c r="I26" i="60"/>
  <c r="I27" i="60"/>
  <c r="I28" i="60"/>
  <c r="I29" i="60"/>
  <c r="I30" i="60"/>
  <c r="I31" i="60"/>
  <c r="I32" i="60"/>
  <c r="I33" i="60"/>
  <c r="I34" i="60"/>
  <c r="I35" i="60"/>
  <c r="I36" i="60"/>
  <c r="I37" i="60"/>
  <c r="I38" i="60"/>
  <c r="I39" i="60"/>
  <c r="I40" i="60"/>
  <c r="I41" i="60"/>
  <c r="I42" i="60"/>
  <c r="I43" i="60"/>
  <c r="I44" i="60"/>
  <c r="I45" i="60"/>
  <c r="I46" i="60"/>
  <c r="I47" i="60"/>
  <c r="I48" i="60"/>
  <c r="I49" i="60"/>
  <c r="I50" i="60"/>
  <c r="I51" i="60"/>
  <c r="I52" i="60"/>
  <c r="I53" i="60"/>
  <c r="I54" i="60"/>
  <c r="I55" i="60"/>
  <c r="I56" i="60"/>
  <c r="I57" i="60"/>
  <c r="I58" i="60"/>
  <c r="I59" i="60"/>
  <c r="I60" i="60"/>
  <c r="I61" i="60"/>
  <c r="I62" i="60"/>
  <c r="I63" i="60"/>
  <c r="I64" i="60"/>
  <c r="I65" i="60"/>
  <c r="I66" i="60"/>
  <c r="I67" i="60"/>
  <c r="I68" i="60"/>
  <c r="I69" i="60"/>
  <c r="I70" i="60"/>
  <c r="I71" i="60"/>
  <c r="I72" i="60"/>
  <c r="I73" i="60"/>
  <c r="I74" i="60"/>
  <c r="I75" i="60"/>
  <c r="I76" i="60"/>
  <c r="I77" i="60"/>
  <c r="I78" i="60"/>
  <c r="I79" i="60"/>
  <c r="I80" i="60"/>
  <c r="I81" i="60"/>
  <c r="I82" i="60"/>
  <c r="I83" i="60"/>
  <c r="E83" i="60"/>
  <c r="F83" i="60" s="1"/>
  <c r="E68" i="60"/>
  <c r="F68" i="60" s="1"/>
  <c r="E60" i="60"/>
  <c r="F60" i="60" s="1"/>
  <c r="E64" i="60"/>
  <c r="F64" i="60" s="1"/>
  <c r="E50" i="60"/>
  <c r="F50" i="60" s="1"/>
  <c r="E54" i="60"/>
  <c r="F54" i="60" s="1"/>
  <c r="E25" i="60"/>
  <c r="F25" i="60" s="1"/>
  <c r="E29" i="60"/>
  <c r="F29" i="60" s="1"/>
  <c r="E23" i="60"/>
  <c r="F23" i="60" s="1"/>
  <c r="E27" i="60"/>
  <c r="F27" i="60" s="1"/>
  <c r="E36" i="60"/>
  <c r="F36" i="60" s="1"/>
  <c r="E11" i="60"/>
  <c r="F11" i="60" s="1"/>
  <c r="E20" i="60"/>
  <c r="F20" i="60" s="1"/>
  <c r="E26" i="60"/>
  <c r="F26" i="60" s="1"/>
  <c r="E38" i="60"/>
  <c r="F38" i="60" s="1"/>
  <c r="E70" i="60"/>
  <c r="F70" i="60" s="1"/>
  <c r="E21" i="60"/>
  <c r="F21" i="60" s="1"/>
  <c r="E14" i="60"/>
  <c r="F14" i="60" s="1"/>
  <c r="E22" i="60"/>
  <c r="F22" i="60" s="1"/>
  <c r="E67" i="60"/>
  <c r="F67" i="60" s="1"/>
  <c r="E17" i="60"/>
  <c r="F17" i="60" s="1"/>
  <c r="E35" i="60"/>
  <c r="F35" i="60" s="1"/>
  <c r="E37" i="60"/>
  <c r="F37" i="60" s="1"/>
  <c r="E39" i="60"/>
  <c r="F39" i="60" s="1"/>
  <c r="E33" i="60"/>
  <c r="F33" i="60" s="1"/>
  <c r="E66" i="60"/>
  <c r="F66" i="60" s="1"/>
  <c r="E30" i="60"/>
  <c r="F30" i="60" s="1"/>
  <c r="E71" i="60"/>
  <c r="F71" i="60" s="1"/>
  <c r="E63" i="60"/>
  <c r="F63" i="60" s="1"/>
  <c r="E79" i="60"/>
  <c r="F79" i="60" s="1"/>
  <c r="E59" i="60"/>
  <c r="F59" i="60" s="1"/>
  <c r="E58" i="60"/>
  <c r="F58" i="60" s="1"/>
  <c r="E57" i="60"/>
  <c r="F57" i="60" s="1"/>
  <c r="E46" i="60"/>
  <c r="F46" i="60" s="1"/>
  <c r="E45" i="60"/>
  <c r="F45" i="60" s="1"/>
  <c r="E51" i="60"/>
  <c r="F51" i="60" s="1"/>
  <c r="E47" i="60"/>
  <c r="F47" i="60" s="1"/>
  <c r="E61" i="60"/>
  <c r="F61" i="60" s="1"/>
  <c r="E55" i="60"/>
  <c r="F55" i="60" s="1"/>
  <c r="E49" i="60"/>
  <c r="F49" i="60" s="1"/>
  <c r="E65" i="60"/>
  <c r="F65" i="60" s="1"/>
  <c r="E56" i="60"/>
  <c r="F56" i="60" s="1"/>
  <c r="E16" i="60"/>
  <c r="F16" i="60" s="1"/>
  <c r="E7" i="60"/>
  <c r="F7" i="60" s="1"/>
  <c r="E28" i="60"/>
  <c r="F28" i="60" s="1"/>
  <c r="E31" i="60"/>
  <c r="F31" i="60" s="1"/>
  <c r="E24" i="60"/>
  <c r="F24" i="60" s="1"/>
  <c r="E15" i="60"/>
  <c r="F15" i="60" s="1"/>
  <c r="E5" i="60"/>
  <c r="F5" i="60" s="1"/>
  <c r="E6" i="60"/>
  <c r="F6" i="60" s="1"/>
  <c r="E8" i="60"/>
  <c r="F8" i="60" s="1"/>
  <c r="E32" i="60"/>
  <c r="F32" i="60" s="1"/>
  <c r="E34" i="60"/>
  <c r="F34" i="60" s="1"/>
  <c r="E10" i="60"/>
  <c r="F10" i="60" s="1"/>
  <c r="E40" i="60"/>
  <c r="F40" i="60" s="1"/>
  <c r="E9" i="60"/>
  <c r="F9" i="60" s="1"/>
  <c r="E19" i="60"/>
  <c r="F19" i="60" s="1"/>
  <c r="E62" i="60"/>
  <c r="F62" i="60" s="1"/>
  <c r="E41" i="60"/>
  <c r="F41" i="60" s="1"/>
  <c r="E43" i="60"/>
  <c r="F43" i="60" s="1"/>
  <c r="E53" i="60"/>
  <c r="F53" i="60" s="1"/>
  <c r="E48" i="60"/>
  <c r="F48" i="60" s="1"/>
  <c r="E81" i="60"/>
  <c r="F81" i="60" s="1"/>
  <c r="E77" i="60"/>
  <c r="F77" i="60" s="1"/>
  <c r="E52" i="60"/>
  <c r="F52" i="60" s="1"/>
  <c r="E42" i="60"/>
  <c r="F42" i="60" s="1"/>
  <c r="E74" i="60"/>
  <c r="F74" i="60" s="1"/>
  <c r="E12" i="60"/>
  <c r="F12" i="60" s="1"/>
  <c r="E69" i="60"/>
  <c r="F69" i="60" s="1"/>
  <c r="E72" i="60"/>
  <c r="F72" i="60" s="1"/>
  <c r="E18" i="60"/>
  <c r="F18" i="60" s="1"/>
  <c r="E75" i="60"/>
  <c r="F75" i="60" s="1"/>
  <c r="E13" i="60"/>
  <c r="F13" i="60" s="1"/>
  <c r="E73" i="60"/>
  <c r="F73" i="60" s="1"/>
  <c r="E44" i="60"/>
  <c r="F44" i="60" s="1"/>
  <c r="E78" i="60"/>
  <c r="F78" i="60" s="1"/>
  <c r="E76" i="60"/>
  <c r="F76" i="60" s="1"/>
  <c r="E80" i="60"/>
  <c r="F80" i="60" s="1"/>
  <c r="I5" i="60"/>
  <c r="E82" i="60"/>
  <c r="F82" i="60" s="1"/>
  <c r="G2" i="60"/>
  <c r="H59" i="59"/>
  <c r="G59" i="59"/>
  <c r="H56" i="59"/>
  <c r="G56" i="59"/>
  <c r="H53" i="59"/>
  <c r="G53" i="59"/>
  <c r="H50" i="59"/>
  <c r="G50" i="59"/>
  <c r="H47" i="59"/>
  <c r="G47" i="59"/>
  <c r="H44" i="59"/>
  <c r="G44" i="59"/>
  <c r="H41" i="59"/>
  <c r="G41" i="59"/>
  <c r="H38" i="59"/>
  <c r="G38" i="59"/>
  <c r="H35" i="59"/>
  <c r="G35" i="59"/>
  <c r="H32" i="59"/>
  <c r="G32" i="59"/>
  <c r="H29" i="59"/>
  <c r="G29" i="59"/>
  <c r="H26" i="59"/>
  <c r="G26" i="59"/>
  <c r="H23" i="59"/>
  <c r="G23" i="59"/>
  <c r="H20" i="59"/>
  <c r="G20" i="59"/>
  <c r="H17" i="59"/>
  <c r="G17" i="59"/>
  <c r="H14" i="59"/>
  <c r="G14" i="59"/>
  <c r="H11" i="59"/>
  <c r="G11" i="59"/>
  <c r="H8" i="59"/>
  <c r="H61" i="59" s="1"/>
  <c r="G8" i="59"/>
  <c r="G61" i="59" s="1"/>
  <c r="H5" i="59"/>
  <c r="G5" i="59"/>
  <c r="F61" i="59"/>
  <c r="I6" i="59"/>
  <c r="I7" i="59"/>
  <c r="I8" i="59"/>
  <c r="I9" i="59"/>
  <c r="I10" i="59"/>
  <c r="I11" i="59"/>
  <c r="I12" i="59"/>
  <c r="I13" i="59"/>
  <c r="I14" i="59"/>
  <c r="I15" i="59"/>
  <c r="I16" i="59"/>
  <c r="I17" i="59"/>
  <c r="I18" i="59"/>
  <c r="I19" i="59"/>
  <c r="I20" i="59"/>
  <c r="I21" i="59"/>
  <c r="I22" i="59"/>
  <c r="I23" i="59"/>
  <c r="I24" i="59"/>
  <c r="I25" i="59"/>
  <c r="I26" i="59"/>
  <c r="I27" i="59"/>
  <c r="I28" i="59"/>
  <c r="I29" i="59"/>
  <c r="I30" i="59"/>
  <c r="I31" i="59"/>
  <c r="I32" i="59"/>
  <c r="I33" i="59"/>
  <c r="I34" i="59"/>
  <c r="I35" i="59"/>
  <c r="I36" i="59"/>
  <c r="I37" i="59"/>
  <c r="I38" i="59"/>
  <c r="I39" i="59"/>
  <c r="I40" i="59"/>
  <c r="I41" i="59"/>
  <c r="I42" i="59"/>
  <c r="I43" i="59"/>
  <c r="I44" i="59"/>
  <c r="I45" i="59"/>
  <c r="I46" i="59"/>
  <c r="I47" i="59"/>
  <c r="I48" i="59"/>
  <c r="I49" i="59"/>
  <c r="I50" i="59"/>
  <c r="I51" i="59"/>
  <c r="I52" i="59"/>
  <c r="I53" i="59"/>
  <c r="I54" i="59"/>
  <c r="I55" i="59"/>
  <c r="I56" i="59"/>
  <c r="I57" i="59"/>
  <c r="I58" i="59"/>
  <c r="I59" i="59"/>
  <c r="E41" i="59"/>
  <c r="F41" i="59"/>
  <c r="E40" i="59"/>
  <c r="F40" i="59" s="1"/>
  <c r="E36" i="59"/>
  <c r="F36" i="59" s="1"/>
  <c r="E38" i="59"/>
  <c r="F38" i="59" s="1"/>
  <c r="E44" i="59"/>
  <c r="F44" i="59" s="1"/>
  <c r="E56" i="59"/>
  <c r="F56" i="59" s="1"/>
  <c r="E59" i="59"/>
  <c r="F59" i="59" s="1"/>
  <c r="E57" i="59"/>
  <c r="F57" i="59" s="1"/>
  <c r="E58" i="59"/>
  <c r="F58" i="59" s="1"/>
  <c r="E20" i="59"/>
  <c r="F20" i="59"/>
  <c r="E7" i="59"/>
  <c r="F7" i="59" s="1"/>
  <c r="E15" i="59"/>
  <c r="F15" i="59" s="1"/>
  <c r="E6" i="59"/>
  <c r="F6" i="59" s="1"/>
  <c r="G6" i="59" s="1"/>
  <c r="E19" i="59"/>
  <c r="F19" i="59" s="1"/>
  <c r="E10" i="59"/>
  <c r="F10" i="59" s="1"/>
  <c r="E5" i="59"/>
  <c r="F5" i="59" s="1"/>
  <c r="E11" i="59"/>
  <c r="F11" i="59" s="1"/>
  <c r="E25" i="59"/>
  <c r="F25" i="59" s="1"/>
  <c r="E32" i="59"/>
  <c r="F32" i="59"/>
  <c r="E18" i="59"/>
  <c r="F18" i="59" s="1"/>
  <c r="E14" i="59"/>
  <c r="F14" i="59" s="1"/>
  <c r="E9" i="59"/>
  <c r="F9" i="59" s="1"/>
  <c r="G9" i="59" s="1"/>
  <c r="E33" i="59"/>
  <c r="F33" i="59" s="1"/>
  <c r="E28" i="59"/>
  <c r="F28" i="59" s="1"/>
  <c r="E39" i="59"/>
  <c r="F39" i="59" s="1"/>
  <c r="G39" i="59" s="1"/>
  <c r="E17" i="59"/>
  <c r="F17" i="59" s="1"/>
  <c r="E12" i="59"/>
  <c r="F12" i="59" s="1"/>
  <c r="E16" i="59"/>
  <c r="F16" i="59"/>
  <c r="G16" i="59" s="1"/>
  <c r="E29" i="59"/>
  <c r="F29" i="59" s="1"/>
  <c r="E34" i="59"/>
  <c r="F34" i="59" s="1"/>
  <c r="E8" i="59"/>
  <c r="F8" i="59" s="1"/>
  <c r="E23" i="59"/>
  <c r="F23" i="59" s="1"/>
  <c r="E42" i="59"/>
  <c r="F42" i="59" s="1"/>
  <c r="E46" i="59"/>
  <c r="F46" i="59" s="1"/>
  <c r="G46" i="59" s="1"/>
  <c r="E24" i="59"/>
  <c r="F24" i="59" s="1"/>
  <c r="E45" i="59"/>
  <c r="F45" i="59" s="1"/>
  <c r="E47" i="59"/>
  <c r="F47" i="59"/>
  <c r="E48" i="59"/>
  <c r="F48" i="59" s="1"/>
  <c r="E21" i="59"/>
  <c r="F21" i="59" s="1"/>
  <c r="E22" i="59"/>
  <c r="F22" i="59" s="1"/>
  <c r="G22" i="59" s="1"/>
  <c r="E31" i="59"/>
  <c r="F31" i="59" s="1"/>
  <c r="E37" i="59"/>
  <c r="F37" i="59" s="1"/>
  <c r="E13" i="59"/>
  <c r="F13" i="59" s="1"/>
  <c r="G13" i="59" s="1"/>
  <c r="E43" i="59"/>
  <c r="F43" i="59" s="1"/>
  <c r="E50" i="59"/>
  <c r="F50" i="59" s="1"/>
  <c r="E52" i="59"/>
  <c r="F52" i="59"/>
  <c r="G52" i="59" s="1"/>
  <c r="E27" i="59"/>
  <c r="F27" i="59" s="1"/>
  <c r="E35" i="59"/>
  <c r="F35" i="59" s="1"/>
  <c r="E54" i="59"/>
  <c r="F54" i="59" s="1"/>
  <c r="G54" i="59" s="1"/>
  <c r="E26" i="59"/>
  <c r="F26" i="59" s="1"/>
  <c r="E51" i="59"/>
  <c r="F51" i="59" s="1"/>
  <c r="E49" i="59"/>
  <c r="F49" i="59" s="1"/>
  <c r="G49" i="59" s="1"/>
  <c r="E53" i="59"/>
  <c r="F53" i="59" s="1"/>
  <c r="E30" i="59"/>
  <c r="F30" i="59" s="1"/>
  <c r="I5" i="59"/>
  <c r="E55" i="59"/>
  <c r="F55" i="59" s="1"/>
  <c r="H55" i="59" s="1"/>
  <c r="G2" i="59"/>
  <c r="H158" i="58"/>
  <c r="G158" i="58"/>
  <c r="H155" i="58"/>
  <c r="G155" i="58"/>
  <c r="H152" i="58"/>
  <c r="G152" i="58"/>
  <c r="H149" i="58"/>
  <c r="G149" i="58"/>
  <c r="H146" i="58"/>
  <c r="G146" i="58"/>
  <c r="H143" i="58"/>
  <c r="G143" i="58"/>
  <c r="H140" i="58"/>
  <c r="G140" i="58"/>
  <c r="H137" i="58"/>
  <c r="G137" i="58"/>
  <c r="H134" i="58"/>
  <c r="G134" i="58"/>
  <c r="H131" i="58"/>
  <c r="G131" i="58"/>
  <c r="H128" i="58"/>
  <c r="G128" i="58"/>
  <c r="H125" i="58"/>
  <c r="G125" i="58"/>
  <c r="H122" i="58"/>
  <c r="G122" i="58"/>
  <c r="H119" i="58"/>
  <c r="G119" i="58"/>
  <c r="H116" i="58"/>
  <c r="G116" i="58"/>
  <c r="H113" i="58"/>
  <c r="G113" i="58"/>
  <c r="H110" i="58"/>
  <c r="G110" i="58"/>
  <c r="H107" i="58"/>
  <c r="G107" i="58"/>
  <c r="H104" i="58"/>
  <c r="G104" i="58"/>
  <c r="H101" i="58"/>
  <c r="G101" i="58"/>
  <c r="H98" i="58"/>
  <c r="G98" i="58"/>
  <c r="H95" i="58"/>
  <c r="G95" i="58"/>
  <c r="H92" i="58"/>
  <c r="G92" i="58"/>
  <c r="H89" i="58"/>
  <c r="G89" i="58"/>
  <c r="H86" i="58"/>
  <c r="G86" i="58"/>
  <c r="H83" i="58"/>
  <c r="G83" i="58"/>
  <c r="H80" i="58"/>
  <c r="G80" i="58"/>
  <c r="H77" i="58"/>
  <c r="G77" i="58"/>
  <c r="H74" i="58"/>
  <c r="G74" i="58"/>
  <c r="H71" i="58"/>
  <c r="G71" i="58"/>
  <c r="H68" i="58"/>
  <c r="G68" i="58"/>
  <c r="H65" i="58"/>
  <c r="G65" i="58"/>
  <c r="H62" i="58"/>
  <c r="G62" i="58"/>
  <c r="H59" i="58"/>
  <c r="G59" i="58"/>
  <c r="H56" i="58"/>
  <c r="G56" i="58"/>
  <c r="H53" i="58"/>
  <c r="G53" i="58"/>
  <c r="H50" i="58"/>
  <c r="G50" i="58"/>
  <c r="H47" i="58"/>
  <c r="G47" i="58"/>
  <c r="H44" i="58"/>
  <c r="G44" i="58"/>
  <c r="H41" i="58"/>
  <c r="G41" i="58"/>
  <c r="H38" i="58"/>
  <c r="G38" i="58"/>
  <c r="H35" i="58"/>
  <c r="G35" i="58"/>
  <c r="H32" i="58"/>
  <c r="G32" i="58"/>
  <c r="H29" i="58"/>
  <c r="G29" i="58"/>
  <c r="H26" i="58"/>
  <c r="G26" i="58"/>
  <c r="H23" i="58"/>
  <c r="G23" i="58"/>
  <c r="H20" i="58"/>
  <c r="G20" i="58"/>
  <c r="H17" i="58"/>
  <c r="G17" i="58"/>
  <c r="H14" i="58"/>
  <c r="G14" i="58"/>
  <c r="H11" i="58"/>
  <c r="G11" i="58"/>
  <c r="H8" i="58"/>
  <c r="G8" i="58"/>
  <c r="H5" i="58"/>
  <c r="G5" i="58"/>
  <c r="H160" i="58"/>
  <c r="F160" i="58"/>
  <c r="I6" i="58"/>
  <c r="I7" i="58"/>
  <c r="I8" i="58"/>
  <c r="I9" i="58"/>
  <c r="I10" i="58"/>
  <c r="I11" i="58"/>
  <c r="I12" i="58"/>
  <c r="I13" i="58"/>
  <c r="I14" i="58"/>
  <c r="I15" i="58"/>
  <c r="I16" i="58"/>
  <c r="I17" i="58"/>
  <c r="I18" i="58"/>
  <c r="I19" i="58"/>
  <c r="I20" i="58"/>
  <c r="I21" i="58"/>
  <c r="I22" i="58"/>
  <c r="I23" i="58"/>
  <c r="I24" i="58"/>
  <c r="I25" i="58"/>
  <c r="I26" i="58"/>
  <c r="I27" i="58"/>
  <c r="I28" i="58"/>
  <c r="I29" i="58"/>
  <c r="I30" i="58"/>
  <c r="I31" i="58"/>
  <c r="I32" i="58"/>
  <c r="I33" i="58"/>
  <c r="I34" i="58"/>
  <c r="I35" i="58"/>
  <c r="I36" i="58"/>
  <c r="I37" i="58"/>
  <c r="I38" i="58"/>
  <c r="I39" i="58"/>
  <c r="I40" i="58"/>
  <c r="I41" i="58"/>
  <c r="I42" i="58"/>
  <c r="I43" i="58"/>
  <c r="I44" i="58"/>
  <c r="I45" i="58"/>
  <c r="I46" i="58"/>
  <c r="I47" i="58"/>
  <c r="I48" i="58"/>
  <c r="I49" i="58"/>
  <c r="I50" i="58"/>
  <c r="I51" i="58"/>
  <c r="I52" i="58"/>
  <c r="I53" i="58"/>
  <c r="I54" i="58"/>
  <c r="I55" i="58"/>
  <c r="I56" i="58"/>
  <c r="I57" i="58"/>
  <c r="I58" i="58"/>
  <c r="I59" i="58"/>
  <c r="I60" i="58"/>
  <c r="I61" i="58"/>
  <c r="I62" i="58"/>
  <c r="I63" i="58"/>
  <c r="I64" i="58"/>
  <c r="I65" i="58"/>
  <c r="I66" i="58"/>
  <c r="I67" i="58"/>
  <c r="I68" i="58"/>
  <c r="I69" i="58"/>
  <c r="I70" i="58"/>
  <c r="I71" i="58"/>
  <c r="I72" i="58"/>
  <c r="I73" i="58"/>
  <c r="I74" i="58"/>
  <c r="I75" i="58"/>
  <c r="I76" i="58"/>
  <c r="I77" i="58"/>
  <c r="I78" i="58"/>
  <c r="I79" i="58"/>
  <c r="I80" i="58"/>
  <c r="I81" i="58"/>
  <c r="I82" i="58"/>
  <c r="I83" i="58"/>
  <c r="I84" i="58"/>
  <c r="I85" i="58"/>
  <c r="I86" i="58"/>
  <c r="I87" i="58"/>
  <c r="I88" i="58"/>
  <c r="I89" i="58"/>
  <c r="I90" i="58"/>
  <c r="I91" i="58"/>
  <c r="I92" i="58"/>
  <c r="I93" i="58"/>
  <c r="I94" i="58"/>
  <c r="I95" i="58"/>
  <c r="I96" i="58"/>
  <c r="I97" i="58"/>
  <c r="I98" i="58"/>
  <c r="I99" i="58"/>
  <c r="I100" i="58"/>
  <c r="I101" i="58"/>
  <c r="I102" i="58"/>
  <c r="I103" i="58"/>
  <c r="I104" i="58"/>
  <c r="I105" i="58"/>
  <c r="I106" i="58"/>
  <c r="I107" i="58"/>
  <c r="I108" i="58"/>
  <c r="I109" i="58"/>
  <c r="I110" i="58"/>
  <c r="I111" i="58"/>
  <c r="I112" i="58"/>
  <c r="I113" i="58"/>
  <c r="I114" i="58"/>
  <c r="I115" i="58"/>
  <c r="I116" i="58"/>
  <c r="I117" i="58"/>
  <c r="I118" i="58"/>
  <c r="I119" i="58"/>
  <c r="I120" i="58"/>
  <c r="I121" i="58"/>
  <c r="I122" i="58"/>
  <c r="I123" i="58"/>
  <c r="I124" i="58"/>
  <c r="I125" i="58"/>
  <c r="I126" i="58"/>
  <c r="I127" i="58"/>
  <c r="I128" i="58"/>
  <c r="I129" i="58"/>
  <c r="I130" i="58"/>
  <c r="I131" i="58"/>
  <c r="I132" i="58"/>
  <c r="I133" i="58"/>
  <c r="I134" i="58"/>
  <c r="I135" i="58"/>
  <c r="I136" i="58"/>
  <c r="I137" i="58"/>
  <c r="I138" i="58"/>
  <c r="I139" i="58"/>
  <c r="I140" i="58"/>
  <c r="I141" i="58"/>
  <c r="I142" i="58"/>
  <c r="I143" i="58"/>
  <c r="I144" i="58"/>
  <c r="I145" i="58"/>
  <c r="I146" i="58"/>
  <c r="I147" i="58"/>
  <c r="I148" i="58"/>
  <c r="I149" i="58"/>
  <c r="I150" i="58"/>
  <c r="I151" i="58"/>
  <c r="I152" i="58"/>
  <c r="I153" i="58"/>
  <c r="I154" i="58"/>
  <c r="I155" i="58"/>
  <c r="I156" i="58"/>
  <c r="I157" i="58"/>
  <c r="I158" i="58"/>
  <c r="E156" i="58"/>
  <c r="F156" i="58" s="1"/>
  <c r="E158" i="58"/>
  <c r="F158" i="58" s="1"/>
  <c r="E154" i="58"/>
  <c r="F154" i="58" s="1"/>
  <c r="E138" i="58"/>
  <c r="F138" i="58" s="1"/>
  <c r="E150" i="58"/>
  <c r="F150" i="58" s="1"/>
  <c r="E151" i="58"/>
  <c r="F151" i="58" s="1"/>
  <c r="E147" i="58"/>
  <c r="F147" i="58" s="1"/>
  <c r="E153" i="58"/>
  <c r="F153" i="58" s="1"/>
  <c r="E152" i="58"/>
  <c r="F152" i="58" s="1"/>
  <c r="E155" i="58"/>
  <c r="F155" i="58" s="1"/>
  <c r="E149" i="58"/>
  <c r="F149" i="58" s="1"/>
  <c r="E144" i="58"/>
  <c r="F144" i="58" s="1"/>
  <c r="E20" i="58"/>
  <c r="F20" i="58" s="1"/>
  <c r="E62" i="58"/>
  <c r="F62" i="58" s="1"/>
  <c r="E52" i="58"/>
  <c r="F52" i="58" s="1"/>
  <c r="E55" i="58"/>
  <c r="F55" i="58" s="1"/>
  <c r="E16" i="58"/>
  <c r="F16" i="58" s="1"/>
  <c r="E5" i="58"/>
  <c r="F5" i="58" s="1"/>
  <c r="E40" i="58"/>
  <c r="F40" i="58" s="1"/>
  <c r="E75" i="58"/>
  <c r="F75" i="58" s="1"/>
  <c r="E54" i="58"/>
  <c r="F54" i="58" s="1"/>
  <c r="E67" i="58"/>
  <c r="F67" i="58" s="1"/>
  <c r="E82" i="58"/>
  <c r="F82" i="58" s="1"/>
  <c r="E14" i="58"/>
  <c r="F14" i="58" s="1"/>
  <c r="E23" i="58"/>
  <c r="F23" i="58" s="1"/>
  <c r="E26" i="58"/>
  <c r="F26" i="58" s="1"/>
  <c r="E46" i="58"/>
  <c r="F46" i="58" s="1"/>
  <c r="E15" i="58"/>
  <c r="F15" i="58" s="1"/>
  <c r="E90" i="58"/>
  <c r="F90" i="58" s="1"/>
  <c r="E84" i="58"/>
  <c r="F84" i="58" s="1"/>
  <c r="E80" i="58"/>
  <c r="F80" i="58" s="1"/>
  <c r="E43" i="58"/>
  <c r="F43" i="58" s="1"/>
  <c r="E94" i="58"/>
  <c r="F94" i="58" s="1"/>
  <c r="E8" i="58"/>
  <c r="F8" i="58" s="1"/>
  <c r="E13" i="58"/>
  <c r="F13" i="58" s="1"/>
  <c r="E24" i="58"/>
  <c r="F24" i="58" s="1"/>
  <c r="E12" i="58"/>
  <c r="F12" i="58" s="1"/>
  <c r="E28" i="58"/>
  <c r="F28" i="58" s="1"/>
  <c r="E97" i="58"/>
  <c r="F97" i="58" s="1"/>
  <c r="E21" i="58"/>
  <c r="F21" i="58" s="1"/>
  <c r="E22" i="58"/>
  <c r="F22" i="58" s="1"/>
  <c r="E10" i="58"/>
  <c r="F10" i="58" s="1"/>
  <c r="E33" i="58"/>
  <c r="F33" i="58" s="1"/>
  <c r="E113" i="58"/>
  <c r="F113" i="58" s="1"/>
  <c r="E91" i="58"/>
  <c r="F91" i="58" s="1"/>
  <c r="E102" i="58"/>
  <c r="F102" i="58" s="1"/>
  <c r="E106" i="58"/>
  <c r="F106" i="58" s="1"/>
  <c r="E29" i="58"/>
  <c r="F29" i="58" s="1"/>
  <c r="E25" i="58"/>
  <c r="F25" i="58" s="1"/>
  <c r="E37" i="58"/>
  <c r="F37" i="58" s="1"/>
  <c r="E32" i="58"/>
  <c r="F32" i="58" s="1"/>
  <c r="E71" i="58"/>
  <c r="F71" i="58" s="1"/>
  <c r="E35" i="58"/>
  <c r="F35" i="58" s="1"/>
  <c r="E45" i="58"/>
  <c r="F45" i="58" s="1"/>
  <c r="E39" i="58"/>
  <c r="F39" i="58" s="1"/>
  <c r="E81" i="58"/>
  <c r="F81" i="58" s="1"/>
  <c r="E9" i="58"/>
  <c r="F9" i="58" s="1"/>
  <c r="E131" i="58"/>
  <c r="F131" i="58" s="1"/>
  <c r="E17" i="58"/>
  <c r="F17" i="58" s="1"/>
  <c r="E64" i="58"/>
  <c r="F64" i="58" s="1"/>
  <c r="E103" i="58"/>
  <c r="F103" i="58" s="1"/>
  <c r="E50" i="58"/>
  <c r="F50" i="58" s="1"/>
  <c r="E7" i="58"/>
  <c r="F7" i="58" s="1"/>
  <c r="E133" i="58"/>
  <c r="F133" i="58" s="1"/>
  <c r="E140" i="58"/>
  <c r="F140" i="58" s="1"/>
  <c r="E100" i="58"/>
  <c r="F100" i="58" s="1"/>
  <c r="E130" i="58"/>
  <c r="F130" i="58" s="1"/>
  <c r="E34" i="58"/>
  <c r="F34" i="58" s="1"/>
  <c r="E19" i="58"/>
  <c r="F19" i="58" s="1"/>
  <c r="E51" i="58"/>
  <c r="F51" i="58" s="1"/>
  <c r="E38" i="58"/>
  <c r="F38" i="58" s="1"/>
  <c r="E42" i="58"/>
  <c r="F42" i="58" s="1"/>
  <c r="E47" i="58"/>
  <c r="F47" i="58" s="1"/>
  <c r="E57" i="58"/>
  <c r="F57" i="58" s="1"/>
  <c r="E63" i="58"/>
  <c r="F63" i="58" s="1"/>
  <c r="E86" i="58"/>
  <c r="F86" i="58" s="1"/>
  <c r="E112" i="58"/>
  <c r="F112" i="58" s="1"/>
  <c r="E53" i="58"/>
  <c r="F53" i="58" s="1"/>
  <c r="E41" i="58"/>
  <c r="F41" i="58" s="1"/>
  <c r="E141" i="58"/>
  <c r="F141" i="58" s="1"/>
  <c r="E93" i="58"/>
  <c r="F93" i="58" s="1"/>
  <c r="E70" i="58"/>
  <c r="F70" i="58" s="1"/>
  <c r="E48" i="58"/>
  <c r="F48" i="58" s="1"/>
  <c r="E31" i="58"/>
  <c r="F31" i="58" s="1"/>
  <c r="E68" i="58"/>
  <c r="F68" i="58" s="1"/>
  <c r="E18" i="58"/>
  <c r="F18" i="58" s="1"/>
  <c r="E83" i="58"/>
  <c r="F83" i="58" s="1"/>
  <c r="E115" i="58"/>
  <c r="F115" i="58" s="1"/>
  <c r="E11" i="58"/>
  <c r="F11" i="58" s="1"/>
  <c r="E6" i="58"/>
  <c r="F6" i="58" s="1"/>
  <c r="E118" i="58"/>
  <c r="F118" i="58" s="1"/>
  <c r="E27" i="58"/>
  <c r="F27" i="58" s="1"/>
  <c r="E124" i="58"/>
  <c r="F124" i="58" s="1"/>
  <c r="E92" i="58"/>
  <c r="F92" i="58" s="1"/>
  <c r="E36" i="58"/>
  <c r="F36" i="58" s="1"/>
  <c r="E44" i="58"/>
  <c r="F44" i="58" s="1"/>
  <c r="E122" i="58"/>
  <c r="F122" i="58" s="1"/>
  <c r="E79" i="58"/>
  <c r="F79" i="58" s="1"/>
  <c r="E73" i="58"/>
  <c r="F73" i="58" s="1"/>
  <c r="E30" i="58"/>
  <c r="F30" i="58" s="1"/>
  <c r="E49" i="58"/>
  <c r="F49" i="58" s="1"/>
  <c r="E56" i="58"/>
  <c r="F56" i="58" s="1"/>
  <c r="E65" i="58"/>
  <c r="F65" i="58" s="1"/>
  <c r="E128" i="58"/>
  <c r="F128" i="58" s="1"/>
  <c r="E143" i="58"/>
  <c r="F143" i="58" s="1"/>
  <c r="E72" i="58"/>
  <c r="F72" i="58" s="1"/>
  <c r="E139" i="58"/>
  <c r="F139" i="58" s="1"/>
  <c r="E145" i="58"/>
  <c r="F145" i="58" s="1"/>
  <c r="E109" i="58"/>
  <c r="F109" i="58" s="1"/>
  <c r="E101" i="58"/>
  <c r="F101" i="58" s="1"/>
  <c r="E98" i="58"/>
  <c r="F98" i="58" s="1"/>
  <c r="E127" i="58"/>
  <c r="F127" i="58" s="1"/>
  <c r="E99" i="58"/>
  <c r="F99" i="58" s="1"/>
  <c r="E148" i="58"/>
  <c r="F148" i="58" s="1"/>
  <c r="E110" i="58"/>
  <c r="F110" i="58" s="1"/>
  <c r="E104" i="58"/>
  <c r="F104" i="58" s="1"/>
  <c r="E95" i="58"/>
  <c r="F95" i="58" s="1"/>
  <c r="E74" i="58"/>
  <c r="F74" i="58" s="1"/>
  <c r="E61" i="58"/>
  <c r="F61" i="58" s="1"/>
  <c r="E59" i="58"/>
  <c r="F59" i="58" s="1"/>
  <c r="E58" i="58"/>
  <c r="F58" i="58" s="1"/>
  <c r="E78" i="58"/>
  <c r="F78" i="58" s="1"/>
  <c r="E69" i="58"/>
  <c r="F69" i="58" s="1"/>
  <c r="E77" i="58"/>
  <c r="F77" i="58" s="1"/>
  <c r="E88" i="58"/>
  <c r="F88" i="58" s="1"/>
  <c r="E66" i="58"/>
  <c r="F66" i="58" s="1"/>
  <c r="E60" i="58"/>
  <c r="F60" i="58" s="1"/>
  <c r="E146" i="58"/>
  <c r="F146" i="58" s="1"/>
  <c r="E116" i="58"/>
  <c r="F116" i="58" s="1"/>
  <c r="E132" i="58"/>
  <c r="F132" i="58" s="1"/>
  <c r="E126" i="58"/>
  <c r="F126" i="58" s="1"/>
  <c r="E89" i="58"/>
  <c r="F89" i="58" s="1"/>
  <c r="E136" i="58"/>
  <c r="F136" i="58" s="1"/>
  <c r="E137" i="58"/>
  <c r="F137" i="58" s="1"/>
  <c r="E119" i="58"/>
  <c r="F119" i="58" s="1"/>
  <c r="E142" i="58"/>
  <c r="F142" i="58" s="1"/>
  <c r="E96" i="58"/>
  <c r="F96" i="58" s="1"/>
  <c r="E120" i="58"/>
  <c r="F120" i="58" s="1"/>
  <c r="E76" i="58"/>
  <c r="F76" i="58" s="1"/>
  <c r="E85" i="58"/>
  <c r="F85" i="58" s="1"/>
  <c r="E105" i="58"/>
  <c r="F105" i="58" s="1"/>
  <c r="E134" i="58"/>
  <c r="F134" i="58" s="1"/>
  <c r="E135" i="58"/>
  <c r="F135" i="58" s="1"/>
  <c r="E87" i="58"/>
  <c r="F87" i="58" s="1"/>
  <c r="E117" i="58"/>
  <c r="F117" i="58" s="1"/>
  <c r="E129" i="58"/>
  <c r="F129" i="58" s="1"/>
  <c r="E108" i="58"/>
  <c r="F108" i="58" s="1"/>
  <c r="E111" i="58"/>
  <c r="F111" i="58" s="1"/>
  <c r="E125" i="58"/>
  <c r="F125" i="58" s="1"/>
  <c r="E123" i="58"/>
  <c r="F123" i="58" s="1"/>
  <c r="E114" i="58"/>
  <c r="F114" i="58" s="1"/>
  <c r="E107" i="58"/>
  <c r="F107" i="58" s="1"/>
  <c r="E121" i="58"/>
  <c r="F121" i="58" s="1"/>
  <c r="I5" i="58"/>
  <c r="E157" i="58"/>
  <c r="F157" i="58" s="1"/>
  <c r="G2" i="58"/>
  <c r="H176" i="57"/>
  <c r="G176" i="57"/>
  <c r="H173" i="57"/>
  <c r="G173" i="57"/>
  <c r="H170" i="57"/>
  <c r="G170" i="57"/>
  <c r="H167" i="57"/>
  <c r="G167" i="57"/>
  <c r="H164" i="57"/>
  <c r="G164" i="57"/>
  <c r="H161" i="57"/>
  <c r="G161" i="57"/>
  <c r="H158" i="57"/>
  <c r="G158" i="57"/>
  <c r="H155" i="57"/>
  <c r="G155" i="57"/>
  <c r="H152" i="57"/>
  <c r="G152" i="57"/>
  <c r="H149" i="57"/>
  <c r="G149" i="57"/>
  <c r="H146" i="57"/>
  <c r="G146" i="57"/>
  <c r="H143" i="57"/>
  <c r="G143" i="57"/>
  <c r="H140" i="57"/>
  <c r="G140" i="57"/>
  <c r="H137" i="57"/>
  <c r="G137" i="57"/>
  <c r="H134" i="57"/>
  <c r="G134" i="57"/>
  <c r="H131" i="57"/>
  <c r="G131" i="57"/>
  <c r="H128" i="57"/>
  <c r="G128" i="57"/>
  <c r="H125" i="57"/>
  <c r="G125" i="57"/>
  <c r="H122" i="57"/>
  <c r="G122" i="57"/>
  <c r="H119" i="57"/>
  <c r="G119" i="57"/>
  <c r="H116" i="57"/>
  <c r="G116" i="57"/>
  <c r="H113" i="57"/>
  <c r="G113" i="57"/>
  <c r="H110" i="57"/>
  <c r="G110" i="57"/>
  <c r="H107" i="57"/>
  <c r="G107" i="57"/>
  <c r="H104" i="57"/>
  <c r="G104" i="57"/>
  <c r="H101" i="57"/>
  <c r="G101" i="57"/>
  <c r="H98" i="57"/>
  <c r="G98" i="57"/>
  <c r="H95" i="57"/>
  <c r="G95" i="57"/>
  <c r="H92" i="57"/>
  <c r="G92" i="57"/>
  <c r="H89" i="57"/>
  <c r="G89" i="57"/>
  <c r="H86" i="57"/>
  <c r="G86" i="57"/>
  <c r="H83" i="57"/>
  <c r="G83" i="57"/>
  <c r="H80" i="57"/>
  <c r="G80" i="57"/>
  <c r="H77" i="57"/>
  <c r="G77" i="57"/>
  <c r="H74" i="57"/>
  <c r="G74" i="57"/>
  <c r="H71" i="57"/>
  <c r="G71" i="57"/>
  <c r="H68" i="57"/>
  <c r="G68" i="57"/>
  <c r="H65" i="57"/>
  <c r="G65" i="57"/>
  <c r="H62" i="57"/>
  <c r="G62" i="57"/>
  <c r="H59" i="57"/>
  <c r="G59" i="57"/>
  <c r="H56" i="57"/>
  <c r="G56" i="57"/>
  <c r="H53" i="57"/>
  <c r="G53" i="57"/>
  <c r="H50" i="57"/>
  <c r="G50" i="57"/>
  <c r="H47" i="57"/>
  <c r="G47" i="57"/>
  <c r="H44" i="57"/>
  <c r="G44" i="57"/>
  <c r="H41" i="57"/>
  <c r="G41" i="57"/>
  <c r="H38" i="57"/>
  <c r="G38" i="57"/>
  <c r="H35" i="57"/>
  <c r="G35" i="57"/>
  <c r="H32" i="57"/>
  <c r="G32" i="57"/>
  <c r="H29" i="57"/>
  <c r="G29" i="57"/>
  <c r="H26" i="57"/>
  <c r="G26" i="57"/>
  <c r="H23" i="57"/>
  <c r="G23" i="57"/>
  <c r="H20" i="57"/>
  <c r="G20" i="57"/>
  <c r="H17" i="57"/>
  <c r="G17" i="57"/>
  <c r="H14" i="57"/>
  <c r="G14" i="57"/>
  <c r="H11" i="57"/>
  <c r="G11" i="57"/>
  <c r="G179" i="57" s="1"/>
  <c r="H8" i="57"/>
  <c r="G8" i="57"/>
  <c r="H5" i="57"/>
  <c r="G5" i="57"/>
  <c r="H179" i="57"/>
  <c r="F179" i="57"/>
  <c r="I6" i="57"/>
  <c r="I7" i="57"/>
  <c r="I8" i="57"/>
  <c r="I9" i="57"/>
  <c r="I10" i="57"/>
  <c r="I11" i="57"/>
  <c r="I12" i="57"/>
  <c r="I13" i="57"/>
  <c r="I14" i="57"/>
  <c r="I15" i="57"/>
  <c r="I16" i="57"/>
  <c r="I17" i="57"/>
  <c r="I18" i="57"/>
  <c r="I19" i="57"/>
  <c r="I20" i="57"/>
  <c r="I21" i="57"/>
  <c r="I22" i="57"/>
  <c r="I23" i="57"/>
  <c r="I24" i="57"/>
  <c r="I25" i="57"/>
  <c r="I26" i="57"/>
  <c r="I27" i="57"/>
  <c r="I28" i="57"/>
  <c r="I29" i="57"/>
  <c r="I30" i="57"/>
  <c r="I31" i="57"/>
  <c r="I32" i="57"/>
  <c r="I33" i="57"/>
  <c r="I34" i="57"/>
  <c r="I35" i="57"/>
  <c r="I36" i="57"/>
  <c r="I37" i="57"/>
  <c r="I38" i="57"/>
  <c r="I39" i="57"/>
  <c r="I40" i="57"/>
  <c r="I41" i="57"/>
  <c r="I42" i="57"/>
  <c r="I43" i="57"/>
  <c r="I44" i="57"/>
  <c r="I45" i="57"/>
  <c r="I46" i="57"/>
  <c r="I47" i="57"/>
  <c r="I48" i="57"/>
  <c r="I49" i="57"/>
  <c r="I50" i="57"/>
  <c r="I51" i="57"/>
  <c r="I52" i="57"/>
  <c r="I53" i="57"/>
  <c r="I54" i="57"/>
  <c r="I55" i="57"/>
  <c r="I56" i="57"/>
  <c r="I57" i="57"/>
  <c r="I58" i="57"/>
  <c r="I59" i="57"/>
  <c r="I60" i="57"/>
  <c r="I61" i="57"/>
  <c r="I62" i="57"/>
  <c r="I63" i="57"/>
  <c r="I64" i="57"/>
  <c r="I65" i="57"/>
  <c r="I66" i="57"/>
  <c r="I67" i="57"/>
  <c r="I68" i="57"/>
  <c r="I69" i="57"/>
  <c r="I70" i="57"/>
  <c r="I71" i="57"/>
  <c r="I72" i="57"/>
  <c r="I73" i="57"/>
  <c r="I74" i="57"/>
  <c r="I75" i="57"/>
  <c r="I76" i="57"/>
  <c r="I77" i="57"/>
  <c r="I78" i="57"/>
  <c r="I79" i="57"/>
  <c r="I80" i="57"/>
  <c r="I81" i="57"/>
  <c r="I82" i="57"/>
  <c r="I83" i="57"/>
  <c r="I84" i="57"/>
  <c r="I85" i="57"/>
  <c r="I86" i="57"/>
  <c r="I87" i="57"/>
  <c r="I88" i="57"/>
  <c r="I89" i="57"/>
  <c r="I90" i="57"/>
  <c r="I91" i="57"/>
  <c r="I92" i="57"/>
  <c r="I93" i="57"/>
  <c r="I94" i="57"/>
  <c r="I95" i="57"/>
  <c r="I96" i="57"/>
  <c r="I97" i="57"/>
  <c r="I98" i="57"/>
  <c r="I99" i="57"/>
  <c r="I100" i="57"/>
  <c r="I101" i="57"/>
  <c r="I102" i="57"/>
  <c r="I103" i="57"/>
  <c r="I104" i="57"/>
  <c r="I105" i="57"/>
  <c r="I106" i="57"/>
  <c r="I107" i="57"/>
  <c r="I108" i="57"/>
  <c r="I109" i="57"/>
  <c r="I110" i="57"/>
  <c r="I111" i="57"/>
  <c r="I112" i="57"/>
  <c r="I113" i="57"/>
  <c r="I114" i="57"/>
  <c r="I115" i="57"/>
  <c r="I116" i="57"/>
  <c r="I117" i="57"/>
  <c r="I118" i="57"/>
  <c r="I119" i="57"/>
  <c r="I120" i="57"/>
  <c r="I121" i="57"/>
  <c r="I122" i="57"/>
  <c r="I123" i="57"/>
  <c r="I124" i="57"/>
  <c r="I125" i="57"/>
  <c r="I126" i="57"/>
  <c r="I127" i="57"/>
  <c r="I128" i="57"/>
  <c r="I129" i="57"/>
  <c r="I130" i="57"/>
  <c r="I131" i="57"/>
  <c r="I132" i="57"/>
  <c r="I133" i="57"/>
  <c r="I134" i="57"/>
  <c r="I135" i="57"/>
  <c r="I136" i="57"/>
  <c r="I137" i="57"/>
  <c r="I138" i="57"/>
  <c r="I139" i="57"/>
  <c r="I140" i="57"/>
  <c r="I141" i="57"/>
  <c r="I142" i="57"/>
  <c r="I143" i="57"/>
  <c r="I144" i="57"/>
  <c r="I145" i="57"/>
  <c r="I146" i="57"/>
  <c r="I147" i="57"/>
  <c r="I148" i="57"/>
  <c r="I149" i="57"/>
  <c r="I150" i="57"/>
  <c r="I151" i="57"/>
  <c r="I152" i="57"/>
  <c r="I153" i="57"/>
  <c r="I154" i="57"/>
  <c r="I155" i="57"/>
  <c r="I156" i="57"/>
  <c r="I157" i="57"/>
  <c r="I158" i="57"/>
  <c r="I159" i="57"/>
  <c r="I160" i="57"/>
  <c r="I161" i="57"/>
  <c r="I162" i="57"/>
  <c r="I163" i="57"/>
  <c r="I164" i="57"/>
  <c r="I165" i="57"/>
  <c r="I166" i="57"/>
  <c r="I167" i="57"/>
  <c r="I168" i="57"/>
  <c r="I169" i="57"/>
  <c r="I170" i="57"/>
  <c r="I171" i="57"/>
  <c r="I172" i="57"/>
  <c r="I173" i="57"/>
  <c r="I174" i="57"/>
  <c r="I175" i="57"/>
  <c r="I176" i="57"/>
  <c r="I177" i="57"/>
  <c r="E146" i="57"/>
  <c r="F146" i="57" s="1"/>
  <c r="E27" i="57"/>
  <c r="F27" i="57" s="1"/>
  <c r="E133" i="57"/>
  <c r="F133" i="57" s="1"/>
  <c r="E76" i="57"/>
  <c r="F76" i="57" s="1"/>
  <c r="E125" i="57"/>
  <c r="F125" i="57" s="1"/>
  <c r="E61" i="57"/>
  <c r="F61" i="57" s="1"/>
  <c r="E63" i="57"/>
  <c r="F63" i="57" s="1"/>
  <c r="E150" i="57"/>
  <c r="F150" i="57" s="1"/>
  <c r="E103" i="57"/>
  <c r="F103" i="57" s="1"/>
  <c r="E29" i="57"/>
  <c r="F29" i="57" s="1"/>
  <c r="E121" i="57"/>
  <c r="F121" i="57" s="1"/>
  <c r="E47" i="57"/>
  <c r="F47" i="57" s="1"/>
  <c r="E132" i="57"/>
  <c r="F132" i="57" s="1"/>
  <c r="E37" i="57"/>
  <c r="F37" i="57" s="1"/>
  <c r="E57" i="57"/>
  <c r="F57" i="57" s="1"/>
  <c r="E40" i="57"/>
  <c r="F40" i="57" s="1"/>
  <c r="E123" i="57"/>
  <c r="F123" i="57" s="1"/>
  <c r="E134" i="57"/>
  <c r="F134" i="57" s="1"/>
  <c r="E23" i="57"/>
  <c r="F23" i="57" s="1"/>
  <c r="E39" i="57"/>
  <c r="F39" i="57" s="1"/>
  <c r="E6" i="57"/>
  <c r="F6" i="57" s="1"/>
  <c r="E21" i="57"/>
  <c r="F21" i="57" s="1"/>
  <c r="E41" i="57"/>
  <c r="F41" i="57" s="1"/>
  <c r="E86" i="57"/>
  <c r="F86" i="57" s="1"/>
  <c r="E82" i="57"/>
  <c r="F82" i="57" s="1"/>
  <c r="E13" i="57"/>
  <c r="F13" i="57" s="1"/>
  <c r="E14" i="57"/>
  <c r="F14" i="57" s="1"/>
  <c r="E110" i="57"/>
  <c r="F110" i="57" s="1"/>
  <c r="E36" i="57"/>
  <c r="F36" i="57" s="1"/>
  <c r="E67" i="57"/>
  <c r="F67" i="57" s="1"/>
  <c r="E17" i="57"/>
  <c r="F17" i="57" s="1"/>
  <c r="E85" i="57"/>
  <c r="F85" i="57" s="1"/>
  <c r="E30" i="57"/>
  <c r="F30" i="57" s="1"/>
  <c r="E8" i="57"/>
  <c r="F8" i="57" s="1"/>
  <c r="E50" i="57"/>
  <c r="F50" i="57" s="1"/>
  <c r="E111" i="57"/>
  <c r="F111" i="57" s="1"/>
  <c r="E7" i="57"/>
  <c r="F7" i="57" s="1"/>
  <c r="E10" i="57"/>
  <c r="F10" i="57" s="1"/>
  <c r="E11" i="57"/>
  <c r="F11" i="57" s="1"/>
  <c r="E42" i="57"/>
  <c r="F42" i="57" s="1"/>
  <c r="E5" i="57"/>
  <c r="F5" i="57" s="1"/>
  <c r="E138" i="57"/>
  <c r="F138" i="57" s="1"/>
  <c r="E15" i="57"/>
  <c r="F15" i="57" s="1"/>
  <c r="E12" i="57"/>
  <c r="F12" i="57" s="1"/>
  <c r="E65" i="57"/>
  <c r="F65" i="57" s="1"/>
  <c r="E19" i="57"/>
  <c r="F19" i="57" s="1"/>
  <c r="E34" i="57"/>
  <c r="F34" i="57" s="1"/>
  <c r="E122" i="57"/>
  <c r="F122" i="57" s="1"/>
  <c r="E99" i="57"/>
  <c r="F99" i="57" s="1"/>
  <c r="E118" i="57"/>
  <c r="F118" i="57" s="1"/>
  <c r="E38" i="57"/>
  <c r="F38" i="57" s="1"/>
  <c r="E145" i="57"/>
  <c r="F145" i="57" s="1"/>
  <c r="E135" i="57"/>
  <c r="F135" i="57" s="1"/>
  <c r="E53" i="57"/>
  <c r="F53" i="57" s="1"/>
  <c r="E54" i="57"/>
  <c r="F54" i="57" s="1"/>
  <c r="E44" i="57"/>
  <c r="F44" i="57" s="1"/>
  <c r="E116" i="57"/>
  <c r="F116" i="57" s="1"/>
  <c r="E24" i="57"/>
  <c r="F24" i="57" s="1"/>
  <c r="E114" i="57"/>
  <c r="F114" i="57" s="1"/>
  <c r="E48" i="57"/>
  <c r="F48" i="57" s="1"/>
  <c r="E113" i="57"/>
  <c r="F113" i="57" s="1"/>
  <c r="E115" i="57"/>
  <c r="F115" i="57" s="1"/>
  <c r="E20" i="57"/>
  <c r="F20" i="57" s="1"/>
  <c r="E9" i="57"/>
  <c r="F9" i="57" s="1"/>
  <c r="E16" i="57"/>
  <c r="F16" i="57" s="1"/>
  <c r="E33" i="57"/>
  <c r="F33" i="57" s="1"/>
  <c r="E18" i="57"/>
  <c r="F18" i="57" s="1"/>
  <c r="E45" i="57"/>
  <c r="F45" i="57" s="1"/>
  <c r="E55" i="57"/>
  <c r="F55" i="57" s="1"/>
  <c r="E154" i="57"/>
  <c r="F154" i="57" s="1"/>
  <c r="E166" i="57"/>
  <c r="F166" i="57" s="1"/>
  <c r="E163" i="57"/>
  <c r="F163" i="57" s="1"/>
  <c r="E151" i="57"/>
  <c r="F151" i="57" s="1"/>
  <c r="E161" i="57"/>
  <c r="F161" i="57" s="1"/>
  <c r="E106" i="57"/>
  <c r="F106" i="57" s="1"/>
  <c r="E93" i="57"/>
  <c r="F93" i="57" s="1"/>
  <c r="E160" i="57"/>
  <c r="F160" i="57" s="1"/>
  <c r="E88" i="57"/>
  <c r="F88" i="57" s="1"/>
  <c r="E144" i="57"/>
  <c r="F144" i="57" s="1"/>
  <c r="E167" i="57"/>
  <c r="F167" i="57" s="1"/>
  <c r="E79" i="57"/>
  <c r="F79" i="57" s="1"/>
  <c r="E109" i="57"/>
  <c r="F109" i="57" s="1"/>
  <c r="E77" i="57"/>
  <c r="F77" i="57" s="1"/>
  <c r="E164" i="57"/>
  <c r="F164" i="57" s="1"/>
  <c r="E153" i="57"/>
  <c r="F153" i="57" s="1"/>
  <c r="E107" i="57"/>
  <c r="F107" i="57" s="1"/>
  <c r="E102" i="57"/>
  <c r="F102" i="57" s="1"/>
  <c r="E78" i="57"/>
  <c r="F78" i="57" s="1"/>
  <c r="E174" i="57"/>
  <c r="F174" i="57" s="1"/>
  <c r="E136" i="57"/>
  <c r="F136" i="57" s="1"/>
  <c r="E169" i="57"/>
  <c r="F169" i="57" s="1"/>
  <c r="E170" i="57"/>
  <c r="F170" i="57" s="1"/>
  <c r="E171" i="57"/>
  <c r="F171" i="57" s="1"/>
  <c r="E140" i="57"/>
  <c r="F140" i="57" s="1"/>
  <c r="E62" i="57"/>
  <c r="F62" i="57" s="1"/>
  <c r="E157" i="57"/>
  <c r="F157" i="57" s="1"/>
  <c r="E100" i="57"/>
  <c r="F100" i="57" s="1"/>
  <c r="E142" i="57"/>
  <c r="F142" i="57" s="1"/>
  <c r="E112" i="57"/>
  <c r="F112" i="57" s="1"/>
  <c r="E104" i="57"/>
  <c r="F104" i="57" s="1"/>
  <c r="E43" i="57"/>
  <c r="F43" i="57" s="1"/>
  <c r="E69" i="57"/>
  <c r="F69" i="57" s="1"/>
  <c r="E98" i="57"/>
  <c r="F98" i="57" s="1"/>
  <c r="E172" i="57"/>
  <c r="F172" i="57" s="1"/>
  <c r="E56" i="57"/>
  <c r="F56" i="57" s="1"/>
  <c r="E128" i="57"/>
  <c r="F128" i="57" s="1"/>
  <c r="E148" i="57"/>
  <c r="F148" i="57" s="1"/>
  <c r="E101" i="57"/>
  <c r="F101" i="57" s="1"/>
  <c r="E64" i="57"/>
  <c r="F64" i="57" s="1"/>
  <c r="E22" i="57"/>
  <c r="F22" i="57" s="1"/>
  <c r="E168" i="57"/>
  <c r="F168" i="57" s="1"/>
  <c r="E68" i="57"/>
  <c r="F68" i="57" s="1"/>
  <c r="E26" i="57"/>
  <c r="F26" i="57" s="1"/>
  <c r="E162" i="57"/>
  <c r="F162" i="57" s="1"/>
  <c r="E92" i="57"/>
  <c r="F92" i="57" s="1"/>
  <c r="E131" i="57"/>
  <c r="F131" i="57" s="1"/>
  <c r="E117" i="57"/>
  <c r="F117" i="57" s="1"/>
  <c r="E149" i="57"/>
  <c r="F149" i="57" s="1"/>
  <c r="E130" i="57"/>
  <c r="F130" i="57" s="1"/>
  <c r="E72" i="57"/>
  <c r="F72" i="57" s="1"/>
  <c r="E108" i="57"/>
  <c r="F108" i="57" s="1"/>
  <c r="E141" i="57"/>
  <c r="F141" i="57" s="1"/>
  <c r="E105" i="57"/>
  <c r="F105" i="57" s="1"/>
  <c r="E90" i="57"/>
  <c r="F90" i="57" s="1"/>
  <c r="E155" i="57"/>
  <c r="F155" i="57" s="1"/>
  <c r="E143" i="57"/>
  <c r="F143" i="57" s="1"/>
  <c r="E95" i="57"/>
  <c r="F95" i="57" s="1"/>
  <c r="E46" i="57"/>
  <c r="F46" i="57" s="1"/>
  <c r="E137" i="57"/>
  <c r="F137" i="57" s="1"/>
  <c r="E74" i="57"/>
  <c r="F74" i="57" s="1"/>
  <c r="E71" i="57"/>
  <c r="F71" i="57" s="1"/>
  <c r="E173" i="57"/>
  <c r="F173" i="57" s="1"/>
  <c r="E58" i="57"/>
  <c r="F58" i="57" s="1"/>
  <c r="E49" i="57"/>
  <c r="F49" i="57" s="1"/>
  <c r="E119" i="57"/>
  <c r="F119" i="57" s="1"/>
  <c r="E70" i="57"/>
  <c r="F70" i="57" s="1"/>
  <c r="E32" i="57"/>
  <c r="F32" i="57" s="1"/>
  <c r="E59" i="57"/>
  <c r="F59" i="57" s="1"/>
  <c r="E83" i="57"/>
  <c r="F83" i="57" s="1"/>
  <c r="E91" i="57"/>
  <c r="F91" i="57" s="1"/>
  <c r="E31" i="57"/>
  <c r="F31" i="57" s="1"/>
  <c r="E28" i="57"/>
  <c r="F28" i="57" s="1"/>
  <c r="E97" i="57"/>
  <c r="F97" i="57" s="1"/>
  <c r="E52" i="57"/>
  <c r="F52" i="57" s="1"/>
  <c r="E25" i="57"/>
  <c r="F25" i="57" s="1"/>
  <c r="E120" i="57"/>
  <c r="F120" i="57" s="1"/>
  <c r="E84" i="57"/>
  <c r="F84" i="57" s="1"/>
  <c r="E127" i="57"/>
  <c r="F127" i="57" s="1"/>
  <c r="E158" i="57"/>
  <c r="F158" i="57" s="1"/>
  <c r="E60" i="57"/>
  <c r="F60" i="57" s="1"/>
  <c r="E75" i="57"/>
  <c r="F75" i="57" s="1"/>
  <c r="E80" i="57"/>
  <c r="F80" i="57" s="1"/>
  <c r="E51" i="57"/>
  <c r="F51" i="57" s="1"/>
  <c r="E129" i="57"/>
  <c r="F129" i="57" s="1"/>
  <c r="E66" i="57"/>
  <c r="F66" i="57" s="1"/>
  <c r="E87" i="57"/>
  <c r="F87" i="57" s="1"/>
  <c r="E81" i="57"/>
  <c r="F81" i="57" s="1"/>
  <c r="E152" i="57"/>
  <c r="F152" i="57" s="1"/>
  <c r="E73" i="57"/>
  <c r="F73" i="57" s="1"/>
  <c r="E147" i="57"/>
  <c r="F147" i="57" s="1"/>
  <c r="E159" i="57"/>
  <c r="F159" i="57" s="1"/>
  <c r="E126" i="57"/>
  <c r="F126" i="57" s="1"/>
  <c r="E124" i="57"/>
  <c r="F124" i="57" s="1"/>
  <c r="E139" i="57"/>
  <c r="F139" i="57" s="1"/>
  <c r="E89" i="57"/>
  <c r="F89" i="57" s="1"/>
  <c r="E165" i="57"/>
  <c r="F165" i="57" s="1"/>
  <c r="E156" i="57"/>
  <c r="F156" i="57" s="1"/>
  <c r="E96" i="57"/>
  <c r="F96" i="57" s="1"/>
  <c r="E94" i="57"/>
  <c r="F94" i="57" s="1"/>
  <c r="E175" i="57"/>
  <c r="F175" i="57" s="1"/>
  <c r="E176" i="57"/>
  <c r="F176" i="57" s="1"/>
  <c r="E177" i="57"/>
  <c r="F177" i="57" s="1"/>
  <c r="I5" i="57"/>
  <c r="E35" i="57"/>
  <c r="F35" i="57" s="1"/>
  <c r="G2" i="57"/>
  <c r="H152" i="56"/>
  <c r="G152" i="56"/>
  <c r="H149" i="56"/>
  <c r="G149" i="56"/>
  <c r="H146" i="56"/>
  <c r="G146" i="56"/>
  <c r="H143" i="56"/>
  <c r="G143" i="56"/>
  <c r="H140" i="56"/>
  <c r="G140" i="56"/>
  <c r="H137" i="56"/>
  <c r="G137" i="56"/>
  <c r="H134" i="56"/>
  <c r="G134" i="56"/>
  <c r="H131" i="56"/>
  <c r="G131" i="56"/>
  <c r="H128" i="56"/>
  <c r="G128" i="56"/>
  <c r="H125" i="56"/>
  <c r="G125" i="56"/>
  <c r="H122" i="56"/>
  <c r="G122" i="56"/>
  <c r="H119" i="56"/>
  <c r="G119" i="56"/>
  <c r="H116" i="56"/>
  <c r="G116" i="56"/>
  <c r="H113" i="56"/>
  <c r="G113" i="56"/>
  <c r="H110" i="56"/>
  <c r="G110" i="56"/>
  <c r="H107" i="56"/>
  <c r="G107" i="56"/>
  <c r="H104" i="56"/>
  <c r="G104" i="56"/>
  <c r="H101" i="56"/>
  <c r="G101" i="56"/>
  <c r="H98" i="56"/>
  <c r="G98" i="56"/>
  <c r="H95" i="56"/>
  <c r="G95" i="56"/>
  <c r="H92" i="56"/>
  <c r="G92" i="56"/>
  <c r="H89" i="56"/>
  <c r="G89" i="56"/>
  <c r="H86" i="56"/>
  <c r="G86" i="56"/>
  <c r="H83" i="56"/>
  <c r="G83" i="56"/>
  <c r="H80" i="56"/>
  <c r="G80" i="56"/>
  <c r="H77" i="56"/>
  <c r="G77" i="56"/>
  <c r="H74" i="56"/>
  <c r="G74" i="56"/>
  <c r="H71" i="56"/>
  <c r="G71" i="56"/>
  <c r="H68" i="56"/>
  <c r="G68" i="56"/>
  <c r="H65" i="56"/>
  <c r="G65" i="56"/>
  <c r="H62" i="56"/>
  <c r="G62" i="56"/>
  <c r="H59" i="56"/>
  <c r="G59" i="56"/>
  <c r="H56" i="56"/>
  <c r="G56" i="56"/>
  <c r="H53" i="56"/>
  <c r="G53" i="56"/>
  <c r="H50" i="56"/>
  <c r="G50" i="56"/>
  <c r="H47" i="56"/>
  <c r="G47" i="56"/>
  <c r="H44" i="56"/>
  <c r="G44" i="56"/>
  <c r="H41" i="56"/>
  <c r="G41" i="56"/>
  <c r="H38" i="56"/>
  <c r="G38" i="56"/>
  <c r="H35" i="56"/>
  <c r="G35" i="56"/>
  <c r="H32" i="56"/>
  <c r="G32" i="56"/>
  <c r="H29" i="56"/>
  <c r="G29" i="56"/>
  <c r="H26" i="56"/>
  <c r="G26" i="56"/>
  <c r="H23" i="56"/>
  <c r="G23" i="56"/>
  <c r="H20" i="56"/>
  <c r="G20" i="56"/>
  <c r="H17" i="56"/>
  <c r="G17" i="56"/>
  <c r="H14" i="56"/>
  <c r="G14" i="56"/>
  <c r="H11" i="56"/>
  <c r="G11" i="56"/>
  <c r="G154" i="56" s="1"/>
  <c r="H8" i="56"/>
  <c r="G8" i="56"/>
  <c r="H5" i="56"/>
  <c r="H154" i="56" s="1"/>
  <c r="G5" i="56"/>
  <c r="F154" i="56"/>
  <c r="I6" i="56"/>
  <c r="I7" i="56"/>
  <c r="I8" i="56"/>
  <c r="I9" i="56"/>
  <c r="I10" i="56"/>
  <c r="I11" i="56"/>
  <c r="I12" i="56"/>
  <c r="I13" i="56"/>
  <c r="I14" i="56"/>
  <c r="I15" i="56"/>
  <c r="I16" i="56"/>
  <c r="I17" i="56"/>
  <c r="I18" i="56"/>
  <c r="I19" i="56"/>
  <c r="I20" i="56"/>
  <c r="I21" i="56"/>
  <c r="I22" i="56"/>
  <c r="I23" i="56"/>
  <c r="I24" i="56"/>
  <c r="I25" i="56"/>
  <c r="I26" i="56"/>
  <c r="I27" i="56"/>
  <c r="I28" i="56"/>
  <c r="I29" i="56"/>
  <c r="I30" i="56"/>
  <c r="I31" i="56"/>
  <c r="I32" i="56"/>
  <c r="I33" i="56"/>
  <c r="I34" i="56"/>
  <c r="I35" i="56"/>
  <c r="I36" i="56"/>
  <c r="I37" i="56"/>
  <c r="I38" i="56"/>
  <c r="I39" i="56"/>
  <c r="I40" i="56"/>
  <c r="I41" i="56"/>
  <c r="I42" i="56"/>
  <c r="I43" i="56"/>
  <c r="I44" i="56"/>
  <c r="I45" i="56"/>
  <c r="I46" i="56"/>
  <c r="I47" i="56"/>
  <c r="I48" i="56"/>
  <c r="I49" i="56"/>
  <c r="I50" i="56"/>
  <c r="I51" i="56"/>
  <c r="I52" i="56"/>
  <c r="I53" i="56"/>
  <c r="I54" i="56"/>
  <c r="I55" i="56"/>
  <c r="I56" i="56"/>
  <c r="I57" i="56"/>
  <c r="I58" i="56"/>
  <c r="I59" i="56"/>
  <c r="I60" i="56"/>
  <c r="I61" i="56"/>
  <c r="I62" i="56"/>
  <c r="I63" i="56"/>
  <c r="I64" i="56"/>
  <c r="I65" i="56"/>
  <c r="I66" i="56"/>
  <c r="I67" i="56"/>
  <c r="I68" i="56"/>
  <c r="I69" i="56"/>
  <c r="I70" i="56"/>
  <c r="I71" i="56"/>
  <c r="I72" i="56"/>
  <c r="I73" i="56"/>
  <c r="I74" i="56"/>
  <c r="I75" i="56"/>
  <c r="I76" i="56"/>
  <c r="I77" i="56"/>
  <c r="I78" i="56"/>
  <c r="I79" i="56"/>
  <c r="I80" i="56"/>
  <c r="I81" i="56"/>
  <c r="I82" i="56"/>
  <c r="I83" i="56"/>
  <c r="I84" i="56"/>
  <c r="I85" i="56"/>
  <c r="I86" i="56"/>
  <c r="I87" i="56"/>
  <c r="I88" i="56"/>
  <c r="I89" i="56"/>
  <c r="I90" i="56"/>
  <c r="I91" i="56"/>
  <c r="I92" i="56"/>
  <c r="I93" i="56"/>
  <c r="I94" i="56"/>
  <c r="I95" i="56"/>
  <c r="I96" i="56"/>
  <c r="I97" i="56"/>
  <c r="I98" i="56"/>
  <c r="I99" i="56"/>
  <c r="I100" i="56"/>
  <c r="I101" i="56"/>
  <c r="I102" i="56"/>
  <c r="I103" i="56"/>
  <c r="I104" i="56"/>
  <c r="I105" i="56"/>
  <c r="I106" i="56"/>
  <c r="I107" i="56"/>
  <c r="I108" i="56"/>
  <c r="I109" i="56"/>
  <c r="I110" i="56"/>
  <c r="I111" i="56"/>
  <c r="I112" i="56"/>
  <c r="I113" i="56"/>
  <c r="I114" i="56"/>
  <c r="I115" i="56"/>
  <c r="I116" i="56"/>
  <c r="I117" i="56"/>
  <c r="I118" i="56"/>
  <c r="I119" i="56"/>
  <c r="I120" i="56"/>
  <c r="I121" i="56"/>
  <c r="I122" i="56"/>
  <c r="I123" i="56"/>
  <c r="I124" i="56"/>
  <c r="I125" i="56"/>
  <c r="I126" i="56"/>
  <c r="I127" i="56"/>
  <c r="I128" i="56"/>
  <c r="I129" i="56"/>
  <c r="I130" i="56"/>
  <c r="I131" i="56"/>
  <c r="I132" i="56"/>
  <c r="I133" i="56"/>
  <c r="I134" i="56"/>
  <c r="I135" i="56"/>
  <c r="I136" i="56"/>
  <c r="I137" i="56"/>
  <c r="I138" i="56"/>
  <c r="I139" i="56"/>
  <c r="I140" i="56"/>
  <c r="I141" i="56"/>
  <c r="I142" i="56"/>
  <c r="I143" i="56"/>
  <c r="I144" i="56"/>
  <c r="I145" i="56"/>
  <c r="I146" i="56"/>
  <c r="I147" i="56"/>
  <c r="I148" i="56"/>
  <c r="I149" i="56"/>
  <c r="I150" i="56"/>
  <c r="I151" i="56"/>
  <c r="I152" i="56"/>
  <c r="E122" i="56"/>
  <c r="F122" i="56" s="1"/>
  <c r="E151" i="56"/>
  <c r="F151" i="56" s="1"/>
  <c r="E92" i="56"/>
  <c r="F92" i="56" s="1"/>
  <c r="E105" i="56"/>
  <c r="F105" i="56" s="1"/>
  <c r="E88" i="56"/>
  <c r="F88" i="56" s="1"/>
  <c r="E83" i="56"/>
  <c r="F83" i="56" s="1"/>
  <c r="E111" i="56"/>
  <c r="F111" i="56" s="1"/>
  <c r="E71" i="56"/>
  <c r="F71" i="56" s="1"/>
  <c r="E73" i="56"/>
  <c r="F73" i="56" s="1"/>
  <c r="E67" i="56"/>
  <c r="F67" i="56" s="1"/>
  <c r="E113" i="56"/>
  <c r="F113" i="56" s="1"/>
  <c r="E84" i="56"/>
  <c r="F84" i="56" s="1"/>
  <c r="E139" i="56"/>
  <c r="F139" i="56" s="1"/>
  <c r="E87" i="56"/>
  <c r="F87" i="56" s="1"/>
  <c r="E74" i="56"/>
  <c r="F74" i="56" s="1"/>
  <c r="E94" i="56"/>
  <c r="F94" i="56" s="1"/>
  <c r="E79" i="56"/>
  <c r="F79" i="56" s="1"/>
  <c r="E65" i="56"/>
  <c r="F65" i="56" s="1"/>
  <c r="E124" i="56"/>
  <c r="F124" i="56" s="1"/>
  <c r="E138" i="56"/>
  <c r="F138" i="56" s="1"/>
  <c r="E59" i="56"/>
  <c r="F59" i="56" s="1"/>
  <c r="E140" i="56"/>
  <c r="F140" i="56" s="1"/>
  <c r="E66" i="56"/>
  <c r="F66" i="56" s="1"/>
  <c r="E143" i="56"/>
  <c r="F143" i="56" s="1"/>
  <c r="E115" i="56"/>
  <c r="F115" i="56" s="1"/>
  <c r="E64" i="56"/>
  <c r="F64" i="56" s="1"/>
  <c r="E58" i="56"/>
  <c r="F58" i="56" s="1"/>
  <c r="E96" i="56"/>
  <c r="F96" i="56" s="1"/>
  <c r="E117" i="56"/>
  <c r="F117" i="56" s="1"/>
  <c r="E101" i="56"/>
  <c r="F101" i="56" s="1"/>
  <c r="E110" i="56"/>
  <c r="F110" i="56" s="1"/>
  <c r="E104" i="56"/>
  <c r="F104" i="56" s="1"/>
  <c r="E103" i="56"/>
  <c r="F103" i="56" s="1"/>
  <c r="E148" i="56"/>
  <c r="F148" i="56" s="1"/>
  <c r="E118" i="56"/>
  <c r="F118" i="56" s="1"/>
  <c r="E47" i="56"/>
  <c r="F47" i="56" s="1"/>
  <c r="E114" i="56"/>
  <c r="F114" i="56" s="1"/>
  <c r="E135" i="56"/>
  <c r="F135" i="56" s="1"/>
  <c r="E70" i="56"/>
  <c r="F70" i="56" s="1"/>
  <c r="E52" i="56"/>
  <c r="F52" i="56" s="1"/>
  <c r="E82" i="56"/>
  <c r="F82" i="56" s="1"/>
  <c r="E136" i="56"/>
  <c r="F136" i="56" s="1"/>
  <c r="E77" i="56"/>
  <c r="F77" i="56" s="1"/>
  <c r="E21" i="56"/>
  <c r="F21" i="56" s="1"/>
  <c r="E80" i="56"/>
  <c r="F80" i="56" s="1"/>
  <c r="E38" i="56"/>
  <c r="F38" i="56" s="1"/>
  <c r="E29" i="56"/>
  <c r="F29" i="56" s="1"/>
  <c r="E20" i="56"/>
  <c r="F20" i="56" s="1"/>
  <c r="E18" i="56"/>
  <c r="F18" i="56" s="1"/>
  <c r="E97" i="56"/>
  <c r="F97" i="56" s="1"/>
  <c r="E9" i="56"/>
  <c r="F9" i="56" s="1"/>
  <c r="E89" i="56"/>
  <c r="F89" i="56" s="1"/>
  <c r="E100" i="56"/>
  <c r="F100" i="56" s="1"/>
  <c r="E131" i="56"/>
  <c r="F131" i="56" s="1"/>
  <c r="E95" i="56"/>
  <c r="F95" i="56" s="1"/>
  <c r="E42" i="56"/>
  <c r="F42" i="56" s="1"/>
  <c r="E125" i="56"/>
  <c r="F125" i="56" s="1"/>
  <c r="E40" i="56"/>
  <c r="F40" i="56" s="1"/>
  <c r="E81" i="56"/>
  <c r="F81" i="56" s="1"/>
  <c r="E93" i="56"/>
  <c r="F93" i="56" s="1"/>
  <c r="E22" i="56"/>
  <c r="F22" i="56" s="1"/>
  <c r="E90" i="56"/>
  <c r="F90" i="56" s="1"/>
  <c r="E86" i="56"/>
  <c r="F86" i="56" s="1"/>
  <c r="E46" i="56"/>
  <c r="F46" i="56" s="1"/>
  <c r="E106" i="56"/>
  <c r="F106" i="56" s="1"/>
  <c r="E17" i="56"/>
  <c r="F17" i="56" s="1"/>
  <c r="E23" i="56"/>
  <c r="F23" i="56" s="1"/>
  <c r="E72" i="56"/>
  <c r="F72" i="56" s="1"/>
  <c r="E35" i="56"/>
  <c r="F35" i="56" s="1"/>
  <c r="E76" i="56"/>
  <c r="F76" i="56" s="1"/>
  <c r="E75" i="56"/>
  <c r="F75" i="56" s="1"/>
  <c r="E41" i="56"/>
  <c r="F41" i="56" s="1"/>
  <c r="E98" i="56"/>
  <c r="F98" i="56" s="1"/>
  <c r="E33" i="56"/>
  <c r="F33" i="56" s="1"/>
  <c r="E25" i="56"/>
  <c r="F25" i="56" s="1"/>
  <c r="E62" i="56"/>
  <c r="F62" i="56" s="1"/>
  <c r="E78" i="56"/>
  <c r="F78" i="56" s="1"/>
  <c r="E85" i="56"/>
  <c r="F85" i="56" s="1"/>
  <c r="E30" i="56"/>
  <c r="F30" i="56" s="1"/>
  <c r="E54" i="56"/>
  <c r="F54" i="56" s="1"/>
  <c r="E55" i="56"/>
  <c r="F55" i="56" s="1"/>
  <c r="E26" i="56"/>
  <c r="F26" i="56" s="1"/>
  <c r="E57" i="56"/>
  <c r="F57" i="56" s="1"/>
  <c r="E36" i="56"/>
  <c r="F36" i="56" s="1"/>
  <c r="E107" i="56"/>
  <c r="F107" i="56" s="1"/>
  <c r="E14" i="56"/>
  <c r="F14" i="56" s="1"/>
  <c r="E60" i="56"/>
  <c r="F60" i="56" s="1"/>
  <c r="E28" i="56"/>
  <c r="F28" i="56" s="1"/>
  <c r="E45" i="56"/>
  <c r="F45" i="56" s="1"/>
  <c r="E13" i="56"/>
  <c r="F13" i="56" s="1"/>
  <c r="E91" i="56"/>
  <c r="F91" i="56" s="1"/>
  <c r="E15" i="56"/>
  <c r="F15" i="56" s="1"/>
  <c r="E19" i="56"/>
  <c r="F19" i="56" s="1"/>
  <c r="E37" i="56"/>
  <c r="F37" i="56" s="1"/>
  <c r="E7" i="56"/>
  <c r="F7" i="56" s="1"/>
  <c r="E128" i="56"/>
  <c r="F128" i="56" s="1"/>
  <c r="E27" i="56"/>
  <c r="F27" i="56" s="1"/>
  <c r="E16" i="56"/>
  <c r="F16" i="56" s="1"/>
  <c r="E112" i="56"/>
  <c r="F112" i="56" s="1"/>
  <c r="E119" i="56"/>
  <c r="F119" i="56" s="1"/>
  <c r="E31" i="56"/>
  <c r="F31" i="56" s="1"/>
  <c r="E68" i="56"/>
  <c r="F68" i="56" s="1"/>
  <c r="E63" i="56"/>
  <c r="F63" i="56" s="1"/>
  <c r="E53" i="56"/>
  <c r="F53" i="56" s="1"/>
  <c r="E99" i="56"/>
  <c r="F99" i="56" s="1"/>
  <c r="E10" i="56"/>
  <c r="F10" i="56" s="1"/>
  <c r="E44" i="56"/>
  <c r="F44" i="56" s="1"/>
  <c r="E50" i="56"/>
  <c r="F50" i="56" s="1"/>
  <c r="E12" i="56"/>
  <c r="F12" i="56" s="1"/>
  <c r="E6" i="56"/>
  <c r="F6" i="56" s="1"/>
  <c r="E109" i="56"/>
  <c r="F109" i="56" s="1"/>
  <c r="E121" i="56"/>
  <c r="F121" i="56" s="1"/>
  <c r="E5" i="56"/>
  <c r="F5" i="56" s="1"/>
  <c r="E123" i="56"/>
  <c r="F123" i="56" s="1"/>
  <c r="E137" i="56"/>
  <c r="F137" i="56" s="1"/>
  <c r="E32" i="56"/>
  <c r="F32" i="56" s="1"/>
  <c r="E69" i="56"/>
  <c r="F69" i="56" s="1"/>
  <c r="E43" i="56"/>
  <c r="F43" i="56" s="1"/>
  <c r="E120" i="56"/>
  <c r="F120" i="56" s="1"/>
  <c r="E24" i="56"/>
  <c r="F24" i="56" s="1"/>
  <c r="E48" i="56"/>
  <c r="F48" i="56" s="1"/>
  <c r="E61" i="56"/>
  <c r="F61" i="56" s="1"/>
  <c r="E49" i="56"/>
  <c r="F49" i="56" s="1"/>
  <c r="E116" i="56"/>
  <c r="F116" i="56" s="1"/>
  <c r="E126" i="56"/>
  <c r="F126" i="56" s="1"/>
  <c r="E39" i="56"/>
  <c r="F39" i="56" s="1"/>
  <c r="E34" i="56"/>
  <c r="F34" i="56" s="1"/>
  <c r="E56" i="56"/>
  <c r="F56" i="56" s="1"/>
  <c r="E102" i="56"/>
  <c r="F102" i="56" s="1"/>
  <c r="E8" i="56"/>
  <c r="F8" i="56" s="1"/>
  <c r="E108" i="56"/>
  <c r="F108" i="56" s="1"/>
  <c r="E51" i="56"/>
  <c r="F51" i="56" s="1"/>
  <c r="E11" i="56"/>
  <c r="F11" i="56" s="1"/>
  <c r="E150" i="56"/>
  <c r="F150" i="56" s="1"/>
  <c r="E127" i="56"/>
  <c r="F127" i="56" s="1"/>
  <c r="E132" i="56"/>
  <c r="F132" i="56" s="1"/>
  <c r="E142" i="56"/>
  <c r="F142" i="56" s="1"/>
  <c r="E141" i="56"/>
  <c r="F141" i="56" s="1"/>
  <c r="E133" i="56"/>
  <c r="F133" i="56" s="1"/>
  <c r="E152" i="56"/>
  <c r="F152" i="56" s="1"/>
  <c r="E146" i="56"/>
  <c r="F146" i="56" s="1"/>
  <c r="E147" i="56"/>
  <c r="F147" i="56" s="1"/>
  <c r="E145" i="56"/>
  <c r="F145" i="56" s="1"/>
  <c r="E134" i="56"/>
  <c r="F134" i="56" s="1"/>
  <c r="E149" i="56"/>
  <c r="F149" i="56" s="1"/>
  <c r="E129" i="56"/>
  <c r="F129" i="56" s="1"/>
  <c r="E130" i="56"/>
  <c r="F130" i="56" s="1"/>
  <c r="I5" i="56"/>
  <c r="E144" i="56"/>
  <c r="F144" i="56" s="1"/>
  <c r="G2" i="56"/>
  <c r="H98" i="55"/>
  <c r="G98" i="55"/>
  <c r="H95" i="55"/>
  <c r="G95" i="55"/>
  <c r="H92" i="55"/>
  <c r="G92" i="55"/>
  <c r="H89" i="55"/>
  <c r="G89" i="55"/>
  <c r="H86" i="55"/>
  <c r="G86" i="55"/>
  <c r="H83" i="55"/>
  <c r="G83" i="55"/>
  <c r="H80" i="55"/>
  <c r="G80" i="55"/>
  <c r="H77" i="55"/>
  <c r="G77" i="55"/>
  <c r="H74" i="55"/>
  <c r="G74" i="55"/>
  <c r="H71" i="55"/>
  <c r="G71" i="55"/>
  <c r="H68" i="55"/>
  <c r="G68" i="55"/>
  <c r="H65" i="55"/>
  <c r="G65" i="55"/>
  <c r="H62" i="55"/>
  <c r="G62" i="55"/>
  <c r="H59" i="55"/>
  <c r="G59" i="55"/>
  <c r="H56" i="55"/>
  <c r="G56" i="55"/>
  <c r="H53" i="55"/>
  <c r="G53" i="55"/>
  <c r="H50" i="55"/>
  <c r="G50" i="55"/>
  <c r="H47" i="55"/>
  <c r="G47" i="55"/>
  <c r="H44" i="55"/>
  <c r="G44" i="55"/>
  <c r="H41" i="55"/>
  <c r="G41" i="55"/>
  <c r="H38" i="55"/>
  <c r="G38" i="55"/>
  <c r="H35" i="55"/>
  <c r="G35" i="55"/>
  <c r="H32" i="55"/>
  <c r="G32" i="55"/>
  <c r="H29" i="55"/>
  <c r="G29" i="55"/>
  <c r="H26" i="55"/>
  <c r="G26" i="55"/>
  <c r="H23" i="55"/>
  <c r="G23" i="55"/>
  <c r="H20" i="55"/>
  <c r="G20" i="55"/>
  <c r="H17" i="55"/>
  <c r="G17" i="55"/>
  <c r="H14" i="55"/>
  <c r="G14" i="55"/>
  <c r="H11" i="55"/>
  <c r="G11" i="55"/>
  <c r="H8" i="55"/>
  <c r="G8" i="55"/>
  <c r="H5" i="55"/>
  <c r="G5" i="55"/>
  <c r="I6" i="55"/>
  <c r="I7" i="55"/>
  <c r="I8" i="55"/>
  <c r="I9" i="55"/>
  <c r="I10" i="55"/>
  <c r="I11" i="55"/>
  <c r="I12" i="55"/>
  <c r="I13" i="55"/>
  <c r="I14" i="55"/>
  <c r="I15" i="55"/>
  <c r="I16" i="55"/>
  <c r="I17" i="55"/>
  <c r="I18" i="55"/>
  <c r="I19" i="55"/>
  <c r="I20" i="55"/>
  <c r="I21" i="55"/>
  <c r="I22" i="55"/>
  <c r="I23" i="55"/>
  <c r="I24" i="55"/>
  <c r="I25" i="55"/>
  <c r="I26" i="55"/>
  <c r="I27" i="55"/>
  <c r="I28" i="55"/>
  <c r="I29" i="55"/>
  <c r="I30" i="55"/>
  <c r="I31" i="55"/>
  <c r="I32" i="55"/>
  <c r="I33" i="55"/>
  <c r="I34" i="55"/>
  <c r="I35" i="55"/>
  <c r="I36" i="55"/>
  <c r="I37" i="55"/>
  <c r="I38" i="55"/>
  <c r="I39" i="55"/>
  <c r="I40" i="55"/>
  <c r="I41" i="55"/>
  <c r="I42" i="55"/>
  <c r="I43" i="55"/>
  <c r="I44" i="55"/>
  <c r="I45" i="55"/>
  <c r="I46" i="55"/>
  <c r="I47" i="55"/>
  <c r="I48" i="55"/>
  <c r="I49" i="55"/>
  <c r="I50" i="55"/>
  <c r="I51" i="55"/>
  <c r="I52" i="55"/>
  <c r="I53" i="55"/>
  <c r="I54" i="55"/>
  <c r="I55" i="55"/>
  <c r="I56" i="55"/>
  <c r="I57" i="55"/>
  <c r="I58" i="55"/>
  <c r="I59" i="55"/>
  <c r="I60" i="55"/>
  <c r="I61" i="55"/>
  <c r="I62" i="55"/>
  <c r="I63" i="55"/>
  <c r="I64" i="55"/>
  <c r="I65" i="55"/>
  <c r="I66" i="55"/>
  <c r="I67" i="55"/>
  <c r="I68" i="55"/>
  <c r="I69" i="55"/>
  <c r="I70" i="55"/>
  <c r="I71" i="55"/>
  <c r="I72" i="55"/>
  <c r="I73" i="55"/>
  <c r="I74" i="55"/>
  <c r="I75" i="55"/>
  <c r="I76" i="55"/>
  <c r="I77" i="55"/>
  <c r="I78" i="55"/>
  <c r="I79" i="55"/>
  <c r="I80" i="55"/>
  <c r="I81" i="55"/>
  <c r="I82" i="55"/>
  <c r="I83" i="55"/>
  <c r="I84" i="55"/>
  <c r="I85" i="55"/>
  <c r="I86" i="55"/>
  <c r="I87" i="55"/>
  <c r="I88" i="55"/>
  <c r="I89" i="55"/>
  <c r="I90" i="55"/>
  <c r="I91" i="55"/>
  <c r="I92" i="55"/>
  <c r="I93" i="55"/>
  <c r="I94" i="55"/>
  <c r="I95" i="55"/>
  <c r="I96" i="55"/>
  <c r="I97" i="55"/>
  <c r="I98" i="55"/>
  <c r="I99" i="55"/>
  <c r="I5" i="55"/>
  <c r="E54" i="55"/>
  <c r="F54" i="55" s="1"/>
  <c r="E49" i="55"/>
  <c r="F49" i="55" s="1"/>
  <c r="E41" i="55"/>
  <c r="F41" i="55" s="1"/>
  <c r="E33" i="55"/>
  <c r="F33" i="55" s="1"/>
  <c r="E87" i="55"/>
  <c r="F87" i="55" s="1"/>
  <c r="E74" i="55"/>
  <c r="F74" i="55" s="1"/>
  <c r="E68" i="55"/>
  <c r="F68" i="55" s="1"/>
  <c r="E62" i="55"/>
  <c r="F62" i="55" s="1"/>
  <c r="E86" i="55"/>
  <c r="F86" i="55" s="1"/>
  <c r="E45" i="55"/>
  <c r="F45" i="55" s="1"/>
  <c r="E97" i="55"/>
  <c r="F97" i="55" s="1"/>
  <c r="E42" i="55"/>
  <c r="F42" i="55" s="1"/>
  <c r="E88" i="55"/>
  <c r="F88" i="55" s="1"/>
  <c r="E44" i="55"/>
  <c r="F44" i="55" s="1"/>
  <c r="E30" i="55"/>
  <c r="F30" i="55" s="1"/>
  <c r="E94" i="55"/>
  <c r="F94" i="55" s="1"/>
  <c r="E90" i="55"/>
  <c r="F90" i="55" s="1"/>
  <c r="E76" i="55"/>
  <c r="F76" i="55" s="1"/>
  <c r="E93" i="55"/>
  <c r="F93" i="55" s="1"/>
  <c r="E98" i="55"/>
  <c r="F98" i="55" s="1"/>
  <c r="E63" i="55"/>
  <c r="F63" i="55" s="1"/>
  <c r="E38" i="55"/>
  <c r="F38" i="55" s="1"/>
  <c r="E75" i="55"/>
  <c r="F75" i="55" s="1"/>
  <c r="E72" i="55"/>
  <c r="F72" i="55" s="1"/>
  <c r="E80" i="55"/>
  <c r="F80" i="55" s="1"/>
  <c r="E60" i="55"/>
  <c r="F60" i="55" s="1"/>
  <c r="E85" i="55"/>
  <c r="F85" i="55" s="1"/>
  <c r="E64" i="55"/>
  <c r="F64" i="55" s="1"/>
  <c r="E83" i="55"/>
  <c r="F83" i="55" s="1"/>
  <c r="E67" i="55"/>
  <c r="F67" i="55" s="1"/>
  <c r="E78" i="55"/>
  <c r="F78" i="55" s="1"/>
  <c r="E58" i="55"/>
  <c r="F58" i="55" s="1"/>
  <c r="E40" i="55"/>
  <c r="F40" i="55" s="1"/>
  <c r="E84" i="55"/>
  <c r="F84" i="55" s="1"/>
  <c r="E56" i="55"/>
  <c r="F56" i="55" s="1"/>
  <c r="E15" i="55"/>
  <c r="F15" i="55" s="1"/>
  <c r="E57" i="55"/>
  <c r="F57" i="55" s="1"/>
  <c r="E91" i="55"/>
  <c r="F91" i="55" s="1"/>
  <c r="E89" i="55"/>
  <c r="F89" i="55" s="1"/>
  <c r="E32" i="55"/>
  <c r="F32" i="55" s="1"/>
  <c r="E92" i="55"/>
  <c r="F92" i="55" s="1"/>
  <c r="E34" i="55"/>
  <c r="F34" i="55" s="1"/>
  <c r="E59" i="55"/>
  <c r="F59" i="55" s="1"/>
  <c r="E66" i="55"/>
  <c r="F66" i="55" s="1"/>
  <c r="E70" i="55"/>
  <c r="F70" i="55" s="1"/>
  <c r="E31" i="55"/>
  <c r="F31" i="55" s="1"/>
  <c r="E39" i="55"/>
  <c r="F39" i="55" s="1"/>
  <c r="E25" i="55"/>
  <c r="F25" i="55" s="1"/>
  <c r="E29" i="55"/>
  <c r="F29" i="55" s="1"/>
  <c r="E22" i="55"/>
  <c r="F22" i="55" s="1"/>
  <c r="E52" i="55"/>
  <c r="F52" i="55" s="1"/>
  <c r="E65" i="55"/>
  <c r="F65" i="55" s="1"/>
  <c r="E55" i="55"/>
  <c r="F55" i="55" s="1"/>
  <c r="E61" i="55"/>
  <c r="F61" i="55" s="1"/>
  <c r="E51" i="55"/>
  <c r="F51" i="55" s="1"/>
  <c r="E53" i="55"/>
  <c r="F53" i="55" s="1"/>
  <c r="E35" i="55"/>
  <c r="F35" i="55" s="1"/>
  <c r="E36" i="55"/>
  <c r="F36" i="55" s="1"/>
  <c r="E28" i="55"/>
  <c r="F28" i="55" s="1"/>
  <c r="E14" i="55"/>
  <c r="F14" i="55" s="1"/>
  <c r="E47" i="55"/>
  <c r="F47" i="55" s="1"/>
  <c r="E20" i="55"/>
  <c r="F20" i="55" s="1"/>
  <c r="E23" i="55"/>
  <c r="F23" i="55" s="1"/>
  <c r="E12" i="55"/>
  <c r="F12" i="55" s="1"/>
  <c r="E18" i="55"/>
  <c r="F18" i="55" s="1"/>
  <c r="E82" i="55"/>
  <c r="F82" i="55" s="1"/>
  <c r="E8" i="55"/>
  <c r="F8" i="55" s="1"/>
  <c r="E11" i="55"/>
  <c r="F11" i="55" s="1"/>
  <c r="E17" i="55"/>
  <c r="F17" i="55" s="1"/>
  <c r="E9" i="55"/>
  <c r="F9" i="55" s="1"/>
  <c r="E81" i="55"/>
  <c r="F81" i="55" s="1"/>
  <c r="E26" i="55"/>
  <c r="F26" i="55" s="1"/>
  <c r="E7" i="55"/>
  <c r="F7" i="55" s="1"/>
  <c r="E73" i="55"/>
  <c r="F73" i="55" s="1"/>
  <c r="E6" i="55"/>
  <c r="F6" i="55" s="1"/>
  <c r="E43" i="55"/>
  <c r="F43" i="55" s="1"/>
  <c r="E50" i="55"/>
  <c r="F50" i="55" s="1"/>
  <c r="E19" i="55"/>
  <c r="F19" i="55" s="1"/>
  <c r="E69" i="55"/>
  <c r="F69" i="55" s="1"/>
  <c r="E71" i="55"/>
  <c r="F71" i="55" s="1"/>
  <c r="E27" i="55"/>
  <c r="F27" i="55" s="1"/>
  <c r="E21" i="55"/>
  <c r="F21" i="55" s="1"/>
  <c r="E10" i="55"/>
  <c r="F10" i="55" s="1"/>
  <c r="E24" i="55"/>
  <c r="F24" i="55" s="1"/>
  <c r="E13" i="55"/>
  <c r="F13" i="55" s="1"/>
  <c r="E48" i="55"/>
  <c r="F48" i="55" s="1"/>
  <c r="E5" i="55"/>
  <c r="F5" i="55" s="1"/>
  <c r="F101" i="55" s="1"/>
  <c r="E77" i="55"/>
  <c r="F77" i="55" s="1"/>
  <c r="E37" i="55"/>
  <c r="F37" i="55" s="1"/>
  <c r="E79" i="55"/>
  <c r="F79" i="55" s="1"/>
  <c r="E16" i="55"/>
  <c r="F16" i="55" s="1"/>
  <c r="E96" i="55"/>
  <c r="F96" i="55" s="1"/>
  <c r="E95" i="55"/>
  <c r="F95" i="55" s="1"/>
  <c r="E99" i="55"/>
  <c r="F99" i="55" s="1"/>
  <c r="E46" i="55"/>
  <c r="F46" i="55" s="1"/>
  <c r="G2" i="55"/>
  <c r="H86" i="54"/>
  <c r="G86" i="54"/>
  <c r="H83" i="54"/>
  <c r="G83" i="54"/>
  <c r="H80" i="54"/>
  <c r="G80" i="54"/>
  <c r="H77" i="54"/>
  <c r="G77" i="54"/>
  <c r="H74" i="54"/>
  <c r="G74" i="54"/>
  <c r="H71" i="54"/>
  <c r="G71" i="54"/>
  <c r="H68" i="54"/>
  <c r="G68" i="54"/>
  <c r="H65" i="54"/>
  <c r="G65" i="54"/>
  <c r="H62" i="54"/>
  <c r="G62" i="54"/>
  <c r="H59" i="54"/>
  <c r="G59" i="54"/>
  <c r="H56" i="54"/>
  <c r="G56" i="54"/>
  <c r="H53" i="54"/>
  <c r="G53" i="54"/>
  <c r="H50" i="54"/>
  <c r="G50" i="54"/>
  <c r="H47" i="54"/>
  <c r="G47" i="54"/>
  <c r="H44" i="54"/>
  <c r="G44" i="54"/>
  <c r="H41" i="54"/>
  <c r="G41" i="54"/>
  <c r="H38" i="54"/>
  <c r="G38" i="54"/>
  <c r="H35" i="54"/>
  <c r="G35" i="54"/>
  <c r="H32" i="54"/>
  <c r="G32" i="54"/>
  <c r="H29" i="54"/>
  <c r="G29" i="54"/>
  <c r="H26" i="54"/>
  <c r="G26" i="54"/>
  <c r="H23" i="54"/>
  <c r="G23" i="54"/>
  <c r="H20" i="54"/>
  <c r="G20" i="54"/>
  <c r="H17" i="54"/>
  <c r="H90" i="54" s="1"/>
  <c r="G17" i="54"/>
  <c r="H14" i="54"/>
  <c r="G14" i="54"/>
  <c r="H11" i="54"/>
  <c r="G11" i="54"/>
  <c r="H8" i="54"/>
  <c r="G8" i="54"/>
  <c r="H5" i="54"/>
  <c r="G5" i="54"/>
  <c r="F90" i="54"/>
  <c r="I6" i="54"/>
  <c r="I7" i="54"/>
  <c r="I8" i="54"/>
  <c r="I9" i="54"/>
  <c r="I10" i="54"/>
  <c r="I11" i="54"/>
  <c r="I12" i="54"/>
  <c r="I13" i="54"/>
  <c r="I14" i="54"/>
  <c r="I15" i="54"/>
  <c r="I16" i="54"/>
  <c r="I17" i="54"/>
  <c r="I18" i="54"/>
  <c r="I19" i="54"/>
  <c r="I20" i="54"/>
  <c r="I21" i="54"/>
  <c r="I22" i="54"/>
  <c r="I23" i="54"/>
  <c r="I24" i="54"/>
  <c r="I25" i="54"/>
  <c r="I26" i="54"/>
  <c r="I27" i="54"/>
  <c r="I28" i="54"/>
  <c r="I29" i="54"/>
  <c r="I30" i="54"/>
  <c r="I31" i="54"/>
  <c r="I32" i="54"/>
  <c r="I33" i="54"/>
  <c r="I34" i="54"/>
  <c r="I35" i="54"/>
  <c r="I36" i="54"/>
  <c r="I37" i="54"/>
  <c r="I38" i="54"/>
  <c r="I39" i="54"/>
  <c r="I40" i="54"/>
  <c r="I41" i="54"/>
  <c r="I42" i="54"/>
  <c r="I43" i="54"/>
  <c r="I44" i="54"/>
  <c r="I45" i="54"/>
  <c r="I46" i="54"/>
  <c r="I47" i="54"/>
  <c r="I48" i="54"/>
  <c r="I49" i="54"/>
  <c r="I50" i="54"/>
  <c r="I51" i="54"/>
  <c r="I52" i="54"/>
  <c r="I53" i="54"/>
  <c r="I54" i="54"/>
  <c r="I55" i="54"/>
  <c r="I56" i="54"/>
  <c r="I57" i="54"/>
  <c r="I58" i="54"/>
  <c r="I59" i="54"/>
  <c r="I60" i="54"/>
  <c r="I61" i="54"/>
  <c r="I62" i="54"/>
  <c r="I63" i="54"/>
  <c r="I64" i="54"/>
  <c r="I65" i="54"/>
  <c r="I66" i="54"/>
  <c r="I67" i="54"/>
  <c r="I68" i="54"/>
  <c r="I69" i="54"/>
  <c r="I70" i="54"/>
  <c r="I71" i="54"/>
  <c r="I72" i="54"/>
  <c r="I73" i="54"/>
  <c r="I74" i="54"/>
  <c r="I75" i="54"/>
  <c r="I76" i="54"/>
  <c r="I77" i="54"/>
  <c r="I78" i="54"/>
  <c r="I79" i="54"/>
  <c r="I80" i="54"/>
  <c r="I81" i="54"/>
  <c r="I82" i="54"/>
  <c r="I83" i="54"/>
  <c r="I84" i="54"/>
  <c r="I85" i="54"/>
  <c r="I86" i="54"/>
  <c r="I87" i="54"/>
  <c r="I88" i="54"/>
  <c r="E41" i="54"/>
  <c r="F41" i="54" s="1"/>
  <c r="E43" i="54"/>
  <c r="F43" i="54" s="1"/>
  <c r="G43" i="54" s="1"/>
  <c r="E65" i="54"/>
  <c r="F65" i="54" s="1"/>
  <c r="E66" i="54"/>
  <c r="F66" i="54" s="1"/>
  <c r="E73" i="54"/>
  <c r="F73" i="54" s="1"/>
  <c r="G73" i="54" s="1"/>
  <c r="E48" i="54"/>
  <c r="F48" i="54" s="1"/>
  <c r="E15" i="54"/>
  <c r="F15" i="54" s="1"/>
  <c r="E75" i="54"/>
  <c r="F75" i="54" s="1"/>
  <c r="G75" i="54" s="1"/>
  <c r="E72" i="54"/>
  <c r="F72" i="54" s="1"/>
  <c r="E74" i="54"/>
  <c r="F74" i="54" s="1"/>
  <c r="E16" i="54"/>
  <c r="F16" i="54"/>
  <c r="G16" i="54" s="1"/>
  <c r="E13" i="54"/>
  <c r="F13" i="54" s="1"/>
  <c r="E7" i="54"/>
  <c r="F7" i="54" s="1"/>
  <c r="E71" i="54"/>
  <c r="F71" i="54" s="1"/>
  <c r="E19" i="54"/>
  <c r="F19" i="54" s="1"/>
  <c r="E22" i="54"/>
  <c r="F22" i="54" s="1"/>
  <c r="E11" i="54"/>
  <c r="F11" i="54" s="1"/>
  <c r="E17" i="54"/>
  <c r="F17" i="54" s="1"/>
  <c r="E51" i="54"/>
  <c r="F51" i="54" s="1"/>
  <c r="E6" i="54"/>
  <c r="F6" i="54"/>
  <c r="G6" i="54" s="1"/>
  <c r="E20" i="54"/>
  <c r="F20" i="54" s="1"/>
  <c r="E67" i="54"/>
  <c r="F67" i="54" s="1"/>
  <c r="E38" i="54"/>
  <c r="F38" i="54" s="1"/>
  <c r="E14" i="54"/>
  <c r="F14" i="54" s="1"/>
  <c r="E61" i="54"/>
  <c r="F61" i="54" s="1"/>
  <c r="E31" i="54"/>
  <c r="F31" i="54" s="1"/>
  <c r="G31" i="54" s="1"/>
  <c r="E10" i="54"/>
  <c r="F10" i="54" s="1"/>
  <c r="E9" i="54"/>
  <c r="F9" i="54" s="1"/>
  <c r="E57" i="54"/>
  <c r="F57" i="54"/>
  <c r="G57" i="54" s="1"/>
  <c r="E82" i="54"/>
  <c r="F82" i="54" s="1"/>
  <c r="E80" i="54"/>
  <c r="F80" i="54" s="1"/>
  <c r="E68" i="54"/>
  <c r="F68" i="54" s="1"/>
  <c r="E63" i="54"/>
  <c r="F63" i="54" s="1"/>
  <c r="E18" i="54"/>
  <c r="F18" i="54" s="1"/>
  <c r="E44" i="54"/>
  <c r="F44" i="54" s="1"/>
  <c r="E62" i="54"/>
  <c r="F62" i="54" s="1"/>
  <c r="E24" i="54"/>
  <c r="F24" i="54" s="1"/>
  <c r="E8" i="54"/>
  <c r="F8" i="54"/>
  <c r="E59" i="54"/>
  <c r="F59" i="54" s="1"/>
  <c r="E58" i="54"/>
  <c r="F58" i="54" s="1"/>
  <c r="E79" i="54"/>
  <c r="F79" i="54" s="1"/>
  <c r="G79" i="54" s="1"/>
  <c r="E87" i="54"/>
  <c r="F87" i="54" s="1"/>
  <c r="E81" i="54"/>
  <c r="F81" i="54" s="1"/>
  <c r="E60" i="54"/>
  <c r="F60" i="54" s="1"/>
  <c r="G60" i="54" s="1"/>
  <c r="E37" i="54"/>
  <c r="F37" i="54" s="1"/>
  <c r="E52" i="54"/>
  <c r="F52" i="54" s="1"/>
  <c r="E54" i="54"/>
  <c r="F54" i="54" s="1"/>
  <c r="G54" i="54" s="1"/>
  <c r="E85" i="54"/>
  <c r="F85" i="54" s="1"/>
  <c r="E84" i="54"/>
  <c r="F84" i="54" s="1"/>
  <c r="E5" i="54"/>
  <c r="F5" i="54" s="1"/>
  <c r="E77" i="54"/>
  <c r="F77" i="54" s="1"/>
  <c r="E12" i="54"/>
  <c r="F12" i="54" s="1"/>
  <c r="E78" i="54"/>
  <c r="F78" i="54" s="1"/>
  <c r="G78" i="54" s="1"/>
  <c r="E56" i="54"/>
  <c r="F56" i="54" s="1"/>
  <c r="E33" i="54"/>
  <c r="F33" i="54" s="1"/>
  <c r="E64" i="54"/>
  <c r="F64" i="54" s="1"/>
  <c r="G64" i="54" s="1"/>
  <c r="E70" i="54"/>
  <c r="F70" i="54" s="1"/>
  <c r="E83" i="54"/>
  <c r="F83" i="54" s="1"/>
  <c r="E50" i="54"/>
  <c r="F50" i="54" s="1"/>
  <c r="E86" i="54"/>
  <c r="F86" i="54" s="1"/>
  <c r="E53" i="54"/>
  <c r="F53" i="54" s="1"/>
  <c r="E55" i="54"/>
  <c r="F55" i="54" s="1"/>
  <c r="G55" i="54" s="1"/>
  <c r="E46" i="54"/>
  <c r="F46" i="54" s="1"/>
  <c r="E47" i="54"/>
  <c r="F47" i="54" s="1"/>
  <c r="E28" i="54"/>
  <c r="F28" i="54"/>
  <c r="G28" i="54" s="1"/>
  <c r="E69" i="54"/>
  <c r="F69" i="54" s="1"/>
  <c r="E36" i="54"/>
  <c r="F36" i="54" s="1"/>
  <c r="E29" i="54"/>
  <c r="F29" i="54" s="1"/>
  <c r="E30" i="54"/>
  <c r="F30" i="54" s="1"/>
  <c r="E21" i="54"/>
  <c r="F21" i="54" s="1"/>
  <c r="E35" i="54"/>
  <c r="F35" i="54" s="1"/>
  <c r="E42" i="54"/>
  <c r="F42" i="54" s="1"/>
  <c r="E40" i="54"/>
  <c r="F40" i="54" s="1"/>
  <c r="E34" i="54"/>
  <c r="F34" i="54"/>
  <c r="G34" i="54" s="1"/>
  <c r="E25" i="54"/>
  <c r="F25" i="54" s="1"/>
  <c r="E27" i="54"/>
  <c r="F27" i="54" s="1"/>
  <c r="E23" i="54"/>
  <c r="F23" i="54" s="1"/>
  <c r="E49" i="54"/>
  <c r="F49" i="54" s="1"/>
  <c r="E39" i="54"/>
  <c r="F39" i="54" s="1"/>
  <c r="E32" i="54"/>
  <c r="F32" i="54" s="1"/>
  <c r="E26" i="54"/>
  <c r="F26" i="54" s="1"/>
  <c r="E45" i="54"/>
  <c r="F45" i="54" s="1"/>
  <c r="E88" i="54"/>
  <c r="F88" i="54" s="1"/>
  <c r="G88" i="54" s="1"/>
  <c r="I5" i="54"/>
  <c r="E76" i="54"/>
  <c r="F76" i="54" s="1"/>
  <c r="G2" i="54"/>
  <c r="H59" i="53"/>
  <c r="G59" i="53"/>
  <c r="H56" i="53"/>
  <c r="G56" i="53"/>
  <c r="H53" i="53"/>
  <c r="G53" i="53"/>
  <c r="H50" i="53"/>
  <c r="G50" i="53"/>
  <c r="H47" i="53"/>
  <c r="G47" i="53"/>
  <c r="H44" i="53"/>
  <c r="G44" i="53"/>
  <c r="H41" i="53"/>
  <c r="G41" i="53"/>
  <c r="H38" i="53"/>
  <c r="G38" i="53"/>
  <c r="H35" i="53"/>
  <c r="G35" i="53"/>
  <c r="H32" i="53"/>
  <c r="G32" i="53"/>
  <c r="H29" i="53"/>
  <c r="G29" i="53"/>
  <c r="H26" i="53"/>
  <c r="G26" i="53"/>
  <c r="H23" i="53"/>
  <c r="G23" i="53"/>
  <c r="H20" i="53"/>
  <c r="G20" i="53"/>
  <c r="H17" i="53"/>
  <c r="G17" i="53"/>
  <c r="H14" i="53"/>
  <c r="G14" i="53"/>
  <c r="H11" i="53"/>
  <c r="G11" i="53"/>
  <c r="H8" i="53"/>
  <c r="G8" i="53"/>
  <c r="G63" i="53" s="1"/>
  <c r="H5" i="53"/>
  <c r="G5" i="53"/>
  <c r="F63" i="53"/>
  <c r="I6" i="53"/>
  <c r="I7" i="53"/>
  <c r="I8" i="53"/>
  <c r="I9" i="53"/>
  <c r="I10" i="53"/>
  <c r="I11" i="53"/>
  <c r="I12" i="53"/>
  <c r="I13" i="53"/>
  <c r="I14" i="53"/>
  <c r="I15" i="53"/>
  <c r="I16" i="53"/>
  <c r="I17" i="53"/>
  <c r="I18" i="53"/>
  <c r="I19" i="53"/>
  <c r="I20" i="53"/>
  <c r="I21" i="53"/>
  <c r="I22" i="53"/>
  <c r="I23" i="53"/>
  <c r="I24" i="53"/>
  <c r="I25" i="53"/>
  <c r="I26" i="53"/>
  <c r="I27" i="53"/>
  <c r="I28" i="53"/>
  <c r="I29" i="53"/>
  <c r="I30" i="53"/>
  <c r="I31" i="53"/>
  <c r="I32" i="53"/>
  <c r="I33" i="53"/>
  <c r="I34" i="53"/>
  <c r="I35" i="53"/>
  <c r="I36" i="53"/>
  <c r="I37" i="53"/>
  <c r="I38" i="53"/>
  <c r="I39" i="53"/>
  <c r="I40" i="53"/>
  <c r="I41" i="53"/>
  <c r="I42" i="53"/>
  <c r="I43" i="53"/>
  <c r="I44" i="53"/>
  <c r="I45" i="53"/>
  <c r="I46" i="53"/>
  <c r="I47" i="53"/>
  <c r="I48" i="53"/>
  <c r="I49" i="53"/>
  <c r="I50" i="53"/>
  <c r="I51" i="53"/>
  <c r="I52" i="53"/>
  <c r="I53" i="53"/>
  <c r="I54" i="53"/>
  <c r="I55" i="53"/>
  <c r="I56" i="53"/>
  <c r="I57" i="53"/>
  <c r="I58" i="53"/>
  <c r="I59" i="53"/>
  <c r="I60" i="53"/>
  <c r="I61" i="53"/>
  <c r="I5" i="53"/>
  <c r="E57" i="53"/>
  <c r="F57" i="53" s="1"/>
  <c r="E60" i="53"/>
  <c r="F60" i="53" s="1"/>
  <c r="E59" i="53"/>
  <c r="F59" i="53" s="1"/>
  <c r="E52" i="53"/>
  <c r="F52" i="53" s="1"/>
  <c r="E31" i="53"/>
  <c r="F31" i="53" s="1"/>
  <c r="E20" i="53"/>
  <c r="F20" i="53" s="1"/>
  <c r="E33" i="53"/>
  <c r="F33" i="53" s="1"/>
  <c r="E41" i="53"/>
  <c r="F41" i="53" s="1"/>
  <c r="E30" i="53"/>
  <c r="F30" i="53" s="1"/>
  <c r="E29" i="53"/>
  <c r="F29" i="53" s="1"/>
  <c r="E27" i="53"/>
  <c r="F27" i="53" s="1"/>
  <c r="E26" i="53"/>
  <c r="F26" i="53" s="1"/>
  <c r="E34" i="53"/>
  <c r="F34" i="53" s="1"/>
  <c r="E42" i="53"/>
  <c r="F42" i="53" s="1"/>
  <c r="E48" i="53"/>
  <c r="F48" i="53" s="1"/>
  <c r="E35" i="53"/>
  <c r="F35" i="53" s="1"/>
  <c r="E5" i="53"/>
  <c r="F5" i="53" s="1"/>
  <c r="E8" i="53"/>
  <c r="F8" i="53" s="1"/>
  <c r="E38" i="53"/>
  <c r="F38" i="53" s="1"/>
  <c r="E45" i="53"/>
  <c r="F45" i="53" s="1"/>
  <c r="E9" i="53"/>
  <c r="F9" i="53" s="1"/>
  <c r="E43" i="53"/>
  <c r="F43" i="53" s="1"/>
  <c r="E40" i="53"/>
  <c r="F40" i="53" s="1"/>
  <c r="E51" i="53"/>
  <c r="F51" i="53" s="1"/>
  <c r="E32" i="53"/>
  <c r="F32" i="53" s="1"/>
  <c r="E53" i="53"/>
  <c r="F53" i="53" s="1"/>
  <c r="E49" i="53"/>
  <c r="F49" i="53" s="1"/>
  <c r="E21" i="53"/>
  <c r="F21" i="53" s="1"/>
  <c r="E39" i="53"/>
  <c r="F39" i="53" s="1"/>
  <c r="E50" i="53"/>
  <c r="F50" i="53" s="1"/>
  <c r="E10" i="53"/>
  <c r="F10" i="53" s="1"/>
  <c r="E14" i="53"/>
  <c r="F14" i="53" s="1"/>
  <c r="E7" i="53"/>
  <c r="F7" i="53" s="1"/>
  <c r="E15" i="53"/>
  <c r="F15" i="53" s="1"/>
  <c r="E11" i="53"/>
  <c r="F11" i="53" s="1"/>
  <c r="E12" i="53"/>
  <c r="F12" i="53" s="1"/>
  <c r="E18" i="53"/>
  <c r="F18" i="53" s="1"/>
  <c r="E16" i="53"/>
  <c r="F16" i="53" s="1"/>
  <c r="E19" i="53"/>
  <c r="F19" i="53" s="1"/>
  <c r="E13" i="53"/>
  <c r="F13" i="53" s="1"/>
  <c r="E28" i="53"/>
  <c r="F28" i="53" s="1"/>
  <c r="E36" i="53"/>
  <c r="F36" i="53" s="1"/>
  <c r="E44" i="53"/>
  <c r="F44" i="53" s="1"/>
  <c r="E46" i="53"/>
  <c r="F46" i="53" s="1"/>
  <c r="E37" i="53"/>
  <c r="F37" i="53" s="1"/>
  <c r="E24" i="53"/>
  <c r="F24" i="53" s="1"/>
  <c r="E17" i="53"/>
  <c r="F17" i="53" s="1"/>
  <c r="E25" i="53"/>
  <c r="F25" i="53" s="1"/>
  <c r="E6" i="53"/>
  <c r="F6" i="53" s="1"/>
  <c r="E23" i="53"/>
  <c r="F23" i="53" s="1"/>
  <c r="E22" i="53"/>
  <c r="F22" i="53" s="1"/>
  <c r="E54" i="53"/>
  <c r="F54" i="53" s="1"/>
  <c r="E55" i="53"/>
  <c r="F55" i="53" s="1"/>
  <c r="E58" i="53"/>
  <c r="F58" i="53" s="1"/>
  <c r="E56" i="53"/>
  <c r="F56" i="53" s="1"/>
  <c r="E61" i="53"/>
  <c r="F61" i="53" s="1"/>
  <c r="J5" i="53"/>
  <c r="E47" i="53"/>
  <c r="F47" i="53" s="1"/>
  <c r="G2" i="53"/>
  <c r="H146" i="52"/>
  <c r="G146" i="52"/>
  <c r="H143" i="52"/>
  <c r="G143" i="52"/>
  <c r="H140" i="52"/>
  <c r="G140" i="52"/>
  <c r="H137" i="52"/>
  <c r="G137" i="52"/>
  <c r="H134" i="52"/>
  <c r="G134" i="52"/>
  <c r="H131" i="52"/>
  <c r="G131" i="52"/>
  <c r="H128" i="52"/>
  <c r="G128" i="52"/>
  <c r="H125" i="52"/>
  <c r="G125" i="52"/>
  <c r="H122" i="52"/>
  <c r="G122" i="52"/>
  <c r="H119" i="52"/>
  <c r="G119" i="52"/>
  <c r="H116" i="52"/>
  <c r="G116" i="52"/>
  <c r="H113" i="52"/>
  <c r="G113" i="52"/>
  <c r="H110" i="52"/>
  <c r="G110" i="52"/>
  <c r="H107" i="52"/>
  <c r="G107" i="52"/>
  <c r="H104" i="52"/>
  <c r="G104" i="52"/>
  <c r="H101" i="52"/>
  <c r="G101" i="52"/>
  <c r="H98" i="52"/>
  <c r="G98" i="52"/>
  <c r="H95" i="52"/>
  <c r="G95" i="52"/>
  <c r="H92" i="52"/>
  <c r="G92" i="52"/>
  <c r="H89" i="52"/>
  <c r="G89" i="52"/>
  <c r="H86" i="52"/>
  <c r="G86" i="52"/>
  <c r="H83" i="52"/>
  <c r="G83" i="52"/>
  <c r="H80" i="52"/>
  <c r="G80" i="52"/>
  <c r="H77" i="52"/>
  <c r="G77" i="52"/>
  <c r="H74" i="52"/>
  <c r="G74" i="52"/>
  <c r="H71" i="52"/>
  <c r="G71" i="52"/>
  <c r="H68" i="52"/>
  <c r="G68" i="52"/>
  <c r="H65" i="52"/>
  <c r="G65" i="52"/>
  <c r="H62" i="52"/>
  <c r="G62" i="52"/>
  <c r="H59" i="52"/>
  <c r="G59" i="52"/>
  <c r="H56" i="52"/>
  <c r="G56" i="52"/>
  <c r="H53" i="52"/>
  <c r="G53" i="52"/>
  <c r="H50" i="52"/>
  <c r="G50" i="52"/>
  <c r="H47" i="52"/>
  <c r="G47" i="52"/>
  <c r="H44" i="52"/>
  <c r="G44" i="52"/>
  <c r="H41" i="52"/>
  <c r="G41" i="52"/>
  <c r="H38" i="52"/>
  <c r="G38" i="52"/>
  <c r="H35" i="52"/>
  <c r="G35" i="52"/>
  <c r="H32" i="52"/>
  <c r="G32" i="52"/>
  <c r="H29" i="52"/>
  <c r="G29" i="52"/>
  <c r="H26" i="52"/>
  <c r="G26" i="52"/>
  <c r="H23" i="52"/>
  <c r="G23" i="52"/>
  <c r="H20" i="52"/>
  <c r="G20" i="52"/>
  <c r="H17" i="52"/>
  <c r="G17" i="52"/>
  <c r="H14" i="52"/>
  <c r="G14" i="52"/>
  <c r="H11" i="52"/>
  <c r="G11" i="52"/>
  <c r="H8" i="52"/>
  <c r="G8" i="52"/>
  <c r="H5" i="52"/>
  <c r="G5" i="52"/>
  <c r="F150" i="52"/>
  <c r="I6" i="52"/>
  <c r="I7" i="52"/>
  <c r="I8" i="52"/>
  <c r="I9" i="52"/>
  <c r="I10" i="52"/>
  <c r="I11" i="52"/>
  <c r="I12" i="52"/>
  <c r="I13" i="52"/>
  <c r="I14" i="52"/>
  <c r="I15" i="52"/>
  <c r="I16" i="52"/>
  <c r="I17" i="52"/>
  <c r="I18" i="52"/>
  <c r="I19" i="52"/>
  <c r="I20" i="52"/>
  <c r="I21" i="52"/>
  <c r="I22" i="52"/>
  <c r="I23" i="52"/>
  <c r="I24" i="52"/>
  <c r="I25" i="52"/>
  <c r="I26" i="52"/>
  <c r="I27" i="52"/>
  <c r="I28" i="52"/>
  <c r="I29" i="52"/>
  <c r="I30" i="52"/>
  <c r="I31" i="52"/>
  <c r="I32" i="52"/>
  <c r="I33" i="52"/>
  <c r="I34" i="52"/>
  <c r="I35" i="52"/>
  <c r="I36" i="52"/>
  <c r="I37" i="52"/>
  <c r="I38" i="52"/>
  <c r="I39" i="52"/>
  <c r="I40" i="52"/>
  <c r="I41" i="52"/>
  <c r="I42" i="52"/>
  <c r="I43" i="52"/>
  <c r="I44" i="52"/>
  <c r="I45" i="52"/>
  <c r="I46" i="52"/>
  <c r="I47" i="52"/>
  <c r="I48" i="52"/>
  <c r="I49" i="52"/>
  <c r="I50" i="52"/>
  <c r="I51" i="52"/>
  <c r="I52" i="52"/>
  <c r="I53" i="52"/>
  <c r="I54" i="52"/>
  <c r="I55" i="52"/>
  <c r="I56" i="52"/>
  <c r="I57" i="52"/>
  <c r="I58" i="52"/>
  <c r="I59" i="52"/>
  <c r="I60" i="52"/>
  <c r="I61" i="52"/>
  <c r="I62" i="52"/>
  <c r="I63" i="52"/>
  <c r="I64" i="52"/>
  <c r="I65" i="52"/>
  <c r="I66" i="52"/>
  <c r="I67" i="52"/>
  <c r="I68" i="52"/>
  <c r="I69" i="52"/>
  <c r="I70" i="52"/>
  <c r="I71" i="52"/>
  <c r="I72" i="52"/>
  <c r="I73" i="52"/>
  <c r="I74" i="52"/>
  <c r="I75" i="52"/>
  <c r="I76" i="52"/>
  <c r="I77" i="52"/>
  <c r="I78" i="52"/>
  <c r="I79" i="52"/>
  <c r="I80" i="52"/>
  <c r="I81" i="52"/>
  <c r="I82" i="52"/>
  <c r="I83" i="52"/>
  <c r="I84" i="52"/>
  <c r="I85" i="52"/>
  <c r="I86" i="52"/>
  <c r="I87" i="52"/>
  <c r="I88" i="52"/>
  <c r="I89" i="52"/>
  <c r="I90" i="52"/>
  <c r="I91" i="52"/>
  <c r="I92" i="52"/>
  <c r="I93" i="52"/>
  <c r="I94" i="52"/>
  <c r="I95" i="52"/>
  <c r="I96" i="52"/>
  <c r="I97" i="52"/>
  <c r="I98" i="52"/>
  <c r="I99" i="52"/>
  <c r="I100" i="52"/>
  <c r="I101" i="52"/>
  <c r="I102" i="52"/>
  <c r="I103" i="52"/>
  <c r="I104" i="52"/>
  <c r="I105" i="52"/>
  <c r="I106" i="52"/>
  <c r="I107" i="52"/>
  <c r="I108" i="52"/>
  <c r="I109" i="52"/>
  <c r="I110" i="52"/>
  <c r="I111" i="52"/>
  <c r="I112" i="52"/>
  <c r="I113" i="52"/>
  <c r="I114" i="52"/>
  <c r="I115" i="52"/>
  <c r="I116" i="52"/>
  <c r="I117" i="52"/>
  <c r="I118" i="52"/>
  <c r="I119" i="52"/>
  <c r="I120" i="52"/>
  <c r="I121" i="52"/>
  <c r="I122" i="52"/>
  <c r="I123" i="52"/>
  <c r="I124" i="52"/>
  <c r="I125" i="52"/>
  <c r="I126" i="52"/>
  <c r="I127" i="52"/>
  <c r="I128" i="52"/>
  <c r="I129" i="52"/>
  <c r="I130" i="52"/>
  <c r="I131" i="52"/>
  <c r="I132" i="52"/>
  <c r="I133" i="52"/>
  <c r="I134" i="52"/>
  <c r="I135" i="52"/>
  <c r="I136" i="52"/>
  <c r="I137" i="52"/>
  <c r="I138" i="52"/>
  <c r="I139" i="52"/>
  <c r="I140" i="52"/>
  <c r="I141" i="52"/>
  <c r="I142" i="52"/>
  <c r="I143" i="52"/>
  <c r="I144" i="52"/>
  <c r="I145" i="52"/>
  <c r="I146" i="52"/>
  <c r="I147" i="52"/>
  <c r="I148" i="52"/>
  <c r="I5" i="52"/>
  <c r="E116" i="52"/>
  <c r="F116" i="52" s="1"/>
  <c r="E96" i="52"/>
  <c r="F96" i="52" s="1"/>
  <c r="E71" i="52"/>
  <c r="F71" i="52" s="1"/>
  <c r="E43" i="52"/>
  <c r="F43" i="52" s="1"/>
  <c r="E60" i="52"/>
  <c r="F60" i="52" s="1"/>
  <c r="E122" i="52"/>
  <c r="F122" i="52" s="1"/>
  <c r="E127" i="52"/>
  <c r="F127" i="52" s="1"/>
  <c r="E133" i="52"/>
  <c r="F133" i="52" s="1"/>
  <c r="E80" i="52"/>
  <c r="F80" i="52" s="1"/>
  <c r="E109" i="52"/>
  <c r="F109" i="52" s="1"/>
  <c r="E44" i="52"/>
  <c r="F44" i="52" s="1"/>
  <c r="E47" i="52"/>
  <c r="F47" i="52" s="1"/>
  <c r="E41" i="52"/>
  <c r="F41" i="52" s="1"/>
  <c r="E94" i="52"/>
  <c r="F94" i="52" s="1"/>
  <c r="E86" i="52"/>
  <c r="F86" i="52" s="1"/>
  <c r="E100" i="52"/>
  <c r="F100" i="52" s="1"/>
  <c r="E126" i="52"/>
  <c r="F126" i="52" s="1"/>
  <c r="E62" i="52"/>
  <c r="F62" i="52" s="1"/>
  <c r="E119" i="52"/>
  <c r="F119" i="52" s="1"/>
  <c r="E118" i="52"/>
  <c r="F118" i="52" s="1"/>
  <c r="E129" i="52"/>
  <c r="F129" i="52" s="1"/>
  <c r="E75" i="52"/>
  <c r="F75" i="52" s="1"/>
  <c r="E111" i="52"/>
  <c r="F111" i="52" s="1"/>
  <c r="E23" i="52"/>
  <c r="F23" i="52"/>
  <c r="E72" i="52"/>
  <c r="F72" i="52" s="1"/>
  <c r="E85" i="52"/>
  <c r="F85" i="52" s="1"/>
  <c r="E42" i="52"/>
  <c r="F42" i="52" s="1"/>
  <c r="E55" i="52"/>
  <c r="F55" i="52" s="1"/>
  <c r="E88" i="52"/>
  <c r="F88" i="52" s="1"/>
  <c r="E84" i="52"/>
  <c r="F84" i="52" s="1"/>
  <c r="E103" i="52"/>
  <c r="F103" i="52" s="1"/>
  <c r="E48" i="52"/>
  <c r="F48" i="52" s="1"/>
  <c r="E32" i="52"/>
  <c r="F32" i="52" s="1"/>
  <c r="E49" i="52"/>
  <c r="F49" i="52" s="1"/>
  <c r="E40" i="52"/>
  <c r="F40" i="52" s="1"/>
  <c r="E27" i="52"/>
  <c r="F27" i="52" s="1"/>
  <c r="E39" i="52"/>
  <c r="F39" i="52" s="1"/>
  <c r="E30" i="52"/>
  <c r="F30" i="52" s="1"/>
  <c r="E45" i="52"/>
  <c r="F45" i="52" s="1"/>
  <c r="E6" i="52"/>
  <c r="F6" i="52" s="1"/>
  <c r="E130" i="52"/>
  <c r="F130" i="52" s="1"/>
  <c r="E12" i="52"/>
  <c r="F12" i="52" s="1"/>
  <c r="E15" i="52"/>
  <c r="F15" i="52" s="1"/>
  <c r="E13" i="52"/>
  <c r="F13" i="52" s="1"/>
  <c r="E11" i="52"/>
  <c r="F11" i="52" s="1"/>
  <c r="E8" i="52"/>
  <c r="F8" i="52" s="1"/>
  <c r="E18" i="52"/>
  <c r="F18" i="52" s="1"/>
  <c r="E64" i="52"/>
  <c r="F64" i="52" s="1"/>
  <c r="E50" i="52"/>
  <c r="F50" i="52" s="1"/>
  <c r="E19" i="52"/>
  <c r="F19" i="52" s="1"/>
  <c r="E33" i="52"/>
  <c r="F33" i="52" s="1"/>
  <c r="E24" i="52"/>
  <c r="F24" i="52" s="1"/>
  <c r="E9" i="52"/>
  <c r="F9" i="52" s="1"/>
  <c r="E91" i="52"/>
  <c r="F91" i="52" s="1"/>
  <c r="E20" i="52"/>
  <c r="F20" i="52" s="1"/>
  <c r="E17" i="52"/>
  <c r="F17" i="52" s="1"/>
  <c r="E34" i="52"/>
  <c r="F34" i="52" s="1"/>
  <c r="E56" i="52"/>
  <c r="F56" i="52" s="1"/>
  <c r="E51" i="52"/>
  <c r="F51" i="52" s="1"/>
  <c r="E7" i="52"/>
  <c r="F7" i="52" s="1"/>
  <c r="E121" i="52"/>
  <c r="F121" i="52" s="1"/>
  <c r="E37" i="52"/>
  <c r="F37" i="52" s="1"/>
  <c r="E26" i="52"/>
  <c r="F26" i="52" s="1"/>
  <c r="E38" i="52"/>
  <c r="F38" i="52" s="1"/>
  <c r="E35" i="52"/>
  <c r="F35" i="52" s="1"/>
  <c r="E22" i="52"/>
  <c r="F22" i="52" s="1"/>
  <c r="E16" i="52"/>
  <c r="F16" i="52" s="1"/>
  <c r="E36" i="52"/>
  <c r="F36" i="52" s="1"/>
  <c r="E67" i="52"/>
  <c r="F67" i="52" s="1"/>
  <c r="E14" i="52"/>
  <c r="F14" i="52" s="1"/>
  <c r="E25" i="52"/>
  <c r="F25" i="52" s="1"/>
  <c r="E54" i="52"/>
  <c r="F54" i="52" s="1"/>
  <c r="E77" i="52"/>
  <c r="F77" i="52" s="1"/>
  <c r="E5" i="52"/>
  <c r="F5" i="52" s="1"/>
  <c r="E21" i="52"/>
  <c r="F21" i="52" s="1"/>
  <c r="E90" i="52"/>
  <c r="F90" i="52" s="1"/>
  <c r="E115" i="52"/>
  <c r="F115" i="52" s="1"/>
  <c r="E105" i="52"/>
  <c r="F105" i="52" s="1"/>
  <c r="E102" i="52"/>
  <c r="F102" i="52" s="1"/>
  <c r="E104" i="52"/>
  <c r="F104" i="52" s="1"/>
  <c r="E113" i="52"/>
  <c r="F113" i="52" s="1"/>
  <c r="E57" i="52"/>
  <c r="F57" i="52" s="1"/>
  <c r="E125" i="52"/>
  <c r="F125" i="52" s="1"/>
  <c r="E98" i="52"/>
  <c r="F98" i="52" s="1"/>
  <c r="E134" i="52"/>
  <c r="F134" i="52" s="1"/>
  <c r="E10" i="52"/>
  <c r="F10" i="52" s="1"/>
  <c r="E82" i="52"/>
  <c r="F82" i="52" s="1"/>
  <c r="E81" i="52"/>
  <c r="F81" i="52" s="1"/>
  <c r="E137" i="52"/>
  <c r="F137" i="52" s="1"/>
  <c r="E128" i="52"/>
  <c r="F128" i="52" s="1"/>
  <c r="E136" i="52"/>
  <c r="F136" i="52" s="1"/>
  <c r="E132" i="52"/>
  <c r="F132" i="52" s="1"/>
  <c r="E148" i="52"/>
  <c r="F148" i="52" s="1"/>
  <c r="E139" i="52"/>
  <c r="F139" i="52" s="1"/>
  <c r="E99" i="52"/>
  <c r="F99" i="52" s="1"/>
  <c r="E87" i="52"/>
  <c r="F87" i="52" s="1"/>
  <c r="E95" i="52"/>
  <c r="F95" i="52" s="1"/>
  <c r="E89" i="52"/>
  <c r="F89" i="52" s="1"/>
  <c r="E123" i="52"/>
  <c r="F123" i="52" s="1"/>
  <c r="E101" i="52"/>
  <c r="F101" i="52" s="1"/>
  <c r="E135" i="52"/>
  <c r="F135" i="52" s="1"/>
  <c r="E131" i="52"/>
  <c r="F131" i="52" s="1"/>
  <c r="E79" i="52"/>
  <c r="F79" i="52" s="1"/>
  <c r="E83" i="52"/>
  <c r="F83" i="52" s="1"/>
  <c r="E73" i="52"/>
  <c r="F73" i="52" s="1"/>
  <c r="E124" i="52"/>
  <c r="F124" i="52" s="1"/>
  <c r="E52" i="52"/>
  <c r="F52" i="52" s="1"/>
  <c r="E31" i="52"/>
  <c r="F31" i="52" s="1"/>
  <c r="E78" i="52"/>
  <c r="F78" i="52" s="1"/>
  <c r="E29" i="52"/>
  <c r="F29" i="52" s="1"/>
  <c r="E145" i="52"/>
  <c r="F145" i="52" s="1"/>
  <c r="E69" i="52"/>
  <c r="F69" i="52" s="1"/>
  <c r="E140" i="52"/>
  <c r="F140" i="52" s="1"/>
  <c r="E141" i="52"/>
  <c r="F141" i="52" s="1"/>
  <c r="E92" i="52"/>
  <c r="F92" i="52" s="1"/>
  <c r="E142" i="52"/>
  <c r="F142" i="52" s="1"/>
  <c r="E108" i="52"/>
  <c r="F108" i="52" s="1"/>
  <c r="E112" i="52"/>
  <c r="F112" i="52" s="1"/>
  <c r="E97" i="52"/>
  <c r="F97" i="52" s="1"/>
  <c r="E66" i="52"/>
  <c r="F66" i="52" s="1"/>
  <c r="E59" i="52"/>
  <c r="F59" i="52" s="1"/>
  <c r="E70" i="52"/>
  <c r="F70" i="52" s="1"/>
  <c r="E46" i="52"/>
  <c r="F46" i="52" s="1"/>
  <c r="E58" i="52"/>
  <c r="F58" i="52" s="1"/>
  <c r="E63" i="52"/>
  <c r="F63" i="52" s="1"/>
  <c r="E120" i="52"/>
  <c r="F120" i="52" s="1"/>
  <c r="E74" i="52"/>
  <c r="F74" i="52" s="1"/>
  <c r="E53" i="52"/>
  <c r="F53" i="52" s="1"/>
  <c r="E68" i="52"/>
  <c r="F68" i="52" s="1"/>
  <c r="E93" i="52"/>
  <c r="F93" i="52" s="1"/>
  <c r="E61" i="52"/>
  <c r="F61" i="52" s="1"/>
  <c r="E106" i="52"/>
  <c r="F106" i="52" s="1"/>
  <c r="E65" i="52"/>
  <c r="F65" i="52" s="1"/>
  <c r="E76" i="52"/>
  <c r="F76" i="52" s="1"/>
  <c r="E107" i="52"/>
  <c r="F107" i="52" s="1"/>
  <c r="E110" i="52"/>
  <c r="F110" i="52" s="1"/>
  <c r="E117" i="52"/>
  <c r="F117" i="52" s="1"/>
  <c r="E28" i="52"/>
  <c r="F28" i="52" s="1"/>
  <c r="E147" i="52"/>
  <c r="F147" i="52" s="1"/>
  <c r="E146" i="52"/>
  <c r="F146" i="52" s="1"/>
  <c r="E143" i="52"/>
  <c r="F143" i="52" s="1"/>
  <c r="E144" i="52"/>
  <c r="F144" i="52" s="1"/>
  <c r="E114" i="52"/>
  <c r="F114" i="52" s="1"/>
  <c r="E138" i="52"/>
  <c r="F138" i="52" s="1"/>
  <c r="G2" i="52"/>
  <c r="H32" i="51"/>
  <c r="G32" i="51"/>
  <c r="H29" i="51"/>
  <c r="G29" i="51"/>
  <c r="H26" i="51"/>
  <c r="G26" i="51"/>
  <c r="H23" i="51"/>
  <c r="G23" i="51"/>
  <c r="H20" i="51"/>
  <c r="G20" i="51"/>
  <c r="H17" i="51"/>
  <c r="G17" i="51"/>
  <c r="H14" i="51"/>
  <c r="G14" i="51"/>
  <c r="H11" i="51"/>
  <c r="G11" i="51"/>
  <c r="H8" i="51"/>
  <c r="G8" i="51"/>
  <c r="G36" i="51" s="1"/>
  <c r="H5" i="51"/>
  <c r="G5" i="51"/>
  <c r="H36" i="51"/>
  <c r="F36" i="51"/>
  <c r="I6" i="51"/>
  <c r="I7" i="51"/>
  <c r="I8" i="51"/>
  <c r="I9" i="51"/>
  <c r="I10" i="51"/>
  <c r="I11" i="51"/>
  <c r="I12" i="51"/>
  <c r="I13" i="51"/>
  <c r="I14" i="51"/>
  <c r="I15" i="51"/>
  <c r="I16" i="51"/>
  <c r="I17" i="51"/>
  <c r="I18" i="51"/>
  <c r="I19" i="51"/>
  <c r="I20" i="51"/>
  <c r="I21" i="51"/>
  <c r="I22" i="51"/>
  <c r="I23" i="51"/>
  <c r="I24" i="51"/>
  <c r="I25" i="51"/>
  <c r="I26" i="51"/>
  <c r="I27" i="51"/>
  <c r="I28" i="51"/>
  <c r="I29" i="51"/>
  <c r="I30" i="51"/>
  <c r="I31" i="51"/>
  <c r="I32" i="51"/>
  <c r="I33" i="51"/>
  <c r="I34" i="51"/>
  <c r="E17" i="51"/>
  <c r="F17" i="51" s="1"/>
  <c r="E20" i="51"/>
  <c r="F20" i="51" s="1"/>
  <c r="E22" i="51"/>
  <c r="F22" i="51" s="1"/>
  <c r="E23" i="51"/>
  <c r="F23" i="51" s="1"/>
  <c r="E21" i="51"/>
  <c r="F21" i="51" s="1"/>
  <c r="E30" i="51"/>
  <c r="F30" i="51" s="1"/>
  <c r="E6" i="51"/>
  <c r="F6" i="51" s="1"/>
  <c r="E11" i="51"/>
  <c r="F11" i="51" s="1"/>
  <c r="E5" i="51"/>
  <c r="F5" i="51" s="1"/>
  <c r="E19" i="51"/>
  <c r="F19" i="51" s="1"/>
  <c r="E7" i="51"/>
  <c r="F7" i="51" s="1"/>
  <c r="E13" i="51"/>
  <c r="F13" i="51" s="1"/>
  <c r="E12" i="51"/>
  <c r="F12" i="51" s="1"/>
  <c r="E27" i="51"/>
  <c r="F27" i="51" s="1"/>
  <c r="E24" i="51"/>
  <c r="F24" i="51" s="1"/>
  <c r="E18" i="51"/>
  <c r="F18" i="51" s="1"/>
  <c r="E33" i="51"/>
  <c r="F33" i="51" s="1"/>
  <c r="E32" i="51"/>
  <c r="F32" i="51" s="1"/>
  <c r="E26" i="51"/>
  <c r="F26" i="51" s="1"/>
  <c r="E31" i="51"/>
  <c r="F31" i="51" s="1"/>
  <c r="E16" i="51"/>
  <c r="F16" i="51" s="1"/>
  <c r="E15" i="51"/>
  <c r="F15" i="51" s="1"/>
  <c r="E9" i="51"/>
  <c r="F9" i="51" s="1"/>
  <c r="E8" i="51"/>
  <c r="F8" i="51" s="1"/>
  <c r="E10" i="51"/>
  <c r="F10" i="51" s="1"/>
  <c r="E29" i="51"/>
  <c r="F29" i="51" s="1"/>
  <c r="E34" i="51"/>
  <c r="F34" i="51" s="1"/>
  <c r="E25" i="51"/>
  <c r="F25" i="51" s="1"/>
  <c r="E28" i="51"/>
  <c r="F28" i="51" s="1"/>
  <c r="I5" i="51"/>
  <c r="E14" i="51"/>
  <c r="F14" i="51" s="1"/>
  <c r="G2" i="51"/>
  <c r="I6" i="50"/>
  <c r="I7" i="50"/>
  <c r="I8" i="50"/>
  <c r="I9" i="50"/>
  <c r="I10" i="50"/>
  <c r="I11" i="50"/>
  <c r="I12" i="50"/>
  <c r="I13" i="50"/>
  <c r="I14" i="50"/>
  <c r="I15" i="50"/>
  <c r="I16" i="50"/>
  <c r="I17" i="50"/>
  <c r="I18" i="50"/>
  <c r="I19" i="50"/>
  <c r="I20" i="50"/>
  <c r="I21" i="50"/>
  <c r="I22" i="50"/>
  <c r="I23" i="50"/>
  <c r="I24" i="50"/>
  <c r="I25" i="50"/>
  <c r="I26" i="50"/>
  <c r="I27" i="50"/>
  <c r="I28" i="50"/>
  <c r="I29" i="50"/>
  <c r="I30" i="50"/>
  <c r="I31" i="50"/>
  <c r="I32" i="50"/>
  <c r="I33" i="50"/>
  <c r="I34" i="50"/>
  <c r="I35" i="50"/>
  <c r="I36" i="50"/>
  <c r="I37" i="50"/>
  <c r="I38" i="50"/>
  <c r="I39" i="50"/>
  <c r="I40" i="50"/>
  <c r="I41" i="50"/>
  <c r="I42" i="50"/>
  <c r="I43" i="50"/>
  <c r="I44" i="50"/>
  <c r="I45" i="50"/>
  <c r="I46" i="50"/>
  <c r="I47" i="50"/>
  <c r="I48" i="50"/>
  <c r="I49" i="50"/>
  <c r="I50" i="50"/>
  <c r="I51" i="50"/>
  <c r="I52" i="50"/>
  <c r="I53" i="50"/>
  <c r="I54" i="50"/>
  <c r="I55" i="50"/>
  <c r="I56" i="50"/>
  <c r="I57" i="50"/>
  <c r="I58" i="50"/>
  <c r="I59" i="50"/>
  <c r="I60" i="50"/>
  <c r="I61" i="50"/>
  <c r="I62" i="50"/>
  <c r="I63" i="50"/>
  <c r="I64" i="50"/>
  <c r="I65" i="50"/>
  <c r="I66" i="50"/>
  <c r="I67" i="50"/>
  <c r="I68" i="50"/>
  <c r="I69" i="50"/>
  <c r="I70" i="50"/>
  <c r="I71" i="50"/>
  <c r="I72" i="50"/>
  <c r="I73" i="50"/>
  <c r="I74" i="50"/>
  <c r="I75" i="50"/>
  <c r="I76" i="50"/>
  <c r="I77" i="50"/>
  <c r="I78" i="50"/>
  <c r="I79" i="50"/>
  <c r="I80" i="50"/>
  <c r="I81" i="50"/>
  <c r="I82" i="50"/>
  <c r="I83" i="50"/>
  <c r="I84" i="50"/>
  <c r="I85" i="50"/>
  <c r="I86" i="50"/>
  <c r="I87" i="50"/>
  <c r="I88" i="50"/>
  <c r="I89" i="50"/>
  <c r="I90" i="50"/>
  <c r="I91" i="50"/>
  <c r="I92" i="50"/>
  <c r="I93" i="50"/>
  <c r="I94" i="50"/>
  <c r="I95" i="50"/>
  <c r="I96" i="50"/>
  <c r="I97" i="50"/>
  <c r="I98" i="50"/>
  <c r="I99" i="50"/>
  <c r="I100" i="50"/>
  <c r="I101" i="50"/>
  <c r="I102" i="50"/>
  <c r="I103" i="50"/>
  <c r="I104" i="50"/>
  <c r="I105" i="50"/>
  <c r="I106" i="50"/>
  <c r="I107" i="50"/>
  <c r="I108" i="50"/>
  <c r="I109" i="50"/>
  <c r="I110" i="50"/>
  <c r="I111" i="50"/>
  <c r="I112" i="50"/>
  <c r="I113" i="50"/>
  <c r="I114" i="50"/>
  <c r="I115" i="50"/>
  <c r="I116" i="50"/>
  <c r="I117" i="50"/>
  <c r="I118" i="50"/>
  <c r="I119" i="50"/>
  <c r="I120" i="50"/>
  <c r="I121" i="50"/>
  <c r="I122" i="50"/>
  <c r="I123" i="50"/>
  <c r="I124" i="50"/>
  <c r="I125" i="50"/>
  <c r="I126" i="50"/>
  <c r="I127" i="50"/>
  <c r="I128" i="50"/>
  <c r="I129" i="50"/>
  <c r="I130" i="50"/>
  <c r="I131" i="50"/>
  <c r="I132" i="50"/>
  <c r="I133" i="50"/>
  <c r="I134" i="50"/>
  <c r="I135" i="50"/>
  <c r="I136" i="50"/>
  <c r="I137" i="50"/>
  <c r="I138" i="50"/>
  <c r="I139" i="50"/>
  <c r="I140" i="50"/>
  <c r="I141" i="50"/>
  <c r="I142" i="50"/>
  <c r="I143" i="50"/>
  <c r="I144" i="50"/>
  <c r="I145" i="50"/>
  <c r="I146" i="50"/>
  <c r="I147" i="50"/>
  <c r="I148" i="50"/>
  <c r="I149" i="50"/>
  <c r="I150" i="50"/>
  <c r="I151" i="50"/>
  <c r="I152" i="50"/>
  <c r="I153" i="50"/>
  <c r="I154" i="50"/>
  <c r="I155" i="50"/>
  <c r="I156" i="50"/>
  <c r="I157" i="50"/>
  <c r="I158" i="50"/>
  <c r="I159" i="50"/>
  <c r="I160" i="50"/>
  <c r="E108" i="50"/>
  <c r="F108" i="50" s="1"/>
  <c r="E117" i="50"/>
  <c r="F117" i="50" s="1"/>
  <c r="E144" i="50"/>
  <c r="F144" i="50" s="1"/>
  <c r="E99" i="50"/>
  <c r="F99" i="50" s="1"/>
  <c r="E154" i="50"/>
  <c r="F154" i="50" s="1"/>
  <c r="E103" i="50"/>
  <c r="F103" i="50" s="1"/>
  <c r="E145" i="50"/>
  <c r="F145" i="50" s="1"/>
  <c r="E7" i="50"/>
  <c r="F7" i="50" s="1"/>
  <c r="E6" i="50"/>
  <c r="F6" i="50" s="1"/>
  <c r="E61" i="50"/>
  <c r="F61" i="50" s="1"/>
  <c r="E57" i="50"/>
  <c r="F57" i="50" s="1"/>
  <c r="E15" i="50"/>
  <c r="F15" i="50" s="1"/>
  <c r="E16" i="50"/>
  <c r="F16" i="50" s="1"/>
  <c r="E13" i="50"/>
  <c r="F13" i="50" s="1"/>
  <c r="E10" i="50"/>
  <c r="F10" i="50" s="1"/>
  <c r="E19" i="50"/>
  <c r="F19" i="50" s="1"/>
  <c r="E9" i="50"/>
  <c r="F9" i="50" s="1"/>
  <c r="E22" i="50"/>
  <c r="F22" i="50" s="1"/>
  <c r="E31" i="50"/>
  <c r="F31" i="50" s="1"/>
  <c r="E42" i="50"/>
  <c r="F42" i="50" s="1"/>
  <c r="E28" i="50"/>
  <c r="F28" i="50" s="1"/>
  <c r="E34" i="50"/>
  <c r="F34" i="50" s="1"/>
  <c r="E25" i="50"/>
  <c r="F25" i="50" s="1"/>
  <c r="E21" i="50"/>
  <c r="F21" i="50" s="1"/>
  <c r="E5" i="50"/>
  <c r="F5" i="50" s="1"/>
  <c r="E40" i="50"/>
  <c r="F40" i="50" s="1"/>
  <c r="E79" i="50"/>
  <c r="F79" i="50" s="1"/>
  <c r="E24" i="50"/>
  <c r="F24" i="50" s="1"/>
  <c r="E37" i="50"/>
  <c r="F37" i="50" s="1"/>
  <c r="E36" i="50"/>
  <c r="F36" i="50" s="1"/>
  <c r="E67" i="50"/>
  <c r="F67" i="50" s="1"/>
  <c r="E82" i="50"/>
  <c r="F82" i="50" s="1"/>
  <c r="E12" i="50"/>
  <c r="F12" i="50" s="1"/>
  <c r="E72" i="50"/>
  <c r="F72" i="50" s="1"/>
  <c r="E75" i="50"/>
  <c r="F75" i="50" s="1"/>
  <c r="E64" i="50"/>
  <c r="F64" i="50" s="1"/>
  <c r="E58" i="50"/>
  <c r="F58" i="50" s="1"/>
  <c r="E45" i="50"/>
  <c r="F45" i="50" s="1"/>
  <c r="E102" i="50"/>
  <c r="F102" i="50" s="1"/>
  <c r="E70" i="50"/>
  <c r="F70" i="50" s="1"/>
  <c r="E94" i="50"/>
  <c r="F94" i="50" s="1"/>
  <c r="E91" i="50"/>
  <c r="F91" i="50" s="1"/>
  <c r="E43" i="50"/>
  <c r="F43" i="50" s="1"/>
  <c r="E76" i="50"/>
  <c r="F76" i="50" s="1"/>
  <c r="E49" i="50"/>
  <c r="F49" i="50" s="1"/>
  <c r="E87" i="50"/>
  <c r="F87" i="50" s="1"/>
  <c r="E111" i="50"/>
  <c r="F111" i="50" s="1"/>
  <c r="E115" i="50"/>
  <c r="F115" i="50" s="1"/>
  <c r="E52" i="50"/>
  <c r="F52" i="50" s="1"/>
  <c r="E90" i="50"/>
  <c r="F90" i="50" s="1"/>
  <c r="E93" i="50"/>
  <c r="F93" i="50" s="1"/>
  <c r="E112" i="50"/>
  <c r="F112" i="50" s="1"/>
  <c r="E73" i="50"/>
  <c r="F73" i="50" s="1"/>
  <c r="E84" i="50"/>
  <c r="F84" i="50" s="1"/>
  <c r="E66" i="50"/>
  <c r="F66" i="50" s="1"/>
  <c r="E30" i="50"/>
  <c r="F30" i="50" s="1"/>
  <c r="E54" i="50"/>
  <c r="F54" i="50" s="1"/>
  <c r="E46" i="50"/>
  <c r="F46" i="50" s="1"/>
  <c r="E114" i="50"/>
  <c r="F114" i="50" s="1"/>
  <c r="E48" i="50"/>
  <c r="F48" i="50" s="1"/>
  <c r="E33" i="50"/>
  <c r="F33" i="50" s="1"/>
  <c r="E39" i="50"/>
  <c r="F39" i="50" s="1"/>
  <c r="E51" i="50"/>
  <c r="F51" i="50" s="1"/>
  <c r="E63" i="50"/>
  <c r="F63" i="50" s="1"/>
  <c r="E69" i="50"/>
  <c r="F69" i="50" s="1"/>
  <c r="E55" i="50"/>
  <c r="F55" i="50" s="1"/>
  <c r="E78" i="50"/>
  <c r="F78" i="50" s="1"/>
  <c r="E96" i="50"/>
  <c r="F96" i="50" s="1"/>
  <c r="E60" i="50"/>
  <c r="F60" i="50" s="1"/>
  <c r="E27" i="50"/>
  <c r="F27" i="50" s="1"/>
  <c r="E85" i="50"/>
  <c r="F85" i="50" s="1"/>
  <c r="E81" i="50"/>
  <c r="F81" i="50" s="1"/>
  <c r="E105" i="50"/>
  <c r="F105" i="50" s="1"/>
  <c r="E88" i="50"/>
  <c r="F88" i="50" s="1"/>
  <c r="E18" i="50"/>
  <c r="F18" i="50" s="1"/>
  <c r="E100" i="50"/>
  <c r="F100" i="50" s="1"/>
  <c r="E106" i="50"/>
  <c r="F106" i="50" s="1"/>
  <c r="E97" i="50"/>
  <c r="F97" i="50" s="1"/>
  <c r="E148" i="50"/>
  <c r="F148" i="50" s="1"/>
  <c r="E141" i="50"/>
  <c r="F141" i="50" s="1"/>
  <c r="E127" i="50"/>
  <c r="F127" i="50" s="1"/>
  <c r="E129" i="50"/>
  <c r="F129" i="50" s="1"/>
  <c r="E132" i="50"/>
  <c r="F132" i="50" s="1"/>
  <c r="E124" i="50"/>
  <c r="F124" i="50" s="1"/>
  <c r="E150" i="50"/>
  <c r="F150" i="50" s="1"/>
  <c r="E133" i="50"/>
  <c r="F133" i="50" s="1"/>
  <c r="E130" i="50"/>
  <c r="F130" i="50" s="1"/>
  <c r="E135" i="50"/>
  <c r="F135" i="50" s="1"/>
  <c r="E147" i="50"/>
  <c r="F147" i="50" s="1"/>
  <c r="E123" i="50"/>
  <c r="F123" i="50" s="1"/>
  <c r="E138" i="50"/>
  <c r="F138" i="50" s="1"/>
  <c r="E139" i="50"/>
  <c r="F139" i="50" s="1"/>
  <c r="E120" i="50"/>
  <c r="F120" i="50" s="1"/>
  <c r="E126" i="50"/>
  <c r="F126" i="50" s="1"/>
  <c r="E121" i="50"/>
  <c r="F121" i="50" s="1"/>
  <c r="E153" i="50"/>
  <c r="F153" i="50" s="1"/>
  <c r="E142" i="50"/>
  <c r="F142" i="50" s="1"/>
  <c r="E160" i="50"/>
  <c r="F160" i="50" s="1"/>
  <c r="E118" i="50"/>
  <c r="F118" i="50" s="1"/>
  <c r="E109" i="50"/>
  <c r="F109" i="50" s="1"/>
  <c r="E157" i="50"/>
  <c r="F157" i="50" s="1"/>
  <c r="E159" i="50"/>
  <c r="F159" i="50" s="1"/>
  <c r="E156" i="50"/>
  <c r="F156" i="50" s="1"/>
  <c r="E151" i="50"/>
  <c r="F151" i="50" s="1"/>
  <c r="I5" i="50"/>
  <c r="E136" i="50"/>
  <c r="F136" i="50" s="1"/>
  <c r="G2" i="50"/>
  <c r="H149" i="49"/>
  <c r="G149" i="49"/>
  <c r="H146" i="49"/>
  <c r="G146" i="49"/>
  <c r="H143" i="49"/>
  <c r="G143" i="49"/>
  <c r="H140" i="49"/>
  <c r="G140" i="49"/>
  <c r="H137" i="49"/>
  <c r="G137" i="49"/>
  <c r="H134" i="49"/>
  <c r="G134" i="49"/>
  <c r="H131" i="49"/>
  <c r="G131" i="49"/>
  <c r="H128" i="49"/>
  <c r="G128" i="49"/>
  <c r="H125" i="49"/>
  <c r="G125" i="49"/>
  <c r="H122" i="49"/>
  <c r="G122" i="49"/>
  <c r="H119" i="49"/>
  <c r="G119" i="49"/>
  <c r="H116" i="49"/>
  <c r="G116" i="49"/>
  <c r="H113" i="49"/>
  <c r="G113" i="49"/>
  <c r="H110" i="49"/>
  <c r="G110" i="49"/>
  <c r="H107" i="49"/>
  <c r="G107" i="49"/>
  <c r="H104" i="49"/>
  <c r="G104" i="49"/>
  <c r="H101" i="49"/>
  <c r="G101" i="49"/>
  <c r="H98" i="49"/>
  <c r="G98" i="49"/>
  <c r="H95" i="49"/>
  <c r="G95" i="49"/>
  <c r="H92" i="49"/>
  <c r="G92" i="49"/>
  <c r="H89" i="49"/>
  <c r="G89" i="49"/>
  <c r="H86" i="49"/>
  <c r="G86" i="49"/>
  <c r="H83" i="49"/>
  <c r="G83" i="49"/>
  <c r="H80" i="49"/>
  <c r="G80" i="49"/>
  <c r="H77" i="49"/>
  <c r="G77" i="49"/>
  <c r="H74" i="49"/>
  <c r="G74" i="49"/>
  <c r="H71" i="49"/>
  <c r="G71" i="49"/>
  <c r="H68" i="49"/>
  <c r="G68" i="49"/>
  <c r="H65" i="49"/>
  <c r="G65" i="49"/>
  <c r="H62" i="49"/>
  <c r="G62" i="49"/>
  <c r="H59" i="49"/>
  <c r="G59" i="49"/>
  <c r="H56" i="49"/>
  <c r="G56" i="49"/>
  <c r="H53" i="49"/>
  <c r="G53" i="49"/>
  <c r="H50" i="49"/>
  <c r="G50" i="49"/>
  <c r="H47" i="49"/>
  <c r="G47" i="49"/>
  <c r="H44" i="49"/>
  <c r="G44" i="49"/>
  <c r="H41" i="49"/>
  <c r="G41" i="49"/>
  <c r="H38" i="49"/>
  <c r="G38" i="49"/>
  <c r="H35" i="49"/>
  <c r="G35" i="49"/>
  <c r="H32" i="49"/>
  <c r="G32" i="49"/>
  <c r="H29" i="49"/>
  <c r="G29" i="49"/>
  <c r="H26" i="49"/>
  <c r="G26" i="49"/>
  <c r="H23" i="49"/>
  <c r="G23" i="49"/>
  <c r="H20" i="49"/>
  <c r="G20" i="49"/>
  <c r="H17" i="49"/>
  <c r="G17" i="49"/>
  <c r="H14" i="49"/>
  <c r="G14" i="49"/>
  <c r="H11" i="49"/>
  <c r="G11" i="49"/>
  <c r="H8" i="49"/>
  <c r="G8" i="49"/>
  <c r="H5" i="49"/>
  <c r="H152" i="49" s="1"/>
  <c r="G5" i="49"/>
  <c r="F152" i="49"/>
  <c r="I6" i="49"/>
  <c r="I7" i="49"/>
  <c r="I8" i="49"/>
  <c r="I9" i="49"/>
  <c r="I10" i="49"/>
  <c r="I11" i="49"/>
  <c r="I12" i="49"/>
  <c r="I13" i="49"/>
  <c r="I14" i="49"/>
  <c r="I15" i="49"/>
  <c r="I16" i="49"/>
  <c r="I17" i="49"/>
  <c r="I18" i="49"/>
  <c r="I19" i="49"/>
  <c r="I20" i="49"/>
  <c r="I21" i="49"/>
  <c r="I22" i="49"/>
  <c r="I23" i="49"/>
  <c r="I24" i="49"/>
  <c r="I25" i="49"/>
  <c r="I26" i="49"/>
  <c r="I27" i="49"/>
  <c r="I28" i="49"/>
  <c r="I29" i="49"/>
  <c r="I30" i="49"/>
  <c r="I31" i="49"/>
  <c r="I32" i="49"/>
  <c r="I33" i="49"/>
  <c r="I34" i="49"/>
  <c r="I35" i="49"/>
  <c r="I36" i="49"/>
  <c r="I37" i="49"/>
  <c r="I38" i="49"/>
  <c r="I39" i="49"/>
  <c r="I40" i="49"/>
  <c r="I41" i="49"/>
  <c r="I42" i="49"/>
  <c r="I43" i="49"/>
  <c r="I44" i="49"/>
  <c r="I45" i="49"/>
  <c r="I46" i="49"/>
  <c r="I47" i="49"/>
  <c r="I48" i="49"/>
  <c r="I49" i="49"/>
  <c r="I50" i="49"/>
  <c r="I51" i="49"/>
  <c r="I52" i="49"/>
  <c r="I53" i="49"/>
  <c r="I54" i="49"/>
  <c r="I55" i="49"/>
  <c r="I56" i="49"/>
  <c r="I57" i="49"/>
  <c r="I58" i="49"/>
  <c r="I59" i="49"/>
  <c r="I60" i="49"/>
  <c r="I61" i="49"/>
  <c r="I62" i="49"/>
  <c r="I63" i="49"/>
  <c r="I64" i="49"/>
  <c r="I65" i="49"/>
  <c r="I66" i="49"/>
  <c r="I67" i="49"/>
  <c r="I68" i="49"/>
  <c r="I69" i="49"/>
  <c r="I70" i="49"/>
  <c r="I71" i="49"/>
  <c r="I72" i="49"/>
  <c r="I73" i="49"/>
  <c r="I74" i="49"/>
  <c r="I75" i="49"/>
  <c r="I76" i="49"/>
  <c r="I77" i="49"/>
  <c r="I78" i="49"/>
  <c r="I79" i="49"/>
  <c r="I80" i="49"/>
  <c r="I81" i="49"/>
  <c r="I82" i="49"/>
  <c r="I83" i="49"/>
  <c r="I84" i="49"/>
  <c r="I85" i="49"/>
  <c r="I86" i="49"/>
  <c r="I87" i="49"/>
  <c r="I88" i="49"/>
  <c r="I89" i="49"/>
  <c r="I90" i="49"/>
  <c r="I91" i="49"/>
  <c r="I92" i="49"/>
  <c r="I93" i="49"/>
  <c r="I94" i="49"/>
  <c r="I95" i="49"/>
  <c r="I96" i="49"/>
  <c r="I97" i="49"/>
  <c r="I98" i="49"/>
  <c r="I99" i="49"/>
  <c r="I100" i="49"/>
  <c r="I101" i="49"/>
  <c r="I102" i="49"/>
  <c r="I103" i="49"/>
  <c r="I104" i="49"/>
  <c r="I105" i="49"/>
  <c r="I106" i="49"/>
  <c r="I107" i="49"/>
  <c r="I108" i="49"/>
  <c r="I109" i="49"/>
  <c r="I110" i="49"/>
  <c r="I111" i="49"/>
  <c r="I112" i="49"/>
  <c r="I113" i="49"/>
  <c r="I114" i="49"/>
  <c r="I115" i="49"/>
  <c r="I116" i="49"/>
  <c r="I117" i="49"/>
  <c r="I118" i="49"/>
  <c r="I119" i="49"/>
  <c r="I120" i="49"/>
  <c r="I121" i="49"/>
  <c r="I122" i="49"/>
  <c r="I123" i="49"/>
  <c r="I124" i="49"/>
  <c r="I125" i="49"/>
  <c r="I126" i="49"/>
  <c r="I127" i="49"/>
  <c r="I128" i="49"/>
  <c r="I129" i="49"/>
  <c r="I130" i="49"/>
  <c r="I131" i="49"/>
  <c r="I132" i="49"/>
  <c r="I133" i="49"/>
  <c r="I134" i="49"/>
  <c r="I135" i="49"/>
  <c r="I136" i="49"/>
  <c r="I137" i="49"/>
  <c r="I138" i="49"/>
  <c r="I139" i="49"/>
  <c r="I140" i="49"/>
  <c r="I141" i="49"/>
  <c r="I142" i="49"/>
  <c r="I143" i="49"/>
  <c r="I144" i="49"/>
  <c r="I145" i="49"/>
  <c r="I146" i="49"/>
  <c r="I147" i="49"/>
  <c r="I148" i="49"/>
  <c r="I149" i="49"/>
  <c r="I150" i="49"/>
  <c r="E149" i="49"/>
  <c r="F149" i="49" s="1"/>
  <c r="E140" i="49"/>
  <c r="F140" i="49" s="1"/>
  <c r="E122" i="49"/>
  <c r="F122" i="49" s="1"/>
  <c r="E123" i="49"/>
  <c r="F123" i="49" s="1"/>
  <c r="E127" i="49"/>
  <c r="F127" i="49" s="1"/>
  <c r="E141" i="49"/>
  <c r="F141" i="49" s="1"/>
  <c r="E137" i="49"/>
  <c r="F137" i="49" s="1"/>
  <c r="E144" i="49"/>
  <c r="F144" i="49" s="1"/>
  <c r="E145" i="49"/>
  <c r="F145" i="49" s="1"/>
  <c r="E105" i="49"/>
  <c r="F105" i="49" s="1"/>
  <c r="E134" i="49"/>
  <c r="F134" i="49" s="1"/>
  <c r="E146" i="49"/>
  <c r="F146" i="49" s="1"/>
  <c r="E136" i="49"/>
  <c r="F136" i="49" s="1"/>
  <c r="E143" i="49"/>
  <c r="F143" i="49" s="1"/>
  <c r="E125" i="49"/>
  <c r="F125" i="49" s="1"/>
  <c r="E130" i="49"/>
  <c r="F130" i="49" s="1"/>
  <c r="E147" i="49"/>
  <c r="F147" i="49" s="1"/>
  <c r="E142" i="49"/>
  <c r="F142" i="49" s="1"/>
  <c r="E138" i="49"/>
  <c r="F138" i="49"/>
  <c r="E139" i="49"/>
  <c r="F139" i="49" s="1"/>
  <c r="E135" i="49"/>
  <c r="F135" i="49" s="1"/>
  <c r="E113" i="49"/>
  <c r="F113" i="49" s="1"/>
  <c r="E91" i="49"/>
  <c r="F91" i="49" s="1"/>
  <c r="E5" i="49"/>
  <c r="F5" i="49" s="1"/>
  <c r="E11" i="49"/>
  <c r="F11" i="49" s="1"/>
  <c r="E20" i="49"/>
  <c r="F20" i="49" s="1"/>
  <c r="E13" i="49"/>
  <c r="F13" i="49" s="1"/>
  <c r="E39" i="49"/>
  <c r="F39" i="49" s="1"/>
  <c r="G39" i="49" s="1"/>
  <c r="E16" i="49"/>
  <c r="F16" i="49" s="1"/>
  <c r="E51" i="49"/>
  <c r="F51" i="49" s="1"/>
  <c r="E9" i="49"/>
  <c r="F9" i="49" s="1"/>
  <c r="E17" i="49"/>
  <c r="F17" i="49" s="1"/>
  <c r="E8" i="49"/>
  <c r="F8" i="49" s="1"/>
  <c r="E56" i="49"/>
  <c r="F56" i="49" s="1"/>
  <c r="E23" i="49"/>
  <c r="F23" i="49" s="1"/>
  <c r="E6" i="49"/>
  <c r="F6" i="49" s="1"/>
  <c r="E18" i="49"/>
  <c r="F18" i="49"/>
  <c r="E19" i="49"/>
  <c r="F19" i="49" s="1"/>
  <c r="E15" i="49"/>
  <c r="F15" i="49" s="1"/>
  <c r="E12" i="49"/>
  <c r="F12" i="49" s="1"/>
  <c r="E36" i="49"/>
  <c r="F36" i="49" s="1"/>
  <c r="E14" i="49"/>
  <c r="F14" i="49" s="1"/>
  <c r="E10" i="49"/>
  <c r="F10" i="49" s="1"/>
  <c r="E38" i="49"/>
  <c r="F38" i="49" s="1"/>
  <c r="E58" i="49"/>
  <c r="F58" i="49" s="1"/>
  <c r="E48" i="49"/>
  <c r="F48" i="49" s="1"/>
  <c r="G48" i="49" s="1"/>
  <c r="E63" i="49"/>
  <c r="F63" i="49" s="1"/>
  <c r="E25" i="49"/>
  <c r="F25" i="49" s="1"/>
  <c r="E43" i="49"/>
  <c r="F43" i="49" s="1"/>
  <c r="E80" i="49"/>
  <c r="F80" i="49" s="1"/>
  <c r="E49" i="49"/>
  <c r="F49" i="49" s="1"/>
  <c r="E55" i="49"/>
  <c r="F55" i="49" s="1"/>
  <c r="E7" i="49"/>
  <c r="F7" i="49" s="1"/>
  <c r="E64" i="49"/>
  <c r="F64" i="49" s="1"/>
  <c r="E107" i="49"/>
  <c r="F107" i="49" s="1"/>
  <c r="E79" i="49"/>
  <c r="F79" i="49" s="1"/>
  <c r="E74" i="49"/>
  <c r="F74" i="49" s="1"/>
  <c r="E50" i="49"/>
  <c r="F50" i="49" s="1"/>
  <c r="E83" i="49"/>
  <c r="F83" i="49" s="1"/>
  <c r="E53" i="49"/>
  <c r="F53" i="49" s="1"/>
  <c r="E46" i="49"/>
  <c r="F46" i="49" s="1"/>
  <c r="E45" i="49"/>
  <c r="F45" i="49" s="1"/>
  <c r="E40" i="49"/>
  <c r="F40" i="49" s="1"/>
  <c r="E34" i="49"/>
  <c r="F34" i="49"/>
  <c r="E109" i="49"/>
  <c r="F109" i="49" s="1"/>
  <c r="E112" i="49"/>
  <c r="F112" i="49" s="1"/>
  <c r="E29" i="49"/>
  <c r="F29" i="49" s="1"/>
  <c r="E62" i="49"/>
  <c r="F62" i="49" s="1"/>
  <c r="E27" i="49"/>
  <c r="F27" i="49" s="1"/>
  <c r="E22" i="49"/>
  <c r="F22" i="49" s="1"/>
  <c r="E21" i="49"/>
  <c r="F21" i="49" s="1"/>
  <c r="E121" i="49"/>
  <c r="F121" i="49" s="1"/>
  <c r="E32" i="49"/>
  <c r="F32" i="49"/>
  <c r="E126" i="49"/>
  <c r="F126" i="49" s="1"/>
  <c r="E30" i="49"/>
  <c r="F30" i="49" s="1"/>
  <c r="E128" i="49"/>
  <c r="F128" i="49" s="1"/>
  <c r="E31" i="49"/>
  <c r="F31" i="49" s="1"/>
  <c r="E90" i="49"/>
  <c r="F90" i="49" s="1"/>
  <c r="E47" i="49"/>
  <c r="F47" i="49" s="1"/>
  <c r="E66" i="49"/>
  <c r="F66" i="49" s="1"/>
  <c r="E33" i="49"/>
  <c r="F33" i="49" s="1"/>
  <c r="E131" i="49"/>
  <c r="F131" i="49" s="1"/>
  <c r="E133" i="49"/>
  <c r="F133" i="49" s="1"/>
  <c r="E110" i="49"/>
  <c r="F110" i="49" s="1"/>
  <c r="E106" i="49"/>
  <c r="F106" i="49" s="1"/>
  <c r="E103" i="49"/>
  <c r="F103" i="49" s="1"/>
  <c r="E99" i="49"/>
  <c r="F99" i="49" s="1"/>
  <c r="E111" i="49"/>
  <c r="F111" i="49" s="1"/>
  <c r="E114" i="49"/>
  <c r="F114" i="49" s="1"/>
  <c r="E70" i="49"/>
  <c r="F70" i="49" s="1"/>
  <c r="E86" i="49"/>
  <c r="F86" i="49"/>
  <c r="E95" i="49"/>
  <c r="F95" i="49" s="1"/>
  <c r="E100" i="49"/>
  <c r="F100" i="49" s="1"/>
  <c r="E60" i="49"/>
  <c r="F60" i="49" s="1"/>
  <c r="E88" i="49"/>
  <c r="F88" i="49" s="1"/>
  <c r="E96" i="49"/>
  <c r="F96" i="49" s="1"/>
  <c r="E81" i="49"/>
  <c r="F81" i="49" s="1"/>
  <c r="E72" i="49"/>
  <c r="F72" i="49" s="1"/>
  <c r="E94" i="49"/>
  <c r="F94" i="49" s="1"/>
  <c r="E65" i="49"/>
  <c r="F65" i="49" s="1"/>
  <c r="E98" i="49"/>
  <c r="F98" i="49" s="1"/>
  <c r="E92" i="49"/>
  <c r="F92" i="49" s="1"/>
  <c r="E93" i="49"/>
  <c r="F93" i="49" s="1"/>
  <c r="E102" i="49"/>
  <c r="F102" i="49" s="1"/>
  <c r="E41" i="49"/>
  <c r="F41" i="49" s="1"/>
  <c r="E89" i="49"/>
  <c r="F89" i="49" s="1"/>
  <c r="E28" i="49"/>
  <c r="F28" i="49" s="1"/>
  <c r="E73" i="49"/>
  <c r="F73" i="49" s="1"/>
  <c r="E85" i="49"/>
  <c r="F85" i="49" s="1"/>
  <c r="G85" i="49" s="1"/>
  <c r="E87" i="49"/>
  <c r="F87" i="49" s="1"/>
  <c r="E24" i="49"/>
  <c r="F24" i="49" s="1"/>
  <c r="E115" i="49"/>
  <c r="F115" i="49" s="1"/>
  <c r="E97" i="49"/>
  <c r="F97" i="49" s="1"/>
  <c r="E57" i="49"/>
  <c r="F57" i="49" s="1"/>
  <c r="E84" i="49"/>
  <c r="F84" i="49" s="1"/>
  <c r="E117" i="49"/>
  <c r="F117" i="49" s="1"/>
  <c r="E61" i="49"/>
  <c r="F61" i="49" s="1"/>
  <c r="E35" i="49"/>
  <c r="F35" i="49"/>
  <c r="E68" i="49"/>
  <c r="F68" i="49" s="1"/>
  <c r="E71" i="49"/>
  <c r="F71" i="49" s="1"/>
  <c r="E75" i="49"/>
  <c r="F75" i="49" s="1"/>
  <c r="E26" i="49"/>
  <c r="F26" i="49" s="1"/>
  <c r="E119" i="49"/>
  <c r="F119" i="49" s="1"/>
  <c r="E116" i="49"/>
  <c r="F116" i="49" s="1"/>
  <c r="E77" i="49"/>
  <c r="F77" i="49" s="1"/>
  <c r="E78" i="49"/>
  <c r="F78" i="49" s="1"/>
  <c r="E76" i="49"/>
  <c r="F76" i="49"/>
  <c r="G76" i="49" s="1"/>
  <c r="E124" i="49"/>
  <c r="F124" i="49" s="1"/>
  <c r="E82" i="49"/>
  <c r="F82" i="49" s="1"/>
  <c r="E101" i="49"/>
  <c r="F101" i="49" s="1"/>
  <c r="E132" i="49"/>
  <c r="F132" i="49" s="1"/>
  <c r="E52" i="49"/>
  <c r="F52" i="49" s="1"/>
  <c r="E59" i="49"/>
  <c r="F59" i="49" s="1"/>
  <c r="E44" i="49"/>
  <c r="F44" i="49" s="1"/>
  <c r="E42" i="49"/>
  <c r="F42" i="49" s="1"/>
  <c r="E120" i="49"/>
  <c r="F120" i="49" s="1"/>
  <c r="G120" i="49" s="1"/>
  <c r="E108" i="49"/>
  <c r="F108" i="49" s="1"/>
  <c r="E37" i="49"/>
  <c r="F37" i="49" s="1"/>
  <c r="E118" i="49"/>
  <c r="F118" i="49" s="1"/>
  <c r="G118" i="49" s="1"/>
  <c r="E69" i="49"/>
  <c r="F69" i="49" s="1"/>
  <c r="E104" i="49"/>
  <c r="F104" i="49" s="1"/>
  <c r="E54" i="49"/>
  <c r="F54" i="49" s="1"/>
  <c r="E67" i="49"/>
  <c r="F67" i="49" s="1"/>
  <c r="E129" i="49"/>
  <c r="F129" i="49" s="1"/>
  <c r="E148" i="49"/>
  <c r="F148" i="49"/>
  <c r="G148" i="49" s="1"/>
  <c r="I5" i="49"/>
  <c r="E150" i="49"/>
  <c r="F150" i="49" s="1"/>
  <c r="G2" i="49"/>
  <c r="G6" i="48"/>
  <c r="H6" i="48"/>
  <c r="G7" i="48"/>
  <c r="H7" i="48"/>
  <c r="G8" i="48"/>
  <c r="H8" i="48"/>
  <c r="G9" i="48"/>
  <c r="H9" i="48"/>
  <c r="G10" i="48"/>
  <c r="H10" i="48"/>
  <c r="G11" i="48"/>
  <c r="H11" i="48"/>
  <c r="G12" i="48"/>
  <c r="H12" i="48"/>
  <c r="G13" i="48"/>
  <c r="H13" i="48"/>
  <c r="G14" i="48"/>
  <c r="H14" i="48"/>
  <c r="G15" i="48"/>
  <c r="H15" i="48"/>
  <c r="G16" i="48"/>
  <c r="H16" i="48"/>
  <c r="G17" i="48"/>
  <c r="H17" i="48"/>
  <c r="G18" i="48"/>
  <c r="H18" i="48"/>
  <c r="G19" i="48"/>
  <c r="H19" i="48"/>
  <c r="G20" i="48"/>
  <c r="H20" i="48"/>
  <c r="G21" i="48"/>
  <c r="H21" i="48"/>
  <c r="G22" i="48"/>
  <c r="H22" i="48"/>
  <c r="I14" i="48"/>
  <c r="F24" i="48"/>
  <c r="I8" i="48"/>
  <c r="I11" i="48"/>
  <c r="I17" i="48"/>
  <c r="I20" i="48"/>
  <c r="E12" i="48"/>
  <c r="F12" i="48" s="1"/>
  <c r="E10" i="48"/>
  <c r="F10" i="48" s="1"/>
  <c r="E11" i="48"/>
  <c r="F11" i="48" s="1"/>
  <c r="E6" i="48"/>
  <c r="F6" i="48" s="1"/>
  <c r="E8" i="48"/>
  <c r="F8" i="48" s="1"/>
  <c r="E7" i="48"/>
  <c r="F7" i="48" s="1"/>
  <c r="E5" i="48"/>
  <c r="F5" i="48" s="1"/>
  <c r="H5" i="48" s="1"/>
  <c r="E17" i="48"/>
  <c r="F17" i="48" s="1"/>
  <c r="E14" i="48"/>
  <c r="F14" i="48" s="1"/>
  <c r="E9" i="48"/>
  <c r="F9" i="48" s="1"/>
  <c r="E16" i="48"/>
  <c r="F16" i="48" s="1"/>
  <c r="E13" i="48"/>
  <c r="F13" i="48" s="1"/>
  <c r="E15" i="48"/>
  <c r="F15" i="48" s="1"/>
  <c r="E19" i="48"/>
  <c r="F19" i="48" s="1"/>
  <c r="E20" i="48"/>
  <c r="F20" i="48" s="1"/>
  <c r="E18" i="48"/>
  <c r="F18" i="48" s="1"/>
  <c r="E21" i="48"/>
  <c r="F21" i="48" s="1"/>
  <c r="I5" i="48"/>
  <c r="E22" i="48"/>
  <c r="F22" i="48" s="1"/>
  <c r="G2" i="48"/>
  <c r="G124" i="47"/>
  <c r="H124" i="47"/>
  <c r="F124" i="47"/>
  <c r="I6" i="47"/>
  <c r="I7" i="47"/>
  <c r="I8" i="47"/>
  <c r="I9" i="47"/>
  <c r="I10" i="47"/>
  <c r="I11" i="47"/>
  <c r="I12" i="47"/>
  <c r="I13" i="47"/>
  <c r="I14" i="47"/>
  <c r="I15" i="47"/>
  <c r="I16" i="47"/>
  <c r="I17" i="47"/>
  <c r="I18" i="47"/>
  <c r="I19" i="47"/>
  <c r="I20" i="47"/>
  <c r="I21" i="47"/>
  <c r="I22" i="47"/>
  <c r="I23" i="47"/>
  <c r="I24" i="47"/>
  <c r="I25" i="47"/>
  <c r="I26" i="47"/>
  <c r="I27" i="47"/>
  <c r="I28" i="47"/>
  <c r="I29" i="47"/>
  <c r="I30" i="47"/>
  <c r="I31" i="47"/>
  <c r="I32" i="47"/>
  <c r="I33" i="47"/>
  <c r="I34" i="47"/>
  <c r="I35" i="47"/>
  <c r="I36" i="47"/>
  <c r="I37" i="47"/>
  <c r="I38" i="47"/>
  <c r="I39" i="47"/>
  <c r="I40" i="47"/>
  <c r="I41" i="47"/>
  <c r="I42" i="47"/>
  <c r="I43" i="47"/>
  <c r="I44" i="47"/>
  <c r="I45" i="47"/>
  <c r="I46" i="47"/>
  <c r="I47" i="47"/>
  <c r="I48" i="47"/>
  <c r="I49" i="47"/>
  <c r="I50" i="47"/>
  <c r="I51" i="47"/>
  <c r="I52" i="47"/>
  <c r="I53" i="47"/>
  <c r="I54" i="47"/>
  <c r="I55" i="47"/>
  <c r="I56" i="47"/>
  <c r="I57" i="47"/>
  <c r="I58" i="47"/>
  <c r="I59" i="47"/>
  <c r="I60" i="47"/>
  <c r="I61" i="47"/>
  <c r="I62" i="47"/>
  <c r="I63" i="47"/>
  <c r="I64" i="47"/>
  <c r="I65" i="47"/>
  <c r="I66" i="47"/>
  <c r="I67" i="47"/>
  <c r="I68" i="47"/>
  <c r="I69" i="47"/>
  <c r="I70" i="47"/>
  <c r="I71" i="47"/>
  <c r="I72" i="47"/>
  <c r="I73" i="47"/>
  <c r="I74" i="47"/>
  <c r="I75" i="47"/>
  <c r="I76" i="47"/>
  <c r="I77" i="47"/>
  <c r="I78" i="47"/>
  <c r="I79" i="47"/>
  <c r="I80" i="47"/>
  <c r="I81" i="47"/>
  <c r="I82" i="47"/>
  <c r="I83" i="47"/>
  <c r="I84" i="47"/>
  <c r="I85" i="47"/>
  <c r="I86" i="47"/>
  <c r="I87" i="47"/>
  <c r="I88" i="47"/>
  <c r="I89" i="47"/>
  <c r="I90" i="47"/>
  <c r="I91" i="47"/>
  <c r="I92" i="47"/>
  <c r="I93" i="47"/>
  <c r="I94" i="47"/>
  <c r="I95" i="47"/>
  <c r="I96" i="47"/>
  <c r="I97" i="47"/>
  <c r="I98" i="47"/>
  <c r="I99" i="47"/>
  <c r="I100" i="47"/>
  <c r="I101" i="47"/>
  <c r="I102" i="47"/>
  <c r="I103" i="47"/>
  <c r="I104" i="47"/>
  <c r="I105" i="47"/>
  <c r="I106" i="47"/>
  <c r="I107" i="47"/>
  <c r="I108" i="47"/>
  <c r="I109" i="47"/>
  <c r="I110" i="47"/>
  <c r="I111" i="47"/>
  <c r="I112" i="47"/>
  <c r="I113" i="47"/>
  <c r="I114" i="47"/>
  <c r="I115" i="47"/>
  <c r="I116" i="47"/>
  <c r="I117" i="47"/>
  <c r="I118" i="47"/>
  <c r="I119" i="47"/>
  <c r="I120" i="47"/>
  <c r="I121" i="47"/>
  <c r="I122" i="47"/>
  <c r="E118" i="47"/>
  <c r="F118" i="47"/>
  <c r="G118" i="47" s="1"/>
  <c r="E120" i="47"/>
  <c r="F120" i="47" s="1"/>
  <c r="E115" i="47"/>
  <c r="F115" i="47" s="1"/>
  <c r="E114" i="47"/>
  <c r="F114" i="47" s="1"/>
  <c r="E119" i="47"/>
  <c r="F119" i="47" s="1"/>
  <c r="E104" i="47"/>
  <c r="F104" i="47" s="1"/>
  <c r="E106" i="47"/>
  <c r="F106" i="47" s="1"/>
  <c r="E47" i="47"/>
  <c r="F47" i="47" s="1"/>
  <c r="E90" i="47"/>
  <c r="F90" i="47" s="1"/>
  <c r="E9" i="47"/>
  <c r="F9" i="47" s="1"/>
  <c r="E30" i="47"/>
  <c r="F30" i="47" s="1"/>
  <c r="E10" i="47"/>
  <c r="F10" i="47" s="1"/>
  <c r="E42" i="47"/>
  <c r="F42" i="47" s="1"/>
  <c r="G42" i="47" s="1"/>
  <c r="E12" i="47"/>
  <c r="F12" i="47" s="1"/>
  <c r="E13" i="47"/>
  <c r="F13" i="47" s="1"/>
  <c r="E44" i="47"/>
  <c r="F44" i="47"/>
  <c r="E49" i="47"/>
  <c r="F49" i="47" s="1"/>
  <c r="E6" i="47"/>
  <c r="F6" i="47" s="1"/>
  <c r="E17" i="47"/>
  <c r="F17" i="47"/>
  <c r="E69" i="47"/>
  <c r="F69" i="47" s="1"/>
  <c r="E45" i="47"/>
  <c r="F45" i="47" s="1"/>
  <c r="E63" i="47"/>
  <c r="F63" i="47" s="1"/>
  <c r="E51" i="47"/>
  <c r="F51" i="47" s="1"/>
  <c r="E23" i="47"/>
  <c r="F23" i="47" s="1"/>
  <c r="E21" i="47"/>
  <c r="F21" i="47" s="1"/>
  <c r="E46" i="47"/>
  <c r="F46" i="47" s="1"/>
  <c r="E8" i="47"/>
  <c r="F8" i="47" s="1"/>
  <c r="E34" i="47"/>
  <c r="F34" i="47"/>
  <c r="E80" i="47"/>
  <c r="F80" i="47" s="1"/>
  <c r="E37" i="47"/>
  <c r="F37" i="47" s="1"/>
  <c r="E36" i="47"/>
  <c r="F36" i="47" s="1"/>
  <c r="E100" i="47"/>
  <c r="F100" i="47" s="1"/>
  <c r="E22" i="47"/>
  <c r="F22" i="47" s="1"/>
  <c r="E85" i="47"/>
  <c r="F85" i="47" s="1"/>
  <c r="G85" i="47" s="1"/>
  <c r="E19" i="47"/>
  <c r="F19" i="47" s="1"/>
  <c r="E11" i="47"/>
  <c r="F11" i="47" s="1"/>
  <c r="E40" i="47"/>
  <c r="F40" i="47"/>
  <c r="E76" i="47"/>
  <c r="F76" i="47" s="1"/>
  <c r="E32" i="47"/>
  <c r="F32" i="47" s="1"/>
  <c r="E29" i="47"/>
  <c r="F29" i="47" s="1"/>
  <c r="E7" i="47"/>
  <c r="F7" i="47" s="1"/>
  <c r="E59" i="47"/>
  <c r="F59" i="47" s="1"/>
  <c r="E67" i="47"/>
  <c r="F67" i="47"/>
  <c r="E70" i="47"/>
  <c r="F70" i="47" s="1"/>
  <c r="E112" i="47"/>
  <c r="F112" i="47" s="1"/>
  <c r="E83" i="47"/>
  <c r="F83" i="47" s="1"/>
  <c r="E15" i="47"/>
  <c r="F15" i="47" s="1"/>
  <c r="E54" i="47"/>
  <c r="F54" i="47" s="1"/>
  <c r="E16" i="47"/>
  <c r="F16" i="47" s="1"/>
  <c r="E31" i="47"/>
  <c r="F31" i="47" s="1"/>
  <c r="E108" i="47"/>
  <c r="F108" i="47" s="1"/>
  <c r="E14" i="47"/>
  <c r="F14" i="47" s="1"/>
  <c r="E89" i="47"/>
  <c r="F89" i="47" s="1"/>
  <c r="E20" i="47"/>
  <c r="F20" i="47" s="1"/>
  <c r="E61" i="47"/>
  <c r="F61" i="47"/>
  <c r="G61" i="47" s="1"/>
  <c r="E25" i="47"/>
  <c r="F25" i="47" s="1"/>
  <c r="E27" i="47"/>
  <c r="F27" i="47" s="1"/>
  <c r="E64" i="47"/>
  <c r="F64" i="47" s="1"/>
  <c r="E24" i="47"/>
  <c r="F24" i="47" s="1"/>
  <c r="E48" i="47"/>
  <c r="F48" i="47" s="1"/>
  <c r="E28" i="47"/>
  <c r="F28" i="47" s="1"/>
  <c r="E33" i="47"/>
  <c r="F33" i="47" s="1"/>
  <c r="E43" i="47"/>
  <c r="F43" i="47" s="1"/>
  <c r="E38" i="47"/>
  <c r="F38" i="47" s="1"/>
  <c r="E105" i="47"/>
  <c r="F105" i="47" s="1"/>
  <c r="E87" i="47"/>
  <c r="F87" i="47" s="1"/>
  <c r="E92" i="47"/>
  <c r="F92" i="47" s="1"/>
  <c r="G92" i="47" s="1"/>
  <c r="E5" i="47"/>
  <c r="F5" i="47" s="1"/>
  <c r="E26" i="47"/>
  <c r="F26" i="47" s="1"/>
  <c r="E97" i="47"/>
  <c r="F97" i="47"/>
  <c r="E18" i="47"/>
  <c r="F18" i="47" s="1"/>
  <c r="E58" i="47"/>
  <c r="F58" i="47" s="1"/>
  <c r="E110" i="47"/>
  <c r="F110" i="47" s="1"/>
  <c r="E71" i="47"/>
  <c r="F71" i="47" s="1"/>
  <c r="E72" i="47"/>
  <c r="F72" i="47" s="1"/>
  <c r="E113" i="47"/>
  <c r="F113" i="47" s="1"/>
  <c r="E77" i="47"/>
  <c r="F77" i="47" s="1"/>
  <c r="E60" i="47"/>
  <c r="F60" i="47" s="1"/>
  <c r="E111" i="47"/>
  <c r="F111" i="47" s="1"/>
  <c r="G111" i="47" s="1"/>
  <c r="E78" i="47"/>
  <c r="F78" i="47" s="1"/>
  <c r="E75" i="47"/>
  <c r="F75" i="47" s="1"/>
  <c r="E62" i="47"/>
  <c r="F62" i="47"/>
  <c r="E107" i="47"/>
  <c r="F107" i="47" s="1"/>
  <c r="E91" i="47"/>
  <c r="F91" i="47" s="1"/>
  <c r="E86" i="47"/>
  <c r="F86" i="47" s="1"/>
  <c r="E122" i="47"/>
  <c r="F122" i="47" s="1"/>
  <c r="E74" i="47"/>
  <c r="F74" i="47" s="1"/>
  <c r="E88" i="47"/>
  <c r="F88" i="47"/>
  <c r="G88" i="47" s="1"/>
  <c r="E103" i="47"/>
  <c r="F103" i="47" s="1"/>
  <c r="E116" i="47"/>
  <c r="F116" i="47" s="1"/>
  <c r="E53" i="47"/>
  <c r="F53" i="47" s="1"/>
  <c r="E98" i="47"/>
  <c r="F98" i="47" s="1"/>
  <c r="E99" i="47"/>
  <c r="F99" i="47" s="1"/>
  <c r="E79" i="47"/>
  <c r="F79" i="47" s="1"/>
  <c r="E68" i="47"/>
  <c r="F68" i="47" s="1"/>
  <c r="E102" i="47"/>
  <c r="F102" i="47" s="1"/>
  <c r="E66" i="47"/>
  <c r="F66" i="47"/>
  <c r="E93" i="47"/>
  <c r="F93" i="47" s="1"/>
  <c r="E94" i="47"/>
  <c r="F94" i="47" s="1"/>
  <c r="E52" i="47"/>
  <c r="F52" i="47" s="1"/>
  <c r="G52" i="47" s="1"/>
  <c r="E56" i="47"/>
  <c r="F56" i="47" s="1"/>
  <c r="E50" i="47"/>
  <c r="F50" i="47" s="1"/>
  <c r="E96" i="47"/>
  <c r="F96" i="47" s="1"/>
  <c r="E55" i="47"/>
  <c r="F55" i="47" s="1"/>
  <c r="E39" i="47"/>
  <c r="F39" i="47" s="1"/>
  <c r="E84" i="47"/>
  <c r="F84" i="47" s="1"/>
  <c r="E65" i="47"/>
  <c r="F65" i="47" s="1"/>
  <c r="E101" i="47"/>
  <c r="F101" i="47" s="1"/>
  <c r="E95" i="47"/>
  <c r="F95" i="47"/>
  <c r="E57" i="47"/>
  <c r="F57" i="47" s="1"/>
  <c r="E109" i="47"/>
  <c r="F109" i="47" s="1"/>
  <c r="E81" i="47"/>
  <c r="F81" i="47" s="1"/>
  <c r="E35" i="47"/>
  <c r="F35" i="47" s="1"/>
  <c r="E41" i="47"/>
  <c r="F41" i="47" s="1"/>
  <c r="E117" i="47"/>
  <c r="F117" i="47" s="1"/>
  <c r="E82" i="47"/>
  <c r="F82" i="47" s="1"/>
  <c r="E73" i="47"/>
  <c r="F73" i="47" s="1"/>
  <c r="I5" i="47"/>
  <c r="E121" i="47"/>
  <c r="F121" i="47" s="1"/>
  <c r="G2" i="47"/>
  <c r="H248" i="46"/>
  <c r="G248" i="46"/>
  <c r="H245" i="46"/>
  <c r="G245" i="46"/>
  <c r="H242" i="46"/>
  <c r="G242" i="46"/>
  <c r="H239" i="46"/>
  <c r="G239" i="46"/>
  <c r="H236" i="46"/>
  <c r="G236" i="46"/>
  <c r="H233" i="46"/>
  <c r="G233" i="46"/>
  <c r="H230" i="46"/>
  <c r="G230" i="46"/>
  <c r="H227" i="46"/>
  <c r="G227" i="46"/>
  <c r="H224" i="46"/>
  <c r="G224" i="46"/>
  <c r="H221" i="46"/>
  <c r="G221" i="46"/>
  <c r="H218" i="46"/>
  <c r="G218" i="46"/>
  <c r="H215" i="46"/>
  <c r="G215" i="46"/>
  <c r="H212" i="46"/>
  <c r="G212" i="46"/>
  <c r="H209" i="46"/>
  <c r="G209" i="46"/>
  <c r="H206" i="46"/>
  <c r="G206" i="46"/>
  <c r="H203" i="46"/>
  <c r="G203" i="46"/>
  <c r="H200" i="46"/>
  <c r="G200" i="46"/>
  <c r="H197" i="46"/>
  <c r="G197" i="46"/>
  <c r="H194" i="46"/>
  <c r="G194" i="46"/>
  <c r="H191" i="46"/>
  <c r="G191" i="46"/>
  <c r="H188" i="46"/>
  <c r="G188" i="46"/>
  <c r="H185" i="46"/>
  <c r="G185" i="46"/>
  <c r="H182" i="46"/>
  <c r="G182" i="46"/>
  <c r="H179" i="46"/>
  <c r="G179" i="46"/>
  <c r="H176" i="46"/>
  <c r="G176" i="46"/>
  <c r="H173" i="46"/>
  <c r="G173" i="46"/>
  <c r="H170" i="46"/>
  <c r="G170" i="46"/>
  <c r="H167" i="46"/>
  <c r="G167" i="46"/>
  <c r="H164" i="46"/>
  <c r="G164" i="46"/>
  <c r="H161" i="46"/>
  <c r="G161" i="46"/>
  <c r="H158" i="46"/>
  <c r="G158" i="46"/>
  <c r="H155" i="46"/>
  <c r="G155" i="46"/>
  <c r="H152" i="46"/>
  <c r="G152" i="46"/>
  <c r="H149" i="46"/>
  <c r="G149" i="46"/>
  <c r="H146" i="46"/>
  <c r="G146" i="46"/>
  <c r="H143" i="46"/>
  <c r="G143" i="46"/>
  <c r="H140" i="46"/>
  <c r="G140" i="46"/>
  <c r="H137" i="46"/>
  <c r="G137" i="46"/>
  <c r="H134" i="46"/>
  <c r="G134" i="46"/>
  <c r="H131" i="46"/>
  <c r="G131" i="46"/>
  <c r="H128" i="46"/>
  <c r="G128" i="46"/>
  <c r="H125" i="46"/>
  <c r="G125" i="46"/>
  <c r="H122" i="46"/>
  <c r="G122" i="46"/>
  <c r="H119" i="46"/>
  <c r="G119" i="46"/>
  <c r="H116" i="46"/>
  <c r="G116" i="46"/>
  <c r="H113" i="46"/>
  <c r="G113" i="46"/>
  <c r="H110" i="46"/>
  <c r="G110" i="46"/>
  <c r="H107" i="46"/>
  <c r="G107" i="46"/>
  <c r="H104" i="46"/>
  <c r="G104" i="46"/>
  <c r="H101" i="46"/>
  <c r="G101" i="46"/>
  <c r="H98" i="46"/>
  <c r="G98" i="46"/>
  <c r="H95" i="46"/>
  <c r="G95" i="46"/>
  <c r="H92" i="46"/>
  <c r="G92" i="46"/>
  <c r="H89" i="46"/>
  <c r="G89" i="46"/>
  <c r="H86" i="46"/>
  <c r="G86" i="46"/>
  <c r="H83" i="46"/>
  <c r="G83" i="46"/>
  <c r="H80" i="46"/>
  <c r="G80" i="46"/>
  <c r="H77" i="46"/>
  <c r="G77" i="46"/>
  <c r="H74" i="46"/>
  <c r="G74" i="46"/>
  <c r="H71" i="46"/>
  <c r="G71" i="46"/>
  <c r="H68" i="46"/>
  <c r="G68" i="46"/>
  <c r="H65" i="46"/>
  <c r="G65" i="46"/>
  <c r="H62" i="46"/>
  <c r="G62" i="46"/>
  <c r="H59" i="46"/>
  <c r="G59" i="46"/>
  <c r="H56" i="46"/>
  <c r="G56" i="46"/>
  <c r="H53" i="46"/>
  <c r="G53" i="46"/>
  <c r="H50" i="46"/>
  <c r="G50" i="46"/>
  <c r="H47" i="46"/>
  <c r="G47" i="46"/>
  <c r="H44" i="46"/>
  <c r="G44" i="46"/>
  <c r="H41" i="46"/>
  <c r="G41" i="46"/>
  <c r="H38" i="46"/>
  <c r="G38" i="46"/>
  <c r="H35" i="46"/>
  <c r="G35" i="46"/>
  <c r="H32" i="46"/>
  <c r="G32" i="46"/>
  <c r="H29" i="46"/>
  <c r="G29" i="46"/>
  <c r="H26" i="46"/>
  <c r="G26" i="46"/>
  <c r="H23" i="46"/>
  <c r="G23" i="46"/>
  <c r="H20" i="46"/>
  <c r="G20" i="46"/>
  <c r="H17" i="46"/>
  <c r="G17" i="46"/>
  <c r="H14" i="46"/>
  <c r="G14" i="46"/>
  <c r="H11" i="46"/>
  <c r="G11" i="46"/>
  <c r="H8" i="46"/>
  <c r="G8" i="46"/>
  <c r="H5" i="46"/>
  <c r="G5" i="46"/>
  <c r="G252" i="46"/>
  <c r="F252" i="46"/>
  <c r="I6" i="46"/>
  <c r="I7" i="46"/>
  <c r="I8" i="46"/>
  <c r="I9" i="46"/>
  <c r="I10" i="46"/>
  <c r="I11" i="46"/>
  <c r="I12" i="46"/>
  <c r="I13" i="46"/>
  <c r="I14" i="46"/>
  <c r="I15" i="46"/>
  <c r="I16" i="46"/>
  <c r="I17" i="46"/>
  <c r="I18" i="46"/>
  <c r="I19" i="46"/>
  <c r="I20" i="46"/>
  <c r="I21" i="46"/>
  <c r="I22" i="46"/>
  <c r="I23" i="46"/>
  <c r="I24" i="46"/>
  <c r="I25" i="46"/>
  <c r="I26" i="46"/>
  <c r="I27" i="46"/>
  <c r="I28" i="46"/>
  <c r="I29" i="46"/>
  <c r="I30" i="46"/>
  <c r="I31" i="46"/>
  <c r="I32" i="46"/>
  <c r="I33" i="46"/>
  <c r="I34" i="46"/>
  <c r="I35" i="46"/>
  <c r="I36" i="46"/>
  <c r="I37" i="46"/>
  <c r="I38" i="46"/>
  <c r="I39" i="46"/>
  <c r="I40" i="46"/>
  <c r="I41" i="46"/>
  <c r="I42" i="46"/>
  <c r="I43" i="46"/>
  <c r="I44" i="46"/>
  <c r="I45" i="46"/>
  <c r="I46" i="46"/>
  <c r="I47" i="46"/>
  <c r="I48" i="46"/>
  <c r="I49" i="46"/>
  <c r="I50" i="46"/>
  <c r="I51" i="46"/>
  <c r="I52" i="46"/>
  <c r="I53" i="46"/>
  <c r="I54" i="46"/>
  <c r="I55" i="46"/>
  <c r="I56" i="46"/>
  <c r="I57" i="46"/>
  <c r="I58" i="46"/>
  <c r="I59" i="46"/>
  <c r="I60" i="46"/>
  <c r="I61" i="46"/>
  <c r="I62" i="46"/>
  <c r="I63" i="46"/>
  <c r="I64" i="46"/>
  <c r="I65" i="46"/>
  <c r="I66" i="46"/>
  <c r="I67" i="46"/>
  <c r="I68" i="46"/>
  <c r="I69" i="46"/>
  <c r="I70" i="46"/>
  <c r="I71" i="46"/>
  <c r="I72" i="46"/>
  <c r="I73" i="46"/>
  <c r="I74" i="46"/>
  <c r="I75" i="46"/>
  <c r="I76" i="46"/>
  <c r="I77" i="46"/>
  <c r="I78" i="46"/>
  <c r="I79" i="46"/>
  <c r="I80" i="46"/>
  <c r="I81" i="46"/>
  <c r="I82" i="46"/>
  <c r="I83" i="46"/>
  <c r="I84" i="46"/>
  <c r="I85" i="46"/>
  <c r="I86" i="46"/>
  <c r="I87" i="46"/>
  <c r="I88" i="46"/>
  <c r="I89" i="46"/>
  <c r="I90" i="46"/>
  <c r="I91" i="46"/>
  <c r="I92" i="46"/>
  <c r="I93" i="46"/>
  <c r="I94" i="46"/>
  <c r="I95" i="46"/>
  <c r="I96" i="46"/>
  <c r="I97" i="46"/>
  <c r="I98" i="46"/>
  <c r="I99" i="46"/>
  <c r="I100" i="46"/>
  <c r="I101" i="46"/>
  <c r="I102" i="46"/>
  <c r="I103" i="46"/>
  <c r="I104" i="46"/>
  <c r="I105" i="46"/>
  <c r="I106" i="46"/>
  <c r="I107" i="46"/>
  <c r="I108" i="46"/>
  <c r="I109" i="46"/>
  <c r="I110" i="46"/>
  <c r="I111" i="46"/>
  <c r="I112" i="46"/>
  <c r="I113" i="46"/>
  <c r="I114" i="46"/>
  <c r="I115" i="46"/>
  <c r="I116" i="46"/>
  <c r="I117" i="46"/>
  <c r="I118" i="46"/>
  <c r="I119" i="46"/>
  <c r="I120" i="46"/>
  <c r="I121" i="46"/>
  <c r="I122" i="46"/>
  <c r="I123" i="46"/>
  <c r="I124" i="46"/>
  <c r="I125" i="46"/>
  <c r="I126" i="46"/>
  <c r="I127" i="46"/>
  <c r="I128" i="46"/>
  <c r="I129" i="46"/>
  <c r="I130" i="46"/>
  <c r="I131" i="46"/>
  <c r="I132" i="46"/>
  <c r="I133" i="46"/>
  <c r="I134" i="46"/>
  <c r="I135" i="46"/>
  <c r="I136" i="46"/>
  <c r="I137" i="46"/>
  <c r="I138" i="46"/>
  <c r="I139" i="46"/>
  <c r="I140" i="46"/>
  <c r="I141" i="46"/>
  <c r="I142" i="46"/>
  <c r="I143" i="46"/>
  <c r="I144" i="46"/>
  <c r="I145" i="46"/>
  <c r="I146" i="46"/>
  <c r="I147" i="46"/>
  <c r="I148" i="46"/>
  <c r="I149" i="46"/>
  <c r="I150" i="46"/>
  <c r="I151" i="46"/>
  <c r="I152" i="46"/>
  <c r="I153" i="46"/>
  <c r="I154" i="46"/>
  <c r="I155" i="46"/>
  <c r="I156" i="46"/>
  <c r="I157" i="46"/>
  <c r="I158" i="46"/>
  <c r="I159" i="46"/>
  <c r="I160" i="46"/>
  <c r="I161" i="46"/>
  <c r="I162" i="46"/>
  <c r="I163" i="46"/>
  <c r="I164" i="46"/>
  <c r="I165" i="46"/>
  <c r="I166" i="46"/>
  <c r="I167" i="46"/>
  <c r="I168" i="46"/>
  <c r="I169" i="46"/>
  <c r="I170" i="46"/>
  <c r="I171" i="46"/>
  <c r="I172" i="46"/>
  <c r="I173" i="46"/>
  <c r="I174" i="46"/>
  <c r="I175" i="46"/>
  <c r="I176" i="46"/>
  <c r="I177" i="46"/>
  <c r="I178" i="46"/>
  <c r="I179" i="46"/>
  <c r="I180" i="46"/>
  <c r="I181" i="46"/>
  <c r="I182" i="46"/>
  <c r="I183" i="46"/>
  <c r="I184" i="46"/>
  <c r="I185" i="46"/>
  <c r="I186" i="46"/>
  <c r="I187" i="46"/>
  <c r="I188" i="46"/>
  <c r="I189" i="46"/>
  <c r="I190" i="46"/>
  <c r="I191" i="46"/>
  <c r="I192" i="46"/>
  <c r="I193" i="46"/>
  <c r="I194" i="46"/>
  <c r="I195" i="46"/>
  <c r="I196" i="46"/>
  <c r="I197" i="46"/>
  <c r="I198" i="46"/>
  <c r="I199" i="46"/>
  <c r="I200" i="46"/>
  <c r="I201" i="46"/>
  <c r="I202" i="46"/>
  <c r="I203" i="46"/>
  <c r="I204" i="46"/>
  <c r="I205" i="46"/>
  <c r="I206" i="46"/>
  <c r="I207" i="46"/>
  <c r="I208" i="46"/>
  <c r="I209" i="46"/>
  <c r="I210" i="46"/>
  <c r="I211" i="46"/>
  <c r="I212" i="46"/>
  <c r="I213" i="46"/>
  <c r="I214" i="46"/>
  <c r="I215" i="46"/>
  <c r="I216" i="46"/>
  <c r="I217" i="46"/>
  <c r="I218" i="46"/>
  <c r="I219" i="46"/>
  <c r="I220" i="46"/>
  <c r="I221" i="46"/>
  <c r="I222" i="46"/>
  <c r="I223" i="46"/>
  <c r="I224" i="46"/>
  <c r="I225" i="46"/>
  <c r="I226" i="46"/>
  <c r="I227" i="46"/>
  <c r="I228" i="46"/>
  <c r="I229" i="46"/>
  <c r="I230" i="46"/>
  <c r="I231" i="46"/>
  <c r="I232" i="46"/>
  <c r="I233" i="46"/>
  <c r="I234" i="46"/>
  <c r="I235" i="46"/>
  <c r="I236" i="46"/>
  <c r="I237" i="46"/>
  <c r="I238" i="46"/>
  <c r="I239" i="46"/>
  <c r="I240" i="46"/>
  <c r="I241" i="46"/>
  <c r="I242" i="46"/>
  <c r="I243" i="46"/>
  <c r="I244" i="46"/>
  <c r="I245" i="46"/>
  <c r="I246" i="46"/>
  <c r="I247" i="46"/>
  <c r="I248" i="46"/>
  <c r="I249" i="46"/>
  <c r="I250" i="46"/>
  <c r="E194" i="46"/>
  <c r="F194" i="46" s="1"/>
  <c r="E204" i="46"/>
  <c r="F204" i="46" s="1"/>
  <c r="E159" i="46"/>
  <c r="F159" i="46" s="1"/>
  <c r="E147" i="46"/>
  <c r="F147" i="46" s="1"/>
  <c r="E207" i="46"/>
  <c r="F207" i="46" s="1"/>
  <c r="E143" i="46"/>
  <c r="F143" i="46" s="1"/>
  <c r="E114" i="46"/>
  <c r="F114" i="46" s="1"/>
  <c r="E157" i="46"/>
  <c r="F157" i="46" s="1"/>
  <c r="E95" i="46"/>
  <c r="F95" i="46" s="1"/>
  <c r="E144" i="46"/>
  <c r="F144" i="46" s="1"/>
  <c r="E57" i="46"/>
  <c r="F57" i="46" s="1"/>
  <c r="E131" i="46"/>
  <c r="F131" i="46" s="1"/>
  <c r="E122" i="46"/>
  <c r="F122" i="46" s="1"/>
  <c r="E123" i="46"/>
  <c r="F123" i="46" s="1"/>
  <c r="E234" i="46"/>
  <c r="F234" i="46" s="1"/>
  <c r="E219" i="46"/>
  <c r="F219" i="46" s="1"/>
  <c r="E163" i="46"/>
  <c r="F163" i="46" s="1"/>
  <c r="E220" i="46"/>
  <c r="F220" i="46" s="1"/>
  <c r="E130" i="46"/>
  <c r="F130" i="46" s="1"/>
  <c r="E149" i="46"/>
  <c r="F149" i="46" s="1"/>
  <c r="E60" i="46"/>
  <c r="F60" i="46" s="1"/>
  <c r="E231" i="46"/>
  <c r="F231" i="46" s="1"/>
  <c r="E71" i="46"/>
  <c r="F71" i="46" s="1"/>
  <c r="E67" i="46"/>
  <c r="F67" i="46" s="1"/>
  <c r="E91" i="46"/>
  <c r="F91" i="46" s="1"/>
  <c r="E138" i="46"/>
  <c r="F138" i="46" s="1"/>
  <c r="E74" i="46"/>
  <c r="F74" i="46" s="1"/>
  <c r="E109" i="46"/>
  <c r="F109" i="46" s="1"/>
  <c r="E195" i="46"/>
  <c r="F195" i="46" s="1"/>
  <c r="E92" i="46"/>
  <c r="F92" i="46" s="1"/>
  <c r="E104" i="46"/>
  <c r="F104" i="46" s="1"/>
  <c r="E49" i="46"/>
  <c r="F49" i="46" s="1"/>
  <c r="E115" i="46"/>
  <c r="F115" i="46" s="1"/>
  <c r="E40" i="46"/>
  <c r="F40" i="46" s="1"/>
  <c r="E166" i="46"/>
  <c r="F166" i="46" s="1"/>
  <c r="E129" i="46"/>
  <c r="F129" i="46" s="1"/>
  <c r="E135" i="46"/>
  <c r="F135" i="46" s="1"/>
  <c r="E77" i="46"/>
  <c r="F77" i="46" s="1"/>
  <c r="E111" i="46"/>
  <c r="F111" i="46" s="1"/>
  <c r="E110" i="46"/>
  <c r="F110" i="46" s="1"/>
  <c r="E69" i="46"/>
  <c r="F69" i="46" s="1"/>
  <c r="E100" i="46"/>
  <c r="F100" i="46" s="1"/>
  <c r="E150" i="46"/>
  <c r="F150" i="46" s="1"/>
  <c r="E156" i="46"/>
  <c r="F156" i="46" s="1"/>
  <c r="E93" i="46"/>
  <c r="F93" i="46" s="1"/>
  <c r="E136" i="46"/>
  <c r="F136" i="46" s="1"/>
  <c r="E116" i="46"/>
  <c r="F116" i="46" s="1"/>
  <c r="E62" i="46"/>
  <c r="F62" i="46" s="1"/>
  <c r="E99" i="46"/>
  <c r="F99" i="46" s="1"/>
  <c r="E86" i="46"/>
  <c r="F86" i="46" s="1"/>
  <c r="E75" i="46"/>
  <c r="F75" i="46" s="1"/>
  <c r="E76" i="46"/>
  <c r="F76" i="46" s="1"/>
  <c r="E87" i="46"/>
  <c r="F87" i="46" s="1"/>
  <c r="E148" i="46"/>
  <c r="F148" i="46" s="1"/>
  <c r="E241" i="46"/>
  <c r="F241" i="46" s="1"/>
  <c r="E145" i="46"/>
  <c r="F145" i="46" s="1"/>
  <c r="E247" i="46"/>
  <c r="F247" i="46" s="1"/>
  <c r="E238" i="46"/>
  <c r="F238" i="46" s="1"/>
  <c r="E237" i="46"/>
  <c r="F237" i="46" s="1"/>
  <c r="E235" i="46"/>
  <c r="F235" i="46" s="1"/>
  <c r="E250" i="46"/>
  <c r="F250" i="46" s="1"/>
  <c r="E227" i="46"/>
  <c r="F227" i="46" s="1"/>
  <c r="E248" i="46"/>
  <c r="F248" i="46" s="1"/>
  <c r="E208" i="46"/>
  <c r="F208" i="46" s="1"/>
  <c r="E142" i="46"/>
  <c r="F142" i="46" s="1"/>
  <c r="E243" i="46"/>
  <c r="F243" i="46" s="1"/>
  <c r="E192" i="46"/>
  <c r="F192" i="46" s="1"/>
  <c r="E223" i="46"/>
  <c r="F223" i="46" s="1"/>
  <c r="E197" i="46"/>
  <c r="F197" i="46" s="1"/>
  <c r="E246" i="46"/>
  <c r="F246" i="46" s="1"/>
  <c r="E120" i="46"/>
  <c r="F120" i="46" s="1"/>
  <c r="E205" i="46"/>
  <c r="F205" i="46" s="1"/>
  <c r="E179" i="46"/>
  <c r="F179" i="46" s="1"/>
  <c r="E202" i="46"/>
  <c r="F202" i="46" s="1"/>
  <c r="E210" i="46"/>
  <c r="F210" i="46" s="1"/>
  <c r="E242" i="46"/>
  <c r="F242" i="46" s="1"/>
  <c r="E169" i="46"/>
  <c r="F169" i="46" s="1"/>
  <c r="E126" i="46"/>
  <c r="F126" i="46" s="1"/>
  <c r="G126" i="46" s="1"/>
  <c r="E229" i="46"/>
  <c r="F229" i="46" s="1"/>
  <c r="E128" i="46"/>
  <c r="F128" i="46" s="1"/>
  <c r="E217" i="46"/>
  <c r="F217" i="46" s="1"/>
  <c r="G217" i="46" s="1"/>
  <c r="E80" i="46"/>
  <c r="F80" i="46" s="1"/>
  <c r="E162" i="46"/>
  <c r="F162" i="46" s="1"/>
  <c r="E85" i="46"/>
  <c r="F85" i="46" s="1"/>
  <c r="E58" i="46"/>
  <c r="F58" i="46" s="1"/>
  <c r="E160" i="46"/>
  <c r="F160" i="46" s="1"/>
  <c r="E249" i="46"/>
  <c r="F249" i="46" s="1"/>
  <c r="H249" i="46" s="1"/>
  <c r="E90" i="46"/>
  <c r="F90" i="46" s="1"/>
  <c r="E244" i="46"/>
  <c r="F244" i="46" s="1"/>
  <c r="E103" i="46"/>
  <c r="F103" i="46" s="1"/>
  <c r="G103" i="46" s="1"/>
  <c r="H103" i="46"/>
  <c r="E140" i="46"/>
  <c r="F140" i="46" s="1"/>
  <c r="E153" i="46"/>
  <c r="F153" i="46" s="1"/>
  <c r="E118" i="46"/>
  <c r="F118" i="46" s="1"/>
  <c r="G118" i="46" s="1"/>
  <c r="E124" i="46"/>
  <c r="F124" i="46" s="1"/>
  <c r="E183" i="46"/>
  <c r="F183" i="46" s="1"/>
  <c r="E146" i="46"/>
  <c r="F146" i="46" s="1"/>
  <c r="E137" i="46"/>
  <c r="F137" i="46" s="1"/>
  <c r="E164" i="46"/>
  <c r="F164" i="46" s="1"/>
  <c r="E161" i="46"/>
  <c r="F161" i="46" s="1"/>
  <c r="E89" i="46"/>
  <c r="F89" i="46" s="1"/>
  <c r="E98" i="46"/>
  <c r="F98" i="46" s="1"/>
  <c r="E132" i="46"/>
  <c r="F132" i="46" s="1"/>
  <c r="G132" i="46" s="1"/>
  <c r="E94" i="46"/>
  <c r="F94" i="46" s="1"/>
  <c r="E79" i="46"/>
  <c r="F79" i="46" s="1"/>
  <c r="E108" i="46"/>
  <c r="F108" i="46" s="1"/>
  <c r="G108" i="46" s="1"/>
  <c r="E53" i="46"/>
  <c r="F53" i="46" s="1"/>
  <c r="E178" i="46"/>
  <c r="F178" i="46" s="1"/>
  <c r="E152" i="46"/>
  <c r="F152" i="46" s="1"/>
  <c r="E50" i="46"/>
  <c r="F50" i="46" s="1"/>
  <c r="E64" i="46"/>
  <c r="F64" i="46" s="1"/>
  <c r="E56" i="46"/>
  <c r="F56" i="46" s="1"/>
  <c r="E96" i="46"/>
  <c r="F96" i="46" s="1"/>
  <c r="E154" i="46"/>
  <c r="F154" i="46" s="1"/>
  <c r="E51" i="46"/>
  <c r="F51" i="46" s="1"/>
  <c r="G51" i="46" s="1"/>
  <c r="H51" i="46"/>
  <c r="E21" i="46"/>
  <c r="F21" i="46" s="1"/>
  <c r="E59" i="46"/>
  <c r="F59" i="46" s="1"/>
  <c r="E39" i="46"/>
  <c r="F39" i="46" s="1"/>
  <c r="G39" i="46" s="1"/>
  <c r="H39" i="46"/>
  <c r="E165" i="46"/>
  <c r="F165" i="46" s="1"/>
  <c r="E34" i="46"/>
  <c r="F34" i="46" s="1"/>
  <c r="E228" i="46"/>
  <c r="F228" i="46" s="1"/>
  <c r="G228" i="46" s="1"/>
  <c r="E25" i="46"/>
  <c r="F25" i="46" s="1"/>
  <c r="E181" i="46"/>
  <c r="F181" i="46" s="1"/>
  <c r="E32" i="46"/>
  <c r="F32" i="46" s="1"/>
  <c r="E173" i="46"/>
  <c r="F173" i="46" s="1"/>
  <c r="E17" i="46"/>
  <c r="F17" i="46" s="1"/>
  <c r="E46" i="46"/>
  <c r="F46" i="46" s="1"/>
  <c r="G46" i="46" s="1"/>
  <c r="E36" i="46"/>
  <c r="F36" i="46" s="1"/>
  <c r="E19" i="46"/>
  <c r="F19" i="46" s="1"/>
  <c r="E29" i="46"/>
  <c r="F29" i="46" s="1"/>
  <c r="E213" i="46"/>
  <c r="F213" i="46" s="1"/>
  <c r="E172" i="46"/>
  <c r="F172" i="46" s="1"/>
  <c r="E233" i="46"/>
  <c r="F233" i="46" s="1"/>
  <c r="E20" i="46"/>
  <c r="F20" i="46" s="1"/>
  <c r="E97" i="46"/>
  <c r="F97" i="46" s="1"/>
  <c r="E72" i="46"/>
  <c r="F72" i="46" s="1"/>
  <c r="G72" i="46" s="1"/>
  <c r="E33" i="46"/>
  <c r="F33" i="46" s="1"/>
  <c r="E13" i="46"/>
  <c r="F13" i="46" s="1"/>
  <c r="E24" i="46"/>
  <c r="F24" i="46" s="1"/>
  <c r="G24" i="46" s="1"/>
  <c r="E18" i="46"/>
  <c r="F18" i="46" s="1"/>
  <c r="E35" i="46"/>
  <c r="F35" i="46" s="1"/>
  <c r="E10" i="46"/>
  <c r="F10" i="46" s="1"/>
  <c r="G10" i="46" s="1"/>
  <c r="E216" i="46"/>
  <c r="F216" i="46" s="1"/>
  <c r="E31" i="46"/>
  <c r="F31" i="46" s="1"/>
  <c r="E187" i="46"/>
  <c r="F187" i="46" s="1"/>
  <c r="G187" i="46" s="1"/>
  <c r="H187" i="46"/>
  <c r="E5" i="46"/>
  <c r="F5" i="46" s="1"/>
  <c r="E6" i="46"/>
  <c r="F6" i="46" s="1"/>
  <c r="E191" i="46"/>
  <c r="F191" i="46" s="1"/>
  <c r="E38" i="46"/>
  <c r="F38" i="46" s="1"/>
  <c r="E218" i="46"/>
  <c r="F218" i="46" s="1"/>
  <c r="E30" i="46"/>
  <c r="F30" i="46" s="1"/>
  <c r="G30" i="46" s="1"/>
  <c r="H30" i="46"/>
  <c r="E22" i="46"/>
  <c r="F22" i="46" s="1"/>
  <c r="E41" i="46"/>
  <c r="F41" i="46" s="1"/>
  <c r="E230" i="46"/>
  <c r="F230" i="46" s="1"/>
  <c r="E63" i="46"/>
  <c r="F63" i="46" s="1"/>
  <c r="E203" i="46"/>
  <c r="F203" i="46" s="1"/>
  <c r="E239" i="46"/>
  <c r="F239" i="46" s="1"/>
  <c r="E226" i="46"/>
  <c r="F226" i="46" s="1"/>
  <c r="E198" i="46"/>
  <c r="F198" i="46" s="1"/>
  <c r="E7" i="46"/>
  <c r="F7" i="46" s="1"/>
  <c r="G7" i="46" s="1"/>
  <c r="H7" i="46"/>
  <c r="E42" i="46"/>
  <c r="F42" i="46" s="1"/>
  <c r="E78" i="46"/>
  <c r="F78" i="46" s="1"/>
  <c r="E26" i="46"/>
  <c r="F26" i="46" s="1"/>
  <c r="E65" i="46"/>
  <c r="F65" i="46" s="1"/>
  <c r="E54" i="46"/>
  <c r="F54" i="46" s="1"/>
  <c r="E189" i="46"/>
  <c r="F189" i="46" s="1"/>
  <c r="G189" i="46" s="1"/>
  <c r="E107" i="46"/>
  <c r="F107" i="46" s="1"/>
  <c r="E224" i="46"/>
  <c r="F224" i="46" s="1"/>
  <c r="E14" i="46"/>
  <c r="F14" i="46" s="1"/>
  <c r="E48" i="46"/>
  <c r="F48" i="46" s="1"/>
  <c r="E158" i="46"/>
  <c r="F158" i="46" s="1"/>
  <c r="E23" i="46"/>
  <c r="F23" i="46" s="1"/>
  <c r="E37" i="46"/>
  <c r="F37" i="46" s="1"/>
  <c r="E176" i="46"/>
  <c r="F176" i="46" s="1"/>
  <c r="E11" i="46"/>
  <c r="F11" i="46" s="1"/>
  <c r="E12" i="46"/>
  <c r="F12" i="46" s="1"/>
  <c r="E28" i="46"/>
  <c r="F28" i="46" s="1"/>
  <c r="E245" i="46"/>
  <c r="F245" i="46" s="1"/>
  <c r="E44" i="46"/>
  <c r="F44" i="46" s="1"/>
  <c r="E16" i="46"/>
  <c r="F16" i="46" s="1"/>
  <c r="E112" i="46"/>
  <c r="F112" i="46" s="1"/>
  <c r="G112" i="46" s="1"/>
  <c r="E139" i="46"/>
  <c r="F139" i="46" s="1"/>
  <c r="E155" i="46"/>
  <c r="F155" i="46" s="1"/>
  <c r="E15" i="46"/>
  <c r="F15" i="46" s="1"/>
  <c r="G15" i="46" s="1"/>
  <c r="E182" i="46"/>
  <c r="F182" i="46" s="1"/>
  <c r="E27" i="46"/>
  <c r="F27" i="46" s="1"/>
  <c r="E43" i="46"/>
  <c r="F43" i="46" s="1"/>
  <c r="G43" i="46" s="1"/>
  <c r="E52" i="46"/>
  <c r="F52" i="46" s="1"/>
  <c r="E174" i="46"/>
  <c r="F174" i="46" s="1"/>
  <c r="E127" i="46"/>
  <c r="F127" i="46" s="1"/>
  <c r="G127" i="46" s="1"/>
  <c r="E121" i="46"/>
  <c r="F121" i="46" s="1"/>
  <c r="E168" i="46"/>
  <c r="F168" i="46" s="1"/>
  <c r="E83" i="46"/>
  <c r="F83" i="46" s="1"/>
  <c r="E106" i="46"/>
  <c r="F106" i="46" s="1"/>
  <c r="E236" i="46"/>
  <c r="F236" i="46" s="1"/>
  <c r="E167" i="46"/>
  <c r="F167" i="46" s="1"/>
  <c r="E68" i="46"/>
  <c r="F68" i="46" s="1"/>
  <c r="E171" i="46"/>
  <c r="F171" i="46" s="1"/>
  <c r="E45" i="46"/>
  <c r="F45" i="46" s="1"/>
  <c r="G45" i="46" s="1"/>
  <c r="E190" i="46"/>
  <c r="F190" i="46" s="1"/>
  <c r="E206" i="46"/>
  <c r="F206" i="46" s="1"/>
  <c r="E70" i="46"/>
  <c r="F70" i="46" s="1"/>
  <c r="G70" i="46" s="1"/>
  <c r="E66" i="46"/>
  <c r="F66" i="46" s="1"/>
  <c r="E8" i="46"/>
  <c r="F8" i="46" s="1"/>
  <c r="E84" i="46"/>
  <c r="F84" i="46" s="1"/>
  <c r="G84" i="46" s="1"/>
  <c r="E134" i="46"/>
  <c r="F134" i="46" s="1"/>
  <c r="E9" i="46"/>
  <c r="F9" i="46" s="1"/>
  <c r="E101" i="46"/>
  <c r="F101" i="46" s="1"/>
  <c r="E61" i="46"/>
  <c r="F61" i="46" s="1"/>
  <c r="E175" i="46"/>
  <c r="F175" i="46" s="1"/>
  <c r="E105" i="46"/>
  <c r="F105" i="46" s="1"/>
  <c r="G105" i="46" s="1"/>
  <c r="E170" i="46"/>
  <c r="F170" i="46" s="1"/>
  <c r="E196" i="46"/>
  <c r="F196" i="46" s="1"/>
  <c r="E199" i="46"/>
  <c r="F199" i="46" s="1"/>
  <c r="G199" i="46" s="1"/>
  <c r="E232" i="46"/>
  <c r="F232" i="46" s="1"/>
  <c r="E211" i="46"/>
  <c r="F211" i="46" s="1"/>
  <c r="E215" i="46"/>
  <c r="F215" i="46" s="1"/>
  <c r="E225" i="46"/>
  <c r="F225" i="46" s="1"/>
  <c r="E200" i="46"/>
  <c r="F200" i="46" s="1"/>
  <c r="E117" i="46"/>
  <c r="F117" i="46" s="1"/>
  <c r="G117" i="46" s="1"/>
  <c r="E221" i="46"/>
  <c r="F221" i="46" s="1"/>
  <c r="E209" i="46"/>
  <c r="F209" i="46" s="1"/>
  <c r="E222" i="46"/>
  <c r="F222" i="46" s="1"/>
  <c r="G222" i="46" s="1"/>
  <c r="E184" i="46"/>
  <c r="F184" i="46" s="1"/>
  <c r="E133" i="46"/>
  <c r="F133" i="46" s="1"/>
  <c r="E102" i="46"/>
  <c r="F102" i="46" s="1"/>
  <c r="G102" i="46" s="1"/>
  <c r="E141" i="46"/>
  <c r="F141" i="46" s="1"/>
  <c r="E201" i="46"/>
  <c r="F201" i="46" s="1"/>
  <c r="E177" i="46"/>
  <c r="F177" i="46" s="1"/>
  <c r="G177" i="46" s="1"/>
  <c r="E180" i="46"/>
  <c r="F180" i="46" s="1"/>
  <c r="E73" i="46"/>
  <c r="F73" i="46" s="1"/>
  <c r="E151" i="46"/>
  <c r="F151" i="46" s="1"/>
  <c r="G151" i="46" s="1"/>
  <c r="E81" i="46"/>
  <c r="F81" i="46" s="1"/>
  <c r="E125" i="46"/>
  <c r="F125" i="46" s="1"/>
  <c r="E113" i="46"/>
  <c r="F113" i="46" s="1"/>
  <c r="E55" i="46"/>
  <c r="F55" i="46" s="1"/>
  <c r="E193" i="46"/>
  <c r="F193" i="46" s="1"/>
  <c r="E188" i="46"/>
  <c r="F188" i="46" s="1"/>
  <c r="E47" i="46"/>
  <c r="F47" i="46" s="1"/>
  <c r="E186" i="46"/>
  <c r="F186" i="46" s="1"/>
  <c r="E214" i="46"/>
  <c r="F214" i="46" s="1"/>
  <c r="G214" i="46" s="1"/>
  <c r="E119" i="46"/>
  <c r="F119" i="46" s="1"/>
  <c r="E185" i="46"/>
  <c r="F185" i="46" s="1"/>
  <c r="E88" i="46"/>
  <c r="F88" i="46" s="1"/>
  <c r="G88" i="46" s="1"/>
  <c r="E240" i="46"/>
  <c r="F240" i="46" s="1"/>
  <c r="E212" i="46"/>
  <c r="F212" i="46" s="1"/>
  <c r="I5" i="46"/>
  <c r="E82" i="46"/>
  <c r="F82" i="46" s="1"/>
  <c r="G2" i="46"/>
  <c r="H107" i="45"/>
  <c r="G107" i="45"/>
  <c r="H104" i="45"/>
  <c r="G104" i="45"/>
  <c r="H101" i="45"/>
  <c r="G101" i="45"/>
  <c r="H98" i="45"/>
  <c r="G98" i="45"/>
  <c r="H95" i="45"/>
  <c r="G95" i="45"/>
  <c r="H92" i="45"/>
  <c r="G92" i="45"/>
  <c r="H89" i="45"/>
  <c r="G89" i="45"/>
  <c r="H86" i="45"/>
  <c r="G86" i="45"/>
  <c r="H83" i="45"/>
  <c r="G83" i="45"/>
  <c r="H80" i="45"/>
  <c r="G80" i="45"/>
  <c r="H77" i="45"/>
  <c r="G77" i="45"/>
  <c r="H74" i="45"/>
  <c r="G74" i="45"/>
  <c r="H71" i="45"/>
  <c r="G71" i="45"/>
  <c r="H68" i="45"/>
  <c r="G68" i="45"/>
  <c r="H65" i="45"/>
  <c r="G65" i="45"/>
  <c r="H62" i="45"/>
  <c r="G62" i="45"/>
  <c r="H59" i="45"/>
  <c r="G59" i="45"/>
  <c r="H56" i="45"/>
  <c r="H109" i="45" s="1"/>
  <c r="G56" i="45"/>
  <c r="H53" i="45"/>
  <c r="G53" i="45"/>
  <c r="H50" i="45"/>
  <c r="G50" i="45"/>
  <c r="H47" i="45"/>
  <c r="G47" i="45"/>
  <c r="H44" i="45"/>
  <c r="G44" i="45"/>
  <c r="H41" i="45"/>
  <c r="G41" i="45"/>
  <c r="H38" i="45"/>
  <c r="G38" i="45"/>
  <c r="H35" i="45"/>
  <c r="G35" i="45"/>
  <c r="H32" i="45"/>
  <c r="G32" i="45"/>
  <c r="H29" i="45"/>
  <c r="G29" i="45"/>
  <c r="H26" i="45"/>
  <c r="G26" i="45"/>
  <c r="H23" i="45"/>
  <c r="G23" i="45"/>
  <c r="H20" i="45"/>
  <c r="G20" i="45"/>
  <c r="H17" i="45"/>
  <c r="G17" i="45"/>
  <c r="H14" i="45"/>
  <c r="G14" i="45"/>
  <c r="H11" i="45"/>
  <c r="G11" i="45"/>
  <c r="H8" i="45"/>
  <c r="G8" i="45"/>
  <c r="H5" i="45"/>
  <c r="G5" i="45"/>
  <c r="F109" i="45"/>
  <c r="I6" i="45"/>
  <c r="I7" i="45"/>
  <c r="I8" i="45"/>
  <c r="I9" i="45"/>
  <c r="I10" i="45"/>
  <c r="I11" i="45"/>
  <c r="I12" i="45"/>
  <c r="I13" i="45"/>
  <c r="I14" i="45"/>
  <c r="I15" i="45"/>
  <c r="I16" i="45"/>
  <c r="I17" i="45"/>
  <c r="I18" i="45"/>
  <c r="I19" i="45"/>
  <c r="I20" i="45"/>
  <c r="I21" i="45"/>
  <c r="I22" i="45"/>
  <c r="I23" i="45"/>
  <c r="I24" i="45"/>
  <c r="I25" i="45"/>
  <c r="I26" i="45"/>
  <c r="I27" i="45"/>
  <c r="I28" i="45"/>
  <c r="I29" i="45"/>
  <c r="I30" i="45"/>
  <c r="I31" i="45"/>
  <c r="I32" i="45"/>
  <c r="I33" i="45"/>
  <c r="I34" i="45"/>
  <c r="I35" i="45"/>
  <c r="I36" i="45"/>
  <c r="I37" i="45"/>
  <c r="I38" i="45"/>
  <c r="I39" i="45"/>
  <c r="I40" i="45"/>
  <c r="I41" i="45"/>
  <c r="I42" i="45"/>
  <c r="I43" i="45"/>
  <c r="I44" i="45"/>
  <c r="I45" i="45"/>
  <c r="I46" i="45"/>
  <c r="I47" i="45"/>
  <c r="I48" i="45"/>
  <c r="I49" i="45"/>
  <c r="I50" i="45"/>
  <c r="I51" i="45"/>
  <c r="I52" i="45"/>
  <c r="I53" i="45"/>
  <c r="I54" i="45"/>
  <c r="I55" i="45"/>
  <c r="I56" i="45"/>
  <c r="I57" i="45"/>
  <c r="I58" i="45"/>
  <c r="I59" i="45"/>
  <c r="I60" i="45"/>
  <c r="I61" i="45"/>
  <c r="I62" i="45"/>
  <c r="I63" i="45"/>
  <c r="I64" i="45"/>
  <c r="I65" i="45"/>
  <c r="I66" i="45"/>
  <c r="I67" i="45"/>
  <c r="I68" i="45"/>
  <c r="I69" i="45"/>
  <c r="I70" i="45"/>
  <c r="I71" i="45"/>
  <c r="I72" i="45"/>
  <c r="I73" i="45"/>
  <c r="I74" i="45"/>
  <c r="I75" i="45"/>
  <c r="I76" i="45"/>
  <c r="I77" i="45"/>
  <c r="I78" i="45"/>
  <c r="I79" i="45"/>
  <c r="I80" i="45"/>
  <c r="I81" i="45"/>
  <c r="I82" i="45"/>
  <c r="I83" i="45"/>
  <c r="I84" i="45"/>
  <c r="I85" i="45"/>
  <c r="I86" i="45"/>
  <c r="I87" i="45"/>
  <c r="I88" i="45"/>
  <c r="I89" i="45"/>
  <c r="I90" i="45"/>
  <c r="I91" i="45"/>
  <c r="I92" i="45"/>
  <c r="I93" i="45"/>
  <c r="I94" i="45"/>
  <c r="I95" i="45"/>
  <c r="I96" i="45"/>
  <c r="I97" i="45"/>
  <c r="I98" i="45"/>
  <c r="I99" i="45"/>
  <c r="I100" i="45"/>
  <c r="I101" i="45"/>
  <c r="I102" i="45"/>
  <c r="I103" i="45"/>
  <c r="I104" i="45"/>
  <c r="I105" i="45"/>
  <c r="I106" i="45"/>
  <c r="I107" i="45"/>
  <c r="E107" i="45"/>
  <c r="F107" i="45" s="1"/>
  <c r="E106" i="45"/>
  <c r="F106" i="45" s="1"/>
  <c r="E98" i="45"/>
  <c r="F98" i="45" s="1"/>
  <c r="E99" i="45"/>
  <c r="F99" i="45" s="1"/>
  <c r="E88" i="45"/>
  <c r="F88" i="45" s="1"/>
  <c r="E91" i="45"/>
  <c r="F91" i="45" s="1"/>
  <c r="E53" i="45"/>
  <c r="F53" i="45" s="1"/>
  <c r="E9" i="45"/>
  <c r="F9" i="45" s="1"/>
  <c r="E40" i="45"/>
  <c r="F40" i="45" s="1"/>
  <c r="E77" i="45"/>
  <c r="F77" i="45" s="1"/>
  <c r="E58" i="45"/>
  <c r="F58" i="45" s="1"/>
  <c r="E47" i="45"/>
  <c r="F47" i="45" s="1"/>
  <c r="E69" i="45"/>
  <c r="F69" i="45" s="1"/>
  <c r="E13" i="45"/>
  <c r="F13" i="45" s="1"/>
  <c r="E35" i="45"/>
  <c r="F35" i="45" s="1"/>
  <c r="E23" i="45"/>
  <c r="F23" i="45" s="1"/>
  <c r="E5" i="45"/>
  <c r="F5" i="45" s="1"/>
  <c r="E12" i="45"/>
  <c r="F12" i="45" s="1"/>
  <c r="E33" i="45"/>
  <c r="F33" i="45" s="1"/>
  <c r="E70" i="45"/>
  <c r="F70" i="45" s="1"/>
  <c r="E21" i="45"/>
  <c r="F21" i="45" s="1"/>
  <c r="E26" i="45"/>
  <c r="F26" i="45" s="1"/>
  <c r="E79" i="45"/>
  <c r="F79" i="45" s="1"/>
  <c r="E10" i="45"/>
  <c r="F10" i="45" s="1"/>
  <c r="E30" i="45"/>
  <c r="F30" i="45" s="1"/>
  <c r="E19" i="45"/>
  <c r="F19" i="45" s="1"/>
  <c r="E43" i="45"/>
  <c r="F43" i="45" s="1"/>
  <c r="E46" i="45"/>
  <c r="F46" i="45" s="1"/>
  <c r="E48" i="45"/>
  <c r="F48" i="45" s="1"/>
  <c r="E83" i="45"/>
  <c r="F83" i="45" s="1"/>
  <c r="E34" i="45"/>
  <c r="F34" i="45" s="1"/>
  <c r="E15" i="45"/>
  <c r="F15" i="45" s="1"/>
  <c r="E84" i="45"/>
  <c r="F84" i="45" s="1"/>
  <c r="E6" i="45"/>
  <c r="F6" i="45" s="1"/>
  <c r="E11" i="45"/>
  <c r="F11" i="45" s="1"/>
  <c r="E63" i="45"/>
  <c r="F63" i="45" s="1"/>
  <c r="E22" i="45"/>
  <c r="F22" i="45" s="1"/>
  <c r="E20" i="45"/>
  <c r="F20" i="45" s="1"/>
  <c r="E29" i="45"/>
  <c r="F29" i="45" s="1"/>
  <c r="E76" i="45"/>
  <c r="F76" i="45" s="1"/>
  <c r="E73" i="45"/>
  <c r="F73" i="45" s="1"/>
  <c r="E41" i="45"/>
  <c r="F41" i="45" s="1"/>
  <c r="E55" i="45"/>
  <c r="F55" i="45" s="1"/>
  <c r="E54" i="45"/>
  <c r="F54" i="45" s="1"/>
  <c r="E17" i="45"/>
  <c r="F17" i="45" s="1"/>
  <c r="E82" i="45"/>
  <c r="F82" i="45" s="1"/>
  <c r="E65" i="45"/>
  <c r="F65" i="45" s="1"/>
  <c r="E38" i="45"/>
  <c r="F38" i="45" s="1"/>
  <c r="E25" i="45"/>
  <c r="F25" i="45" s="1"/>
  <c r="E18" i="45"/>
  <c r="F18" i="45" s="1"/>
  <c r="E14" i="45"/>
  <c r="F14" i="45" s="1"/>
  <c r="E7" i="45"/>
  <c r="F7" i="45" s="1"/>
  <c r="E31" i="45"/>
  <c r="F31" i="45" s="1"/>
  <c r="E32" i="45"/>
  <c r="F32" i="45" s="1"/>
  <c r="E16" i="45"/>
  <c r="F16" i="45" s="1"/>
  <c r="E66" i="45"/>
  <c r="F66" i="45" s="1"/>
  <c r="E28" i="45"/>
  <c r="F28" i="45" s="1"/>
  <c r="E24" i="45"/>
  <c r="F24" i="45" s="1"/>
  <c r="E8" i="45"/>
  <c r="F8" i="45" s="1"/>
  <c r="E86" i="45"/>
  <c r="F86" i="45" s="1"/>
  <c r="E57" i="45"/>
  <c r="F57" i="45" s="1"/>
  <c r="E52" i="45"/>
  <c r="F52" i="45" s="1"/>
  <c r="E50" i="45"/>
  <c r="F50" i="45" s="1"/>
  <c r="E60" i="45"/>
  <c r="F60" i="45" s="1"/>
  <c r="E71" i="45"/>
  <c r="F71" i="45" s="1"/>
  <c r="E100" i="45"/>
  <c r="F100" i="45" s="1"/>
  <c r="E104" i="45"/>
  <c r="F104" i="45" s="1"/>
  <c r="E93" i="45"/>
  <c r="F93" i="45" s="1"/>
  <c r="E85" i="45"/>
  <c r="F85" i="45" s="1"/>
  <c r="E90" i="45"/>
  <c r="F90" i="45" s="1"/>
  <c r="E101" i="45"/>
  <c r="F101" i="45" s="1"/>
  <c r="E75" i="45"/>
  <c r="F75" i="45" s="1"/>
  <c r="E96" i="45"/>
  <c r="F96" i="45" s="1"/>
  <c r="E74" i="45"/>
  <c r="F74" i="45" s="1"/>
  <c r="E81" i="45"/>
  <c r="F81" i="45" s="1"/>
  <c r="E78" i="45"/>
  <c r="F78" i="45" s="1"/>
  <c r="E72" i="45"/>
  <c r="F72" i="45" s="1"/>
  <c r="E87" i="45"/>
  <c r="F87" i="45" s="1"/>
  <c r="E94" i="45"/>
  <c r="F94" i="45" s="1"/>
  <c r="E103" i="45"/>
  <c r="F103" i="45" s="1"/>
  <c r="E67" i="45"/>
  <c r="F67" i="45" s="1"/>
  <c r="E51" i="45"/>
  <c r="F51" i="45" s="1"/>
  <c r="E62" i="45"/>
  <c r="F62" i="45" s="1"/>
  <c r="E49" i="45"/>
  <c r="F49" i="45" s="1"/>
  <c r="E42" i="45"/>
  <c r="F42" i="45" s="1"/>
  <c r="E36" i="45"/>
  <c r="F36" i="45" s="1"/>
  <c r="E39" i="45"/>
  <c r="F39" i="45" s="1"/>
  <c r="E64" i="45"/>
  <c r="F64" i="45" s="1"/>
  <c r="E59" i="45"/>
  <c r="F59" i="45" s="1"/>
  <c r="E80" i="45"/>
  <c r="F80" i="45" s="1"/>
  <c r="E37" i="45"/>
  <c r="F37" i="45" s="1"/>
  <c r="E56" i="45"/>
  <c r="F56" i="45" s="1"/>
  <c r="E68" i="45"/>
  <c r="F68" i="45" s="1"/>
  <c r="E44" i="45"/>
  <c r="F44" i="45" s="1"/>
  <c r="E27" i="45"/>
  <c r="F27" i="45" s="1"/>
  <c r="E45" i="45"/>
  <c r="F45" i="45" s="1"/>
  <c r="E61" i="45"/>
  <c r="F61" i="45" s="1"/>
  <c r="E102" i="45"/>
  <c r="F102" i="45" s="1"/>
  <c r="E97" i="45"/>
  <c r="F97" i="45" s="1"/>
  <c r="E95" i="45"/>
  <c r="F95" i="45" s="1"/>
  <c r="E89" i="45"/>
  <c r="F89" i="45" s="1"/>
  <c r="E105" i="45"/>
  <c r="F105" i="45" s="1"/>
  <c r="H105" i="45" s="1"/>
  <c r="I5" i="45"/>
  <c r="E92" i="45"/>
  <c r="F92" i="45" s="1"/>
  <c r="G2" i="45"/>
  <c r="H80" i="44"/>
  <c r="G80" i="44"/>
  <c r="H77" i="44"/>
  <c r="G77" i="44"/>
  <c r="H74" i="44"/>
  <c r="G74" i="44"/>
  <c r="H71" i="44"/>
  <c r="G71" i="44"/>
  <c r="H68" i="44"/>
  <c r="G68" i="44"/>
  <c r="H65" i="44"/>
  <c r="G65" i="44"/>
  <c r="H62" i="44"/>
  <c r="G62" i="44"/>
  <c r="H59" i="44"/>
  <c r="G59" i="44"/>
  <c r="H56" i="44"/>
  <c r="G56" i="44"/>
  <c r="H53" i="44"/>
  <c r="G53" i="44"/>
  <c r="H50" i="44"/>
  <c r="G50" i="44"/>
  <c r="H47" i="44"/>
  <c r="G47" i="44"/>
  <c r="H44" i="44"/>
  <c r="G44" i="44"/>
  <c r="H41" i="44"/>
  <c r="G41" i="44"/>
  <c r="H38" i="44"/>
  <c r="G38" i="44"/>
  <c r="H35" i="44"/>
  <c r="G35" i="44"/>
  <c r="H32" i="44"/>
  <c r="G32" i="44"/>
  <c r="H29" i="44"/>
  <c r="G29" i="44"/>
  <c r="H26" i="44"/>
  <c r="G26" i="44"/>
  <c r="H23" i="44"/>
  <c r="G23" i="44"/>
  <c r="H20" i="44"/>
  <c r="G20" i="44"/>
  <c r="H17" i="44"/>
  <c r="G17" i="44"/>
  <c r="H14" i="44"/>
  <c r="G14" i="44"/>
  <c r="H11" i="44"/>
  <c r="G11" i="44"/>
  <c r="H8" i="44"/>
  <c r="H82" i="44" s="1"/>
  <c r="G8" i="44"/>
  <c r="H5" i="44"/>
  <c r="G5" i="44"/>
  <c r="F82" i="44"/>
  <c r="I6" i="44"/>
  <c r="I7" i="44"/>
  <c r="I8" i="44"/>
  <c r="I9" i="44"/>
  <c r="I10" i="44"/>
  <c r="I11" i="44"/>
  <c r="I12" i="44"/>
  <c r="I13" i="44"/>
  <c r="I14" i="44"/>
  <c r="I15" i="44"/>
  <c r="I16" i="44"/>
  <c r="I17" i="44"/>
  <c r="I18" i="44"/>
  <c r="I19" i="44"/>
  <c r="I20" i="44"/>
  <c r="I21" i="44"/>
  <c r="I22" i="44"/>
  <c r="I23" i="44"/>
  <c r="I24" i="44"/>
  <c r="I25" i="44"/>
  <c r="I26" i="44"/>
  <c r="I27" i="44"/>
  <c r="I28" i="44"/>
  <c r="I29" i="44"/>
  <c r="I30" i="44"/>
  <c r="I31" i="44"/>
  <c r="I32" i="44"/>
  <c r="I33" i="44"/>
  <c r="I34" i="44"/>
  <c r="I35" i="44"/>
  <c r="I36" i="44"/>
  <c r="I37" i="44"/>
  <c r="I38" i="44"/>
  <c r="I39" i="44"/>
  <c r="I40" i="44"/>
  <c r="I41" i="44"/>
  <c r="I42" i="44"/>
  <c r="I43" i="44"/>
  <c r="I44" i="44"/>
  <c r="I45" i="44"/>
  <c r="I46" i="44"/>
  <c r="I47" i="44"/>
  <c r="I48" i="44"/>
  <c r="I49" i="44"/>
  <c r="I50" i="44"/>
  <c r="I51" i="44"/>
  <c r="I52" i="44"/>
  <c r="I53" i="44"/>
  <c r="I54" i="44"/>
  <c r="I55" i="44"/>
  <c r="I56" i="44"/>
  <c r="I57" i="44"/>
  <c r="I58" i="44"/>
  <c r="I59" i="44"/>
  <c r="I60" i="44"/>
  <c r="I61" i="44"/>
  <c r="I62" i="44"/>
  <c r="I63" i="44"/>
  <c r="I64" i="44"/>
  <c r="I65" i="44"/>
  <c r="I66" i="44"/>
  <c r="I67" i="44"/>
  <c r="I68" i="44"/>
  <c r="I69" i="44"/>
  <c r="I70" i="44"/>
  <c r="I71" i="44"/>
  <c r="I72" i="44"/>
  <c r="I73" i="44"/>
  <c r="I74" i="44"/>
  <c r="I75" i="44"/>
  <c r="I76" i="44"/>
  <c r="I77" i="44"/>
  <c r="I78" i="44"/>
  <c r="I79" i="44"/>
  <c r="I80" i="44"/>
  <c r="E74" i="44"/>
  <c r="F74" i="44" s="1"/>
  <c r="E79" i="44"/>
  <c r="F79" i="44" s="1"/>
  <c r="E76" i="44"/>
  <c r="F76" i="44" s="1"/>
  <c r="E58" i="44"/>
  <c r="F58" i="44" s="1"/>
  <c r="E49" i="44"/>
  <c r="F49" i="44" s="1"/>
  <c r="E68" i="44"/>
  <c r="F68" i="44" s="1"/>
  <c r="E64" i="44"/>
  <c r="F64" i="44" s="1"/>
  <c r="E51" i="44"/>
  <c r="F51" i="44" s="1"/>
  <c r="E38" i="44"/>
  <c r="F38" i="44" s="1"/>
  <c r="E34" i="44"/>
  <c r="F34" i="44" s="1"/>
  <c r="E61" i="44"/>
  <c r="F61" i="44" s="1"/>
  <c r="E59" i="44"/>
  <c r="F59" i="44" s="1"/>
  <c r="E19" i="44"/>
  <c r="F19" i="44" s="1"/>
  <c r="E41" i="44"/>
  <c r="F41" i="44" s="1"/>
  <c r="E70" i="44"/>
  <c r="F70" i="44" s="1"/>
  <c r="E27" i="44"/>
  <c r="F27" i="44" s="1"/>
  <c r="E30" i="44"/>
  <c r="F30" i="44" s="1"/>
  <c r="E35" i="44"/>
  <c r="F35" i="44" s="1"/>
  <c r="E47" i="44"/>
  <c r="F47" i="44" s="1"/>
  <c r="E25" i="44"/>
  <c r="F25" i="44" s="1"/>
  <c r="E52" i="44"/>
  <c r="F52" i="44" s="1"/>
  <c r="E36" i="44"/>
  <c r="F36" i="44" s="1"/>
  <c r="E78" i="44"/>
  <c r="F78" i="44" s="1"/>
  <c r="E65" i="44"/>
  <c r="F65" i="44" s="1"/>
  <c r="E57" i="44"/>
  <c r="F57" i="44" s="1"/>
  <c r="E44" i="44"/>
  <c r="F44" i="44" s="1"/>
  <c r="E53" i="44"/>
  <c r="F53" i="44" s="1"/>
  <c r="E33" i="44"/>
  <c r="F33" i="44" s="1"/>
  <c r="E71" i="44"/>
  <c r="F71" i="44" s="1"/>
  <c r="E55" i="44"/>
  <c r="F55" i="44" s="1"/>
  <c r="E48" i="44"/>
  <c r="F48" i="44" s="1"/>
  <c r="E45" i="44"/>
  <c r="F45" i="44" s="1"/>
  <c r="E46" i="44"/>
  <c r="F46" i="44" s="1"/>
  <c r="E17" i="44"/>
  <c r="F17" i="44" s="1"/>
  <c r="E39" i="44"/>
  <c r="F39" i="44" s="1"/>
  <c r="E15" i="44"/>
  <c r="F15" i="44" s="1"/>
  <c r="E16" i="44"/>
  <c r="F16" i="44" s="1"/>
  <c r="E29" i="44"/>
  <c r="F29" i="44" s="1"/>
  <c r="E11" i="44"/>
  <c r="F11" i="44" s="1"/>
  <c r="E20" i="44"/>
  <c r="F20" i="44" s="1"/>
  <c r="E12" i="44"/>
  <c r="F12" i="44" s="1"/>
  <c r="E5" i="44"/>
  <c r="F5" i="44" s="1"/>
  <c r="E18" i="44"/>
  <c r="F18" i="44" s="1"/>
  <c r="E13" i="44"/>
  <c r="F13" i="44" s="1"/>
  <c r="E62" i="44"/>
  <c r="F62" i="44" s="1"/>
  <c r="E22" i="44"/>
  <c r="F22" i="44" s="1"/>
  <c r="E69" i="44"/>
  <c r="F69" i="44" s="1"/>
  <c r="E75" i="44"/>
  <c r="F75" i="44" s="1"/>
  <c r="E32" i="44"/>
  <c r="F32" i="44" s="1"/>
  <c r="E72" i="44"/>
  <c r="F72" i="44" s="1"/>
  <c r="E14" i="44"/>
  <c r="F14" i="44" s="1"/>
  <c r="E37" i="44"/>
  <c r="F37" i="44" s="1"/>
  <c r="E40" i="44"/>
  <c r="F40" i="44" s="1"/>
  <c r="E21" i="44"/>
  <c r="F21" i="44" s="1"/>
  <c r="E67" i="44"/>
  <c r="F67" i="44" s="1"/>
  <c r="E66" i="44"/>
  <c r="F66" i="44" s="1"/>
  <c r="E50" i="44"/>
  <c r="F50" i="44" s="1"/>
  <c r="E63" i="44"/>
  <c r="F63" i="44" s="1"/>
  <c r="E56" i="44"/>
  <c r="F56" i="44" s="1"/>
  <c r="E24" i="44"/>
  <c r="F24" i="44" s="1"/>
  <c r="E73" i="44"/>
  <c r="F73" i="44" s="1"/>
  <c r="E8" i="44"/>
  <c r="F8" i="44" s="1"/>
  <c r="E60" i="44"/>
  <c r="F60" i="44" s="1"/>
  <c r="E54" i="44"/>
  <c r="F54" i="44" s="1"/>
  <c r="E7" i="44"/>
  <c r="F7" i="44" s="1"/>
  <c r="E43" i="44"/>
  <c r="F43" i="44" s="1"/>
  <c r="E31" i="44"/>
  <c r="F31" i="44" s="1"/>
  <c r="E10" i="44"/>
  <c r="F10" i="44" s="1"/>
  <c r="E6" i="44"/>
  <c r="F6" i="44" s="1"/>
  <c r="E26" i="44"/>
  <c r="F26" i="44" s="1"/>
  <c r="E23" i="44"/>
  <c r="F23" i="44" s="1"/>
  <c r="E9" i="44"/>
  <c r="F9" i="44" s="1"/>
  <c r="E28" i="44"/>
  <c r="F28" i="44" s="1"/>
  <c r="E42" i="44"/>
  <c r="F42" i="44" s="1"/>
  <c r="E80" i="44"/>
  <c r="F80" i="44" s="1"/>
  <c r="I5" i="44"/>
  <c r="E77" i="44"/>
  <c r="F77" i="44" s="1"/>
  <c r="G2" i="44"/>
  <c r="H119" i="43"/>
  <c r="G119" i="43"/>
  <c r="H116" i="43"/>
  <c r="G116" i="43"/>
  <c r="H113" i="43"/>
  <c r="G113" i="43"/>
  <c r="H110" i="43"/>
  <c r="G110" i="43"/>
  <c r="H107" i="43"/>
  <c r="G107" i="43"/>
  <c r="H104" i="43"/>
  <c r="G104" i="43"/>
  <c r="H101" i="43"/>
  <c r="G101" i="43"/>
  <c r="H98" i="43"/>
  <c r="G98" i="43"/>
  <c r="H95" i="43"/>
  <c r="G95" i="43"/>
  <c r="H92" i="43"/>
  <c r="G92" i="43"/>
  <c r="H89" i="43"/>
  <c r="G89" i="43"/>
  <c r="H86" i="43"/>
  <c r="G86" i="43"/>
  <c r="H83" i="43"/>
  <c r="G83" i="43"/>
  <c r="H80" i="43"/>
  <c r="G80" i="43"/>
  <c r="H77" i="43"/>
  <c r="G77" i="43"/>
  <c r="H74" i="43"/>
  <c r="G74" i="43"/>
  <c r="H71" i="43"/>
  <c r="G71" i="43"/>
  <c r="H68" i="43"/>
  <c r="G68" i="43"/>
  <c r="H65" i="43"/>
  <c r="G65" i="43"/>
  <c r="H62" i="43"/>
  <c r="G62" i="43"/>
  <c r="H59" i="43"/>
  <c r="G59" i="43"/>
  <c r="H56" i="43"/>
  <c r="G56" i="43"/>
  <c r="H53" i="43"/>
  <c r="G53" i="43"/>
  <c r="H50" i="43"/>
  <c r="G50" i="43"/>
  <c r="H47" i="43"/>
  <c r="G47" i="43"/>
  <c r="H44" i="43"/>
  <c r="G44" i="43"/>
  <c r="H41" i="43"/>
  <c r="G41" i="43"/>
  <c r="H38" i="43"/>
  <c r="G38" i="43"/>
  <c r="H35" i="43"/>
  <c r="G35" i="43"/>
  <c r="H32" i="43"/>
  <c r="G32" i="43"/>
  <c r="H29" i="43"/>
  <c r="G29" i="43"/>
  <c r="H26" i="43"/>
  <c r="G26" i="43"/>
  <c r="H23" i="43"/>
  <c r="G23" i="43"/>
  <c r="H20" i="43"/>
  <c r="G20" i="43"/>
  <c r="H17" i="43"/>
  <c r="G17" i="43"/>
  <c r="H14" i="43"/>
  <c r="H123" i="43" s="1"/>
  <c r="G14" i="43"/>
  <c r="G123" i="43" s="1"/>
  <c r="H11" i="43"/>
  <c r="G11" i="43"/>
  <c r="H8" i="43"/>
  <c r="G8" i="43"/>
  <c r="H5" i="43"/>
  <c r="G5" i="43"/>
  <c r="F123" i="43"/>
  <c r="I6" i="43"/>
  <c r="I7" i="43"/>
  <c r="I8" i="43"/>
  <c r="I9" i="43"/>
  <c r="I10" i="43"/>
  <c r="I11" i="43"/>
  <c r="I12" i="43"/>
  <c r="I13" i="43"/>
  <c r="I14" i="43"/>
  <c r="I15" i="43"/>
  <c r="I16" i="43"/>
  <c r="I17" i="43"/>
  <c r="I18" i="43"/>
  <c r="I19" i="43"/>
  <c r="I20" i="43"/>
  <c r="I21" i="43"/>
  <c r="I22" i="43"/>
  <c r="I23" i="43"/>
  <c r="I24" i="43"/>
  <c r="I25" i="43"/>
  <c r="I26" i="43"/>
  <c r="I27" i="43"/>
  <c r="I28" i="43"/>
  <c r="I29" i="43"/>
  <c r="I30" i="43"/>
  <c r="I31" i="43"/>
  <c r="I32" i="43"/>
  <c r="I33" i="43"/>
  <c r="I34" i="43"/>
  <c r="I35" i="43"/>
  <c r="I36" i="43"/>
  <c r="I37" i="43"/>
  <c r="I38" i="43"/>
  <c r="I39" i="43"/>
  <c r="I40" i="43"/>
  <c r="I41" i="43"/>
  <c r="I42" i="43"/>
  <c r="I43" i="43"/>
  <c r="I44" i="43"/>
  <c r="I45" i="43"/>
  <c r="I46" i="43"/>
  <c r="I47" i="43"/>
  <c r="I48" i="43"/>
  <c r="I49" i="43"/>
  <c r="I50" i="43"/>
  <c r="I51" i="43"/>
  <c r="I52" i="43"/>
  <c r="I53" i="43"/>
  <c r="I54" i="43"/>
  <c r="I55" i="43"/>
  <c r="I56" i="43"/>
  <c r="I57" i="43"/>
  <c r="I58" i="43"/>
  <c r="I59" i="43"/>
  <c r="I60" i="43"/>
  <c r="I61" i="43"/>
  <c r="I62" i="43"/>
  <c r="I63" i="43"/>
  <c r="I64" i="43"/>
  <c r="I65" i="43"/>
  <c r="I66" i="43"/>
  <c r="I67" i="43"/>
  <c r="I68" i="43"/>
  <c r="I69" i="43"/>
  <c r="I70" i="43"/>
  <c r="I71" i="43"/>
  <c r="I72" i="43"/>
  <c r="I73" i="43"/>
  <c r="I74" i="43"/>
  <c r="I75" i="43"/>
  <c r="I76" i="43"/>
  <c r="I77" i="43"/>
  <c r="I78" i="43"/>
  <c r="I79" i="43"/>
  <c r="I80" i="43"/>
  <c r="I81" i="43"/>
  <c r="I82" i="43"/>
  <c r="I83" i="43"/>
  <c r="I84" i="43"/>
  <c r="I85" i="43"/>
  <c r="I86" i="43"/>
  <c r="I87" i="43"/>
  <c r="I88" i="43"/>
  <c r="I89" i="43"/>
  <c r="I90" i="43"/>
  <c r="I91" i="43"/>
  <c r="I92" i="43"/>
  <c r="I93" i="43"/>
  <c r="I94" i="43"/>
  <c r="I95" i="43"/>
  <c r="I96" i="43"/>
  <c r="I97" i="43"/>
  <c r="I98" i="43"/>
  <c r="I99" i="43"/>
  <c r="I100" i="43"/>
  <c r="I101" i="43"/>
  <c r="I102" i="43"/>
  <c r="I103" i="43"/>
  <c r="I104" i="43"/>
  <c r="I105" i="43"/>
  <c r="I106" i="43"/>
  <c r="I107" i="43"/>
  <c r="I108" i="43"/>
  <c r="I109" i="43"/>
  <c r="I110" i="43"/>
  <c r="I111" i="43"/>
  <c r="I112" i="43"/>
  <c r="I113" i="43"/>
  <c r="I114" i="43"/>
  <c r="I115" i="43"/>
  <c r="I116" i="43"/>
  <c r="I117" i="43"/>
  <c r="I118" i="43"/>
  <c r="I119" i="43"/>
  <c r="I120" i="43"/>
  <c r="I121" i="43"/>
  <c r="E89" i="43"/>
  <c r="F89" i="43" s="1"/>
  <c r="E111" i="43"/>
  <c r="F111" i="43" s="1"/>
  <c r="E114" i="43"/>
  <c r="F114" i="43" s="1"/>
  <c r="E53" i="43"/>
  <c r="F53" i="43" s="1"/>
  <c r="E108" i="43"/>
  <c r="F108" i="43" s="1"/>
  <c r="E34" i="43"/>
  <c r="F34" i="43" s="1"/>
  <c r="E61" i="43"/>
  <c r="F61" i="43" s="1"/>
  <c r="E81" i="43"/>
  <c r="F81" i="43" s="1"/>
  <c r="E22" i="43"/>
  <c r="F22" i="43" s="1"/>
  <c r="E31" i="43"/>
  <c r="F31" i="43" s="1"/>
  <c r="E68" i="43"/>
  <c r="F68" i="43" s="1"/>
  <c r="E25" i="43"/>
  <c r="F25" i="43" s="1"/>
  <c r="E32" i="43"/>
  <c r="F32" i="43" s="1"/>
  <c r="E90" i="43"/>
  <c r="F90" i="43" s="1"/>
  <c r="E33" i="43"/>
  <c r="F33" i="43" s="1"/>
  <c r="E29" i="43"/>
  <c r="F29" i="43" s="1"/>
  <c r="E41" i="43"/>
  <c r="F41" i="43" s="1"/>
  <c r="E30" i="43"/>
  <c r="F30" i="43" s="1"/>
  <c r="E43" i="43"/>
  <c r="F43" i="43" s="1"/>
  <c r="E24" i="43"/>
  <c r="F24" i="43" s="1"/>
  <c r="E27" i="43"/>
  <c r="F27" i="43" s="1"/>
  <c r="E18" i="43"/>
  <c r="F18" i="43" s="1"/>
  <c r="E20" i="43"/>
  <c r="F20" i="43" s="1"/>
  <c r="E120" i="43"/>
  <c r="F120" i="43" s="1"/>
  <c r="E113" i="43"/>
  <c r="F113" i="43" s="1"/>
  <c r="E118" i="43"/>
  <c r="F118" i="43" s="1"/>
  <c r="E117" i="43"/>
  <c r="F117" i="43" s="1"/>
  <c r="E115" i="43"/>
  <c r="F115" i="43" s="1"/>
  <c r="E116" i="43"/>
  <c r="F116" i="43" s="1"/>
  <c r="E121" i="43"/>
  <c r="F121" i="43" s="1"/>
  <c r="E103" i="43"/>
  <c r="F103" i="43" s="1"/>
  <c r="E110" i="43"/>
  <c r="F110" i="43" s="1"/>
  <c r="E119" i="43"/>
  <c r="F119" i="43" s="1"/>
  <c r="E94" i="43"/>
  <c r="F94" i="43" s="1"/>
  <c r="E71" i="43"/>
  <c r="F71" i="43" s="1"/>
  <c r="E11" i="43"/>
  <c r="F11" i="43" s="1"/>
  <c r="E26" i="43"/>
  <c r="F26" i="43" s="1"/>
  <c r="E37" i="43"/>
  <c r="F37" i="43" s="1"/>
  <c r="E14" i="43"/>
  <c r="F14" i="43" s="1"/>
  <c r="E36" i="43"/>
  <c r="F36" i="43" s="1"/>
  <c r="E40" i="43"/>
  <c r="F40" i="43" s="1"/>
  <c r="E77" i="43"/>
  <c r="F77" i="43" s="1"/>
  <c r="E78" i="43"/>
  <c r="F78" i="43" s="1"/>
  <c r="E51" i="43"/>
  <c r="F51" i="43" s="1"/>
  <c r="E15" i="43"/>
  <c r="F15" i="43" s="1"/>
  <c r="E44" i="43"/>
  <c r="F44" i="43" s="1"/>
  <c r="E28" i="43"/>
  <c r="F28" i="43" s="1"/>
  <c r="E21" i="43"/>
  <c r="F21" i="43" s="1"/>
  <c r="E60" i="43"/>
  <c r="F60" i="43" s="1"/>
  <c r="E56" i="43"/>
  <c r="F56" i="43" s="1"/>
  <c r="E42" i="43"/>
  <c r="F42" i="43" s="1"/>
  <c r="E91" i="43"/>
  <c r="F91" i="43" s="1"/>
  <c r="E109" i="43"/>
  <c r="F109" i="43" s="1"/>
  <c r="E8" i="43"/>
  <c r="F8" i="43" s="1"/>
  <c r="E55" i="43"/>
  <c r="F55" i="43" s="1"/>
  <c r="E112" i="43"/>
  <c r="F112" i="43" s="1"/>
  <c r="E59" i="43"/>
  <c r="F59" i="43" s="1"/>
  <c r="E54" i="43"/>
  <c r="F54" i="43" s="1"/>
  <c r="E98" i="43"/>
  <c r="F98" i="43" s="1"/>
  <c r="E65" i="43"/>
  <c r="F65" i="43" s="1"/>
  <c r="E46" i="43"/>
  <c r="F46" i="43" s="1"/>
  <c r="E66" i="43"/>
  <c r="F66" i="43" s="1"/>
  <c r="E12" i="43"/>
  <c r="F12" i="43" s="1"/>
  <c r="E88" i="43"/>
  <c r="F88" i="43" s="1"/>
  <c r="E6" i="43"/>
  <c r="F6" i="43" s="1"/>
  <c r="E19" i="43"/>
  <c r="F19" i="43" s="1"/>
  <c r="E72" i="43"/>
  <c r="F72" i="43" s="1"/>
  <c r="E67" i="43"/>
  <c r="F67" i="43" s="1"/>
  <c r="E85" i="43"/>
  <c r="F85" i="43" s="1"/>
  <c r="E16" i="43"/>
  <c r="F16" i="43" s="1"/>
  <c r="E17" i="43"/>
  <c r="F17" i="43" s="1"/>
  <c r="E50" i="43"/>
  <c r="F50" i="43" s="1"/>
  <c r="E106" i="43"/>
  <c r="F106" i="43" s="1"/>
  <c r="E5" i="43"/>
  <c r="F5" i="43" s="1"/>
  <c r="E62" i="43"/>
  <c r="F62" i="43" s="1"/>
  <c r="E69" i="43"/>
  <c r="F69" i="43" s="1"/>
  <c r="E63" i="43"/>
  <c r="F63" i="43" s="1"/>
  <c r="E70" i="43"/>
  <c r="F70" i="43" s="1"/>
  <c r="E9" i="43"/>
  <c r="F9" i="43" s="1"/>
  <c r="E38" i="43"/>
  <c r="F38" i="43" s="1"/>
  <c r="E10" i="43"/>
  <c r="F10" i="43" s="1"/>
  <c r="E23" i="43"/>
  <c r="F23" i="43" s="1"/>
  <c r="E47" i="43"/>
  <c r="F47" i="43" s="1"/>
  <c r="E99" i="43"/>
  <c r="F99" i="43" s="1"/>
  <c r="E39" i="43"/>
  <c r="F39" i="43" s="1"/>
  <c r="E79" i="43"/>
  <c r="F79" i="43" s="1"/>
  <c r="E64" i="43"/>
  <c r="F64" i="43" s="1"/>
  <c r="E35" i="43"/>
  <c r="F35" i="43" s="1"/>
  <c r="E107" i="43"/>
  <c r="F107" i="43" s="1"/>
  <c r="E7" i="43"/>
  <c r="F7" i="43" s="1"/>
  <c r="E73" i="43"/>
  <c r="F73" i="43" s="1"/>
  <c r="E49" i="43"/>
  <c r="F49" i="43" s="1"/>
  <c r="E97" i="43"/>
  <c r="F97" i="43" s="1"/>
  <c r="E92" i="43"/>
  <c r="F92" i="43" s="1"/>
  <c r="E13" i="43"/>
  <c r="F13" i="43" s="1"/>
  <c r="E102" i="43"/>
  <c r="F102" i="43" s="1"/>
  <c r="E57" i="43"/>
  <c r="F57" i="43" s="1"/>
  <c r="E58" i="43"/>
  <c r="F58" i="43" s="1"/>
  <c r="E74" i="43"/>
  <c r="F74" i="43" s="1"/>
  <c r="E76" i="43"/>
  <c r="F76" i="43" s="1"/>
  <c r="E104" i="43"/>
  <c r="F104" i="43" s="1"/>
  <c r="E101" i="43"/>
  <c r="F101" i="43" s="1"/>
  <c r="E87" i="43"/>
  <c r="F87" i="43" s="1"/>
  <c r="E100" i="43"/>
  <c r="F100" i="43" s="1"/>
  <c r="E96" i="43"/>
  <c r="F96" i="43" s="1"/>
  <c r="E105" i="43"/>
  <c r="F105" i="43" s="1"/>
  <c r="E93" i="43"/>
  <c r="F93" i="43" s="1"/>
  <c r="E95" i="43"/>
  <c r="F95" i="43" s="1"/>
  <c r="E86" i="43"/>
  <c r="F86" i="43" s="1"/>
  <c r="E75" i="43"/>
  <c r="F75" i="43" s="1"/>
  <c r="E83" i="43"/>
  <c r="F83" i="43" s="1"/>
  <c r="E45" i="43"/>
  <c r="F45" i="43" s="1"/>
  <c r="E52" i="43"/>
  <c r="F52" i="43" s="1"/>
  <c r="E48" i="43"/>
  <c r="F48" i="43" s="1"/>
  <c r="E84" i="43"/>
  <c r="F84" i="43" s="1"/>
  <c r="E80" i="43"/>
  <c r="F80" i="43" s="1"/>
  <c r="I5" i="43"/>
  <c r="E82" i="43"/>
  <c r="F82" i="43" s="1"/>
  <c r="G2" i="43"/>
  <c r="I6" i="42"/>
  <c r="I7" i="42"/>
  <c r="I8" i="42"/>
  <c r="I9" i="42"/>
  <c r="I10" i="42"/>
  <c r="I11" i="42"/>
  <c r="I12" i="42"/>
  <c r="I13" i="42"/>
  <c r="I14" i="42"/>
  <c r="I15" i="42"/>
  <c r="I16" i="42"/>
  <c r="I17" i="42"/>
  <c r="I18" i="42"/>
  <c r="I19" i="42"/>
  <c r="I20" i="42"/>
  <c r="I21" i="42"/>
  <c r="I22" i="42"/>
  <c r="I23" i="42"/>
  <c r="I24" i="42"/>
  <c r="I25" i="42"/>
  <c r="I26" i="42"/>
  <c r="I27" i="42"/>
  <c r="I28" i="42"/>
  <c r="I29" i="42"/>
  <c r="I30" i="42"/>
  <c r="I31" i="42"/>
  <c r="I32" i="42"/>
  <c r="I33" i="42"/>
  <c r="I34" i="42"/>
  <c r="I35" i="42"/>
  <c r="I36" i="42"/>
  <c r="I37" i="42"/>
  <c r="I38" i="42"/>
  <c r="I39" i="42"/>
  <c r="I40" i="42"/>
  <c r="I41" i="42"/>
  <c r="I42" i="42"/>
  <c r="I43" i="42"/>
  <c r="I44" i="42"/>
  <c r="I45" i="42"/>
  <c r="I46" i="42"/>
  <c r="I47" i="42"/>
  <c r="I48" i="42"/>
  <c r="I49" i="42"/>
  <c r="I50" i="42"/>
  <c r="I51" i="42"/>
  <c r="I52" i="42"/>
  <c r="I53" i="42"/>
  <c r="I54" i="42"/>
  <c r="I55" i="42"/>
  <c r="I56" i="42"/>
  <c r="I57" i="42"/>
  <c r="I58" i="42"/>
  <c r="I59" i="42"/>
  <c r="I60" i="42"/>
  <c r="I61" i="42"/>
  <c r="I62" i="42"/>
  <c r="I63" i="42"/>
  <c r="I64" i="42"/>
  <c r="I65" i="42"/>
  <c r="I66" i="42"/>
  <c r="I67" i="42"/>
  <c r="I68" i="42"/>
  <c r="E49" i="42"/>
  <c r="F49" i="42" s="1"/>
  <c r="E40" i="42"/>
  <c r="F40" i="42" s="1"/>
  <c r="E33" i="42"/>
  <c r="F33" i="42" s="1"/>
  <c r="E38" i="42"/>
  <c r="F38" i="42" s="1"/>
  <c r="G38" i="42" s="1"/>
  <c r="E46" i="42"/>
  <c r="F46" i="42" s="1"/>
  <c r="G46" i="42" s="1"/>
  <c r="E53" i="42"/>
  <c r="F53" i="42" s="1"/>
  <c r="E55" i="42"/>
  <c r="F55" i="42" s="1"/>
  <c r="E57" i="42"/>
  <c r="F57" i="42" s="1"/>
  <c r="E42" i="42"/>
  <c r="F42" i="42" s="1"/>
  <c r="E48" i="42"/>
  <c r="F48" i="42" s="1"/>
  <c r="E54" i="42"/>
  <c r="F54" i="42" s="1"/>
  <c r="E45" i="42"/>
  <c r="F45" i="42" s="1"/>
  <c r="E58" i="42"/>
  <c r="F58" i="42" s="1"/>
  <c r="E41" i="42"/>
  <c r="F41" i="42" s="1"/>
  <c r="E31" i="42"/>
  <c r="F31" i="42" s="1"/>
  <c r="E35" i="42"/>
  <c r="F35" i="42" s="1"/>
  <c r="G35" i="42" s="1"/>
  <c r="E61" i="42"/>
  <c r="F61" i="42" s="1"/>
  <c r="G61" i="42" s="1"/>
  <c r="E37" i="42"/>
  <c r="F37" i="42" s="1"/>
  <c r="E67" i="42"/>
  <c r="F67" i="42" s="1"/>
  <c r="E27" i="42"/>
  <c r="F27" i="42" s="1"/>
  <c r="E29" i="42"/>
  <c r="F29" i="42" s="1"/>
  <c r="E19" i="42"/>
  <c r="F19" i="42" s="1"/>
  <c r="E25" i="42"/>
  <c r="F25" i="42" s="1"/>
  <c r="E56" i="42"/>
  <c r="F56" i="42" s="1"/>
  <c r="E22" i="42"/>
  <c r="F22" i="42" s="1"/>
  <c r="E28" i="42"/>
  <c r="F28" i="42" s="1"/>
  <c r="E18" i="42"/>
  <c r="F18" i="42" s="1"/>
  <c r="E21" i="42"/>
  <c r="F21" i="42" s="1"/>
  <c r="G21" i="42" s="1"/>
  <c r="E32" i="42"/>
  <c r="F32" i="42" s="1"/>
  <c r="G32" i="42" s="1"/>
  <c r="E17" i="42"/>
  <c r="F17" i="42" s="1"/>
  <c r="E20" i="42"/>
  <c r="F20" i="42" s="1"/>
  <c r="E43" i="42"/>
  <c r="F43" i="42" s="1"/>
  <c r="E30" i="42"/>
  <c r="F30" i="42" s="1"/>
  <c r="E11" i="42"/>
  <c r="F11" i="42" s="1"/>
  <c r="E51" i="42"/>
  <c r="F51" i="42" s="1"/>
  <c r="E10" i="42"/>
  <c r="F10" i="42" s="1"/>
  <c r="E63" i="42"/>
  <c r="F63" i="42" s="1"/>
  <c r="E5" i="42"/>
  <c r="F5" i="42" s="1"/>
  <c r="F70" i="42" s="1"/>
  <c r="E12" i="42"/>
  <c r="F12" i="42" s="1"/>
  <c r="E7" i="42"/>
  <c r="F7" i="42" s="1"/>
  <c r="G7" i="42" s="1"/>
  <c r="E16" i="42"/>
  <c r="F16" i="42" s="1"/>
  <c r="G16" i="42" s="1"/>
  <c r="E34" i="42"/>
  <c r="F34" i="42" s="1"/>
  <c r="E50" i="42"/>
  <c r="F50" i="42" s="1"/>
  <c r="E26" i="42"/>
  <c r="F26" i="42" s="1"/>
  <c r="E14" i="42"/>
  <c r="F14" i="42" s="1"/>
  <c r="E23" i="42"/>
  <c r="F23" i="42" s="1"/>
  <c r="E39" i="42"/>
  <c r="F39" i="42" s="1"/>
  <c r="E8" i="42"/>
  <c r="F8" i="42" s="1"/>
  <c r="E36" i="42"/>
  <c r="F36" i="42" s="1"/>
  <c r="E15" i="42"/>
  <c r="F15" i="42" s="1"/>
  <c r="G15" i="42" s="1"/>
  <c r="E47" i="42"/>
  <c r="F47" i="42" s="1"/>
  <c r="E24" i="42"/>
  <c r="F24" i="42" s="1"/>
  <c r="G24" i="42" s="1"/>
  <c r="E9" i="42"/>
  <c r="F9" i="42" s="1"/>
  <c r="G9" i="42" s="1"/>
  <c r="E13" i="42"/>
  <c r="F13" i="42" s="1"/>
  <c r="E64" i="42"/>
  <c r="F64" i="42" s="1"/>
  <c r="E6" i="42"/>
  <c r="F6" i="42" s="1"/>
  <c r="E59" i="42"/>
  <c r="F59" i="42" s="1"/>
  <c r="E44" i="42"/>
  <c r="F44" i="42" s="1"/>
  <c r="E65" i="42"/>
  <c r="F65" i="42" s="1"/>
  <c r="E68" i="42"/>
  <c r="F68" i="42" s="1"/>
  <c r="E66" i="42"/>
  <c r="F66" i="42" s="1"/>
  <c r="E62" i="42"/>
  <c r="F62" i="42" s="1"/>
  <c r="G62" i="42" s="1"/>
  <c r="E52" i="42"/>
  <c r="F52" i="42" s="1"/>
  <c r="I5" i="42"/>
  <c r="E60" i="42"/>
  <c r="F60" i="42" s="1"/>
  <c r="G60" i="42" s="1"/>
  <c r="G2" i="42"/>
  <c r="H62" i="41"/>
  <c r="G62" i="41"/>
  <c r="H59" i="41"/>
  <c r="G59" i="41"/>
  <c r="H56" i="41"/>
  <c r="G56" i="41"/>
  <c r="H53" i="41"/>
  <c r="G53" i="41"/>
  <c r="H50" i="41"/>
  <c r="G50" i="41"/>
  <c r="H47" i="41"/>
  <c r="G47" i="41"/>
  <c r="H44" i="41"/>
  <c r="G44" i="41"/>
  <c r="H41" i="41"/>
  <c r="G41" i="41"/>
  <c r="H38" i="41"/>
  <c r="G38" i="41"/>
  <c r="H35" i="41"/>
  <c r="G35" i="41"/>
  <c r="H32" i="41"/>
  <c r="G32" i="41"/>
  <c r="H29" i="41"/>
  <c r="G29" i="41"/>
  <c r="H26" i="41"/>
  <c r="G26" i="41"/>
  <c r="H23" i="41"/>
  <c r="G23" i="41"/>
  <c r="H20" i="41"/>
  <c r="G20" i="41"/>
  <c r="H17" i="41"/>
  <c r="G17" i="41"/>
  <c r="H14" i="41"/>
  <c r="G14" i="41"/>
  <c r="H11" i="41"/>
  <c r="G11" i="41"/>
  <c r="H8" i="41"/>
  <c r="H64" i="41" s="1"/>
  <c r="G8" i="41"/>
  <c r="G64" i="41" s="1"/>
  <c r="H5" i="41"/>
  <c r="G5" i="41"/>
  <c r="F64" i="41"/>
  <c r="I6" i="41"/>
  <c r="I7" i="41"/>
  <c r="I8" i="41"/>
  <c r="I9" i="41"/>
  <c r="I10" i="41"/>
  <c r="I11" i="41"/>
  <c r="I12" i="41"/>
  <c r="I13" i="41"/>
  <c r="I14" i="41"/>
  <c r="I15" i="41"/>
  <c r="I16" i="41"/>
  <c r="I17" i="41"/>
  <c r="I18" i="41"/>
  <c r="I19" i="41"/>
  <c r="I20" i="41"/>
  <c r="I21" i="41"/>
  <c r="I22" i="41"/>
  <c r="I23" i="41"/>
  <c r="I24" i="41"/>
  <c r="I25" i="41"/>
  <c r="I26" i="41"/>
  <c r="I27" i="41"/>
  <c r="I28" i="41"/>
  <c r="I29" i="41"/>
  <c r="I30" i="41"/>
  <c r="I31" i="41"/>
  <c r="I32" i="41"/>
  <c r="I33" i="41"/>
  <c r="I34" i="41"/>
  <c r="I35" i="41"/>
  <c r="I36" i="41"/>
  <c r="I37" i="41"/>
  <c r="I38" i="41"/>
  <c r="I39" i="41"/>
  <c r="I40" i="41"/>
  <c r="I41" i="41"/>
  <c r="I42" i="41"/>
  <c r="I43" i="41"/>
  <c r="I44" i="41"/>
  <c r="I45" i="41"/>
  <c r="I46" i="41"/>
  <c r="I47" i="41"/>
  <c r="I48" i="41"/>
  <c r="I49" i="41"/>
  <c r="I50" i="41"/>
  <c r="I51" i="41"/>
  <c r="I52" i="41"/>
  <c r="I53" i="41"/>
  <c r="I54" i="41"/>
  <c r="I55" i="41"/>
  <c r="I56" i="41"/>
  <c r="I57" i="41"/>
  <c r="I58" i="41"/>
  <c r="I59" i="41"/>
  <c r="I60" i="41"/>
  <c r="I61" i="41"/>
  <c r="I62" i="41"/>
  <c r="E56" i="41"/>
  <c r="F56" i="41"/>
  <c r="E53" i="41"/>
  <c r="F53" i="41" s="1"/>
  <c r="E60" i="41"/>
  <c r="F60" i="41" s="1"/>
  <c r="E27" i="41"/>
  <c r="F27" i="41" s="1"/>
  <c r="G27" i="41" s="1"/>
  <c r="E28" i="41"/>
  <c r="F28" i="41" s="1"/>
  <c r="E35" i="41"/>
  <c r="F35" i="41" s="1"/>
  <c r="E52" i="41"/>
  <c r="F52" i="41"/>
  <c r="G52" i="41" s="1"/>
  <c r="E32" i="41"/>
  <c r="F32" i="41" s="1"/>
  <c r="E12" i="41"/>
  <c r="F12" i="41" s="1"/>
  <c r="E54" i="41"/>
  <c r="F54" i="41"/>
  <c r="G54" i="41" s="1"/>
  <c r="E31" i="41"/>
  <c r="F31" i="41" s="1"/>
  <c r="E44" i="41"/>
  <c r="F44" i="41" s="1"/>
  <c r="E10" i="41"/>
  <c r="F10" i="41" s="1"/>
  <c r="G10" i="41" s="1"/>
  <c r="E25" i="41"/>
  <c r="F25" i="41" s="1"/>
  <c r="E20" i="41"/>
  <c r="F20" i="41" s="1"/>
  <c r="E41" i="41"/>
  <c r="F41" i="41" s="1"/>
  <c r="E26" i="41"/>
  <c r="F26" i="41" s="1"/>
  <c r="E24" i="41"/>
  <c r="F24" i="41" s="1"/>
  <c r="E30" i="41"/>
  <c r="F30" i="41" s="1"/>
  <c r="G30" i="41" s="1"/>
  <c r="E45" i="41"/>
  <c r="F45" i="41" s="1"/>
  <c r="E50" i="41"/>
  <c r="F50" i="41" s="1"/>
  <c r="E62" i="41"/>
  <c r="F62" i="41" s="1"/>
  <c r="E55" i="41"/>
  <c r="F55" i="41" s="1"/>
  <c r="E36" i="41"/>
  <c r="F36" i="41" s="1"/>
  <c r="E16" i="41"/>
  <c r="F16" i="41" s="1"/>
  <c r="G16" i="41" s="1"/>
  <c r="E46" i="41"/>
  <c r="F46" i="41" s="1"/>
  <c r="E38" i="41"/>
  <c r="F38" i="41" s="1"/>
  <c r="E42" i="41"/>
  <c r="F42" i="41"/>
  <c r="G42" i="41" s="1"/>
  <c r="E33" i="41"/>
  <c r="F33" i="41" s="1"/>
  <c r="E37" i="41"/>
  <c r="F37" i="41" s="1"/>
  <c r="E40" i="41"/>
  <c r="F40" i="41" s="1"/>
  <c r="G40" i="41" s="1"/>
  <c r="E43" i="41"/>
  <c r="F43" i="41" s="1"/>
  <c r="E47" i="41"/>
  <c r="F47" i="41" s="1"/>
  <c r="E51" i="41"/>
  <c r="F51" i="41" s="1"/>
  <c r="G51" i="41" s="1"/>
  <c r="E19" i="41"/>
  <c r="F19" i="41" s="1"/>
  <c r="E34" i="41"/>
  <c r="F34" i="41" s="1"/>
  <c r="E39" i="41"/>
  <c r="F39" i="41" s="1"/>
  <c r="G39" i="41" s="1"/>
  <c r="E14" i="41"/>
  <c r="F14" i="41" s="1"/>
  <c r="E8" i="41"/>
  <c r="F8" i="41" s="1"/>
  <c r="E5" i="41"/>
  <c r="F5" i="41" s="1"/>
  <c r="E17" i="41"/>
  <c r="F17" i="41" s="1"/>
  <c r="E7" i="41"/>
  <c r="F7" i="41" s="1"/>
  <c r="E22" i="41"/>
  <c r="F22" i="41"/>
  <c r="G22" i="41" s="1"/>
  <c r="E18" i="41"/>
  <c r="F18" i="41" s="1"/>
  <c r="E13" i="41"/>
  <c r="F13" i="41" s="1"/>
  <c r="E15" i="41"/>
  <c r="F15" i="41"/>
  <c r="G15" i="41" s="1"/>
  <c r="E21" i="41"/>
  <c r="F21" i="41" s="1"/>
  <c r="E9" i="41"/>
  <c r="F9" i="41" s="1"/>
  <c r="E57" i="41"/>
  <c r="F57" i="41" s="1"/>
  <c r="G57" i="41" s="1"/>
  <c r="E58" i="41"/>
  <c r="F58" i="41" s="1"/>
  <c r="E11" i="41"/>
  <c r="F11" i="41" s="1"/>
  <c r="E59" i="41"/>
  <c r="F59" i="41" s="1"/>
  <c r="E6" i="41"/>
  <c r="F6" i="41" s="1"/>
  <c r="E23" i="41"/>
  <c r="F23" i="41" s="1"/>
  <c r="E29" i="41"/>
  <c r="F29" i="41"/>
  <c r="E49" i="41"/>
  <c r="F49" i="41" s="1"/>
  <c r="E48" i="41"/>
  <c r="F48" i="41" s="1"/>
  <c r="I5" i="41"/>
  <c r="E61" i="41"/>
  <c r="F61" i="41" s="1"/>
  <c r="G2" i="41"/>
  <c r="H41" i="40"/>
  <c r="G41" i="40"/>
  <c r="H38" i="40"/>
  <c r="G38" i="40"/>
  <c r="H35" i="40"/>
  <c r="G35" i="40"/>
  <c r="H32" i="40"/>
  <c r="G32" i="40"/>
  <c r="H29" i="40"/>
  <c r="G29" i="40"/>
  <c r="H26" i="40"/>
  <c r="G26" i="40"/>
  <c r="H23" i="40"/>
  <c r="G23" i="40"/>
  <c r="H20" i="40"/>
  <c r="G20" i="40"/>
  <c r="H17" i="40"/>
  <c r="G17" i="40"/>
  <c r="H14" i="40"/>
  <c r="G14" i="40"/>
  <c r="H11" i="40"/>
  <c r="G11" i="40"/>
  <c r="H8" i="40"/>
  <c r="H45" i="40" s="1"/>
  <c r="G8" i="40"/>
  <c r="H5" i="40"/>
  <c r="G5" i="40"/>
  <c r="F45" i="40"/>
  <c r="I6" i="40"/>
  <c r="I7" i="40"/>
  <c r="I8" i="40"/>
  <c r="I9" i="40"/>
  <c r="I10" i="40"/>
  <c r="I11" i="40"/>
  <c r="I12" i="40"/>
  <c r="I13" i="40"/>
  <c r="I14" i="40"/>
  <c r="I15" i="40"/>
  <c r="I16" i="40"/>
  <c r="I17" i="40"/>
  <c r="I18" i="40"/>
  <c r="I19" i="40"/>
  <c r="I20" i="40"/>
  <c r="I21" i="40"/>
  <c r="I22" i="40"/>
  <c r="I23" i="40"/>
  <c r="I24" i="40"/>
  <c r="I25" i="40"/>
  <c r="I26" i="40"/>
  <c r="I27" i="40"/>
  <c r="I28" i="40"/>
  <c r="I29" i="40"/>
  <c r="I30" i="40"/>
  <c r="I31" i="40"/>
  <c r="I32" i="40"/>
  <c r="I33" i="40"/>
  <c r="I34" i="40"/>
  <c r="I35" i="40"/>
  <c r="I36" i="40"/>
  <c r="I37" i="40"/>
  <c r="I38" i="40"/>
  <c r="I39" i="40"/>
  <c r="I40" i="40"/>
  <c r="I41" i="40"/>
  <c r="I42" i="40"/>
  <c r="I43" i="40"/>
  <c r="E31" i="40"/>
  <c r="F31" i="40" s="1"/>
  <c r="G31" i="40" s="1"/>
  <c r="E24" i="40"/>
  <c r="F24" i="40" s="1"/>
  <c r="E43" i="40"/>
  <c r="F43" i="40" s="1"/>
  <c r="E23" i="40"/>
  <c r="F23" i="40"/>
  <c r="E27" i="40"/>
  <c r="F27" i="40" s="1"/>
  <c r="E32" i="40"/>
  <c r="F32" i="40"/>
  <c r="E25" i="40"/>
  <c r="F25" i="40" s="1"/>
  <c r="G25" i="40" s="1"/>
  <c r="E30" i="40"/>
  <c r="F30" i="40" s="1"/>
  <c r="E10" i="40"/>
  <c r="F10" i="40" s="1"/>
  <c r="E8" i="40"/>
  <c r="F8" i="40"/>
  <c r="E12" i="40"/>
  <c r="F12" i="40" s="1"/>
  <c r="E7" i="40"/>
  <c r="F7" i="40"/>
  <c r="H7" i="40" s="1"/>
  <c r="E9" i="40"/>
  <c r="F9" i="40" s="1"/>
  <c r="G9" i="40" s="1"/>
  <c r="E14" i="40"/>
  <c r="F14" i="40" s="1"/>
  <c r="E16" i="40"/>
  <c r="F16" i="40" s="1"/>
  <c r="E11" i="40"/>
  <c r="F11" i="40"/>
  <c r="E13" i="40"/>
  <c r="F13" i="40" s="1"/>
  <c r="E19" i="40"/>
  <c r="F19" i="40"/>
  <c r="H19" i="40" s="1"/>
  <c r="E21" i="40"/>
  <c r="F21" i="40"/>
  <c r="G21" i="40" s="1"/>
  <c r="E22" i="40"/>
  <c r="F22" i="40" s="1"/>
  <c r="E5" i="40"/>
  <c r="F5" i="40" s="1"/>
  <c r="E26" i="40"/>
  <c r="F26" i="40"/>
  <c r="E6" i="40"/>
  <c r="F6" i="40" s="1"/>
  <c r="E29" i="40"/>
  <c r="F29" i="40"/>
  <c r="E28" i="40"/>
  <c r="F28" i="40" s="1"/>
  <c r="G28" i="40" s="1"/>
  <c r="E15" i="40"/>
  <c r="F15" i="40" s="1"/>
  <c r="E17" i="40"/>
  <c r="F17" i="40" s="1"/>
  <c r="E20" i="40"/>
  <c r="F20" i="40"/>
  <c r="E18" i="40"/>
  <c r="F18" i="40" s="1"/>
  <c r="E39" i="40"/>
  <c r="F39" i="40"/>
  <c r="H39" i="40" s="1"/>
  <c r="E40" i="40"/>
  <c r="F40" i="40" s="1"/>
  <c r="G40" i="40" s="1"/>
  <c r="E35" i="40"/>
  <c r="F35" i="40" s="1"/>
  <c r="E42" i="40"/>
  <c r="F42" i="40" s="1"/>
  <c r="E33" i="40"/>
  <c r="F33" i="40"/>
  <c r="G33" i="40" s="1"/>
  <c r="E36" i="40"/>
  <c r="F36" i="40" s="1"/>
  <c r="E34" i="40"/>
  <c r="F34" i="40"/>
  <c r="H34" i="40" s="1"/>
  <c r="E37" i="40"/>
  <c r="F37" i="40" s="1"/>
  <c r="G37" i="40" s="1"/>
  <c r="E38" i="40"/>
  <c r="F38" i="40" s="1"/>
  <c r="I5" i="40"/>
  <c r="E41" i="40"/>
  <c r="F41" i="40" s="1"/>
  <c r="G2" i="40"/>
  <c r="H38" i="39"/>
  <c r="G38" i="39"/>
  <c r="H35" i="39"/>
  <c r="G35" i="39"/>
  <c r="H32" i="39"/>
  <c r="G32" i="39"/>
  <c r="H29" i="39"/>
  <c r="G29" i="39"/>
  <c r="H26" i="39"/>
  <c r="G26" i="39"/>
  <c r="H23" i="39"/>
  <c r="G23" i="39"/>
  <c r="H20" i="39"/>
  <c r="G20" i="39"/>
  <c r="H17" i="39"/>
  <c r="G17" i="39"/>
  <c r="H14" i="39"/>
  <c r="G14" i="39"/>
  <c r="H11" i="39"/>
  <c r="G11" i="39"/>
  <c r="H8" i="39"/>
  <c r="G8" i="39"/>
  <c r="H5" i="39"/>
  <c r="H40" i="39" s="1"/>
  <c r="G5" i="39"/>
  <c r="G40" i="39" s="1"/>
  <c r="F40" i="39"/>
  <c r="I6" i="39"/>
  <c r="I7" i="39"/>
  <c r="I8" i="39"/>
  <c r="I9" i="39"/>
  <c r="I10" i="39"/>
  <c r="I11" i="39"/>
  <c r="I12" i="39"/>
  <c r="I13" i="39"/>
  <c r="I14" i="39"/>
  <c r="I15" i="39"/>
  <c r="I16" i="39"/>
  <c r="I17" i="39"/>
  <c r="I18" i="39"/>
  <c r="I19" i="39"/>
  <c r="I20" i="39"/>
  <c r="I21" i="39"/>
  <c r="I22" i="39"/>
  <c r="I23" i="39"/>
  <c r="I24" i="39"/>
  <c r="I25" i="39"/>
  <c r="I26" i="39"/>
  <c r="I27" i="39"/>
  <c r="I28" i="39"/>
  <c r="I29" i="39"/>
  <c r="I30" i="39"/>
  <c r="I31" i="39"/>
  <c r="I32" i="39"/>
  <c r="I33" i="39"/>
  <c r="I34" i="39"/>
  <c r="I35" i="39"/>
  <c r="I36" i="39"/>
  <c r="I37" i="39"/>
  <c r="I38" i="39"/>
  <c r="E33" i="39"/>
  <c r="F33" i="39" s="1"/>
  <c r="E36" i="39"/>
  <c r="F36" i="39" s="1"/>
  <c r="E38" i="39"/>
  <c r="F38" i="39" s="1"/>
  <c r="E32" i="39"/>
  <c r="F32" i="39" s="1"/>
  <c r="E11" i="39"/>
  <c r="F11" i="39" s="1"/>
  <c r="E24" i="39"/>
  <c r="F24" i="39" s="1"/>
  <c r="E7" i="39"/>
  <c r="F7" i="39" s="1"/>
  <c r="E6" i="39"/>
  <c r="F6" i="39" s="1"/>
  <c r="E23" i="39"/>
  <c r="F23" i="39" s="1"/>
  <c r="E22" i="39"/>
  <c r="F22" i="39" s="1"/>
  <c r="E10" i="39"/>
  <c r="F10" i="39" s="1"/>
  <c r="E5" i="39"/>
  <c r="F5" i="39" s="1"/>
  <c r="E9" i="39"/>
  <c r="F9" i="39" s="1"/>
  <c r="E28" i="39"/>
  <c r="F28" i="39" s="1"/>
  <c r="E29" i="39"/>
  <c r="F29" i="39" s="1"/>
  <c r="E30" i="39"/>
  <c r="F30" i="39" s="1"/>
  <c r="E35" i="39"/>
  <c r="F35" i="39" s="1"/>
  <c r="E27" i="39"/>
  <c r="F27" i="39" s="1"/>
  <c r="E17" i="39"/>
  <c r="F17" i="39" s="1"/>
  <c r="E15" i="39"/>
  <c r="F15" i="39" s="1"/>
  <c r="E20" i="39"/>
  <c r="F20" i="39" s="1"/>
  <c r="E26" i="39"/>
  <c r="F26" i="39" s="1"/>
  <c r="E25" i="39"/>
  <c r="F25" i="39" s="1"/>
  <c r="E21" i="39"/>
  <c r="F21" i="39" s="1"/>
  <c r="E12" i="39"/>
  <c r="F12" i="39" s="1"/>
  <c r="E16" i="39"/>
  <c r="F16" i="39" s="1"/>
  <c r="E18" i="39"/>
  <c r="F18" i="39" s="1"/>
  <c r="E8" i="39"/>
  <c r="F8" i="39" s="1"/>
  <c r="E13" i="39"/>
  <c r="F13" i="39" s="1"/>
  <c r="E31" i="39"/>
  <c r="F31" i="39" s="1"/>
  <c r="E19" i="39"/>
  <c r="F19" i="39" s="1"/>
  <c r="E14" i="39"/>
  <c r="F14" i="39" s="1"/>
  <c r="E34" i="39"/>
  <c r="F34" i="39" s="1"/>
  <c r="I5" i="39"/>
  <c r="E37" i="39"/>
  <c r="F37" i="39" s="1"/>
  <c r="G2" i="39"/>
  <c r="H137" i="38"/>
  <c r="G137" i="38"/>
  <c r="H134" i="38"/>
  <c r="G134" i="38"/>
  <c r="H131" i="38"/>
  <c r="G131" i="38"/>
  <c r="H128" i="38"/>
  <c r="G128" i="38"/>
  <c r="H125" i="38"/>
  <c r="G125" i="38"/>
  <c r="H122" i="38"/>
  <c r="G122" i="38"/>
  <c r="H119" i="38"/>
  <c r="G119" i="38"/>
  <c r="H116" i="38"/>
  <c r="G116" i="38"/>
  <c r="H113" i="38"/>
  <c r="G113" i="38"/>
  <c r="H110" i="38"/>
  <c r="G110" i="38"/>
  <c r="H107" i="38"/>
  <c r="G107" i="38"/>
  <c r="H104" i="38"/>
  <c r="G104" i="38"/>
  <c r="H101" i="38"/>
  <c r="G101" i="38"/>
  <c r="H98" i="38"/>
  <c r="G98" i="38"/>
  <c r="H95" i="38"/>
  <c r="G95" i="38"/>
  <c r="H92" i="38"/>
  <c r="G92" i="38"/>
  <c r="H89" i="38"/>
  <c r="G89" i="38"/>
  <c r="H86" i="38"/>
  <c r="G86" i="38"/>
  <c r="H83" i="38"/>
  <c r="G83" i="38"/>
  <c r="H80" i="38"/>
  <c r="G80" i="38"/>
  <c r="H77" i="38"/>
  <c r="G77" i="38"/>
  <c r="H74" i="38"/>
  <c r="G74" i="38"/>
  <c r="H71" i="38"/>
  <c r="G71" i="38"/>
  <c r="H68" i="38"/>
  <c r="G68" i="38"/>
  <c r="H65" i="38"/>
  <c r="G65" i="38"/>
  <c r="H62" i="38"/>
  <c r="G62" i="38"/>
  <c r="H59" i="38"/>
  <c r="G59" i="38"/>
  <c r="H56" i="38"/>
  <c r="G56" i="38"/>
  <c r="H53" i="38"/>
  <c r="G53" i="38"/>
  <c r="H50" i="38"/>
  <c r="G50" i="38"/>
  <c r="H47" i="38"/>
  <c r="G47" i="38"/>
  <c r="H44" i="38"/>
  <c r="G44" i="38"/>
  <c r="H41" i="38"/>
  <c r="G41" i="38"/>
  <c r="H38" i="38"/>
  <c r="G38" i="38"/>
  <c r="H35" i="38"/>
  <c r="G35" i="38"/>
  <c r="H32" i="38"/>
  <c r="G32" i="38"/>
  <c r="H29" i="38"/>
  <c r="G29" i="38"/>
  <c r="H26" i="38"/>
  <c r="G26" i="38"/>
  <c r="H23" i="38"/>
  <c r="G23" i="38"/>
  <c r="H20" i="38"/>
  <c r="G20" i="38"/>
  <c r="H17" i="38"/>
  <c r="G17" i="38"/>
  <c r="H14" i="38"/>
  <c r="G14" i="38"/>
  <c r="H11" i="38"/>
  <c r="G11" i="38"/>
  <c r="G139" i="38" s="1"/>
  <c r="H8" i="38"/>
  <c r="G8" i="38"/>
  <c r="H5" i="38"/>
  <c r="G5" i="38"/>
  <c r="F139" i="38"/>
  <c r="I6" i="38"/>
  <c r="I7" i="38"/>
  <c r="I8" i="38"/>
  <c r="I9" i="38"/>
  <c r="I10" i="38"/>
  <c r="I11" i="38"/>
  <c r="I12" i="38"/>
  <c r="I13" i="38"/>
  <c r="I14" i="38"/>
  <c r="I15" i="38"/>
  <c r="I16" i="38"/>
  <c r="I17" i="38"/>
  <c r="I18" i="38"/>
  <c r="I19" i="38"/>
  <c r="I20" i="38"/>
  <c r="I21" i="38"/>
  <c r="I22" i="38"/>
  <c r="I23" i="38"/>
  <c r="I24" i="38"/>
  <c r="I25" i="38"/>
  <c r="I26" i="38"/>
  <c r="I27" i="38"/>
  <c r="I28" i="38"/>
  <c r="I29" i="38"/>
  <c r="I30" i="38"/>
  <c r="I31" i="38"/>
  <c r="I32" i="38"/>
  <c r="I33" i="38"/>
  <c r="I34" i="38"/>
  <c r="I35" i="38"/>
  <c r="I36" i="38"/>
  <c r="I37" i="38"/>
  <c r="I38" i="38"/>
  <c r="I39" i="38"/>
  <c r="I40" i="38"/>
  <c r="I41" i="38"/>
  <c r="I42" i="38"/>
  <c r="I43" i="38"/>
  <c r="I44" i="38"/>
  <c r="I45" i="38"/>
  <c r="I46" i="38"/>
  <c r="I47" i="38"/>
  <c r="I48" i="38"/>
  <c r="I49" i="38"/>
  <c r="I50" i="38"/>
  <c r="I51" i="38"/>
  <c r="I52" i="38"/>
  <c r="I53" i="38"/>
  <c r="I54" i="38"/>
  <c r="I55" i="38"/>
  <c r="I56" i="38"/>
  <c r="I57" i="38"/>
  <c r="I58" i="38"/>
  <c r="I59" i="38"/>
  <c r="I60" i="38"/>
  <c r="I61" i="38"/>
  <c r="I62" i="38"/>
  <c r="I63" i="38"/>
  <c r="I64" i="38"/>
  <c r="I65" i="38"/>
  <c r="I66" i="38"/>
  <c r="I67" i="38"/>
  <c r="I68" i="38"/>
  <c r="I69" i="38"/>
  <c r="I70" i="38"/>
  <c r="I71" i="38"/>
  <c r="I72" i="38"/>
  <c r="I73" i="38"/>
  <c r="I74" i="38"/>
  <c r="I75" i="38"/>
  <c r="I76" i="38"/>
  <c r="I77" i="38"/>
  <c r="I78" i="38"/>
  <c r="I79" i="38"/>
  <c r="I80" i="38"/>
  <c r="I81" i="38"/>
  <c r="I82" i="38"/>
  <c r="I83" i="38"/>
  <c r="I84" i="38"/>
  <c r="I85" i="38"/>
  <c r="I86" i="38"/>
  <c r="I87" i="38"/>
  <c r="I88" i="38"/>
  <c r="I89" i="38"/>
  <c r="I90" i="38"/>
  <c r="I91" i="38"/>
  <c r="I92" i="38"/>
  <c r="I93" i="38"/>
  <c r="I94" i="38"/>
  <c r="I95" i="38"/>
  <c r="I96" i="38"/>
  <c r="I97" i="38"/>
  <c r="I98" i="38"/>
  <c r="I99" i="38"/>
  <c r="I100" i="38"/>
  <c r="I101" i="38"/>
  <c r="I102" i="38"/>
  <c r="I103" i="38"/>
  <c r="I104" i="38"/>
  <c r="I105" i="38"/>
  <c r="I106" i="38"/>
  <c r="I107" i="38"/>
  <c r="I108" i="38"/>
  <c r="I109" i="38"/>
  <c r="I110" i="38"/>
  <c r="I111" i="38"/>
  <c r="I112" i="38"/>
  <c r="I113" i="38"/>
  <c r="I114" i="38"/>
  <c r="I115" i="38"/>
  <c r="I116" i="38"/>
  <c r="I117" i="38"/>
  <c r="I118" i="38"/>
  <c r="I119" i="38"/>
  <c r="I120" i="38"/>
  <c r="I121" i="38"/>
  <c r="I122" i="38"/>
  <c r="I123" i="38"/>
  <c r="I124" i="38"/>
  <c r="I125" i="38"/>
  <c r="I126" i="38"/>
  <c r="I127" i="38"/>
  <c r="I128" i="38"/>
  <c r="I129" i="38"/>
  <c r="I130" i="38"/>
  <c r="I131" i="38"/>
  <c r="I132" i="38"/>
  <c r="I133" i="38"/>
  <c r="I134" i="38"/>
  <c r="I135" i="38"/>
  <c r="I136" i="38"/>
  <c r="I137" i="38"/>
  <c r="E93" i="38"/>
  <c r="F93" i="38" s="1"/>
  <c r="E92" i="38"/>
  <c r="F92" i="38" s="1"/>
  <c r="E80" i="38"/>
  <c r="F80" i="38" s="1"/>
  <c r="E74" i="38"/>
  <c r="F74" i="38" s="1"/>
  <c r="E68" i="38"/>
  <c r="F68" i="38" s="1"/>
  <c r="E66" i="38"/>
  <c r="F66" i="38" s="1"/>
  <c r="E114" i="38"/>
  <c r="F114" i="38" s="1"/>
  <c r="E52" i="38"/>
  <c r="F52" i="38" s="1"/>
  <c r="E103" i="38"/>
  <c r="F103" i="38" s="1"/>
  <c r="E51" i="38"/>
  <c r="F51" i="38" s="1"/>
  <c r="E77" i="38"/>
  <c r="F77" i="38" s="1"/>
  <c r="E112" i="38"/>
  <c r="F112" i="38" s="1"/>
  <c r="E96" i="38"/>
  <c r="F96" i="38" s="1"/>
  <c r="E128" i="38"/>
  <c r="F128" i="38" s="1"/>
  <c r="E59" i="38"/>
  <c r="F59" i="38"/>
  <c r="E78" i="38"/>
  <c r="F78" i="38" s="1"/>
  <c r="E121" i="38"/>
  <c r="F121" i="38" s="1"/>
  <c r="E73" i="38"/>
  <c r="F73" i="38" s="1"/>
  <c r="E44" i="38"/>
  <c r="F44" i="38" s="1"/>
  <c r="E65" i="38"/>
  <c r="F65" i="38" s="1"/>
  <c r="E108" i="38"/>
  <c r="F108" i="38" s="1"/>
  <c r="E5" i="38"/>
  <c r="F5" i="38" s="1"/>
  <c r="E60" i="38"/>
  <c r="F60" i="38" s="1"/>
  <c r="E25" i="38"/>
  <c r="F25" i="38" s="1"/>
  <c r="E45" i="38"/>
  <c r="F45" i="38" s="1"/>
  <c r="E14" i="38"/>
  <c r="F14" i="38" s="1"/>
  <c r="E115" i="38"/>
  <c r="F115" i="38" s="1"/>
  <c r="E37" i="38"/>
  <c r="F37" i="38" s="1"/>
  <c r="E106" i="38"/>
  <c r="F106" i="38" s="1"/>
  <c r="E64" i="38"/>
  <c r="F64" i="38" s="1"/>
  <c r="E43" i="38"/>
  <c r="F43" i="38" s="1"/>
  <c r="E118" i="38"/>
  <c r="F118" i="38" s="1"/>
  <c r="E28" i="38"/>
  <c r="F28" i="38" s="1"/>
  <c r="E16" i="38"/>
  <c r="F16" i="38" s="1"/>
  <c r="E7" i="38"/>
  <c r="F7" i="38" s="1"/>
  <c r="E109" i="38"/>
  <c r="F109" i="38" s="1"/>
  <c r="E47" i="38"/>
  <c r="F47" i="38" s="1"/>
  <c r="E9" i="38"/>
  <c r="F9" i="38" s="1"/>
  <c r="E23" i="38"/>
  <c r="F23" i="38" s="1"/>
  <c r="E6" i="38"/>
  <c r="F6" i="38" s="1"/>
  <c r="E48" i="38"/>
  <c r="F48" i="38" s="1"/>
  <c r="E116" i="38"/>
  <c r="F116" i="38"/>
  <c r="E29" i="38"/>
  <c r="F29" i="38" s="1"/>
  <c r="E67" i="38"/>
  <c r="F67" i="38" s="1"/>
  <c r="E63" i="38"/>
  <c r="F63" i="38" s="1"/>
  <c r="E55" i="38"/>
  <c r="F55" i="38" s="1"/>
  <c r="E79" i="38"/>
  <c r="F79" i="38" s="1"/>
  <c r="E36" i="38"/>
  <c r="F36" i="38" s="1"/>
  <c r="E26" i="38"/>
  <c r="F26" i="38" s="1"/>
  <c r="E18" i="38"/>
  <c r="F18" i="38" s="1"/>
  <c r="E62" i="38"/>
  <c r="F62" i="38" s="1"/>
  <c r="E35" i="38"/>
  <c r="F35" i="38" s="1"/>
  <c r="E27" i="38"/>
  <c r="F27" i="38" s="1"/>
  <c r="E30" i="38"/>
  <c r="F30" i="38" s="1"/>
  <c r="E83" i="38"/>
  <c r="F83" i="38"/>
  <c r="E11" i="38"/>
  <c r="F11" i="38" s="1"/>
  <c r="E22" i="38"/>
  <c r="F22" i="38" s="1"/>
  <c r="E69" i="38"/>
  <c r="F69" i="38" s="1"/>
  <c r="E99" i="38"/>
  <c r="F99" i="38" s="1"/>
  <c r="E17" i="38"/>
  <c r="F17" i="38"/>
  <c r="E105" i="38"/>
  <c r="F105" i="38" s="1"/>
  <c r="E133" i="38"/>
  <c r="F133" i="38" s="1"/>
  <c r="E8" i="38"/>
  <c r="F8" i="38" s="1"/>
  <c r="E110" i="38"/>
  <c r="F110" i="38" s="1"/>
  <c r="E12" i="38"/>
  <c r="F12" i="38" s="1"/>
  <c r="E32" i="38"/>
  <c r="F32" i="38"/>
  <c r="E39" i="38"/>
  <c r="F39" i="38"/>
  <c r="E21" i="38"/>
  <c r="F21" i="38" s="1"/>
  <c r="E119" i="38"/>
  <c r="F119" i="38"/>
  <c r="E102" i="38"/>
  <c r="F102" i="38" s="1"/>
  <c r="E34" i="38"/>
  <c r="F34" i="38" s="1"/>
  <c r="E120" i="38"/>
  <c r="F120" i="38" s="1"/>
  <c r="E86" i="38"/>
  <c r="F86" i="38"/>
  <c r="E31" i="38"/>
  <c r="F31" i="38" s="1"/>
  <c r="E33" i="38"/>
  <c r="F33" i="38" s="1"/>
  <c r="E81" i="38"/>
  <c r="F81" i="38"/>
  <c r="E111" i="38"/>
  <c r="F111" i="38" s="1"/>
  <c r="E13" i="38"/>
  <c r="F13" i="38" s="1"/>
  <c r="E90" i="38"/>
  <c r="F90" i="38" s="1"/>
  <c r="E46" i="38"/>
  <c r="F46" i="38" s="1"/>
  <c r="E24" i="38"/>
  <c r="F24" i="38"/>
  <c r="E15" i="38"/>
  <c r="F15" i="38" s="1"/>
  <c r="E82" i="38"/>
  <c r="F82" i="38" s="1"/>
  <c r="E100" i="38"/>
  <c r="F100" i="38"/>
  <c r="E10" i="38"/>
  <c r="F10" i="38" s="1"/>
  <c r="E104" i="38"/>
  <c r="F104" i="38" s="1"/>
  <c r="E91" i="38"/>
  <c r="F91" i="38"/>
  <c r="E19" i="38"/>
  <c r="F19" i="38" s="1"/>
  <c r="E20" i="38"/>
  <c r="F20" i="38" s="1"/>
  <c r="E136" i="38"/>
  <c r="F136" i="38" s="1"/>
  <c r="E131" i="38"/>
  <c r="F131" i="38"/>
  <c r="E130" i="38"/>
  <c r="F130" i="38" s="1"/>
  <c r="E127" i="38"/>
  <c r="F127" i="38" s="1"/>
  <c r="E134" i="38"/>
  <c r="F134" i="38" s="1"/>
  <c r="E129" i="38"/>
  <c r="F129" i="38" s="1"/>
  <c r="E126" i="38"/>
  <c r="F126" i="38" s="1"/>
  <c r="E124" i="38"/>
  <c r="F124" i="38" s="1"/>
  <c r="E125" i="38"/>
  <c r="F125" i="38" s="1"/>
  <c r="E101" i="38"/>
  <c r="F101" i="38" s="1"/>
  <c r="E89" i="38"/>
  <c r="F89" i="38" s="1"/>
  <c r="E107" i="38"/>
  <c r="F107" i="38" s="1"/>
  <c r="E94" i="38"/>
  <c r="F94" i="38"/>
  <c r="E87" i="38"/>
  <c r="F87" i="38"/>
  <c r="E76" i="38"/>
  <c r="F76" i="38" s="1"/>
  <c r="E57" i="38"/>
  <c r="F57" i="38" s="1"/>
  <c r="E97" i="38"/>
  <c r="F97" i="38" s="1"/>
  <c r="E75" i="38"/>
  <c r="F75" i="38" s="1"/>
  <c r="E113" i="38"/>
  <c r="F113" i="38" s="1"/>
  <c r="E50" i="38"/>
  <c r="F50" i="38"/>
  <c r="E71" i="38"/>
  <c r="F71" i="38" s="1"/>
  <c r="E84" i="38"/>
  <c r="F84" i="38" s="1"/>
  <c r="E95" i="38"/>
  <c r="F95" i="38"/>
  <c r="E70" i="38"/>
  <c r="F70" i="38" s="1"/>
  <c r="E123" i="38"/>
  <c r="F123" i="38" s="1"/>
  <c r="E88" i="38"/>
  <c r="F88" i="38" s="1"/>
  <c r="E56" i="38"/>
  <c r="F56" i="38" s="1"/>
  <c r="E132" i="38"/>
  <c r="F132" i="38" s="1"/>
  <c r="E53" i="38"/>
  <c r="F53" i="38" s="1"/>
  <c r="E54" i="38"/>
  <c r="F54" i="38" s="1"/>
  <c r="E61" i="38"/>
  <c r="F61" i="38"/>
  <c r="E122" i="38"/>
  <c r="F122" i="38" s="1"/>
  <c r="E41" i="38"/>
  <c r="F41" i="38" s="1"/>
  <c r="E117" i="38"/>
  <c r="F117" i="38" s="1"/>
  <c r="E38" i="38"/>
  <c r="F38" i="38" s="1"/>
  <c r="E40" i="38"/>
  <c r="F40" i="38" s="1"/>
  <c r="E58" i="38"/>
  <c r="F58" i="38" s="1"/>
  <c r="E42" i="38"/>
  <c r="F42" i="38" s="1"/>
  <c r="E85" i="38"/>
  <c r="F85" i="38" s="1"/>
  <c r="E49" i="38"/>
  <c r="F49" i="38"/>
  <c r="E98" i="38"/>
  <c r="F98" i="38"/>
  <c r="E137" i="38"/>
  <c r="F137" i="38" s="1"/>
  <c r="E135" i="38"/>
  <c r="F135" i="38" s="1"/>
  <c r="I5" i="38"/>
  <c r="E72" i="38"/>
  <c r="F72" i="38" s="1"/>
  <c r="G2" i="38"/>
  <c r="G6" i="37"/>
  <c r="H6" i="37"/>
  <c r="G7" i="37"/>
  <c r="H7" i="37"/>
  <c r="G8" i="37"/>
  <c r="H8" i="37"/>
  <c r="G9" i="37"/>
  <c r="H9" i="37"/>
  <c r="G10" i="37"/>
  <c r="H10" i="37"/>
  <c r="G11" i="37"/>
  <c r="H11" i="37"/>
  <c r="I8" i="37"/>
  <c r="I11" i="37"/>
  <c r="E10" i="37"/>
  <c r="F10" i="37" s="1"/>
  <c r="E5" i="37"/>
  <c r="F5" i="37" s="1"/>
  <c r="H5" i="37" s="1"/>
  <c r="E6" i="37"/>
  <c r="F6" i="37" s="1"/>
  <c r="E8" i="37"/>
  <c r="F8" i="37" s="1"/>
  <c r="E9" i="37"/>
  <c r="F9" i="37" s="1"/>
  <c r="E7" i="37"/>
  <c r="F7" i="37" s="1"/>
  <c r="F13" i="37" s="1"/>
  <c r="I5" i="37"/>
  <c r="E11" i="37"/>
  <c r="F11" i="37" s="1"/>
  <c r="G2" i="37"/>
  <c r="H125" i="36"/>
  <c r="G125" i="36"/>
  <c r="H122" i="36"/>
  <c r="G122" i="36"/>
  <c r="H119" i="36"/>
  <c r="G119" i="36"/>
  <c r="H116" i="36"/>
  <c r="G116" i="36"/>
  <c r="H113" i="36"/>
  <c r="G113" i="36"/>
  <c r="H110" i="36"/>
  <c r="G110" i="36"/>
  <c r="H107" i="36"/>
  <c r="G107" i="36"/>
  <c r="H104" i="36"/>
  <c r="G104" i="36"/>
  <c r="H101" i="36"/>
  <c r="G101" i="36"/>
  <c r="H98" i="36"/>
  <c r="G98" i="36"/>
  <c r="H95" i="36"/>
  <c r="G95" i="36"/>
  <c r="H92" i="36"/>
  <c r="G92" i="36"/>
  <c r="H89" i="36"/>
  <c r="G89" i="36"/>
  <c r="H86" i="36"/>
  <c r="G86" i="36"/>
  <c r="H83" i="36"/>
  <c r="G83" i="36"/>
  <c r="H80" i="36"/>
  <c r="G80" i="36"/>
  <c r="H77" i="36"/>
  <c r="G77" i="36"/>
  <c r="H74" i="36"/>
  <c r="G74" i="36"/>
  <c r="H71" i="36"/>
  <c r="G71" i="36"/>
  <c r="H68" i="36"/>
  <c r="G68" i="36"/>
  <c r="H65" i="36"/>
  <c r="G65" i="36"/>
  <c r="H62" i="36"/>
  <c r="G62" i="36"/>
  <c r="H59" i="36"/>
  <c r="G59" i="36"/>
  <c r="H56" i="36"/>
  <c r="G56" i="36"/>
  <c r="H53" i="36"/>
  <c r="G53" i="36"/>
  <c r="H50" i="36"/>
  <c r="G50" i="36"/>
  <c r="H47" i="36"/>
  <c r="G47" i="36"/>
  <c r="H44" i="36"/>
  <c r="G44" i="36"/>
  <c r="H41" i="36"/>
  <c r="G41" i="36"/>
  <c r="H38" i="36"/>
  <c r="G38" i="36"/>
  <c r="H35" i="36"/>
  <c r="G35" i="36"/>
  <c r="H32" i="36"/>
  <c r="G32" i="36"/>
  <c r="H29" i="36"/>
  <c r="G29" i="36"/>
  <c r="H26" i="36"/>
  <c r="G26" i="36"/>
  <c r="H23" i="36"/>
  <c r="G23" i="36"/>
  <c r="H20" i="36"/>
  <c r="G20" i="36"/>
  <c r="H17" i="36"/>
  <c r="G17" i="36"/>
  <c r="H14" i="36"/>
  <c r="G14" i="36"/>
  <c r="H11" i="36"/>
  <c r="G11" i="36"/>
  <c r="H8" i="36"/>
  <c r="G8" i="36"/>
  <c r="G129" i="36" s="1"/>
  <c r="H5" i="36"/>
  <c r="G5" i="36"/>
  <c r="H129" i="36"/>
  <c r="F129" i="36"/>
  <c r="I6" i="36"/>
  <c r="I7" i="36"/>
  <c r="I8" i="36"/>
  <c r="I9" i="36"/>
  <c r="I10" i="36"/>
  <c r="I11" i="36"/>
  <c r="I12" i="36"/>
  <c r="I13" i="36"/>
  <c r="I14" i="36"/>
  <c r="I15" i="36"/>
  <c r="I16" i="36"/>
  <c r="I17" i="36"/>
  <c r="I18" i="36"/>
  <c r="I19" i="36"/>
  <c r="I20" i="36"/>
  <c r="I21" i="36"/>
  <c r="I22" i="36"/>
  <c r="I23" i="36"/>
  <c r="I24" i="36"/>
  <c r="I25" i="36"/>
  <c r="I26" i="36"/>
  <c r="I27" i="36"/>
  <c r="I28" i="36"/>
  <c r="I29" i="36"/>
  <c r="I30" i="36"/>
  <c r="I31" i="36"/>
  <c r="I32" i="36"/>
  <c r="I33" i="36"/>
  <c r="I34" i="36"/>
  <c r="I35" i="36"/>
  <c r="I36" i="36"/>
  <c r="I37" i="36"/>
  <c r="I38" i="36"/>
  <c r="I39" i="36"/>
  <c r="I40" i="36"/>
  <c r="I41" i="36"/>
  <c r="I42" i="36"/>
  <c r="I43" i="36"/>
  <c r="I44" i="36"/>
  <c r="I45" i="36"/>
  <c r="I46" i="36"/>
  <c r="I47" i="36"/>
  <c r="I48" i="36"/>
  <c r="I49" i="36"/>
  <c r="I50" i="36"/>
  <c r="I51" i="36"/>
  <c r="I52" i="36"/>
  <c r="I53" i="36"/>
  <c r="I54" i="36"/>
  <c r="I55" i="36"/>
  <c r="I56" i="36"/>
  <c r="I57" i="36"/>
  <c r="I58" i="36"/>
  <c r="I59" i="36"/>
  <c r="I60" i="36"/>
  <c r="I61" i="36"/>
  <c r="I62" i="36"/>
  <c r="I63" i="36"/>
  <c r="I64" i="36"/>
  <c r="I65" i="36"/>
  <c r="I66" i="36"/>
  <c r="I67" i="36"/>
  <c r="I68" i="36"/>
  <c r="I69" i="36"/>
  <c r="I70" i="36"/>
  <c r="I71" i="36"/>
  <c r="I72" i="36"/>
  <c r="I73" i="36"/>
  <c r="I74" i="36"/>
  <c r="I75" i="36"/>
  <c r="I76" i="36"/>
  <c r="I77" i="36"/>
  <c r="I78" i="36"/>
  <c r="I79" i="36"/>
  <c r="I80" i="36"/>
  <c r="I81" i="36"/>
  <c r="I82" i="36"/>
  <c r="I83" i="36"/>
  <c r="I84" i="36"/>
  <c r="I85" i="36"/>
  <c r="I86" i="36"/>
  <c r="I87" i="36"/>
  <c r="I88" i="36"/>
  <c r="I89" i="36"/>
  <c r="I90" i="36"/>
  <c r="I91" i="36"/>
  <c r="I92" i="36"/>
  <c r="I93" i="36"/>
  <c r="I94" i="36"/>
  <c r="I95" i="36"/>
  <c r="I96" i="36"/>
  <c r="I97" i="36"/>
  <c r="I98" i="36"/>
  <c r="I99" i="36"/>
  <c r="I100" i="36"/>
  <c r="I101" i="36"/>
  <c r="I102" i="36"/>
  <c r="I103" i="36"/>
  <c r="I104" i="36"/>
  <c r="I105" i="36"/>
  <c r="I106" i="36"/>
  <c r="I107" i="36"/>
  <c r="I108" i="36"/>
  <c r="I109" i="36"/>
  <c r="I110" i="36"/>
  <c r="I111" i="36"/>
  <c r="I112" i="36"/>
  <c r="I113" i="36"/>
  <c r="I114" i="36"/>
  <c r="I115" i="36"/>
  <c r="I116" i="36"/>
  <c r="I117" i="36"/>
  <c r="I118" i="36"/>
  <c r="I119" i="36"/>
  <c r="I120" i="36"/>
  <c r="I121" i="36"/>
  <c r="I122" i="36"/>
  <c r="I123" i="36"/>
  <c r="I124" i="36"/>
  <c r="I125" i="36"/>
  <c r="I126" i="36"/>
  <c r="I127" i="36"/>
  <c r="E101" i="36"/>
  <c r="F101" i="36" s="1"/>
  <c r="E105" i="36"/>
  <c r="F105" i="36" s="1"/>
  <c r="E103" i="36"/>
  <c r="F103" i="36" s="1"/>
  <c r="E88" i="36"/>
  <c r="F88" i="36" s="1"/>
  <c r="E85" i="36"/>
  <c r="F85" i="36" s="1"/>
  <c r="E98" i="36"/>
  <c r="F98" i="36" s="1"/>
  <c r="E87" i="36"/>
  <c r="F87" i="36" s="1"/>
  <c r="E75" i="36"/>
  <c r="F75" i="36" s="1"/>
  <c r="E95" i="36"/>
  <c r="F95" i="36" s="1"/>
  <c r="E113" i="36"/>
  <c r="F113" i="36" s="1"/>
  <c r="E102" i="36"/>
  <c r="F102" i="36" s="1"/>
  <c r="E83" i="36"/>
  <c r="F83" i="36" s="1"/>
  <c r="E97" i="36"/>
  <c r="F97" i="36" s="1"/>
  <c r="E66" i="36"/>
  <c r="F66" i="36" s="1"/>
  <c r="E39" i="36"/>
  <c r="F39" i="36" s="1"/>
  <c r="E27" i="36"/>
  <c r="F27" i="36" s="1"/>
  <c r="E50" i="36"/>
  <c r="F50" i="36" s="1"/>
  <c r="E14" i="36"/>
  <c r="F14" i="36" s="1"/>
  <c r="E77" i="36"/>
  <c r="F77" i="36" s="1"/>
  <c r="E44" i="36"/>
  <c r="F44" i="36" s="1"/>
  <c r="E91" i="36"/>
  <c r="F91" i="36" s="1"/>
  <c r="E53" i="36"/>
  <c r="F53" i="36" s="1"/>
  <c r="E59" i="36"/>
  <c r="F59" i="36" s="1"/>
  <c r="E21" i="36"/>
  <c r="F21" i="36" s="1"/>
  <c r="E56" i="36"/>
  <c r="F56" i="36" s="1"/>
  <c r="E10" i="36"/>
  <c r="F10" i="36" s="1"/>
  <c r="E36" i="36"/>
  <c r="F36" i="36" s="1"/>
  <c r="E49" i="36"/>
  <c r="F49" i="36" s="1"/>
  <c r="E7" i="36"/>
  <c r="F7" i="36" s="1"/>
  <c r="E43" i="36"/>
  <c r="F43" i="36" s="1"/>
  <c r="E57" i="36"/>
  <c r="F57" i="36" s="1"/>
  <c r="E58" i="36"/>
  <c r="F58" i="36" s="1"/>
  <c r="E15" i="36"/>
  <c r="F15" i="36" s="1"/>
  <c r="E54" i="36"/>
  <c r="F54" i="36" s="1"/>
  <c r="E19" i="36"/>
  <c r="F19" i="36" s="1"/>
  <c r="E23" i="36"/>
  <c r="F23" i="36" s="1"/>
  <c r="E30" i="36"/>
  <c r="F30" i="36" s="1"/>
  <c r="E42" i="36"/>
  <c r="F42" i="36" s="1"/>
  <c r="E73" i="36"/>
  <c r="F73" i="36" s="1"/>
  <c r="E22" i="36"/>
  <c r="F22" i="36" s="1"/>
  <c r="E74" i="36"/>
  <c r="F74" i="36" s="1"/>
  <c r="E64" i="36"/>
  <c r="F64" i="36" s="1"/>
  <c r="E72" i="36"/>
  <c r="F72" i="36" s="1"/>
  <c r="E29" i="36"/>
  <c r="F29" i="36" s="1"/>
  <c r="E33" i="36"/>
  <c r="F33" i="36" s="1"/>
  <c r="E26" i="36"/>
  <c r="F26" i="36" s="1"/>
  <c r="E76" i="36"/>
  <c r="F76" i="36" s="1"/>
  <c r="E16" i="36"/>
  <c r="F16" i="36" s="1"/>
  <c r="E17" i="36"/>
  <c r="F17" i="36" s="1"/>
  <c r="E55" i="36"/>
  <c r="F55" i="36" s="1"/>
  <c r="E70" i="36"/>
  <c r="F70" i="36" s="1"/>
  <c r="E35" i="36"/>
  <c r="F35" i="36" s="1"/>
  <c r="E32" i="36"/>
  <c r="F32" i="36" s="1"/>
  <c r="E37" i="36"/>
  <c r="F37" i="36" s="1"/>
  <c r="E65" i="36"/>
  <c r="F65" i="36" s="1"/>
  <c r="E38" i="36"/>
  <c r="F38" i="36" s="1"/>
  <c r="E5" i="36"/>
  <c r="F5" i="36" s="1"/>
  <c r="E71" i="36"/>
  <c r="F71" i="36" s="1"/>
  <c r="E18" i="36"/>
  <c r="F18" i="36" s="1"/>
  <c r="E34" i="36"/>
  <c r="F34" i="36" s="1"/>
  <c r="E13" i="36"/>
  <c r="F13" i="36" s="1"/>
  <c r="E67" i="36"/>
  <c r="F67" i="36" s="1"/>
  <c r="E107" i="36"/>
  <c r="F107" i="36" s="1"/>
  <c r="E109" i="36"/>
  <c r="F109" i="36" s="1"/>
  <c r="E115" i="36"/>
  <c r="F115" i="36" s="1"/>
  <c r="E111" i="36"/>
  <c r="F111" i="36" s="1"/>
  <c r="E93" i="36"/>
  <c r="F93" i="36" s="1"/>
  <c r="E117" i="36"/>
  <c r="F117" i="36" s="1"/>
  <c r="E82" i="36"/>
  <c r="F82" i="36" s="1"/>
  <c r="E125" i="36"/>
  <c r="F125" i="36" s="1"/>
  <c r="E47" i="36"/>
  <c r="F47" i="36" s="1"/>
  <c r="E123" i="36"/>
  <c r="F123" i="36" s="1"/>
  <c r="E100" i="36"/>
  <c r="F100" i="36" s="1"/>
  <c r="E124" i="36"/>
  <c r="F124" i="36" s="1"/>
  <c r="E127" i="36"/>
  <c r="F127" i="36" s="1"/>
  <c r="E126" i="36"/>
  <c r="F126" i="36" s="1"/>
  <c r="E90" i="36"/>
  <c r="F90" i="36" s="1"/>
  <c r="E84" i="36"/>
  <c r="F84" i="36" s="1"/>
  <c r="E86" i="36"/>
  <c r="F86" i="36" s="1"/>
  <c r="E106" i="36"/>
  <c r="F106" i="36" s="1"/>
  <c r="E62" i="36"/>
  <c r="F62" i="36" s="1"/>
  <c r="E69" i="36"/>
  <c r="F69" i="36" s="1"/>
  <c r="E94" i="36"/>
  <c r="F94" i="36" s="1"/>
  <c r="E78" i="36"/>
  <c r="F78" i="36" s="1"/>
  <c r="E52" i="36"/>
  <c r="F52" i="36" s="1"/>
  <c r="E81" i="36"/>
  <c r="F81" i="36" s="1"/>
  <c r="E61" i="36"/>
  <c r="F61" i="36" s="1"/>
  <c r="E46" i="36"/>
  <c r="F46" i="36" s="1"/>
  <c r="E63" i="36"/>
  <c r="F63" i="36" s="1"/>
  <c r="E28" i="36"/>
  <c r="F28" i="36" s="1"/>
  <c r="E20" i="36"/>
  <c r="F20" i="36" s="1"/>
  <c r="E11" i="36"/>
  <c r="F11" i="36" s="1"/>
  <c r="E80" i="36"/>
  <c r="F80" i="36" s="1"/>
  <c r="E12" i="36"/>
  <c r="F12" i="36" s="1"/>
  <c r="E112" i="36"/>
  <c r="F112" i="36" s="1"/>
  <c r="E60" i="36"/>
  <c r="F60" i="36" s="1"/>
  <c r="E51" i="36"/>
  <c r="F51" i="36" s="1"/>
  <c r="E9" i="36"/>
  <c r="F9" i="36" s="1"/>
  <c r="E48" i="36"/>
  <c r="F48" i="36" s="1"/>
  <c r="E41" i="36"/>
  <c r="F41" i="36" s="1"/>
  <c r="E31" i="36"/>
  <c r="F31" i="36" s="1"/>
  <c r="E24" i="36"/>
  <c r="F24" i="36" s="1"/>
  <c r="E25" i="36"/>
  <c r="F25" i="36" s="1"/>
  <c r="E6" i="36"/>
  <c r="F6" i="36" s="1"/>
  <c r="E45" i="36"/>
  <c r="F45" i="36" s="1"/>
  <c r="E8" i="36"/>
  <c r="F8" i="36" s="1"/>
  <c r="E40" i="36"/>
  <c r="F40" i="36" s="1"/>
  <c r="E122" i="36"/>
  <c r="F122" i="36" s="1"/>
  <c r="E120" i="36"/>
  <c r="F120" i="36" s="1"/>
  <c r="E119" i="36"/>
  <c r="F119" i="36" s="1"/>
  <c r="E99" i="36"/>
  <c r="F99" i="36" s="1"/>
  <c r="E104" i="36"/>
  <c r="F104" i="36" s="1"/>
  <c r="E110" i="36"/>
  <c r="F110" i="36" s="1"/>
  <c r="E96" i="36"/>
  <c r="F96" i="36" s="1"/>
  <c r="E92" i="36"/>
  <c r="F92" i="36" s="1"/>
  <c r="E79" i="36"/>
  <c r="F79" i="36" s="1"/>
  <c r="E89" i="36"/>
  <c r="F89" i="36" s="1"/>
  <c r="E121" i="36"/>
  <c r="F121" i="36" s="1"/>
  <c r="E116" i="36"/>
  <c r="F116" i="36" s="1"/>
  <c r="E68" i="36"/>
  <c r="F68" i="36" s="1"/>
  <c r="E118" i="36"/>
  <c r="F118" i="36" s="1"/>
  <c r="E108" i="36"/>
  <c r="F108" i="36" s="1"/>
  <c r="I5" i="36"/>
  <c r="E114" i="36"/>
  <c r="F114" i="36" s="1"/>
  <c r="G2" i="36"/>
  <c r="H113" i="35"/>
  <c r="G113" i="35"/>
  <c r="H110" i="35"/>
  <c r="G110" i="35"/>
  <c r="H107" i="35"/>
  <c r="G107" i="35"/>
  <c r="H104" i="35"/>
  <c r="G104" i="35"/>
  <c r="H101" i="35"/>
  <c r="G101" i="35"/>
  <c r="H98" i="35"/>
  <c r="G98" i="35"/>
  <c r="H95" i="35"/>
  <c r="G95" i="35"/>
  <c r="H92" i="35"/>
  <c r="G92" i="35"/>
  <c r="H89" i="35"/>
  <c r="G89" i="35"/>
  <c r="H86" i="35"/>
  <c r="G86" i="35"/>
  <c r="H83" i="35"/>
  <c r="G83" i="35"/>
  <c r="H80" i="35"/>
  <c r="G80" i="35"/>
  <c r="H77" i="35"/>
  <c r="G77" i="35"/>
  <c r="H74" i="35"/>
  <c r="G74" i="35"/>
  <c r="H71" i="35"/>
  <c r="G71" i="35"/>
  <c r="H68" i="35"/>
  <c r="G68" i="35"/>
  <c r="H65" i="35"/>
  <c r="G65" i="35"/>
  <c r="H62" i="35"/>
  <c r="G62" i="35"/>
  <c r="H59" i="35"/>
  <c r="G59" i="35"/>
  <c r="H56" i="35"/>
  <c r="G56" i="35"/>
  <c r="H53" i="35"/>
  <c r="G53" i="35"/>
  <c r="H50" i="35"/>
  <c r="G50" i="35"/>
  <c r="H47" i="35"/>
  <c r="G47" i="35"/>
  <c r="H44" i="35"/>
  <c r="G44" i="35"/>
  <c r="H41" i="35"/>
  <c r="G41" i="35"/>
  <c r="H38" i="35"/>
  <c r="G38" i="35"/>
  <c r="H35" i="35"/>
  <c r="G35" i="35"/>
  <c r="H32" i="35"/>
  <c r="G32" i="35"/>
  <c r="H29" i="35"/>
  <c r="G29" i="35"/>
  <c r="H26" i="35"/>
  <c r="G26" i="35"/>
  <c r="H23" i="35"/>
  <c r="G23" i="35"/>
  <c r="H20" i="35"/>
  <c r="G20" i="35"/>
  <c r="H17" i="35"/>
  <c r="G17" i="35"/>
  <c r="H14" i="35"/>
  <c r="G14" i="35"/>
  <c r="H11" i="35"/>
  <c r="G11" i="35"/>
  <c r="H8" i="35"/>
  <c r="G8" i="35"/>
  <c r="G115" i="35" s="1"/>
  <c r="H5" i="35"/>
  <c r="G5" i="35"/>
  <c r="F115" i="35"/>
  <c r="I6" i="35"/>
  <c r="I7" i="35"/>
  <c r="I8" i="35"/>
  <c r="I9" i="35"/>
  <c r="I10" i="35"/>
  <c r="I11" i="35"/>
  <c r="I12" i="35"/>
  <c r="I13" i="35"/>
  <c r="I14" i="35"/>
  <c r="I15" i="35"/>
  <c r="I16" i="35"/>
  <c r="I17" i="35"/>
  <c r="I18" i="35"/>
  <c r="I19" i="35"/>
  <c r="I20" i="35"/>
  <c r="I21" i="35"/>
  <c r="I22" i="35"/>
  <c r="I23" i="35"/>
  <c r="I24" i="35"/>
  <c r="I25" i="35"/>
  <c r="I26" i="35"/>
  <c r="I27" i="35"/>
  <c r="I28" i="35"/>
  <c r="I29" i="35"/>
  <c r="I30" i="35"/>
  <c r="I31" i="35"/>
  <c r="I32" i="35"/>
  <c r="I33" i="35"/>
  <c r="I34" i="35"/>
  <c r="I35" i="35"/>
  <c r="I36" i="35"/>
  <c r="I37" i="35"/>
  <c r="I38" i="35"/>
  <c r="I39" i="35"/>
  <c r="I40" i="35"/>
  <c r="I41" i="35"/>
  <c r="I42" i="35"/>
  <c r="I43" i="35"/>
  <c r="I44" i="35"/>
  <c r="I45" i="35"/>
  <c r="I46" i="35"/>
  <c r="I47" i="35"/>
  <c r="I48" i="35"/>
  <c r="I49" i="35"/>
  <c r="I50" i="35"/>
  <c r="I51" i="35"/>
  <c r="I52" i="35"/>
  <c r="I53" i="35"/>
  <c r="I54" i="35"/>
  <c r="I55" i="35"/>
  <c r="I56" i="35"/>
  <c r="I57" i="35"/>
  <c r="I58" i="35"/>
  <c r="I59" i="35"/>
  <c r="I60" i="35"/>
  <c r="I61" i="35"/>
  <c r="I62" i="35"/>
  <c r="I63" i="35"/>
  <c r="I64" i="35"/>
  <c r="I65" i="35"/>
  <c r="I66" i="35"/>
  <c r="I67" i="35"/>
  <c r="I68" i="35"/>
  <c r="I69" i="35"/>
  <c r="I70" i="35"/>
  <c r="I71" i="35"/>
  <c r="I72" i="35"/>
  <c r="I73" i="35"/>
  <c r="I74" i="35"/>
  <c r="I75" i="35"/>
  <c r="I76" i="35"/>
  <c r="I77" i="35"/>
  <c r="I78" i="35"/>
  <c r="I79" i="35"/>
  <c r="I80" i="35"/>
  <c r="I81" i="35"/>
  <c r="I82" i="35"/>
  <c r="I83" i="35"/>
  <c r="I84" i="35"/>
  <c r="I85" i="35"/>
  <c r="I86" i="35"/>
  <c r="I87" i="35"/>
  <c r="I88" i="35"/>
  <c r="I89" i="35"/>
  <c r="I90" i="35"/>
  <c r="I91" i="35"/>
  <c r="I92" i="35"/>
  <c r="I93" i="35"/>
  <c r="I94" i="35"/>
  <c r="I95" i="35"/>
  <c r="I96" i="35"/>
  <c r="I97" i="35"/>
  <c r="I98" i="35"/>
  <c r="I99" i="35"/>
  <c r="I100" i="35"/>
  <c r="I101" i="35"/>
  <c r="I102" i="35"/>
  <c r="I103" i="35"/>
  <c r="I104" i="35"/>
  <c r="I105" i="35"/>
  <c r="I106" i="35"/>
  <c r="I107" i="35"/>
  <c r="I108" i="35"/>
  <c r="I109" i="35"/>
  <c r="I110" i="35"/>
  <c r="I111" i="35"/>
  <c r="I112" i="35"/>
  <c r="I113" i="35"/>
  <c r="E87" i="35"/>
  <c r="F87" i="35" s="1"/>
  <c r="E98" i="35"/>
  <c r="F98" i="35" s="1"/>
  <c r="E90" i="35"/>
  <c r="F90" i="35" s="1"/>
  <c r="E95" i="35"/>
  <c r="F95" i="35" s="1"/>
  <c r="E100" i="35"/>
  <c r="F100" i="35" s="1"/>
  <c r="E40" i="35"/>
  <c r="F40" i="35" s="1"/>
  <c r="E52" i="35"/>
  <c r="F52" i="35" s="1"/>
  <c r="E96" i="35"/>
  <c r="F96" i="35" s="1"/>
  <c r="E33" i="35"/>
  <c r="F33" i="35"/>
  <c r="H33" i="35" s="1"/>
  <c r="G33" i="35"/>
  <c r="E99" i="35"/>
  <c r="F99" i="35" s="1"/>
  <c r="E71" i="35"/>
  <c r="F71" i="35" s="1"/>
  <c r="E62" i="35"/>
  <c r="F62" i="35" s="1"/>
  <c r="E59" i="35"/>
  <c r="F59" i="35" s="1"/>
  <c r="E69" i="35"/>
  <c r="F69" i="35" s="1"/>
  <c r="E68" i="35"/>
  <c r="F68" i="35" s="1"/>
  <c r="E85" i="35"/>
  <c r="F85" i="35" s="1"/>
  <c r="E94" i="35"/>
  <c r="F94" i="35" s="1"/>
  <c r="E8" i="35"/>
  <c r="F8" i="35"/>
  <c r="E38" i="35"/>
  <c r="F38" i="35" s="1"/>
  <c r="E6" i="35"/>
  <c r="F6" i="35" s="1"/>
  <c r="E10" i="35"/>
  <c r="F10" i="35"/>
  <c r="H10" i="35" s="1"/>
  <c r="E45" i="35"/>
  <c r="F45" i="35" s="1"/>
  <c r="E7" i="35"/>
  <c r="F7" i="35" s="1"/>
  <c r="E26" i="35"/>
  <c r="F26" i="35" s="1"/>
  <c r="E39" i="35"/>
  <c r="F39" i="35" s="1"/>
  <c r="E47" i="35"/>
  <c r="F47" i="35" s="1"/>
  <c r="E11" i="35"/>
  <c r="F11" i="35" s="1"/>
  <c r="E5" i="35"/>
  <c r="F5" i="35" s="1"/>
  <c r="E48" i="35"/>
  <c r="F48" i="35" s="1"/>
  <c r="E46" i="35"/>
  <c r="F46" i="35" s="1"/>
  <c r="E42" i="35"/>
  <c r="F42" i="35" s="1"/>
  <c r="E50" i="35"/>
  <c r="F50" i="35" s="1"/>
  <c r="E16" i="35"/>
  <c r="F16" i="35" s="1"/>
  <c r="E76" i="35"/>
  <c r="F76" i="35" s="1"/>
  <c r="E14" i="35"/>
  <c r="F14" i="35" s="1"/>
  <c r="E13" i="35"/>
  <c r="F13" i="35" s="1"/>
  <c r="E64" i="35"/>
  <c r="F64" i="35" s="1"/>
  <c r="E41" i="35"/>
  <c r="F41" i="35" s="1"/>
  <c r="E25" i="35"/>
  <c r="F25" i="35" s="1"/>
  <c r="E67" i="35"/>
  <c r="F67" i="35" s="1"/>
  <c r="E28" i="35"/>
  <c r="F28" i="35" s="1"/>
  <c r="E78" i="35"/>
  <c r="F78" i="35" s="1"/>
  <c r="E86" i="35"/>
  <c r="F86" i="35" s="1"/>
  <c r="E77" i="35"/>
  <c r="F77" i="35" s="1"/>
  <c r="E60" i="35"/>
  <c r="F60" i="35" s="1"/>
  <c r="E88" i="35"/>
  <c r="F88" i="35" s="1"/>
  <c r="E74" i="35"/>
  <c r="F74" i="35" s="1"/>
  <c r="E72" i="35"/>
  <c r="F72" i="35"/>
  <c r="H72" i="35" s="1"/>
  <c r="E73" i="35"/>
  <c r="F73" i="35" s="1"/>
  <c r="E55" i="35"/>
  <c r="F55" i="35" s="1"/>
  <c r="E54" i="35"/>
  <c r="F54" i="35" s="1"/>
  <c r="E56" i="35"/>
  <c r="F56" i="35" s="1"/>
  <c r="E81" i="35"/>
  <c r="F81" i="35" s="1"/>
  <c r="E107" i="35"/>
  <c r="F107" i="35" s="1"/>
  <c r="E79" i="35"/>
  <c r="F79" i="35" s="1"/>
  <c r="E63" i="35"/>
  <c r="F63" i="35" s="1"/>
  <c r="E65" i="35"/>
  <c r="F65" i="35"/>
  <c r="E58" i="35"/>
  <c r="F58" i="35" s="1"/>
  <c r="E83" i="35"/>
  <c r="F83" i="35" s="1"/>
  <c r="E66" i="35"/>
  <c r="F66" i="35"/>
  <c r="H66" i="35" s="1"/>
  <c r="E84" i="35"/>
  <c r="F84" i="35" s="1"/>
  <c r="E101" i="35"/>
  <c r="F101" i="35" s="1"/>
  <c r="E37" i="35"/>
  <c r="F37" i="35" s="1"/>
  <c r="E53" i="35"/>
  <c r="F53" i="35" s="1"/>
  <c r="E19" i="35"/>
  <c r="F19" i="35" s="1"/>
  <c r="E23" i="35"/>
  <c r="F23" i="35" s="1"/>
  <c r="E27" i="35"/>
  <c r="F27" i="35" s="1"/>
  <c r="E17" i="35"/>
  <c r="F17" i="35" s="1"/>
  <c r="E82" i="35"/>
  <c r="F82" i="35" s="1"/>
  <c r="E21" i="35"/>
  <c r="F21" i="35" s="1"/>
  <c r="E70" i="35"/>
  <c r="F70" i="35" s="1"/>
  <c r="E31" i="35"/>
  <c r="F31" i="35" s="1"/>
  <c r="E91" i="35"/>
  <c r="F91" i="35" s="1"/>
  <c r="E15" i="35"/>
  <c r="F15" i="35" s="1"/>
  <c r="E35" i="35"/>
  <c r="F35" i="35" s="1"/>
  <c r="E75" i="35"/>
  <c r="F75" i="35" s="1"/>
  <c r="E32" i="35"/>
  <c r="F32" i="35" s="1"/>
  <c r="E51" i="35"/>
  <c r="F51" i="35" s="1"/>
  <c r="E24" i="35"/>
  <c r="F24" i="35" s="1"/>
  <c r="E9" i="35"/>
  <c r="F9" i="35" s="1"/>
  <c r="E22" i="35"/>
  <c r="F22" i="35"/>
  <c r="H22" i="35" s="1"/>
  <c r="G22" i="35"/>
  <c r="E97" i="35"/>
  <c r="F97" i="35" s="1"/>
  <c r="E12" i="35"/>
  <c r="F12" i="35" s="1"/>
  <c r="E102" i="35"/>
  <c r="F102" i="35" s="1"/>
  <c r="H102" i="35" s="1"/>
  <c r="E80" i="35"/>
  <c r="F80" i="35" s="1"/>
  <c r="E108" i="35"/>
  <c r="F108" i="35" s="1"/>
  <c r="E34" i="35"/>
  <c r="F34" i="35" s="1"/>
  <c r="E36" i="35"/>
  <c r="F36" i="35" s="1"/>
  <c r="E18" i="35"/>
  <c r="F18" i="35" s="1"/>
  <c r="E29" i="35"/>
  <c r="F29" i="35" s="1"/>
  <c r="E20" i="35"/>
  <c r="F20" i="35" s="1"/>
  <c r="E30" i="35"/>
  <c r="F30" i="35" s="1"/>
  <c r="E49" i="35"/>
  <c r="F49" i="35" s="1"/>
  <c r="H49" i="35" s="1"/>
  <c r="E111" i="35"/>
  <c r="F111" i="35" s="1"/>
  <c r="E106" i="35"/>
  <c r="F106" i="35" s="1"/>
  <c r="E104" i="35"/>
  <c r="F104" i="35" s="1"/>
  <c r="E103" i="35"/>
  <c r="F103" i="35" s="1"/>
  <c r="E113" i="35"/>
  <c r="F113" i="35" s="1"/>
  <c r="E112" i="35"/>
  <c r="F112" i="35" s="1"/>
  <c r="E61" i="35"/>
  <c r="F61" i="35" s="1"/>
  <c r="E105" i="35"/>
  <c r="F105" i="35" s="1"/>
  <c r="E110" i="35"/>
  <c r="F110" i="35" s="1"/>
  <c r="E57" i="35"/>
  <c r="F57" i="35" s="1"/>
  <c r="E89" i="35"/>
  <c r="F89" i="35" s="1"/>
  <c r="E43" i="35"/>
  <c r="F43" i="35" s="1"/>
  <c r="E44" i="35"/>
  <c r="F44" i="35" s="1"/>
  <c r="E109" i="35"/>
  <c r="F109" i="35" s="1"/>
  <c r="E93" i="35"/>
  <c r="F93" i="35" s="1"/>
  <c r="I5" i="35"/>
  <c r="E92" i="35"/>
  <c r="F92" i="35" s="1"/>
  <c r="G2" i="35"/>
  <c r="H51" i="34"/>
  <c r="G51" i="34"/>
  <c r="H47" i="34"/>
  <c r="G47" i="34"/>
  <c r="H44" i="34"/>
  <c r="G44" i="34"/>
  <c r="H41" i="34"/>
  <c r="G41" i="34"/>
  <c r="H38" i="34"/>
  <c r="G38" i="34"/>
  <c r="H35" i="34"/>
  <c r="G35" i="34"/>
  <c r="H32" i="34"/>
  <c r="G32" i="34"/>
  <c r="H29" i="34"/>
  <c r="G29" i="34"/>
  <c r="H26" i="34"/>
  <c r="G26" i="34"/>
  <c r="H23" i="34"/>
  <c r="G23" i="34"/>
  <c r="H20" i="34"/>
  <c r="G20" i="34"/>
  <c r="H17" i="34"/>
  <c r="G17" i="34"/>
  <c r="H14" i="34"/>
  <c r="G14" i="34"/>
  <c r="H11" i="34"/>
  <c r="G11" i="34"/>
  <c r="H8" i="34"/>
  <c r="G8" i="34"/>
  <c r="H5" i="34"/>
  <c r="G5" i="34"/>
  <c r="F51" i="34"/>
  <c r="I6" i="34"/>
  <c r="I7" i="34"/>
  <c r="I8" i="34"/>
  <c r="I9" i="34"/>
  <c r="I10" i="34"/>
  <c r="I11" i="34"/>
  <c r="I12" i="34"/>
  <c r="I13" i="34"/>
  <c r="I14" i="34"/>
  <c r="I15" i="34"/>
  <c r="I16" i="34"/>
  <c r="I17" i="34"/>
  <c r="I18" i="34"/>
  <c r="I19" i="34"/>
  <c r="I20" i="34"/>
  <c r="I21" i="34"/>
  <c r="I22" i="34"/>
  <c r="I23" i="34"/>
  <c r="I24" i="34"/>
  <c r="I25" i="34"/>
  <c r="I26" i="34"/>
  <c r="I27" i="34"/>
  <c r="I28" i="34"/>
  <c r="I29" i="34"/>
  <c r="I30" i="34"/>
  <c r="I31" i="34"/>
  <c r="I32" i="34"/>
  <c r="I33" i="34"/>
  <c r="I34" i="34"/>
  <c r="I35" i="34"/>
  <c r="I36" i="34"/>
  <c r="I37" i="34"/>
  <c r="I38" i="34"/>
  <c r="I39" i="34"/>
  <c r="I40" i="34"/>
  <c r="I41" i="34"/>
  <c r="I42" i="34"/>
  <c r="I43" i="34"/>
  <c r="I44" i="34"/>
  <c r="I45" i="34"/>
  <c r="I46" i="34"/>
  <c r="I47" i="34"/>
  <c r="I48" i="34"/>
  <c r="I49" i="34"/>
  <c r="E41" i="34"/>
  <c r="F41" i="34" s="1"/>
  <c r="E46" i="34"/>
  <c r="F46" i="34" s="1"/>
  <c r="E30" i="34"/>
  <c r="F30" i="34" s="1"/>
  <c r="E20" i="34"/>
  <c r="F20" i="34" s="1"/>
  <c r="E40" i="34"/>
  <c r="F40" i="34" s="1"/>
  <c r="E35" i="34"/>
  <c r="F35" i="34" s="1"/>
  <c r="E47" i="34"/>
  <c r="F47" i="34" s="1"/>
  <c r="E34" i="34"/>
  <c r="F34" i="34" s="1"/>
  <c r="E39" i="34"/>
  <c r="F39" i="34" s="1"/>
  <c r="E42" i="34"/>
  <c r="F42" i="34" s="1"/>
  <c r="E19" i="34"/>
  <c r="F19" i="34" s="1"/>
  <c r="E22" i="34"/>
  <c r="F22" i="34" s="1"/>
  <c r="E24" i="34"/>
  <c r="F24" i="34" s="1"/>
  <c r="E15" i="34"/>
  <c r="F15" i="34" s="1"/>
  <c r="E6" i="34"/>
  <c r="F6" i="34" s="1"/>
  <c r="E48" i="34"/>
  <c r="F48" i="34" s="1"/>
  <c r="E38" i="34"/>
  <c r="F38" i="34" s="1"/>
  <c r="E49" i="34"/>
  <c r="F49" i="34" s="1"/>
  <c r="E44" i="34"/>
  <c r="F44" i="34" s="1"/>
  <c r="E7" i="34"/>
  <c r="F7" i="34" s="1"/>
  <c r="E5" i="34"/>
  <c r="F5" i="34" s="1"/>
  <c r="E45" i="34"/>
  <c r="F45" i="34" s="1"/>
  <c r="E8" i="34"/>
  <c r="F8" i="34" s="1"/>
  <c r="E28" i="34"/>
  <c r="F28" i="34" s="1"/>
  <c r="E33" i="34"/>
  <c r="F33" i="34" s="1"/>
  <c r="E31" i="34"/>
  <c r="F31" i="34" s="1"/>
  <c r="E26" i="34"/>
  <c r="F26" i="34" s="1"/>
  <c r="E37" i="34"/>
  <c r="F37" i="34" s="1"/>
  <c r="E9" i="34"/>
  <c r="F9" i="34" s="1"/>
  <c r="E27" i="34"/>
  <c r="F27" i="34" s="1"/>
  <c r="E10" i="34"/>
  <c r="F10" i="34" s="1"/>
  <c r="E17" i="34"/>
  <c r="F17" i="34" s="1"/>
  <c r="E12" i="34"/>
  <c r="F12" i="34" s="1"/>
  <c r="E25" i="34"/>
  <c r="F25" i="34" s="1"/>
  <c r="E18" i="34"/>
  <c r="F18" i="34" s="1"/>
  <c r="E14" i="34"/>
  <c r="F14" i="34" s="1"/>
  <c r="E11" i="34"/>
  <c r="F11" i="34" s="1"/>
  <c r="E21" i="34"/>
  <c r="F21" i="34" s="1"/>
  <c r="E32" i="34"/>
  <c r="F32" i="34" s="1"/>
  <c r="E16" i="34"/>
  <c r="F16" i="34" s="1"/>
  <c r="E23" i="34"/>
  <c r="F23" i="34" s="1"/>
  <c r="E29" i="34"/>
  <c r="F29" i="34" s="1"/>
  <c r="E13" i="34"/>
  <c r="F13" i="34" s="1"/>
  <c r="E43" i="34"/>
  <c r="F43" i="34" s="1"/>
  <c r="I5" i="34"/>
  <c r="E36" i="34"/>
  <c r="F36" i="34" s="1"/>
  <c r="G2" i="34"/>
  <c r="H53" i="33"/>
  <c r="G53" i="33"/>
  <c r="H50" i="33"/>
  <c r="G50" i="33"/>
  <c r="H47" i="33"/>
  <c r="G47" i="33"/>
  <c r="H44" i="33"/>
  <c r="G44" i="33"/>
  <c r="H41" i="33"/>
  <c r="G41" i="33"/>
  <c r="H38" i="33"/>
  <c r="G38" i="33"/>
  <c r="H35" i="33"/>
  <c r="G35" i="33"/>
  <c r="H32" i="33"/>
  <c r="G32" i="33"/>
  <c r="H29" i="33"/>
  <c r="G29" i="33"/>
  <c r="H26" i="33"/>
  <c r="G26" i="33"/>
  <c r="H23" i="33"/>
  <c r="G23" i="33"/>
  <c r="H20" i="33"/>
  <c r="G20" i="33"/>
  <c r="H17" i="33"/>
  <c r="G17" i="33"/>
  <c r="H14" i="33"/>
  <c r="G14" i="33"/>
  <c r="H11" i="33"/>
  <c r="G11" i="33"/>
  <c r="H8" i="33"/>
  <c r="G8" i="33"/>
  <c r="H5" i="33"/>
  <c r="G5" i="33"/>
  <c r="H55" i="33"/>
  <c r="G55" i="33"/>
  <c r="F55" i="33"/>
  <c r="I6" i="33"/>
  <c r="I7" i="33"/>
  <c r="I8" i="33"/>
  <c r="I9" i="33"/>
  <c r="I10" i="33"/>
  <c r="I11" i="33"/>
  <c r="I12" i="33"/>
  <c r="I13" i="33"/>
  <c r="I14" i="33"/>
  <c r="I15" i="33"/>
  <c r="I16" i="33"/>
  <c r="I17" i="33"/>
  <c r="I18" i="33"/>
  <c r="I19" i="33"/>
  <c r="I20" i="33"/>
  <c r="I21" i="33"/>
  <c r="I22" i="33"/>
  <c r="I23" i="33"/>
  <c r="I24" i="33"/>
  <c r="I25" i="33"/>
  <c r="I26" i="33"/>
  <c r="I27" i="33"/>
  <c r="I28" i="33"/>
  <c r="I29" i="33"/>
  <c r="I30" i="33"/>
  <c r="I31" i="33"/>
  <c r="I32" i="33"/>
  <c r="I33" i="33"/>
  <c r="I34" i="33"/>
  <c r="I35" i="33"/>
  <c r="I36" i="33"/>
  <c r="I37" i="33"/>
  <c r="I38" i="33"/>
  <c r="I39" i="33"/>
  <c r="I40" i="33"/>
  <c r="I41" i="33"/>
  <c r="I42" i="33"/>
  <c r="I43" i="33"/>
  <c r="I44" i="33"/>
  <c r="I45" i="33"/>
  <c r="I46" i="33"/>
  <c r="I47" i="33"/>
  <c r="I48" i="33"/>
  <c r="I49" i="33"/>
  <c r="I50" i="33"/>
  <c r="I51" i="33"/>
  <c r="I52" i="33"/>
  <c r="I53" i="33"/>
  <c r="E9" i="33"/>
  <c r="F9" i="33" s="1"/>
  <c r="E47" i="33"/>
  <c r="F47" i="33" s="1"/>
  <c r="E48" i="33"/>
  <c r="F48" i="33" s="1"/>
  <c r="E45" i="33"/>
  <c r="F45" i="33" s="1"/>
  <c r="E42" i="33"/>
  <c r="F42" i="33" s="1"/>
  <c r="E32" i="33"/>
  <c r="F32" i="33" s="1"/>
  <c r="E51" i="33"/>
  <c r="F51" i="33" s="1"/>
  <c r="E18" i="33"/>
  <c r="F18" i="33" s="1"/>
  <c r="E23" i="33"/>
  <c r="F23" i="33" s="1"/>
  <c r="E25" i="33"/>
  <c r="F25" i="33" s="1"/>
  <c r="E17" i="33"/>
  <c r="F17" i="33" s="1"/>
  <c r="E30" i="33"/>
  <c r="F30" i="33" s="1"/>
  <c r="E6" i="33"/>
  <c r="F6" i="33" s="1"/>
  <c r="E8" i="33"/>
  <c r="F8" i="33" s="1"/>
  <c r="E29" i="33"/>
  <c r="F29" i="33" s="1"/>
  <c r="E10" i="33"/>
  <c r="F10" i="33" s="1"/>
  <c r="E34" i="33"/>
  <c r="F34" i="33" s="1"/>
  <c r="E28" i="33"/>
  <c r="F28" i="33" s="1"/>
  <c r="E43" i="33"/>
  <c r="F43" i="33" s="1"/>
  <c r="E40" i="33"/>
  <c r="F40" i="33" s="1"/>
  <c r="E41" i="33"/>
  <c r="F41" i="33" s="1"/>
  <c r="E35" i="33"/>
  <c r="F35" i="33" s="1"/>
  <c r="E39" i="33"/>
  <c r="F39" i="33" s="1"/>
  <c r="E31" i="33"/>
  <c r="F31" i="33" s="1"/>
  <c r="E33" i="33"/>
  <c r="F33" i="33" s="1"/>
  <c r="E46" i="33"/>
  <c r="F46" i="33" s="1"/>
  <c r="E24" i="33"/>
  <c r="F24" i="33" s="1"/>
  <c r="E49" i="33"/>
  <c r="F49" i="33" s="1"/>
  <c r="E44" i="33"/>
  <c r="F44" i="33" s="1"/>
  <c r="E20" i="33"/>
  <c r="F20" i="33" s="1"/>
  <c r="E14" i="33"/>
  <c r="F14" i="33" s="1"/>
  <c r="E12" i="33"/>
  <c r="F12" i="33" s="1"/>
  <c r="E5" i="33"/>
  <c r="F5" i="33" s="1"/>
  <c r="E13" i="33"/>
  <c r="F13" i="33" s="1"/>
  <c r="E7" i="33"/>
  <c r="F7" i="33" s="1"/>
  <c r="E38" i="33"/>
  <c r="F38" i="33" s="1"/>
  <c r="E36" i="33"/>
  <c r="F36" i="33" s="1"/>
  <c r="E50" i="33"/>
  <c r="F50" i="33" s="1"/>
  <c r="E37" i="33"/>
  <c r="F37" i="33" s="1"/>
  <c r="E11" i="33"/>
  <c r="F11" i="33" s="1"/>
  <c r="E26" i="33"/>
  <c r="F26" i="33" s="1"/>
  <c r="E27" i="33"/>
  <c r="F27" i="33" s="1"/>
  <c r="E15" i="33"/>
  <c r="F15" i="33" s="1"/>
  <c r="E21" i="33"/>
  <c r="F21" i="33" s="1"/>
  <c r="E22" i="33"/>
  <c r="F22" i="33" s="1"/>
  <c r="E16" i="33"/>
  <c r="F16" i="33" s="1"/>
  <c r="E19" i="33"/>
  <c r="F19" i="33" s="1"/>
  <c r="E52" i="33"/>
  <c r="F52" i="33" s="1"/>
  <c r="I5" i="33"/>
  <c r="E53" i="33"/>
  <c r="F53" i="33" s="1"/>
  <c r="G2" i="33"/>
  <c r="H35" i="32"/>
  <c r="G35" i="32"/>
  <c r="H32" i="32"/>
  <c r="G32" i="32"/>
  <c r="H29" i="32"/>
  <c r="G29" i="32"/>
  <c r="H26" i="32"/>
  <c r="G26" i="32"/>
  <c r="H23" i="32"/>
  <c r="G23" i="32"/>
  <c r="H20" i="32"/>
  <c r="G20" i="32"/>
  <c r="H17" i="32"/>
  <c r="G17" i="32"/>
  <c r="H14" i="32"/>
  <c r="G14" i="32"/>
  <c r="H11" i="32"/>
  <c r="G11" i="32"/>
  <c r="H8" i="32"/>
  <c r="G8" i="32"/>
  <c r="H5" i="32"/>
  <c r="G5" i="32"/>
  <c r="H38" i="32"/>
  <c r="G38" i="32"/>
  <c r="F38" i="32"/>
  <c r="I6" i="32"/>
  <c r="I7" i="32"/>
  <c r="I8" i="32"/>
  <c r="I9" i="32"/>
  <c r="I10" i="32"/>
  <c r="I11" i="32"/>
  <c r="I12" i="32"/>
  <c r="I13" i="32"/>
  <c r="I14" i="32"/>
  <c r="I15" i="32"/>
  <c r="I16" i="32"/>
  <c r="I17" i="32"/>
  <c r="I18" i="32"/>
  <c r="I19" i="32"/>
  <c r="I20" i="32"/>
  <c r="I21" i="32"/>
  <c r="I22" i="32"/>
  <c r="I23" i="32"/>
  <c r="I24" i="32"/>
  <c r="I25" i="32"/>
  <c r="I26" i="32"/>
  <c r="I27" i="32"/>
  <c r="I28" i="32"/>
  <c r="I29" i="32"/>
  <c r="I30" i="32"/>
  <c r="I31" i="32"/>
  <c r="I32" i="32"/>
  <c r="I33" i="32"/>
  <c r="I34" i="32"/>
  <c r="I35" i="32"/>
  <c r="I36" i="32"/>
  <c r="E31" i="32"/>
  <c r="F31" i="32" s="1"/>
  <c r="E33" i="32"/>
  <c r="F33" i="32" s="1"/>
  <c r="E17" i="32"/>
  <c r="F17" i="32" s="1"/>
  <c r="E29" i="32"/>
  <c r="F29" i="32" s="1"/>
  <c r="E9" i="32"/>
  <c r="F9" i="32" s="1"/>
  <c r="E11" i="32"/>
  <c r="F11" i="32" s="1"/>
  <c r="E25" i="32"/>
  <c r="F25" i="32" s="1"/>
  <c r="E13" i="32"/>
  <c r="F13" i="32" s="1"/>
  <c r="E24" i="32"/>
  <c r="F24" i="32" s="1"/>
  <c r="E28" i="32"/>
  <c r="F28" i="32" s="1"/>
  <c r="E8" i="32"/>
  <c r="F8" i="32" s="1"/>
  <c r="E30" i="32"/>
  <c r="F30" i="32" s="1"/>
  <c r="E27" i="32"/>
  <c r="F27" i="32" s="1"/>
  <c r="E32" i="32"/>
  <c r="F32" i="32" s="1"/>
  <c r="E16" i="32"/>
  <c r="F16" i="32" s="1"/>
  <c r="E14" i="32"/>
  <c r="F14" i="32" s="1"/>
  <c r="E5" i="32"/>
  <c r="F5" i="32" s="1"/>
  <c r="E20" i="32"/>
  <c r="F20" i="32"/>
  <c r="E10" i="32"/>
  <c r="F10" i="32" s="1"/>
  <c r="E26" i="32"/>
  <c r="F26" i="32" s="1"/>
  <c r="E6" i="32"/>
  <c r="F6" i="32"/>
  <c r="G6" i="32" s="1"/>
  <c r="E21" i="32"/>
  <c r="F21" i="32" s="1"/>
  <c r="E12" i="32"/>
  <c r="F12" i="32" s="1"/>
  <c r="E7" i="32"/>
  <c r="F7" i="32" s="1"/>
  <c r="G7" i="32" s="1"/>
  <c r="E19" i="32"/>
  <c r="F19" i="32" s="1"/>
  <c r="E18" i="32"/>
  <c r="F18" i="32" s="1"/>
  <c r="E15" i="32"/>
  <c r="F15" i="32" s="1"/>
  <c r="E35" i="32"/>
  <c r="F35" i="32" s="1"/>
  <c r="E34" i="32"/>
  <c r="F34" i="32" s="1"/>
  <c r="E36" i="32"/>
  <c r="F36" i="32" s="1"/>
  <c r="E22" i="32"/>
  <c r="F22" i="32" s="1"/>
  <c r="I5" i="32"/>
  <c r="E23" i="32"/>
  <c r="F23" i="32" s="1"/>
  <c r="G2" i="32"/>
  <c r="H98" i="31"/>
  <c r="G98" i="31"/>
  <c r="H95" i="31"/>
  <c r="G95" i="31"/>
  <c r="H92" i="31"/>
  <c r="G92" i="31"/>
  <c r="H89" i="31"/>
  <c r="G89" i="31"/>
  <c r="H86" i="31"/>
  <c r="G86" i="31"/>
  <c r="H83" i="31"/>
  <c r="G83" i="31"/>
  <c r="H80" i="31"/>
  <c r="G80" i="31"/>
  <c r="H77" i="31"/>
  <c r="G77" i="31"/>
  <c r="H74" i="31"/>
  <c r="G74" i="31"/>
  <c r="H71" i="31"/>
  <c r="G71" i="31"/>
  <c r="H68" i="31"/>
  <c r="G68" i="31"/>
  <c r="H65" i="31"/>
  <c r="G65" i="31"/>
  <c r="H62" i="31"/>
  <c r="G62" i="31"/>
  <c r="H59" i="31"/>
  <c r="G59" i="31"/>
  <c r="H56" i="31"/>
  <c r="G56" i="31"/>
  <c r="H53" i="31"/>
  <c r="G53" i="31"/>
  <c r="H50" i="31"/>
  <c r="G50" i="31"/>
  <c r="H47" i="31"/>
  <c r="G47" i="31"/>
  <c r="H44" i="31"/>
  <c r="G44" i="31"/>
  <c r="H41" i="31"/>
  <c r="G41" i="31"/>
  <c r="H38" i="31"/>
  <c r="G38" i="31"/>
  <c r="H35" i="31"/>
  <c r="G35" i="31"/>
  <c r="H32" i="31"/>
  <c r="G32" i="31"/>
  <c r="H29" i="31"/>
  <c r="G29" i="31"/>
  <c r="H26" i="31"/>
  <c r="G26" i="31"/>
  <c r="H23" i="31"/>
  <c r="G23" i="31"/>
  <c r="H20" i="31"/>
  <c r="G20" i="31"/>
  <c r="H17" i="31"/>
  <c r="G17" i="31"/>
  <c r="H14" i="31"/>
  <c r="G14" i="31"/>
  <c r="H11" i="31"/>
  <c r="G11" i="31"/>
  <c r="G101" i="31" s="1"/>
  <c r="H8" i="31"/>
  <c r="H101" i="31" s="1"/>
  <c r="G8" i="31"/>
  <c r="H5" i="31"/>
  <c r="G5" i="31"/>
  <c r="F101" i="31"/>
  <c r="I6" i="31"/>
  <c r="I7" i="31"/>
  <c r="I8" i="31"/>
  <c r="I9" i="31"/>
  <c r="I10" i="31"/>
  <c r="I11" i="31"/>
  <c r="I12" i="31"/>
  <c r="I13" i="31"/>
  <c r="I14" i="31"/>
  <c r="I15" i="31"/>
  <c r="I16" i="31"/>
  <c r="I17" i="31"/>
  <c r="I18" i="31"/>
  <c r="I19" i="31"/>
  <c r="I20" i="31"/>
  <c r="I21" i="31"/>
  <c r="I22" i="31"/>
  <c r="I23" i="31"/>
  <c r="I24" i="31"/>
  <c r="I25" i="31"/>
  <c r="I26" i="31"/>
  <c r="I27" i="31"/>
  <c r="I28" i="31"/>
  <c r="I29" i="31"/>
  <c r="I30" i="31"/>
  <c r="I31" i="31"/>
  <c r="I32" i="31"/>
  <c r="I33" i="31"/>
  <c r="I34" i="31"/>
  <c r="I35" i="31"/>
  <c r="I36" i="31"/>
  <c r="I37" i="31"/>
  <c r="I38" i="31"/>
  <c r="I39" i="31"/>
  <c r="I40" i="31"/>
  <c r="I41" i="31"/>
  <c r="I42" i="31"/>
  <c r="I43" i="31"/>
  <c r="I44" i="31"/>
  <c r="I45" i="31"/>
  <c r="I46" i="31"/>
  <c r="I47" i="31"/>
  <c r="I48" i="31"/>
  <c r="I49" i="31"/>
  <c r="I50" i="31"/>
  <c r="I51" i="31"/>
  <c r="I52" i="31"/>
  <c r="I53" i="31"/>
  <c r="I54" i="31"/>
  <c r="I55" i="31"/>
  <c r="I56" i="31"/>
  <c r="I57" i="31"/>
  <c r="I58" i="31"/>
  <c r="I59" i="31"/>
  <c r="I60" i="31"/>
  <c r="I61" i="31"/>
  <c r="I62" i="31"/>
  <c r="I63" i="31"/>
  <c r="I64" i="31"/>
  <c r="I65" i="31"/>
  <c r="I66" i="31"/>
  <c r="I67" i="31"/>
  <c r="I68" i="31"/>
  <c r="I69" i="31"/>
  <c r="I70" i="31"/>
  <c r="I71" i="31"/>
  <c r="I72" i="31"/>
  <c r="I73" i="31"/>
  <c r="I74" i="31"/>
  <c r="I75" i="31"/>
  <c r="I76" i="31"/>
  <c r="I77" i="31"/>
  <c r="I78" i="31"/>
  <c r="I79" i="31"/>
  <c r="I80" i="31"/>
  <c r="I81" i="31"/>
  <c r="I82" i="31"/>
  <c r="I83" i="31"/>
  <c r="I84" i="31"/>
  <c r="I85" i="31"/>
  <c r="I86" i="31"/>
  <c r="I87" i="31"/>
  <c r="I88" i="31"/>
  <c r="I89" i="31"/>
  <c r="I90" i="31"/>
  <c r="I91" i="31"/>
  <c r="I92" i="31"/>
  <c r="I93" i="31"/>
  <c r="I94" i="31"/>
  <c r="I95" i="31"/>
  <c r="I96" i="31"/>
  <c r="I97" i="31"/>
  <c r="I98" i="31"/>
  <c r="I99" i="31"/>
  <c r="E96" i="31"/>
  <c r="F96" i="31" s="1"/>
  <c r="G96" i="31" s="1"/>
  <c r="E99" i="31"/>
  <c r="F99" i="31" s="1"/>
  <c r="E98" i="31"/>
  <c r="F98" i="31" s="1"/>
  <c r="E95" i="31"/>
  <c r="F95" i="31" s="1"/>
  <c r="E97" i="31"/>
  <c r="F97" i="31" s="1"/>
  <c r="E94" i="31"/>
  <c r="F94" i="31" s="1"/>
  <c r="E88" i="31"/>
  <c r="F88" i="31" s="1"/>
  <c r="G88" i="31" s="1"/>
  <c r="E92" i="31"/>
  <c r="F92" i="31" s="1"/>
  <c r="E91" i="31"/>
  <c r="F91" i="31" s="1"/>
  <c r="E74" i="31"/>
  <c r="F74" i="31" s="1"/>
  <c r="E69" i="31"/>
  <c r="F69" i="31" s="1"/>
  <c r="E85" i="31"/>
  <c r="F85" i="31" s="1"/>
  <c r="E87" i="31"/>
  <c r="F87" i="31" s="1"/>
  <c r="G87" i="31" s="1"/>
  <c r="E80" i="31"/>
  <c r="F80" i="31" s="1"/>
  <c r="E82" i="31"/>
  <c r="F82" i="31" s="1"/>
  <c r="E78" i="31"/>
  <c r="F78" i="31" s="1"/>
  <c r="G78" i="31" s="1"/>
  <c r="E56" i="31"/>
  <c r="F56" i="31" s="1"/>
  <c r="E62" i="31"/>
  <c r="F62" i="31" s="1"/>
  <c r="E55" i="31"/>
  <c r="F55" i="31" s="1"/>
  <c r="G55" i="31" s="1"/>
  <c r="E49" i="31"/>
  <c r="F49" i="31" s="1"/>
  <c r="E25" i="31"/>
  <c r="F25" i="31" s="1"/>
  <c r="E61" i="31"/>
  <c r="F61" i="31"/>
  <c r="G61" i="31" s="1"/>
  <c r="E64" i="31"/>
  <c r="F64" i="31" s="1"/>
  <c r="E40" i="31"/>
  <c r="F40" i="31" s="1"/>
  <c r="E60" i="31"/>
  <c r="F60" i="31" s="1"/>
  <c r="G60" i="31" s="1"/>
  <c r="E46" i="31"/>
  <c r="F46" i="31" s="1"/>
  <c r="E58" i="31"/>
  <c r="F58" i="31" s="1"/>
  <c r="E45" i="31"/>
  <c r="F45" i="31" s="1"/>
  <c r="G45" i="31" s="1"/>
  <c r="E47" i="31"/>
  <c r="F47" i="31" s="1"/>
  <c r="E42" i="31"/>
  <c r="F42" i="31" s="1"/>
  <c r="E72" i="31"/>
  <c r="F72" i="31"/>
  <c r="G72" i="31" s="1"/>
  <c r="E66" i="31"/>
  <c r="F66" i="31" s="1"/>
  <c r="E68" i="31"/>
  <c r="F68" i="31" s="1"/>
  <c r="E26" i="31"/>
  <c r="F26" i="31" s="1"/>
  <c r="E33" i="31"/>
  <c r="F33" i="31" s="1"/>
  <c r="E57" i="31"/>
  <c r="F57" i="31" s="1"/>
  <c r="E36" i="31"/>
  <c r="F36" i="31" s="1"/>
  <c r="G36" i="31" s="1"/>
  <c r="E30" i="31"/>
  <c r="F30" i="31" s="1"/>
  <c r="E21" i="31"/>
  <c r="F21" i="31" s="1"/>
  <c r="E51" i="31"/>
  <c r="F51" i="31" s="1"/>
  <c r="G51" i="31" s="1"/>
  <c r="E75" i="31"/>
  <c r="F75" i="31" s="1"/>
  <c r="E52" i="31"/>
  <c r="F52" i="31" s="1"/>
  <c r="E63" i="31"/>
  <c r="F63" i="31" s="1"/>
  <c r="G63" i="31" s="1"/>
  <c r="E76" i="31"/>
  <c r="F76" i="31" s="1"/>
  <c r="E38" i="31"/>
  <c r="F38" i="31" s="1"/>
  <c r="E27" i="31"/>
  <c r="F27" i="31" s="1"/>
  <c r="G27" i="31" s="1"/>
  <c r="E22" i="31"/>
  <c r="F22" i="31" s="1"/>
  <c r="E29" i="31"/>
  <c r="F29" i="31" s="1"/>
  <c r="E43" i="31"/>
  <c r="F43" i="31" s="1"/>
  <c r="G43" i="31" s="1"/>
  <c r="E35" i="31"/>
  <c r="F35" i="31" s="1"/>
  <c r="E32" i="31"/>
  <c r="F32" i="31" s="1"/>
  <c r="E28" i="31"/>
  <c r="F28" i="31" s="1"/>
  <c r="G28" i="31" s="1"/>
  <c r="E37" i="31"/>
  <c r="F37" i="31" s="1"/>
  <c r="E23" i="31"/>
  <c r="F23" i="31" s="1"/>
  <c r="E73" i="31"/>
  <c r="F73" i="31" s="1"/>
  <c r="G73" i="31" s="1"/>
  <c r="E10" i="31"/>
  <c r="F10" i="31" s="1"/>
  <c r="E15" i="31"/>
  <c r="F15" i="31" s="1"/>
  <c r="E14" i="31"/>
  <c r="F14" i="31" s="1"/>
  <c r="E13" i="31"/>
  <c r="F13" i="31" s="1"/>
  <c r="E11" i="31"/>
  <c r="F11" i="31" s="1"/>
  <c r="E8" i="31"/>
  <c r="F8" i="31" s="1"/>
  <c r="E6" i="31"/>
  <c r="F6" i="31" s="1"/>
  <c r="E7" i="31"/>
  <c r="F7" i="31" s="1"/>
  <c r="E9" i="31"/>
  <c r="F9" i="31" s="1"/>
  <c r="G9" i="31" s="1"/>
  <c r="E34" i="31"/>
  <c r="F34" i="31" s="1"/>
  <c r="E19" i="31"/>
  <c r="F19" i="31" s="1"/>
  <c r="E24" i="31"/>
  <c r="F24" i="31" s="1"/>
  <c r="G24" i="31" s="1"/>
  <c r="E17" i="31"/>
  <c r="F17" i="31" s="1"/>
  <c r="E18" i="31"/>
  <c r="F18" i="31" s="1"/>
  <c r="E53" i="31"/>
  <c r="F53" i="31" s="1"/>
  <c r="E20" i="31"/>
  <c r="F20" i="31" s="1"/>
  <c r="E12" i="31"/>
  <c r="F12" i="31" s="1"/>
  <c r="E5" i="31"/>
  <c r="F5" i="31" s="1"/>
  <c r="E31" i="31"/>
  <c r="F31" i="31" s="1"/>
  <c r="E50" i="31"/>
  <c r="F50" i="31" s="1"/>
  <c r="E16" i="31"/>
  <c r="F16" i="31"/>
  <c r="G16" i="31" s="1"/>
  <c r="E79" i="31"/>
  <c r="F79" i="31" s="1"/>
  <c r="E86" i="31"/>
  <c r="F86" i="31" s="1"/>
  <c r="E89" i="31"/>
  <c r="F89" i="31" s="1"/>
  <c r="E84" i="31"/>
  <c r="F84" i="31" s="1"/>
  <c r="E90" i="31"/>
  <c r="F90" i="31" s="1"/>
  <c r="E65" i="31"/>
  <c r="F65" i="31" s="1"/>
  <c r="E59" i="31"/>
  <c r="F59" i="31" s="1"/>
  <c r="E54" i="31"/>
  <c r="F54" i="31" s="1"/>
  <c r="E48" i="31"/>
  <c r="F48" i="31"/>
  <c r="G48" i="31" s="1"/>
  <c r="E67" i="31"/>
  <c r="F67" i="31" s="1"/>
  <c r="E39" i="31"/>
  <c r="F39" i="31" s="1"/>
  <c r="E44" i="31"/>
  <c r="F44" i="31" s="1"/>
  <c r="E70" i="31"/>
  <c r="F70" i="31" s="1"/>
  <c r="E77" i="31"/>
  <c r="F77" i="31" s="1"/>
  <c r="E41" i="31"/>
  <c r="F41" i="31" s="1"/>
  <c r="E71" i="31"/>
  <c r="F71" i="31" s="1"/>
  <c r="E93" i="31"/>
  <c r="F93" i="31" s="1"/>
  <c r="E81" i="31"/>
  <c r="F81" i="31" s="1"/>
  <c r="I5" i="31"/>
  <c r="E83" i="31"/>
  <c r="F83" i="31" s="1"/>
  <c r="G2" i="31"/>
  <c r="H71" i="30"/>
  <c r="G71" i="30"/>
  <c r="H68" i="30"/>
  <c r="G68" i="30"/>
  <c r="H65" i="30"/>
  <c r="G65" i="30"/>
  <c r="H62" i="30"/>
  <c r="G62" i="30"/>
  <c r="H59" i="30"/>
  <c r="G59" i="30"/>
  <c r="H56" i="30"/>
  <c r="G56" i="30"/>
  <c r="H53" i="30"/>
  <c r="G53" i="30"/>
  <c r="H50" i="30"/>
  <c r="G50" i="30"/>
  <c r="H47" i="30"/>
  <c r="G47" i="30"/>
  <c r="H44" i="30"/>
  <c r="G44" i="30"/>
  <c r="H41" i="30"/>
  <c r="G41" i="30"/>
  <c r="H38" i="30"/>
  <c r="G38" i="30"/>
  <c r="H35" i="30"/>
  <c r="G35" i="30"/>
  <c r="H32" i="30"/>
  <c r="G32" i="30"/>
  <c r="H29" i="30"/>
  <c r="G29" i="30"/>
  <c r="H26" i="30"/>
  <c r="G26" i="30"/>
  <c r="H23" i="30"/>
  <c r="G23" i="30"/>
  <c r="H20" i="30"/>
  <c r="G20" i="30"/>
  <c r="G74" i="30" s="1"/>
  <c r="H17" i="30"/>
  <c r="G17" i="30"/>
  <c r="H14" i="30"/>
  <c r="G14" i="30"/>
  <c r="H11" i="30"/>
  <c r="G11" i="30"/>
  <c r="H8" i="30"/>
  <c r="H74" i="30" s="1"/>
  <c r="G8" i="30"/>
  <c r="H5" i="30"/>
  <c r="G5" i="30"/>
  <c r="F74" i="30"/>
  <c r="I6" i="30"/>
  <c r="I7" i="30"/>
  <c r="I8" i="30"/>
  <c r="I9" i="30"/>
  <c r="I10" i="30"/>
  <c r="I11" i="30"/>
  <c r="I12" i="30"/>
  <c r="I13" i="30"/>
  <c r="I14" i="30"/>
  <c r="I15" i="30"/>
  <c r="I16" i="30"/>
  <c r="I17" i="30"/>
  <c r="I18" i="30"/>
  <c r="I19" i="30"/>
  <c r="I20" i="30"/>
  <c r="I21" i="30"/>
  <c r="I22" i="30"/>
  <c r="I23" i="30"/>
  <c r="I24" i="30"/>
  <c r="I25" i="30"/>
  <c r="I26" i="30"/>
  <c r="I27" i="30"/>
  <c r="I28" i="30"/>
  <c r="I29" i="30"/>
  <c r="I30" i="30"/>
  <c r="I31" i="30"/>
  <c r="I32" i="30"/>
  <c r="I33" i="30"/>
  <c r="I34" i="30"/>
  <c r="I35" i="30"/>
  <c r="I36" i="30"/>
  <c r="I37" i="30"/>
  <c r="I38" i="30"/>
  <c r="I39" i="30"/>
  <c r="I40" i="30"/>
  <c r="I41" i="30"/>
  <c r="I42" i="30"/>
  <c r="I43" i="30"/>
  <c r="I44" i="30"/>
  <c r="I45" i="30"/>
  <c r="I46" i="30"/>
  <c r="I47" i="30"/>
  <c r="I48" i="30"/>
  <c r="I49" i="30"/>
  <c r="I50" i="30"/>
  <c r="I51" i="30"/>
  <c r="I52" i="30"/>
  <c r="I53" i="30"/>
  <c r="I54" i="30"/>
  <c r="I55" i="30"/>
  <c r="I56" i="30"/>
  <c r="I57" i="30"/>
  <c r="I58" i="30"/>
  <c r="I59" i="30"/>
  <c r="I60" i="30"/>
  <c r="I61" i="30"/>
  <c r="I62" i="30"/>
  <c r="I63" i="30"/>
  <c r="I64" i="30"/>
  <c r="I65" i="30"/>
  <c r="I66" i="30"/>
  <c r="I67" i="30"/>
  <c r="I68" i="30"/>
  <c r="I69" i="30"/>
  <c r="I70" i="30"/>
  <c r="I71" i="30"/>
  <c r="I72" i="30"/>
  <c r="E56" i="30"/>
  <c r="F56" i="30" s="1"/>
  <c r="E38" i="30"/>
  <c r="F38" i="30" s="1"/>
  <c r="E57" i="30"/>
  <c r="F57" i="30"/>
  <c r="G57" i="30" s="1"/>
  <c r="E47" i="30"/>
  <c r="F47" i="30" s="1"/>
  <c r="E51" i="30"/>
  <c r="F51" i="30" s="1"/>
  <c r="E45" i="30"/>
  <c r="F45" i="30" s="1"/>
  <c r="G45" i="30" s="1"/>
  <c r="E15" i="30"/>
  <c r="F15" i="30" s="1"/>
  <c r="E20" i="30"/>
  <c r="F20" i="30" s="1"/>
  <c r="E12" i="30"/>
  <c r="F12" i="30"/>
  <c r="G12" i="30" s="1"/>
  <c r="E50" i="30"/>
  <c r="F50" i="30" s="1"/>
  <c r="E31" i="30"/>
  <c r="F31" i="30" s="1"/>
  <c r="E34" i="30"/>
  <c r="F34" i="30"/>
  <c r="G34" i="30" s="1"/>
  <c r="E53" i="30"/>
  <c r="F53" i="30" s="1"/>
  <c r="E7" i="30"/>
  <c r="F7" i="30" s="1"/>
  <c r="E6" i="30"/>
  <c r="F6" i="30" s="1"/>
  <c r="G6" i="30" s="1"/>
  <c r="E35" i="30"/>
  <c r="F35" i="30" s="1"/>
  <c r="E48" i="30"/>
  <c r="F48" i="30" s="1"/>
  <c r="E33" i="30"/>
  <c r="F33" i="30" s="1"/>
  <c r="E54" i="30"/>
  <c r="F54" i="30" s="1"/>
  <c r="E32" i="30"/>
  <c r="F32" i="30" s="1"/>
  <c r="E29" i="30"/>
  <c r="F29" i="30" s="1"/>
  <c r="E27" i="30"/>
  <c r="F27" i="30" s="1"/>
  <c r="E8" i="30"/>
  <c r="F8" i="30" s="1"/>
  <c r="E24" i="30"/>
  <c r="F24" i="30" s="1"/>
  <c r="E37" i="30"/>
  <c r="F37" i="30" s="1"/>
  <c r="E30" i="30"/>
  <c r="F30" i="30" s="1"/>
  <c r="E9" i="30"/>
  <c r="F9" i="30" s="1"/>
  <c r="E22" i="30"/>
  <c r="F22" i="30" s="1"/>
  <c r="E19" i="30"/>
  <c r="F19" i="30" s="1"/>
  <c r="E46" i="30"/>
  <c r="F46" i="30" s="1"/>
  <c r="E42" i="30"/>
  <c r="F42" i="30" s="1"/>
  <c r="E55" i="30"/>
  <c r="F55" i="30" s="1"/>
  <c r="E58" i="30"/>
  <c r="F58" i="30" s="1"/>
  <c r="E26" i="30"/>
  <c r="F26" i="30" s="1"/>
  <c r="E36" i="30"/>
  <c r="F36" i="30" s="1"/>
  <c r="E14" i="30"/>
  <c r="F14" i="30" s="1"/>
  <c r="E16" i="30"/>
  <c r="F16" i="30" s="1"/>
  <c r="E5" i="30"/>
  <c r="F5" i="30" s="1"/>
  <c r="E11" i="30"/>
  <c r="F11" i="30" s="1"/>
  <c r="E41" i="30"/>
  <c r="F41" i="30" s="1"/>
  <c r="E52" i="30"/>
  <c r="F52" i="30" s="1"/>
  <c r="E39" i="30"/>
  <c r="F39" i="30" s="1"/>
  <c r="E17" i="30"/>
  <c r="F17" i="30" s="1"/>
  <c r="E18" i="30"/>
  <c r="F18" i="30" s="1"/>
  <c r="E21" i="30"/>
  <c r="F21" i="30" s="1"/>
  <c r="E25" i="30"/>
  <c r="F25" i="30" s="1"/>
  <c r="E44" i="30"/>
  <c r="F44" i="30" s="1"/>
  <c r="E23" i="30"/>
  <c r="F23" i="30" s="1"/>
  <c r="E13" i="30"/>
  <c r="F13" i="30" s="1"/>
  <c r="E43" i="30"/>
  <c r="F43" i="30" s="1"/>
  <c r="E10" i="30"/>
  <c r="F10" i="30" s="1"/>
  <c r="E40" i="30"/>
  <c r="F40" i="30" s="1"/>
  <c r="E66" i="30"/>
  <c r="F66" i="30" s="1"/>
  <c r="E67" i="30"/>
  <c r="F67" i="30" s="1"/>
  <c r="E64" i="30"/>
  <c r="F64" i="30" s="1"/>
  <c r="E62" i="30"/>
  <c r="F62" i="30" s="1"/>
  <c r="E49" i="30"/>
  <c r="F49" i="30" s="1"/>
  <c r="E63" i="30"/>
  <c r="F63" i="30" s="1"/>
  <c r="E65" i="30"/>
  <c r="F65" i="30" s="1"/>
  <c r="E28" i="30"/>
  <c r="F28" i="30" s="1"/>
  <c r="E68" i="30"/>
  <c r="F68" i="30" s="1"/>
  <c r="E61" i="30"/>
  <c r="F61" i="30" s="1"/>
  <c r="E71" i="30"/>
  <c r="F71" i="30" s="1"/>
  <c r="E72" i="30"/>
  <c r="F72" i="30" s="1"/>
  <c r="E70" i="30"/>
  <c r="F70" i="30" s="1"/>
  <c r="E69" i="30"/>
  <c r="F69" i="30" s="1"/>
  <c r="E60" i="30"/>
  <c r="F60" i="30" s="1"/>
  <c r="I5" i="30"/>
  <c r="E59" i="30"/>
  <c r="F59" i="30" s="1"/>
  <c r="G2" i="30"/>
  <c r="H53" i="29"/>
  <c r="G53" i="29"/>
  <c r="H50" i="29"/>
  <c r="G50" i="29"/>
  <c r="H47" i="29"/>
  <c r="G47" i="29"/>
  <c r="H44" i="29"/>
  <c r="G44" i="29"/>
  <c r="H41" i="29"/>
  <c r="G41" i="29"/>
  <c r="H38" i="29"/>
  <c r="G38" i="29"/>
  <c r="H35" i="29"/>
  <c r="G35" i="29"/>
  <c r="H32" i="29"/>
  <c r="G32" i="29"/>
  <c r="H29" i="29"/>
  <c r="G29" i="29"/>
  <c r="H26" i="29"/>
  <c r="G26" i="29"/>
  <c r="H23" i="29"/>
  <c r="G23" i="29"/>
  <c r="H20" i="29"/>
  <c r="G20" i="29"/>
  <c r="H17" i="29"/>
  <c r="G17" i="29"/>
  <c r="H14" i="29"/>
  <c r="H55" i="29" s="1"/>
  <c r="G14" i="29"/>
  <c r="H11" i="29"/>
  <c r="G11" i="29"/>
  <c r="H8" i="29"/>
  <c r="G8" i="29"/>
  <c r="H5" i="29"/>
  <c r="G5" i="29"/>
  <c r="G55" i="29"/>
  <c r="F55" i="29"/>
  <c r="I6" i="29"/>
  <c r="I7" i="29"/>
  <c r="I8" i="29"/>
  <c r="I9" i="29"/>
  <c r="I10" i="29"/>
  <c r="I11" i="29"/>
  <c r="I12" i="29"/>
  <c r="I13" i="29"/>
  <c r="I14" i="29"/>
  <c r="I15" i="29"/>
  <c r="I16" i="29"/>
  <c r="I17" i="29"/>
  <c r="I18" i="29"/>
  <c r="I19" i="29"/>
  <c r="I20" i="29"/>
  <c r="I21" i="29"/>
  <c r="I22" i="29"/>
  <c r="I23" i="29"/>
  <c r="I24" i="29"/>
  <c r="I25" i="29"/>
  <c r="I26" i="29"/>
  <c r="I27" i="29"/>
  <c r="I28" i="29"/>
  <c r="I29" i="29"/>
  <c r="I30" i="29"/>
  <c r="I31" i="29"/>
  <c r="I32" i="29"/>
  <c r="I33" i="29"/>
  <c r="I34" i="29"/>
  <c r="I35" i="29"/>
  <c r="I36" i="29"/>
  <c r="I37" i="29"/>
  <c r="I38" i="29"/>
  <c r="I39" i="29"/>
  <c r="I40" i="29"/>
  <c r="I41" i="29"/>
  <c r="I42" i="29"/>
  <c r="I43" i="29"/>
  <c r="I44" i="29"/>
  <c r="I45" i="29"/>
  <c r="I46" i="29"/>
  <c r="I47" i="29"/>
  <c r="I48" i="29"/>
  <c r="I49" i="29"/>
  <c r="I50" i="29"/>
  <c r="I51" i="29"/>
  <c r="I52" i="29"/>
  <c r="I53" i="29"/>
  <c r="E50" i="29"/>
  <c r="F50" i="29" s="1"/>
  <c r="E48" i="29"/>
  <c r="F48" i="29" s="1"/>
  <c r="E42" i="29"/>
  <c r="F42" i="29" s="1"/>
  <c r="E51" i="29"/>
  <c r="F51" i="29" s="1"/>
  <c r="E31" i="29"/>
  <c r="F31" i="29" s="1"/>
  <c r="E8" i="29"/>
  <c r="F8" i="29" s="1"/>
  <c r="E5" i="29"/>
  <c r="F5" i="29" s="1"/>
  <c r="E21" i="29"/>
  <c r="F21" i="29" s="1"/>
  <c r="E22" i="29"/>
  <c r="F22" i="29" s="1"/>
  <c r="E6" i="29"/>
  <c r="F6" i="29" s="1"/>
  <c r="E10" i="29"/>
  <c r="F10" i="29" s="1"/>
  <c r="E7" i="29"/>
  <c r="F7" i="29" s="1"/>
  <c r="E11" i="29"/>
  <c r="F11" i="29" s="1"/>
  <c r="E17" i="29"/>
  <c r="F17" i="29" s="1"/>
  <c r="E12" i="29"/>
  <c r="F12" i="29" s="1"/>
  <c r="E16" i="29"/>
  <c r="F16" i="29" s="1"/>
  <c r="E14" i="29"/>
  <c r="F14" i="29" s="1"/>
  <c r="E36" i="29"/>
  <c r="F36" i="29" s="1"/>
  <c r="E15" i="29"/>
  <c r="F15" i="29" s="1"/>
  <c r="E9" i="29"/>
  <c r="F9" i="29" s="1"/>
  <c r="E20" i="29"/>
  <c r="F20" i="29" s="1"/>
  <c r="E18" i="29"/>
  <c r="F18" i="29" s="1"/>
  <c r="E19" i="29"/>
  <c r="F19" i="29" s="1"/>
  <c r="E13" i="29"/>
  <c r="F13" i="29" s="1"/>
  <c r="E23" i="29"/>
  <c r="F23" i="29" s="1"/>
  <c r="E32" i="29"/>
  <c r="F32" i="29" s="1"/>
  <c r="E25" i="29"/>
  <c r="F25" i="29" s="1"/>
  <c r="E33" i="29"/>
  <c r="F33" i="29" s="1"/>
  <c r="E35" i="29"/>
  <c r="F35" i="29" s="1"/>
  <c r="E38" i="29"/>
  <c r="F38" i="29" s="1"/>
  <c r="E45" i="29"/>
  <c r="F45" i="29" s="1"/>
  <c r="E37" i="29"/>
  <c r="F37" i="29" s="1"/>
  <c r="E49" i="29"/>
  <c r="F49" i="29" s="1"/>
  <c r="E29" i="29"/>
  <c r="F29" i="29" s="1"/>
  <c r="E39" i="29"/>
  <c r="F39" i="29" s="1"/>
  <c r="E24" i="29"/>
  <c r="F24" i="29" s="1"/>
  <c r="E26" i="29"/>
  <c r="F26" i="29" s="1"/>
  <c r="E27" i="29"/>
  <c r="F27" i="29" s="1"/>
  <c r="E41" i="29"/>
  <c r="F41" i="29" s="1"/>
  <c r="E28" i="29"/>
  <c r="F28" i="29" s="1"/>
  <c r="E46" i="29"/>
  <c r="F46" i="29" s="1"/>
  <c r="E43" i="29"/>
  <c r="F43" i="29" s="1"/>
  <c r="E44" i="29"/>
  <c r="F44" i="29" s="1"/>
  <c r="E34" i="29"/>
  <c r="F34" i="29" s="1"/>
  <c r="E30" i="29"/>
  <c r="F30" i="29" s="1"/>
  <c r="E47" i="29"/>
  <c r="F47" i="29" s="1"/>
  <c r="E40" i="29"/>
  <c r="F40" i="29" s="1"/>
  <c r="E52" i="29"/>
  <c r="F52" i="29" s="1"/>
  <c r="H52" i="29" s="1"/>
  <c r="I5" i="29"/>
  <c r="E53" i="29"/>
  <c r="F53" i="29" s="1"/>
  <c r="G2" i="29"/>
  <c r="H56" i="28"/>
  <c r="G56" i="28"/>
  <c r="H53" i="28"/>
  <c r="G53" i="28"/>
  <c r="H50" i="28"/>
  <c r="G50" i="28"/>
  <c r="H47" i="28"/>
  <c r="G47" i="28"/>
  <c r="H44" i="28"/>
  <c r="G44" i="28"/>
  <c r="H41" i="28"/>
  <c r="G41" i="28"/>
  <c r="H38" i="28"/>
  <c r="G38" i="28"/>
  <c r="H35" i="28"/>
  <c r="G35" i="28"/>
  <c r="H32" i="28"/>
  <c r="G32" i="28"/>
  <c r="H29" i="28"/>
  <c r="G29" i="28"/>
  <c r="H26" i="28"/>
  <c r="G26" i="28"/>
  <c r="H23" i="28"/>
  <c r="G23" i="28"/>
  <c r="H20" i="28"/>
  <c r="G20" i="28"/>
  <c r="H17" i="28"/>
  <c r="G17" i="28"/>
  <c r="H14" i="28"/>
  <c r="G14" i="28"/>
  <c r="H11" i="28"/>
  <c r="G11" i="28"/>
  <c r="H8" i="28"/>
  <c r="G8" i="28"/>
  <c r="H5" i="28"/>
  <c r="H58" i="28" s="1"/>
  <c r="G5" i="28"/>
  <c r="F58" i="28"/>
  <c r="I6" i="28"/>
  <c r="I7" i="28"/>
  <c r="I8" i="28"/>
  <c r="I9" i="28"/>
  <c r="I10" i="28"/>
  <c r="I11" i="28"/>
  <c r="I12" i="28"/>
  <c r="I13" i="28"/>
  <c r="I14" i="28"/>
  <c r="I15" i="28"/>
  <c r="I16" i="28"/>
  <c r="I17" i="28"/>
  <c r="I18" i="28"/>
  <c r="I19" i="28"/>
  <c r="I20" i="28"/>
  <c r="I21" i="28"/>
  <c r="I22" i="28"/>
  <c r="I23" i="28"/>
  <c r="I24" i="28"/>
  <c r="I25" i="28"/>
  <c r="I26" i="28"/>
  <c r="I27" i="28"/>
  <c r="I28" i="28"/>
  <c r="I29" i="28"/>
  <c r="I30" i="28"/>
  <c r="I31" i="28"/>
  <c r="I32" i="28"/>
  <c r="I33" i="28"/>
  <c r="I34" i="28"/>
  <c r="I35" i="28"/>
  <c r="I36" i="28"/>
  <c r="I37" i="28"/>
  <c r="I38" i="28"/>
  <c r="I39" i="28"/>
  <c r="I40" i="28"/>
  <c r="I41" i="28"/>
  <c r="I42" i="28"/>
  <c r="I43" i="28"/>
  <c r="I44" i="28"/>
  <c r="I45" i="28"/>
  <c r="I46" i="28"/>
  <c r="I47" i="28"/>
  <c r="I48" i="28"/>
  <c r="I49" i="28"/>
  <c r="I50" i="28"/>
  <c r="I51" i="28"/>
  <c r="I52" i="28"/>
  <c r="I53" i="28"/>
  <c r="I54" i="28"/>
  <c r="I55" i="28"/>
  <c r="I56" i="28"/>
  <c r="E23" i="28"/>
  <c r="F23" i="28"/>
  <c r="E44" i="28"/>
  <c r="F44" i="28" s="1"/>
  <c r="E42" i="28"/>
  <c r="F42" i="28" s="1"/>
  <c r="E39" i="28"/>
  <c r="F39" i="28" s="1"/>
  <c r="G39" i="28" s="1"/>
  <c r="E31" i="28"/>
  <c r="F31" i="28" s="1"/>
  <c r="E56" i="28"/>
  <c r="F56" i="28"/>
  <c r="E55" i="28"/>
  <c r="F55" i="28" s="1"/>
  <c r="G55" i="28" s="1"/>
  <c r="E53" i="28"/>
  <c r="F53" i="28" s="1"/>
  <c r="E50" i="28"/>
  <c r="F50" i="28" s="1"/>
  <c r="E46" i="28"/>
  <c r="F46" i="28" s="1"/>
  <c r="G46" i="28" s="1"/>
  <c r="E38" i="28"/>
  <c r="F38" i="28" s="1"/>
  <c r="E32" i="28"/>
  <c r="F32" i="28"/>
  <c r="E49" i="28"/>
  <c r="F49" i="28"/>
  <c r="G49" i="28" s="1"/>
  <c r="E37" i="28"/>
  <c r="F37" i="28" s="1"/>
  <c r="E12" i="28"/>
  <c r="F12" i="28" s="1"/>
  <c r="E7" i="28"/>
  <c r="F7" i="28" s="1"/>
  <c r="G7" i="28" s="1"/>
  <c r="E8" i="28"/>
  <c r="F8" i="28" s="1"/>
  <c r="E5" i="28"/>
  <c r="F5" i="28"/>
  <c r="E9" i="28"/>
  <c r="F9" i="28"/>
  <c r="G9" i="28" s="1"/>
  <c r="E20" i="28"/>
  <c r="F20" i="28" s="1"/>
  <c r="E15" i="28"/>
  <c r="F15" i="28" s="1"/>
  <c r="E16" i="28"/>
  <c r="F16" i="28"/>
  <c r="G16" i="28" s="1"/>
  <c r="E19" i="28"/>
  <c r="F19" i="28" s="1"/>
  <c r="E21" i="28"/>
  <c r="F21" i="28" s="1"/>
  <c r="G21" i="28" s="1"/>
  <c r="E6" i="28"/>
  <c r="F6" i="28" s="1"/>
  <c r="G6" i="28" s="1"/>
  <c r="E14" i="28"/>
  <c r="F14" i="28" s="1"/>
  <c r="E40" i="28"/>
  <c r="F40" i="28" s="1"/>
  <c r="E34" i="28"/>
  <c r="F34" i="28" s="1"/>
  <c r="G34" i="28" s="1"/>
  <c r="E35" i="28"/>
  <c r="F35" i="28" s="1"/>
  <c r="E33" i="28"/>
  <c r="F33" i="28" s="1"/>
  <c r="G33" i="28" s="1"/>
  <c r="E41" i="28"/>
  <c r="F41" i="28"/>
  <c r="E36" i="28"/>
  <c r="F36" i="28" s="1"/>
  <c r="E30" i="28"/>
  <c r="F30" i="28" s="1"/>
  <c r="E25" i="28"/>
  <c r="F25" i="28" s="1"/>
  <c r="G25" i="28" s="1"/>
  <c r="E27" i="28"/>
  <c r="F27" i="28" s="1"/>
  <c r="E13" i="28"/>
  <c r="F13" i="28" s="1"/>
  <c r="E43" i="28"/>
  <c r="F43" i="28"/>
  <c r="G43" i="28" s="1"/>
  <c r="E18" i="28"/>
  <c r="F18" i="28" s="1"/>
  <c r="E26" i="28"/>
  <c r="F26" i="28" s="1"/>
  <c r="E17" i="28"/>
  <c r="F17" i="28" s="1"/>
  <c r="E22" i="28"/>
  <c r="F22" i="28" s="1"/>
  <c r="E24" i="28"/>
  <c r="F24" i="28" s="1"/>
  <c r="G24" i="28" s="1"/>
  <c r="E28" i="28"/>
  <c r="F28" i="28"/>
  <c r="G28" i="28" s="1"/>
  <c r="E29" i="28"/>
  <c r="F29" i="28" s="1"/>
  <c r="E11" i="28"/>
  <c r="F11" i="28" s="1"/>
  <c r="E10" i="28"/>
  <c r="F10" i="28" s="1"/>
  <c r="G10" i="28" s="1"/>
  <c r="E45" i="28"/>
  <c r="F45" i="28" s="1"/>
  <c r="E47" i="28"/>
  <c r="F47" i="28"/>
  <c r="E51" i="28"/>
  <c r="F51" i="28" s="1"/>
  <c r="G51" i="28" s="1"/>
  <c r="E52" i="28"/>
  <c r="F52" i="28" s="1"/>
  <c r="E48" i="28"/>
  <c r="F48" i="28" s="1"/>
  <c r="I5" i="28"/>
  <c r="E54" i="28"/>
  <c r="F54" i="28" s="1"/>
  <c r="G2" i="28"/>
  <c r="H101" i="27"/>
  <c r="G101" i="27"/>
  <c r="H98" i="27"/>
  <c r="G98" i="27"/>
  <c r="H95" i="27"/>
  <c r="G95" i="27"/>
  <c r="H92" i="27"/>
  <c r="G92" i="27"/>
  <c r="H89" i="27"/>
  <c r="G89" i="27"/>
  <c r="H86" i="27"/>
  <c r="G86" i="27"/>
  <c r="H83" i="27"/>
  <c r="G83" i="27"/>
  <c r="H80" i="27"/>
  <c r="G80" i="27"/>
  <c r="H77" i="27"/>
  <c r="G77" i="27"/>
  <c r="H74" i="27"/>
  <c r="G74" i="27"/>
  <c r="H71" i="27"/>
  <c r="G71" i="27"/>
  <c r="H68" i="27"/>
  <c r="G68" i="27"/>
  <c r="H65" i="27"/>
  <c r="G65" i="27"/>
  <c r="H62" i="27"/>
  <c r="G62" i="27"/>
  <c r="H59" i="27"/>
  <c r="G59" i="27"/>
  <c r="H56" i="27"/>
  <c r="G56" i="27"/>
  <c r="H53" i="27"/>
  <c r="G53" i="27"/>
  <c r="H50" i="27"/>
  <c r="G50" i="27"/>
  <c r="H47" i="27"/>
  <c r="G47" i="27"/>
  <c r="H44" i="27"/>
  <c r="G44" i="27"/>
  <c r="H41" i="27"/>
  <c r="G41" i="27"/>
  <c r="H38" i="27"/>
  <c r="G38" i="27"/>
  <c r="H35" i="27"/>
  <c r="G35" i="27"/>
  <c r="H32" i="27"/>
  <c r="G32" i="27"/>
  <c r="H29" i="27"/>
  <c r="G29" i="27"/>
  <c r="H26" i="27"/>
  <c r="G26" i="27"/>
  <c r="H23" i="27"/>
  <c r="G23" i="27"/>
  <c r="H20" i="27"/>
  <c r="G20" i="27"/>
  <c r="H17" i="27"/>
  <c r="G17" i="27"/>
  <c r="H14" i="27"/>
  <c r="G14" i="27"/>
  <c r="H11" i="27"/>
  <c r="G11" i="27"/>
  <c r="H8" i="27"/>
  <c r="G8" i="27"/>
  <c r="G103" i="27" s="1"/>
  <c r="H5" i="27"/>
  <c r="G5" i="27"/>
  <c r="F103" i="27"/>
  <c r="I6" i="27"/>
  <c r="I7" i="27"/>
  <c r="I8" i="27"/>
  <c r="I9" i="27"/>
  <c r="I10" i="27"/>
  <c r="I11" i="27"/>
  <c r="I12" i="27"/>
  <c r="I13" i="27"/>
  <c r="I14" i="27"/>
  <c r="I15" i="27"/>
  <c r="I16" i="27"/>
  <c r="I17" i="27"/>
  <c r="I18" i="27"/>
  <c r="I19" i="27"/>
  <c r="I20" i="27"/>
  <c r="I21" i="27"/>
  <c r="I22" i="27"/>
  <c r="I23" i="27"/>
  <c r="I24" i="27"/>
  <c r="I25" i="27"/>
  <c r="I26" i="27"/>
  <c r="I27" i="27"/>
  <c r="I28" i="27"/>
  <c r="I29" i="27"/>
  <c r="I30" i="27"/>
  <c r="I31" i="27"/>
  <c r="I32" i="27"/>
  <c r="I33" i="27"/>
  <c r="I34" i="27"/>
  <c r="I35" i="27"/>
  <c r="I36" i="27"/>
  <c r="I37" i="27"/>
  <c r="I38" i="27"/>
  <c r="I39" i="27"/>
  <c r="I40" i="27"/>
  <c r="I41" i="27"/>
  <c r="I42" i="27"/>
  <c r="I43" i="27"/>
  <c r="I44" i="27"/>
  <c r="I45" i="27"/>
  <c r="I46" i="27"/>
  <c r="I47" i="27"/>
  <c r="I48" i="27"/>
  <c r="I49" i="27"/>
  <c r="I50" i="27"/>
  <c r="I51" i="27"/>
  <c r="I52" i="27"/>
  <c r="I53" i="27"/>
  <c r="I54" i="27"/>
  <c r="I55" i="27"/>
  <c r="I56" i="27"/>
  <c r="I57" i="27"/>
  <c r="I58" i="27"/>
  <c r="I59" i="27"/>
  <c r="I60" i="27"/>
  <c r="I61" i="27"/>
  <c r="I62" i="27"/>
  <c r="I63" i="27"/>
  <c r="I64" i="27"/>
  <c r="I65" i="27"/>
  <c r="I66" i="27"/>
  <c r="I67" i="27"/>
  <c r="I68" i="27"/>
  <c r="I69" i="27"/>
  <c r="I70" i="27"/>
  <c r="I71" i="27"/>
  <c r="I72" i="27"/>
  <c r="I73" i="27"/>
  <c r="I74" i="27"/>
  <c r="I75" i="27"/>
  <c r="I76" i="27"/>
  <c r="I77" i="27"/>
  <c r="I78" i="27"/>
  <c r="I79" i="27"/>
  <c r="I80" i="27"/>
  <c r="I81" i="27"/>
  <c r="I82" i="27"/>
  <c r="I83" i="27"/>
  <c r="I84" i="27"/>
  <c r="I85" i="27"/>
  <c r="I86" i="27"/>
  <c r="I87" i="27"/>
  <c r="I88" i="27"/>
  <c r="I89" i="27"/>
  <c r="I90" i="27"/>
  <c r="I91" i="27"/>
  <c r="I92" i="27"/>
  <c r="I93" i="27"/>
  <c r="I94" i="27"/>
  <c r="I95" i="27"/>
  <c r="I96" i="27"/>
  <c r="I97" i="27"/>
  <c r="I98" i="27"/>
  <c r="I99" i="27"/>
  <c r="I100" i="27"/>
  <c r="I101" i="27"/>
  <c r="E85" i="27"/>
  <c r="F85" i="27" s="1"/>
  <c r="E84" i="27"/>
  <c r="F84" i="27" s="1"/>
  <c r="E71" i="27"/>
  <c r="F71" i="27" s="1"/>
  <c r="E69" i="27"/>
  <c r="F69" i="27" s="1"/>
  <c r="E51" i="27"/>
  <c r="F51" i="27" s="1"/>
  <c r="E49" i="27"/>
  <c r="F49" i="27" s="1"/>
  <c r="E46" i="27"/>
  <c r="F46" i="27" s="1"/>
  <c r="E59" i="27"/>
  <c r="F59" i="27" s="1"/>
  <c r="E95" i="27"/>
  <c r="F95" i="27" s="1"/>
  <c r="E43" i="27"/>
  <c r="F43" i="27" s="1"/>
  <c r="E83" i="27"/>
  <c r="F83" i="27" s="1"/>
  <c r="E94" i="27"/>
  <c r="F94" i="27" s="1"/>
  <c r="E93" i="27"/>
  <c r="F93" i="27" s="1"/>
  <c r="E20" i="27"/>
  <c r="F20" i="27" s="1"/>
  <c r="E99" i="27"/>
  <c r="F99" i="27" s="1"/>
  <c r="E7" i="27"/>
  <c r="F7" i="27" s="1"/>
  <c r="E17" i="27"/>
  <c r="F17" i="27" s="1"/>
  <c r="E48" i="27"/>
  <c r="F48" i="27" s="1"/>
  <c r="E15" i="27"/>
  <c r="F15" i="27" s="1"/>
  <c r="E100" i="27"/>
  <c r="F100" i="27" s="1"/>
  <c r="E98" i="27"/>
  <c r="F98" i="27"/>
  <c r="E22" i="27"/>
  <c r="F22" i="27" s="1"/>
  <c r="E24" i="27"/>
  <c r="F24" i="27" s="1"/>
  <c r="E39" i="27"/>
  <c r="F39" i="27" s="1"/>
  <c r="E12" i="27"/>
  <c r="F12" i="27" s="1"/>
  <c r="E45" i="27"/>
  <c r="F45" i="27" s="1"/>
  <c r="E40" i="27"/>
  <c r="F40" i="27"/>
  <c r="G40" i="27" s="1"/>
  <c r="E5" i="27"/>
  <c r="F5" i="27" s="1"/>
  <c r="E11" i="27"/>
  <c r="F11" i="27" s="1"/>
  <c r="E44" i="27"/>
  <c r="F44" i="27" s="1"/>
  <c r="E19" i="27"/>
  <c r="F19" i="27" s="1"/>
  <c r="E18" i="27"/>
  <c r="F18" i="27" s="1"/>
  <c r="E23" i="27"/>
  <c r="F23" i="27" s="1"/>
  <c r="E10" i="27"/>
  <c r="F10" i="27" s="1"/>
  <c r="E13" i="27"/>
  <c r="F13" i="27" s="1"/>
  <c r="E6" i="27"/>
  <c r="F6" i="27"/>
  <c r="G6" i="27" s="1"/>
  <c r="E34" i="27"/>
  <c r="F34" i="27" s="1"/>
  <c r="E8" i="27"/>
  <c r="F8" i="27" s="1"/>
  <c r="E77" i="27"/>
  <c r="F77" i="27" s="1"/>
  <c r="E58" i="27"/>
  <c r="F58" i="27" s="1"/>
  <c r="E82" i="27"/>
  <c r="F82" i="27" s="1"/>
  <c r="E70" i="27"/>
  <c r="F70" i="27" s="1"/>
  <c r="E29" i="27"/>
  <c r="F29" i="27" s="1"/>
  <c r="E28" i="27"/>
  <c r="F28" i="27" s="1"/>
  <c r="E78" i="27"/>
  <c r="F78" i="27" s="1"/>
  <c r="E55" i="27"/>
  <c r="F55" i="27" s="1"/>
  <c r="E73" i="27"/>
  <c r="F73" i="27" s="1"/>
  <c r="E89" i="27"/>
  <c r="F89" i="27" s="1"/>
  <c r="E80" i="27"/>
  <c r="F80" i="27" s="1"/>
  <c r="E87" i="27"/>
  <c r="F87" i="27" s="1"/>
  <c r="E90" i="27"/>
  <c r="F90" i="27"/>
  <c r="G90" i="27" s="1"/>
  <c r="E56" i="27"/>
  <c r="F56" i="27" s="1"/>
  <c r="E75" i="27"/>
  <c r="F75" i="27" s="1"/>
  <c r="E53" i="27"/>
  <c r="F53" i="27" s="1"/>
  <c r="E16" i="27"/>
  <c r="F16" i="27" s="1"/>
  <c r="E57" i="27"/>
  <c r="F57" i="27" s="1"/>
  <c r="E21" i="27"/>
  <c r="F21" i="27"/>
  <c r="G21" i="27" s="1"/>
  <c r="E9" i="27"/>
  <c r="F9" i="27" s="1"/>
  <c r="E76" i="27"/>
  <c r="F76" i="27" s="1"/>
  <c r="E79" i="27"/>
  <c r="F79" i="27" s="1"/>
  <c r="E14" i="27"/>
  <c r="F14" i="27" s="1"/>
  <c r="E25" i="27"/>
  <c r="F25" i="27" s="1"/>
  <c r="E52" i="27"/>
  <c r="F52" i="27" s="1"/>
  <c r="E47" i="27"/>
  <c r="F47" i="27" s="1"/>
  <c r="E96" i="27"/>
  <c r="F96" i="27" s="1"/>
  <c r="E97" i="27"/>
  <c r="F97" i="27" s="1"/>
  <c r="E68" i="27"/>
  <c r="F68" i="27" s="1"/>
  <c r="E62" i="27"/>
  <c r="F62" i="27" s="1"/>
  <c r="E88" i="27"/>
  <c r="F88" i="27" s="1"/>
  <c r="E67" i="27"/>
  <c r="F67" i="27" s="1"/>
  <c r="E50" i="27"/>
  <c r="F50" i="27" s="1"/>
  <c r="E63" i="27"/>
  <c r="F63" i="27" s="1"/>
  <c r="E74" i="27"/>
  <c r="F74" i="27" s="1"/>
  <c r="E72" i="27"/>
  <c r="F72" i="27" s="1"/>
  <c r="E64" i="27"/>
  <c r="F64" i="27" s="1"/>
  <c r="E66" i="27"/>
  <c r="F66" i="27" s="1"/>
  <c r="E65" i="27"/>
  <c r="F65" i="27" s="1"/>
  <c r="E81" i="27"/>
  <c r="F81" i="27" s="1"/>
  <c r="E86" i="27"/>
  <c r="F86" i="27" s="1"/>
  <c r="E36" i="27"/>
  <c r="F36" i="27" s="1"/>
  <c r="E38" i="27"/>
  <c r="F38" i="27" s="1"/>
  <c r="E54" i="27"/>
  <c r="F54" i="27" s="1"/>
  <c r="E61" i="27"/>
  <c r="F61" i="27" s="1"/>
  <c r="E41" i="27"/>
  <c r="F41" i="27" s="1"/>
  <c r="E32" i="27"/>
  <c r="F32" i="27" s="1"/>
  <c r="E35" i="27"/>
  <c r="F35" i="27" s="1"/>
  <c r="E60" i="27"/>
  <c r="F60" i="27" s="1"/>
  <c r="E42" i="27"/>
  <c r="F42" i="27" s="1"/>
  <c r="E33" i="27"/>
  <c r="F33" i="27" s="1"/>
  <c r="E37" i="27"/>
  <c r="F37" i="27" s="1"/>
  <c r="E31" i="27"/>
  <c r="F31" i="27" s="1"/>
  <c r="E30" i="27"/>
  <c r="F30" i="27" s="1"/>
  <c r="E26" i="27"/>
  <c r="F26" i="27" s="1"/>
  <c r="E27" i="27"/>
  <c r="F27" i="27" s="1"/>
  <c r="E101" i="27"/>
  <c r="F101" i="27" s="1"/>
  <c r="E91" i="27"/>
  <c r="F91" i="27" s="1"/>
  <c r="I5" i="27"/>
  <c r="E92" i="27"/>
  <c r="F92" i="27" s="1"/>
  <c r="G2" i="27"/>
  <c r="H83" i="26"/>
  <c r="G83" i="26"/>
  <c r="H80" i="26"/>
  <c r="G80" i="26"/>
  <c r="H77" i="26"/>
  <c r="G77" i="26"/>
  <c r="H74" i="26"/>
  <c r="G74" i="26"/>
  <c r="H71" i="26"/>
  <c r="G71" i="26"/>
  <c r="H68" i="26"/>
  <c r="G68" i="26"/>
  <c r="H65" i="26"/>
  <c r="G65" i="26"/>
  <c r="H62" i="26"/>
  <c r="G62" i="26"/>
  <c r="H59" i="26"/>
  <c r="G59" i="26"/>
  <c r="H56" i="26"/>
  <c r="G56" i="26"/>
  <c r="H53" i="26"/>
  <c r="G53" i="26"/>
  <c r="H50" i="26"/>
  <c r="G50" i="26"/>
  <c r="H47" i="26"/>
  <c r="G47" i="26"/>
  <c r="H44" i="26"/>
  <c r="G44" i="26"/>
  <c r="H41" i="26"/>
  <c r="G41" i="26"/>
  <c r="H38" i="26"/>
  <c r="G38" i="26"/>
  <c r="H35" i="26"/>
  <c r="G35" i="26"/>
  <c r="H32" i="26"/>
  <c r="G32" i="26"/>
  <c r="H29" i="26"/>
  <c r="G29" i="26"/>
  <c r="H26" i="26"/>
  <c r="G26" i="26"/>
  <c r="H23" i="26"/>
  <c r="G23" i="26"/>
  <c r="H20" i="26"/>
  <c r="G20" i="26"/>
  <c r="H17" i="26"/>
  <c r="G17" i="26"/>
  <c r="H14" i="26"/>
  <c r="G14" i="26"/>
  <c r="H11" i="26"/>
  <c r="H85" i="26" s="1"/>
  <c r="G11" i="26"/>
  <c r="H8" i="26"/>
  <c r="G8" i="26"/>
  <c r="H5" i="26"/>
  <c r="G5" i="26"/>
  <c r="F85" i="26"/>
  <c r="I6" i="26"/>
  <c r="I7" i="26"/>
  <c r="I8" i="26"/>
  <c r="I9" i="26"/>
  <c r="I10" i="26"/>
  <c r="I11" i="26"/>
  <c r="I12" i="26"/>
  <c r="I13" i="26"/>
  <c r="I14" i="26"/>
  <c r="I15" i="26"/>
  <c r="I16" i="26"/>
  <c r="I17" i="26"/>
  <c r="I18" i="26"/>
  <c r="I19" i="26"/>
  <c r="I20" i="26"/>
  <c r="I21" i="26"/>
  <c r="I22" i="26"/>
  <c r="I23" i="26"/>
  <c r="I24" i="26"/>
  <c r="I25" i="26"/>
  <c r="I26" i="26"/>
  <c r="I27" i="26"/>
  <c r="I28" i="26"/>
  <c r="I29" i="26"/>
  <c r="I30" i="26"/>
  <c r="I31" i="26"/>
  <c r="I32" i="26"/>
  <c r="I33" i="26"/>
  <c r="I34" i="26"/>
  <c r="I35" i="26"/>
  <c r="I36" i="26"/>
  <c r="I37" i="26"/>
  <c r="I38" i="26"/>
  <c r="I39" i="26"/>
  <c r="I40" i="26"/>
  <c r="I41" i="26"/>
  <c r="I42" i="26"/>
  <c r="I43" i="26"/>
  <c r="I44" i="26"/>
  <c r="I45" i="26"/>
  <c r="I46" i="26"/>
  <c r="I47" i="26"/>
  <c r="I48" i="26"/>
  <c r="I49" i="26"/>
  <c r="I50" i="26"/>
  <c r="I51" i="26"/>
  <c r="I52" i="26"/>
  <c r="I53" i="26"/>
  <c r="I54" i="26"/>
  <c r="I55" i="26"/>
  <c r="I56" i="26"/>
  <c r="I57" i="26"/>
  <c r="I58" i="26"/>
  <c r="I59" i="26"/>
  <c r="I60" i="26"/>
  <c r="I61" i="26"/>
  <c r="I62" i="26"/>
  <c r="I63" i="26"/>
  <c r="I64" i="26"/>
  <c r="I65" i="26"/>
  <c r="I66" i="26"/>
  <c r="I67" i="26"/>
  <c r="I68" i="26"/>
  <c r="I69" i="26"/>
  <c r="I70" i="26"/>
  <c r="I71" i="26"/>
  <c r="I72" i="26"/>
  <c r="I73" i="26"/>
  <c r="I74" i="26"/>
  <c r="I75" i="26"/>
  <c r="I76" i="26"/>
  <c r="I77" i="26"/>
  <c r="I78" i="26"/>
  <c r="I79" i="26"/>
  <c r="I80" i="26"/>
  <c r="I81" i="26"/>
  <c r="I82" i="26"/>
  <c r="I83" i="26"/>
  <c r="E81" i="26"/>
  <c r="F81" i="26" s="1"/>
  <c r="G81" i="26" s="1"/>
  <c r="E83" i="26"/>
  <c r="F83" i="26" s="1"/>
  <c r="E80" i="26"/>
  <c r="F80" i="26" s="1"/>
  <c r="E79" i="26"/>
  <c r="F79" i="26" s="1"/>
  <c r="G79" i="26" s="1"/>
  <c r="E53" i="26"/>
  <c r="F53" i="26" s="1"/>
  <c r="E10" i="26"/>
  <c r="F10" i="26" s="1"/>
  <c r="E31" i="26"/>
  <c r="F31" i="26"/>
  <c r="G31" i="26" s="1"/>
  <c r="E25" i="26"/>
  <c r="F25" i="26" s="1"/>
  <c r="E5" i="26"/>
  <c r="F5" i="26" s="1"/>
  <c r="E9" i="26"/>
  <c r="F9" i="26" s="1"/>
  <c r="G9" i="26" s="1"/>
  <c r="E67" i="26"/>
  <c r="F67" i="26" s="1"/>
  <c r="E7" i="26"/>
  <c r="F7" i="26" s="1"/>
  <c r="E19" i="26"/>
  <c r="F19" i="26" s="1"/>
  <c r="G19" i="26" s="1"/>
  <c r="E51" i="26"/>
  <c r="F51" i="26" s="1"/>
  <c r="E54" i="26"/>
  <c r="F54" i="26" s="1"/>
  <c r="E6" i="26"/>
  <c r="F6" i="26"/>
  <c r="G6" i="26" s="1"/>
  <c r="E45" i="26"/>
  <c r="F45" i="26" s="1"/>
  <c r="E18" i="26"/>
  <c r="F18" i="26" s="1"/>
  <c r="E13" i="26"/>
  <c r="F13" i="26" s="1"/>
  <c r="G13" i="26" s="1"/>
  <c r="E49" i="26"/>
  <c r="F49" i="26" s="1"/>
  <c r="E21" i="26"/>
  <c r="F21" i="26" s="1"/>
  <c r="E22" i="26"/>
  <c r="F22" i="26" s="1"/>
  <c r="G22" i="26" s="1"/>
  <c r="E47" i="26"/>
  <c r="F47" i="26" s="1"/>
  <c r="E50" i="26"/>
  <c r="F50" i="26" s="1"/>
  <c r="E14" i="26"/>
  <c r="F14" i="26" s="1"/>
  <c r="E12" i="26"/>
  <c r="F12" i="26" s="1"/>
  <c r="E33" i="26"/>
  <c r="F33" i="26" s="1"/>
  <c r="E11" i="26"/>
  <c r="F11" i="26"/>
  <c r="E40" i="26"/>
  <c r="F40" i="26" s="1"/>
  <c r="E24" i="26"/>
  <c r="F24" i="26" s="1"/>
  <c r="E16" i="26"/>
  <c r="F16" i="26" s="1"/>
  <c r="G16" i="26" s="1"/>
  <c r="E55" i="26"/>
  <c r="F55" i="26" s="1"/>
  <c r="E52" i="26"/>
  <c r="F52" i="26" s="1"/>
  <c r="E29" i="26"/>
  <c r="F29" i="26"/>
  <c r="E8" i="26"/>
  <c r="F8" i="26" s="1"/>
  <c r="E20" i="26"/>
  <c r="F20" i="26" s="1"/>
  <c r="E15" i="26"/>
  <c r="F15" i="26" s="1"/>
  <c r="G15" i="26" s="1"/>
  <c r="E17" i="26"/>
  <c r="F17" i="26" s="1"/>
  <c r="E44" i="26"/>
  <c r="F44" i="26" s="1"/>
  <c r="E71" i="26"/>
  <c r="F71" i="26" s="1"/>
  <c r="E60" i="26"/>
  <c r="F60" i="26" s="1"/>
  <c r="E77" i="26"/>
  <c r="F77" i="26" s="1"/>
  <c r="E59" i="26"/>
  <c r="F59" i="26"/>
  <c r="E42" i="26"/>
  <c r="F42" i="26" s="1"/>
  <c r="E39" i="26"/>
  <c r="F39" i="26" s="1"/>
  <c r="E34" i="26"/>
  <c r="F34" i="26"/>
  <c r="G34" i="26" s="1"/>
  <c r="E32" i="26"/>
  <c r="F32" i="26" s="1"/>
  <c r="E30" i="26"/>
  <c r="F30" i="26" s="1"/>
  <c r="E75" i="26"/>
  <c r="F75" i="26" s="1"/>
  <c r="G75" i="26" s="1"/>
  <c r="E76" i="26"/>
  <c r="F76" i="26" s="1"/>
  <c r="E78" i="26"/>
  <c r="F78" i="26" s="1"/>
  <c r="E23" i="26"/>
  <c r="F23" i="26" s="1"/>
  <c r="E27" i="26"/>
  <c r="F27" i="26" s="1"/>
  <c r="E65" i="26"/>
  <c r="F65" i="26" s="1"/>
  <c r="E66" i="26"/>
  <c r="F66" i="26"/>
  <c r="G66" i="26" s="1"/>
  <c r="E64" i="26"/>
  <c r="F64" i="26" s="1"/>
  <c r="E41" i="26"/>
  <c r="F41" i="26" s="1"/>
  <c r="E35" i="26"/>
  <c r="F35" i="26" s="1"/>
  <c r="E56" i="26"/>
  <c r="F56" i="26" s="1"/>
  <c r="E73" i="26"/>
  <c r="F73" i="26" s="1"/>
  <c r="E26" i="26"/>
  <c r="F26" i="26"/>
  <c r="E36" i="26"/>
  <c r="F36" i="26" s="1"/>
  <c r="E68" i="26"/>
  <c r="F68" i="26" s="1"/>
  <c r="E61" i="26"/>
  <c r="F61" i="26" s="1"/>
  <c r="G61" i="26" s="1"/>
  <c r="E63" i="26"/>
  <c r="F63" i="26" s="1"/>
  <c r="E37" i="26"/>
  <c r="F37" i="26" s="1"/>
  <c r="E48" i="26"/>
  <c r="F48" i="26" s="1"/>
  <c r="G48" i="26" s="1"/>
  <c r="E62" i="26"/>
  <c r="F62" i="26" s="1"/>
  <c r="E72" i="26"/>
  <c r="F72" i="26" s="1"/>
  <c r="E38" i="26"/>
  <c r="F38" i="26" s="1"/>
  <c r="E69" i="26"/>
  <c r="F69" i="26" s="1"/>
  <c r="E43" i="26"/>
  <c r="F43" i="26" s="1"/>
  <c r="E58" i="26"/>
  <c r="F58" i="26"/>
  <c r="G58" i="26" s="1"/>
  <c r="E46" i="26"/>
  <c r="F46" i="26" s="1"/>
  <c r="E57" i="26"/>
  <c r="F57" i="26" s="1"/>
  <c r="E28" i="26"/>
  <c r="F28" i="26" s="1"/>
  <c r="G28" i="26" s="1"/>
  <c r="E74" i="26"/>
  <c r="F74" i="26" s="1"/>
  <c r="E70" i="26"/>
  <c r="F70" i="26" s="1"/>
  <c r="H70" i="26" s="1"/>
  <c r="I5" i="26"/>
  <c r="E82" i="26"/>
  <c r="F82" i="26" s="1"/>
  <c r="G2" i="26"/>
  <c r="H44" i="25"/>
  <c r="G44" i="25"/>
  <c r="H41" i="25"/>
  <c r="G41" i="25"/>
  <c r="H38" i="25"/>
  <c r="G38" i="25"/>
  <c r="H35" i="25"/>
  <c r="G35" i="25"/>
  <c r="H32" i="25"/>
  <c r="G32" i="25"/>
  <c r="H29" i="25"/>
  <c r="G29" i="25"/>
  <c r="H26" i="25"/>
  <c r="G26" i="25"/>
  <c r="H23" i="25"/>
  <c r="G23" i="25"/>
  <c r="H20" i="25"/>
  <c r="G20" i="25"/>
  <c r="H17" i="25"/>
  <c r="G17" i="25"/>
  <c r="H14" i="25"/>
  <c r="G14" i="25"/>
  <c r="H11" i="25"/>
  <c r="G11" i="25"/>
  <c r="G47" i="25" s="1"/>
  <c r="H8" i="25"/>
  <c r="G8" i="25"/>
  <c r="H5" i="25"/>
  <c r="G5" i="25"/>
  <c r="F47" i="25"/>
  <c r="I6" i="25"/>
  <c r="I7" i="25"/>
  <c r="I8" i="25"/>
  <c r="I9" i="25"/>
  <c r="I10" i="25"/>
  <c r="I11" i="25"/>
  <c r="I12" i="25"/>
  <c r="I13" i="25"/>
  <c r="I14" i="25"/>
  <c r="I15" i="25"/>
  <c r="I16" i="25"/>
  <c r="I17" i="25"/>
  <c r="I18" i="25"/>
  <c r="I19" i="25"/>
  <c r="I20" i="25"/>
  <c r="I21" i="25"/>
  <c r="I22" i="25"/>
  <c r="I23" i="25"/>
  <c r="I24" i="25"/>
  <c r="I25" i="25"/>
  <c r="I26" i="25"/>
  <c r="I27" i="25"/>
  <c r="I28" i="25"/>
  <c r="I29" i="25"/>
  <c r="I30" i="25"/>
  <c r="I31" i="25"/>
  <c r="I32" i="25"/>
  <c r="I33" i="25"/>
  <c r="I34" i="25"/>
  <c r="I35" i="25"/>
  <c r="I36" i="25"/>
  <c r="I37" i="25"/>
  <c r="I38" i="25"/>
  <c r="I39" i="25"/>
  <c r="I40" i="25"/>
  <c r="I41" i="25"/>
  <c r="I42" i="25"/>
  <c r="I43" i="25"/>
  <c r="I44" i="25"/>
  <c r="I45" i="25"/>
  <c r="E26" i="25"/>
  <c r="F26" i="25" s="1"/>
  <c r="E15" i="25"/>
  <c r="F15" i="25" s="1"/>
  <c r="E19" i="25"/>
  <c r="F19" i="25" s="1"/>
  <c r="E18" i="25"/>
  <c r="F18" i="25" s="1"/>
  <c r="E45" i="25"/>
  <c r="F45" i="25" s="1"/>
  <c r="E44" i="25"/>
  <c r="F44" i="25" s="1"/>
  <c r="E41" i="25"/>
  <c r="F41" i="25" s="1"/>
  <c r="E40" i="25"/>
  <c r="F40" i="25" s="1"/>
  <c r="E37" i="25"/>
  <c r="F37" i="25" s="1"/>
  <c r="E43" i="25"/>
  <c r="F43" i="25" s="1"/>
  <c r="E42" i="25"/>
  <c r="F42" i="25" s="1"/>
  <c r="E21" i="25"/>
  <c r="F21" i="25" s="1"/>
  <c r="E13" i="25"/>
  <c r="F13" i="25" s="1"/>
  <c r="E29" i="25"/>
  <c r="F29" i="25" s="1"/>
  <c r="E12" i="25"/>
  <c r="F12" i="25" s="1"/>
  <c r="E25" i="25"/>
  <c r="F25" i="25" s="1"/>
  <c r="E14" i="25"/>
  <c r="F14" i="25" s="1"/>
  <c r="E22" i="25"/>
  <c r="F22" i="25" s="1"/>
  <c r="E23" i="25"/>
  <c r="F23" i="25" s="1"/>
  <c r="E7" i="25"/>
  <c r="F7" i="25" s="1"/>
  <c r="E17" i="25"/>
  <c r="F17" i="25" s="1"/>
  <c r="E32" i="25"/>
  <c r="F32" i="25" s="1"/>
  <c r="E31" i="25"/>
  <c r="F31" i="25" s="1"/>
  <c r="E27" i="25"/>
  <c r="F27" i="25" s="1"/>
  <c r="E24" i="25"/>
  <c r="F24" i="25" s="1"/>
  <c r="E16" i="25"/>
  <c r="F16" i="25" s="1"/>
  <c r="E30" i="25"/>
  <c r="F30" i="25" s="1"/>
  <c r="E5" i="25"/>
  <c r="F5" i="25" s="1"/>
  <c r="E10" i="25"/>
  <c r="F10" i="25" s="1"/>
  <c r="E11" i="25"/>
  <c r="F11" i="25" s="1"/>
  <c r="E6" i="25"/>
  <c r="F6" i="25" s="1"/>
  <c r="E9" i="25"/>
  <c r="F9" i="25" s="1"/>
  <c r="E8" i="25"/>
  <c r="F8" i="25" s="1"/>
  <c r="E34" i="25"/>
  <c r="F34" i="25" s="1"/>
  <c r="E36" i="25"/>
  <c r="F36" i="25" s="1"/>
  <c r="E33" i="25"/>
  <c r="F33" i="25" s="1"/>
  <c r="E38" i="25"/>
  <c r="F38" i="25" s="1"/>
  <c r="E39" i="25"/>
  <c r="F39" i="25" s="1"/>
  <c r="E35" i="25"/>
  <c r="F35" i="25" s="1"/>
  <c r="E20" i="25"/>
  <c r="F20" i="25" s="1"/>
  <c r="I5" i="25"/>
  <c r="E28" i="25"/>
  <c r="F28" i="25" s="1"/>
  <c r="G2" i="25"/>
  <c r="H101" i="24"/>
  <c r="G101" i="24"/>
  <c r="H98" i="24"/>
  <c r="G98" i="24"/>
  <c r="H95" i="24"/>
  <c r="G95" i="24"/>
  <c r="H92" i="24"/>
  <c r="G92" i="24"/>
  <c r="H89" i="24"/>
  <c r="G89" i="24"/>
  <c r="H86" i="24"/>
  <c r="G86" i="24"/>
  <c r="H83" i="24"/>
  <c r="G83" i="24"/>
  <c r="H80" i="24"/>
  <c r="G80" i="24"/>
  <c r="H77" i="24"/>
  <c r="G77" i="24"/>
  <c r="H74" i="24"/>
  <c r="G74" i="24"/>
  <c r="H71" i="24"/>
  <c r="G71" i="24"/>
  <c r="H68" i="24"/>
  <c r="G68" i="24"/>
  <c r="H65" i="24"/>
  <c r="G65" i="24"/>
  <c r="H62" i="24"/>
  <c r="G62" i="24"/>
  <c r="H59" i="24"/>
  <c r="G59" i="24"/>
  <c r="H56" i="24"/>
  <c r="G56" i="24"/>
  <c r="H53" i="24"/>
  <c r="G53" i="24"/>
  <c r="H50" i="24"/>
  <c r="G50" i="24"/>
  <c r="H47" i="24"/>
  <c r="G47" i="24"/>
  <c r="H44" i="24"/>
  <c r="G44" i="24"/>
  <c r="H41" i="24"/>
  <c r="G41" i="24"/>
  <c r="H38" i="24"/>
  <c r="G38" i="24"/>
  <c r="H35" i="24"/>
  <c r="G35" i="24"/>
  <c r="H32" i="24"/>
  <c r="G32" i="24"/>
  <c r="H29" i="24"/>
  <c r="G29" i="24"/>
  <c r="H26" i="24"/>
  <c r="G26" i="24"/>
  <c r="H23" i="24"/>
  <c r="G23" i="24"/>
  <c r="H20" i="24"/>
  <c r="G20" i="24"/>
  <c r="H17" i="24"/>
  <c r="G17" i="24"/>
  <c r="H14" i="24"/>
  <c r="G14" i="24"/>
  <c r="G105" i="24" s="1"/>
  <c r="H11" i="24"/>
  <c r="G11" i="24"/>
  <c r="H8" i="24"/>
  <c r="H105" i="24" s="1"/>
  <c r="G8" i="24"/>
  <c r="H5" i="24"/>
  <c r="G5" i="24"/>
  <c r="F105" i="24"/>
  <c r="I6" i="24"/>
  <c r="I7" i="24"/>
  <c r="I8" i="24"/>
  <c r="I9" i="24"/>
  <c r="I10" i="24"/>
  <c r="I11" i="24"/>
  <c r="I12" i="24"/>
  <c r="I13" i="24"/>
  <c r="I14" i="24"/>
  <c r="I15" i="24"/>
  <c r="I16" i="24"/>
  <c r="I17" i="24"/>
  <c r="I18" i="24"/>
  <c r="I19" i="24"/>
  <c r="I20" i="24"/>
  <c r="I21" i="24"/>
  <c r="I22" i="24"/>
  <c r="I23" i="24"/>
  <c r="I24" i="24"/>
  <c r="I25" i="24"/>
  <c r="I26" i="24"/>
  <c r="I27" i="24"/>
  <c r="I28" i="24"/>
  <c r="I29" i="24"/>
  <c r="I30" i="24"/>
  <c r="I31" i="24"/>
  <c r="I32" i="24"/>
  <c r="I33" i="24"/>
  <c r="I34" i="24"/>
  <c r="I35" i="24"/>
  <c r="I36" i="24"/>
  <c r="I37" i="24"/>
  <c r="I38" i="24"/>
  <c r="I39" i="24"/>
  <c r="I40" i="24"/>
  <c r="I41" i="24"/>
  <c r="I42" i="24"/>
  <c r="I43" i="24"/>
  <c r="I44" i="24"/>
  <c r="I45" i="24"/>
  <c r="I46" i="24"/>
  <c r="I47" i="24"/>
  <c r="I48" i="24"/>
  <c r="I49" i="24"/>
  <c r="I50" i="24"/>
  <c r="I51" i="24"/>
  <c r="I52" i="24"/>
  <c r="I53" i="24"/>
  <c r="I54" i="24"/>
  <c r="I55" i="24"/>
  <c r="I56" i="24"/>
  <c r="I57" i="24"/>
  <c r="I58" i="24"/>
  <c r="I59" i="24"/>
  <c r="I60" i="24"/>
  <c r="I61" i="24"/>
  <c r="I62" i="24"/>
  <c r="I63" i="24"/>
  <c r="I64" i="24"/>
  <c r="I65" i="24"/>
  <c r="I66" i="24"/>
  <c r="I67" i="24"/>
  <c r="I68" i="24"/>
  <c r="I69" i="24"/>
  <c r="I70" i="24"/>
  <c r="I71" i="24"/>
  <c r="I72" i="24"/>
  <c r="I73" i="24"/>
  <c r="I74" i="24"/>
  <c r="I75" i="24"/>
  <c r="I76" i="24"/>
  <c r="I77" i="24"/>
  <c r="I78" i="24"/>
  <c r="I79" i="24"/>
  <c r="I80" i="24"/>
  <c r="I81" i="24"/>
  <c r="I82" i="24"/>
  <c r="I83" i="24"/>
  <c r="I84" i="24"/>
  <c r="I85" i="24"/>
  <c r="I86" i="24"/>
  <c r="I87" i="24"/>
  <c r="I88" i="24"/>
  <c r="I89" i="24"/>
  <c r="I90" i="24"/>
  <c r="I91" i="24"/>
  <c r="I92" i="24"/>
  <c r="I93" i="24"/>
  <c r="I94" i="24"/>
  <c r="I95" i="24"/>
  <c r="I96" i="24"/>
  <c r="I97" i="24"/>
  <c r="I98" i="24"/>
  <c r="I99" i="24"/>
  <c r="I100" i="24"/>
  <c r="I101" i="24"/>
  <c r="I102" i="24"/>
  <c r="I103" i="24"/>
  <c r="E77" i="24"/>
  <c r="F77" i="24" s="1"/>
  <c r="E48" i="24"/>
  <c r="F48" i="24" s="1"/>
  <c r="E78" i="24"/>
  <c r="F78" i="24" s="1"/>
  <c r="E43" i="24"/>
  <c r="F43" i="24" s="1"/>
  <c r="E41" i="24"/>
  <c r="F41" i="24" s="1"/>
  <c r="E71" i="24"/>
  <c r="F71" i="24" s="1"/>
  <c r="E31" i="24"/>
  <c r="F31" i="24" s="1"/>
  <c r="E74" i="24"/>
  <c r="F74" i="24" s="1"/>
  <c r="E29" i="24"/>
  <c r="F29" i="24" s="1"/>
  <c r="E100" i="24"/>
  <c r="F100" i="24" s="1"/>
  <c r="E80" i="24"/>
  <c r="F80" i="24" s="1"/>
  <c r="E73" i="24"/>
  <c r="F73" i="24" s="1"/>
  <c r="E46" i="24"/>
  <c r="F46" i="24" s="1"/>
  <c r="E54" i="24"/>
  <c r="F54" i="24" s="1"/>
  <c r="E44" i="24"/>
  <c r="F44" i="24" s="1"/>
  <c r="E45" i="24"/>
  <c r="F45" i="24" s="1"/>
  <c r="E98" i="24"/>
  <c r="F98" i="24" s="1"/>
  <c r="E96" i="24"/>
  <c r="F96" i="24" s="1"/>
  <c r="E19" i="24"/>
  <c r="F19" i="24" s="1"/>
  <c r="E49" i="24"/>
  <c r="F49" i="24" s="1"/>
  <c r="E16" i="24"/>
  <c r="F16" i="24" s="1"/>
  <c r="E18" i="24"/>
  <c r="F18" i="24" s="1"/>
  <c r="E14" i="24"/>
  <c r="F14" i="24" s="1"/>
  <c r="E27" i="24"/>
  <c r="F27" i="24" s="1"/>
  <c r="E38" i="24"/>
  <c r="F38" i="24" s="1"/>
  <c r="E30" i="24"/>
  <c r="F30" i="24" s="1"/>
  <c r="E25" i="24"/>
  <c r="F25" i="24" s="1"/>
  <c r="E60" i="24"/>
  <c r="F60" i="24" s="1"/>
  <c r="E17" i="24"/>
  <c r="F17" i="24" s="1"/>
  <c r="E9" i="24"/>
  <c r="F9" i="24" s="1"/>
  <c r="E55" i="24"/>
  <c r="F55" i="24" s="1"/>
  <c r="E35" i="24"/>
  <c r="F35" i="24" s="1"/>
  <c r="E22" i="24"/>
  <c r="F22" i="24" s="1"/>
  <c r="E58" i="24"/>
  <c r="F58" i="24" s="1"/>
  <c r="E51" i="24"/>
  <c r="F51" i="24" s="1"/>
  <c r="E59" i="24"/>
  <c r="F59" i="24" s="1"/>
  <c r="E10" i="24"/>
  <c r="F10" i="24" s="1"/>
  <c r="E64" i="24"/>
  <c r="F64" i="24" s="1"/>
  <c r="E21" i="24"/>
  <c r="F21" i="24" s="1"/>
  <c r="E6" i="24"/>
  <c r="F6" i="24" s="1"/>
  <c r="E5" i="24"/>
  <c r="F5" i="24" s="1"/>
  <c r="E72" i="24"/>
  <c r="F72" i="24" s="1"/>
  <c r="E66" i="24"/>
  <c r="F66" i="24" s="1"/>
  <c r="E53" i="24"/>
  <c r="F53" i="24" s="1"/>
  <c r="E8" i="24"/>
  <c r="F8" i="24" s="1"/>
  <c r="E90" i="24"/>
  <c r="F90" i="24" s="1"/>
  <c r="E11" i="24"/>
  <c r="F11" i="24" s="1"/>
  <c r="E7" i="24"/>
  <c r="F7" i="24" s="1"/>
  <c r="E13" i="24"/>
  <c r="F13" i="24" s="1"/>
  <c r="E24" i="24"/>
  <c r="F24" i="24" s="1"/>
  <c r="E84" i="24"/>
  <c r="F84" i="24" s="1"/>
  <c r="E79" i="24"/>
  <c r="F79" i="24" s="1"/>
  <c r="E12" i="24"/>
  <c r="F12" i="24" s="1"/>
  <c r="E70" i="24"/>
  <c r="F70" i="24" s="1"/>
  <c r="E91" i="24"/>
  <c r="F91" i="24" s="1"/>
  <c r="E87" i="24"/>
  <c r="F87" i="24" s="1"/>
  <c r="E93" i="24"/>
  <c r="F93" i="24" s="1"/>
  <c r="E15" i="24"/>
  <c r="F15" i="24" s="1"/>
  <c r="E23" i="24"/>
  <c r="F23" i="24" s="1"/>
  <c r="E95" i="24"/>
  <c r="F95" i="24" s="1"/>
  <c r="E57" i="24"/>
  <c r="F57" i="24" s="1"/>
  <c r="E61" i="24"/>
  <c r="F61" i="24" s="1"/>
  <c r="E81" i="24"/>
  <c r="F81" i="24" s="1"/>
  <c r="E67" i="24"/>
  <c r="F67" i="24" s="1"/>
  <c r="E32" i="24"/>
  <c r="F32" i="24" s="1"/>
  <c r="E69" i="24"/>
  <c r="F69" i="24" s="1"/>
  <c r="E82" i="24"/>
  <c r="F82" i="24" s="1"/>
  <c r="E75" i="24"/>
  <c r="F75" i="24" s="1"/>
  <c r="E63" i="24"/>
  <c r="F63" i="24" s="1"/>
  <c r="E92" i="24"/>
  <c r="F92" i="24" s="1"/>
  <c r="E97" i="24"/>
  <c r="F97" i="24" s="1"/>
  <c r="E88" i="24"/>
  <c r="F88" i="24" s="1"/>
  <c r="E33" i="24"/>
  <c r="F33" i="24" s="1"/>
  <c r="E40" i="24"/>
  <c r="F40" i="24" s="1"/>
  <c r="E62" i="24"/>
  <c r="F62" i="24" s="1"/>
  <c r="E47" i="24"/>
  <c r="F47" i="24" s="1"/>
  <c r="E94" i="24"/>
  <c r="F94" i="24" s="1"/>
  <c r="E85" i="24"/>
  <c r="F85" i="24" s="1"/>
  <c r="E52" i="24"/>
  <c r="F52" i="24" s="1"/>
  <c r="E50" i="24"/>
  <c r="F50" i="24" s="1"/>
  <c r="E28" i="24"/>
  <c r="F28" i="24" s="1"/>
  <c r="E36" i="24"/>
  <c r="F36" i="24" s="1"/>
  <c r="E34" i="24"/>
  <c r="F34" i="24" s="1"/>
  <c r="E83" i="24"/>
  <c r="F83" i="24" s="1"/>
  <c r="E20" i="24"/>
  <c r="F20" i="24" s="1"/>
  <c r="E89" i="24"/>
  <c r="F89" i="24" s="1"/>
  <c r="E26" i="24"/>
  <c r="F26" i="24" s="1"/>
  <c r="E76" i="24"/>
  <c r="F76" i="24" s="1"/>
  <c r="E68" i="24"/>
  <c r="F68" i="24" s="1"/>
  <c r="E42" i="24"/>
  <c r="F42" i="24" s="1"/>
  <c r="E65" i="24"/>
  <c r="F65" i="24" s="1"/>
  <c r="E39" i="24"/>
  <c r="F39" i="24" s="1"/>
  <c r="E56" i="24"/>
  <c r="F56" i="24" s="1"/>
  <c r="E37" i="24"/>
  <c r="F37" i="24" s="1"/>
  <c r="E99" i="24"/>
  <c r="F99" i="24" s="1"/>
  <c r="E103" i="24"/>
  <c r="F103" i="24" s="1"/>
  <c r="E102" i="24"/>
  <c r="F102" i="24" s="1"/>
  <c r="E86" i="24"/>
  <c r="F86" i="24" s="1"/>
  <c r="I5" i="24"/>
  <c r="E101" i="24"/>
  <c r="F101" i="24" s="1"/>
  <c r="G2" i="24"/>
  <c r="I6" i="23"/>
  <c r="I7" i="23"/>
  <c r="I8" i="23"/>
  <c r="I9" i="23"/>
  <c r="I10" i="23"/>
  <c r="I11" i="23"/>
  <c r="I12" i="23"/>
  <c r="I13" i="23"/>
  <c r="I14" i="23"/>
  <c r="I15" i="23"/>
  <c r="I16" i="23"/>
  <c r="I17" i="23"/>
  <c r="I18" i="23"/>
  <c r="I19" i="23"/>
  <c r="I20" i="23"/>
  <c r="I21" i="23"/>
  <c r="I22" i="23"/>
  <c r="I23" i="23"/>
  <c r="I24" i="23"/>
  <c r="I25" i="23"/>
  <c r="I26" i="23"/>
  <c r="I27" i="23"/>
  <c r="I28" i="23"/>
  <c r="I29" i="23"/>
  <c r="I30" i="23"/>
  <c r="I31" i="23"/>
  <c r="I32" i="23"/>
  <c r="I33" i="23"/>
  <c r="I34" i="23"/>
  <c r="I35" i="23"/>
  <c r="I36" i="23"/>
  <c r="I37" i="23"/>
  <c r="I38" i="23"/>
  <c r="I39" i="23"/>
  <c r="I40" i="23"/>
  <c r="I41" i="23"/>
  <c r="I42" i="23"/>
  <c r="I43" i="23"/>
  <c r="I44" i="23"/>
  <c r="I45" i="23"/>
  <c r="I46" i="23"/>
  <c r="I47" i="23"/>
  <c r="I48" i="23"/>
  <c r="I49" i="23"/>
  <c r="I50" i="23"/>
  <c r="I51" i="23"/>
  <c r="I52" i="23"/>
  <c r="I53" i="23"/>
  <c r="I54" i="23"/>
  <c r="I55" i="23"/>
  <c r="I56" i="23"/>
  <c r="I57" i="23"/>
  <c r="I58" i="23"/>
  <c r="I59" i="23"/>
  <c r="I60" i="23"/>
  <c r="I61" i="23"/>
  <c r="I62" i="23"/>
  <c r="I63" i="23"/>
  <c r="I64" i="23"/>
  <c r="I65" i="23"/>
  <c r="I66" i="23"/>
  <c r="I67" i="23"/>
  <c r="I68" i="23"/>
  <c r="I69" i="23"/>
  <c r="I70" i="23"/>
  <c r="I71" i="23"/>
  <c r="I72" i="23"/>
  <c r="I73" i="23"/>
  <c r="I74" i="23"/>
  <c r="I75" i="23"/>
  <c r="I76" i="23"/>
  <c r="I77" i="23"/>
  <c r="I78" i="23"/>
  <c r="I79" i="23"/>
  <c r="I80" i="23"/>
  <c r="I81" i="23"/>
  <c r="I82" i="23"/>
  <c r="I83" i="23"/>
  <c r="I84" i="23"/>
  <c r="I85" i="23"/>
  <c r="I86" i="23"/>
  <c r="I87" i="23"/>
  <c r="I88" i="23"/>
  <c r="I89" i="23"/>
  <c r="I90" i="23"/>
  <c r="I91" i="23"/>
  <c r="I92" i="23"/>
  <c r="I93" i="23"/>
  <c r="I94" i="23"/>
  <c r="I95" i="23"/>
  <c r="I96" i="23"/>
  <c r="I97" i="23"/>
  <c r="I98" i="23"/>
  <c r="I99" i="23"/>
  <c r="I100" i="23"/>
  <c r="I101" i="23"/>
  <c r="I102" i="23"/>
  <c r="I103" i="23"/>
  <c r="I104" i="23"/>
  <c r="I105" i="23"/>
  <c r="I106" i="23"/>
  <c r="I107" i="23"/>
  <c r="I108" i="23"/>
  <c r="I109" i="23"/>
  <c r="I110" i="23"/>
  <c r="I111" i="23"/>
  <c r="I112" i="23"/>
  <c r="I113" i="23"/>
  <c r="I114" i="23"/>
  <c r="I115" i="23"/>
  <c r="I116" i="23"/>
  <c r="I117" i="23"/>
  <c r="I118" i="23"/>
  <c r="I119" i="23"/>
  <c r="I120" i="23"/>
  <c r="I121" i="23"/>
  <c r="I122" i="23"/>
  <c r="I123" i="23"/>
  <c r="I124" i="23"/>
  <c r="I125" i="23"/>
  <c r="I126" i="23"/>
  <c r="I127" i="23"/>
  <c r="I128" i="23"/>
  <c r="I129" i="23"/>
  <c r="I130" i="23"/>
  <c r="I131" i="23"/>
  <c r="I132" i="23"/>
  <c r="I133" i="23"/>
  <c r="I134" i="23"/>
  <c r="I135" i="23"/>
  <c r="I136" i="23"/>
  <c r="I137" i="23"/>
  <c r="I138" i="23"/>
  <c r="I139" i="23"/>
  <c r="I140" i="23"/>
  <c r="I141" i="23"/>
  <c r="I142" i="23"/>
  <c r="I143" i="23"/>
  <c r="I144" i="23"/>
  <c r="I145" i="23"/>
  <c r="I146" i="23"/>
  <c r="I147" i="23"/>
  <c r="I148" i="23"/>
  <c r="I149" i="23"/>
  <c r="I150" i="23"/>
  <c r="I151" i="23"/>
  <c r="I152" i="23"/>
  <c r="I153" i="23"/>
  <c r="I154" i="23"/>
  <c r="I155" i="23"/>
  <c r="I156" i="23"/>
  <c r="I157" i="23"/>
  <c r="I158" i="23"/>
  <c r="I159" i="23"/>
  <c r="I160" i="23"/>
  <c r="I161" i="23"/>
  <c r="I162" i="23"/>
  <c r="I163" i="23"/>
  <c r="I164" i="23"/>
  <c r="I165" i="23"/>
  <c r="I166" i="23"/>
  <c r="I167" i="23"/>
  <c r="I168" i="23"/>
  <c r="I169" i="23"/>
  <c r="I170" i="23"/>
  <c r="I171" i="23"/>
  <c r="I172" i="23"/>
  <c r="I173" i="23"/>
  <c r="I174" i="23"/>
  <c r="I175" i="23"/>
  <c r="I176" i="23"/>
  <c r="I177" i="23"/>
  <c r="I178" i="23"/>
  <c r="I179" i="23"/>
  <c r="I180" i="23"/>
  <c r="I181" i="23"/>
  <c r="I182" i="23"/>
  <c r="I183" i="23"/>
  <c r="I184" i="23"/>
  <c r="I185" i="23"/>
  <c r="I186" i="23"/>
  <c r="I187" i="23"/>
  <c r="I188" i="23"/>
  <c r="I189" i="23"/>
  <c r="I190" i="23"/>
  <c r="I191" i="23"/>
  <c r="I192" i="23"/>
  <c r="I193" i="23"/>
  <c r="I194" i="23"/>
  <c r="I195" i="23"/>
  <c r="I196" i="23"/>
  <c r="I197" i="23"/>
  <c r="I198" i="23"/>
  <c r="I199" i="23"/>
  <c r="I200" i="23"/>
  <c r="I201" i="23"/>
  <c r="I202" i="23"/>
  <c r="I203" i="23"/>
  <c r="I204" i="23"/>
  <c r="I205" i="23"/>
  <c r="I206" i="23"/>
  <c r="I207" i="23"/>
  <c r="I208" i="23"/>
  <c r="I209" i="23"/>
  <c r="I210" i="23"/>
  <c r="I211" i="23"/>
  <c r="I212" i="23"/>
  <c r="I213" i="23"/>
  <c r="I214" i="23"/>
  <c r="I215" i="23"/>
  <c r="I216" i="23"/>
  <c r="I217" i="23"/>
  <c r="I218" i="23"/>
  <c r="I219" i="23"/>
  <c r="I220" i="23"/>
  <c r="I221" i="23"/>
  <c r="I222" i="23"/>
  <c r="I223" i="23"/>
  <c r="I224" i="23"/>
  <c r="I225" i="23"/>
  <c r="I226" i="23"/>
  <c r="I227" i="23"/>
  <c r="I228" i="23"/>
  <c r="I229" i="23"/>
  <c r="I230" i="23"/>
  <c r="I231" i="23"/>
  <c r="I232" i="23"/>
  <c r="I233" i="23"/>
  <c r="E224" i="23"/>
  <c r="F224" i="23" s="1"/>
  <c r="E225" i="23"/>
  <c r="F225" i="23" s="1"/>
  <c r="E222" i="23"/>
  <c r="F222" i="23" s="1"/>
  <c r="E217" i="23"/>
  <c r="F217" i="23" s="1"/>
  <c r="E216" i="23"/>
  <c r="F216" i="23" s="1"/>
  <c r="E201" i="23"/>
  <c r="F201" i="23" s="1"/>
  <c r="E186" i="23"/>
  <c r="F186" i="23" s="1"/>
  <c r="E177" i="23"/>
  <c r="F177" i="23" s="1"/>
  <c r="E206" i="23"/>
  <c r="F206" i="23" s="1"/>
  <c r="E214" i="23"/>
  <c r="F214" i="23" s="1"/>
  <c r="E178" i="23"/>
  <c r="F178" i="23" s="1"/>
  <c r="E195" i="23"/>
  <c r="F195" i="23" s="1"/>
  <c r="E211" i="23"/>
  <c r="F211" i="23" s="1"/>
  <c r="E190" i="23"/>
  <c r="F190" i="23" s="1"/>
  <c r="E159" i="23"/>
  <c r="F159" i="23" s="1"/>
  <c r="E157" i="23"/>
  <c r="F157" i="23" s="1"/>
  <c r="E116" i="23"/>
  <c r="F116" i="23" s="1"/>
  <c r="E131" i="23"/>
  <c r="F131" i="23" s="1"/>
  <c r="E139" i="23"/>
  <c r="F139" i="23" s="1"/>
  <c r="E114" i="23"/>
  <c r="F114" i="23" s="1"/>
  <c r="E125" i="23"/>
  <c r="F125" i="23" s="1"/>
  <c r="E147" i="23"/>
  <c r="F147" i="23" s="1"/>
  <c r="E95" i="23"/>
  <c r="F95" i="23" s="1"/>
  <c r="E98" i="23"/>
  <c r="F98" i="23" s="1"/>
  <c r="E124" i="23"/>
  <c r="F124" i="23" s="1"/>
  <c r="E99" i="23"/>
  <c r="F99" i="23" s="1"/>
  <c r="E105" i="23"/>
  <c r="F105" i="23" s="1"/>
  <c r="E108" i="23"/>
  <c r="F108" i="23" s="1"/>
  <c r="E113" i="23"/>
  <c r="F113" i="23" s="1"/>
  <c r="E93" i="23"/>
  <c r="F93" i="23" s="1"/>
  <c r="E115" i="23"/>
  <c r="F115" i="23" s="1"/>
  <c r="E148" i="23"/>
  <c r="F148" i="23" s="1"/>
  <c r="E140" i="23"/>
  <c r="F140" i="23" s="1"/>
  <c r="E138" i="23"/>
  <c r="F138" i="23" s="1"/>
  <c r="E150" i="23"/>
  <c r="F150" i="23" s="1"/>
  <c r="E134" i="23"/>
  <c r="F134" i="23" s="1"/>
  <c r="E171" i="23"/>
  <c r="F171" i="23" s="1"/>
  <c r="E132" i="23"/>
  <c r="F132" i="23" s="1"/>
  <c r="E136" i="23"/>
  <c r="F136" i="23" s="1"/>
  <c r="E155" i="23"/>
  <c r="F155" i="23" s="1"/>
  <c r="E163" i="23"/>
  <c r="F163" i="23" s="1"/>
  <c r="E164" i="23"/>
  <c r="F164" i="23" s="1"/>
  <c r="E126" i="23"/>
  <c r="F126" i="23" s="1"/>
  <c r="E129" i="23"/>
  <c r="F129" i="23" s="1"/>
  <c r="E121" i="23"/>
  <c r="F121" i="23" s="1"/>
  <c r="E127" i="23"/>
  <c r="F127" i="23" s="1"/>
  <c r="E151" i="23"/>
  <c r="F151" i="23" s="1"/>
  <c r="E122" i="23"/>
  <c r="F122" i="23" s="1"/>
  <c r="E123" i="23"/>
  <c r="F123" i="23" s="1"/>
  <c r="E120" i="23"/>
  <c r="F120" i="23" s="1"/>
  <c r="E119" i="23"/>
  <c r="F119" i="23" s="1"/>
  <c r="E184" i="23"/>
  <c r="F184" i="23" s="1"/>
  <c r="E166" i="23"/>
  <c r="F166" i="23" s="1"/>
  <c r="E183" i="23"/>
  <c r="F183" i="23"/>
  <c r="E207" i="23"/>
  <c r="F207" i="23" s="1"/>
  <c r="E208" i="23"/>
  <c r="F208" i="23" s="1"/>
  <c r="E218" i="23"/>
  <c r="F218" i="23" s="1"/>
  <c r="E220" i="23"/>
  <c r="F220" i="23" s="1"/>
  <c r="E219" i="23"/>
  <c r="F219" i="23" s="1"/>
  <c r="E221" i="23"/>
  <c r="F221" i="23" s="1"/>
  <c r="E185" i="23"/>
  <c r="F185" i="23" s="1"/>
  <c r="E156" i="23"/>
  <c r="F156" i="23" s="1"/>
  <c r="E169" i="23"/>
  <c r="F169" i="23" s="1"/>
  <c r="H169" i="23" s="1"/>
  <c r="E143" i="23"/>
  <c r="F143" i="23" s="1"/>
  <c r="E161" i="23"/>
  <c r="F161" i="23" s="1"/>
  <c r="E146" i="23"/>
  <c r="F146" i="23" s="1"/>
  <c r="E117" i="23"/>
  <c r="F117" i="23" s="1"/>
  <c r="E46" i="23"/>
  <c r="F46" i="23" s="1"/>
  <c r="E104" i="23"/>
  <c r="F104" i="23" s="1"/>
  <c r="E75" i="23"/>
  <c r="F75" i="23" s="1"/>
  <c r="E65" i="23"/>
  <c r="F65" i="23" s="1"/>
  <c r="E58" i="23"/>
  <c r="F58" i="23" s="1"/>
  <c r="H58" i="23" s="1"/>
  <c r="E81" i="23"/>
  <c r="F81" i="23" s="1"/>
  <c r="E71" i="23"/>
  <c r="F71" i="23" s="1"/>
  <c r="E57" i="23"/>
  <c r="F57" i="23" s="1"/>
  <c r="H57" i="23" s="1"/>
  <c r="E111" i="23"/>
  <c r="F111" i="23" s="1"/>
  <c r="E63" i="23"/>
  <c r="F63" i="23" s="1"/>
  <c r="E83" i="23"/>
  <c r="F83" i="23" s="1"/>
  <c r="E54" i="23"/>
  <c r="F54" i="23" s="1"/>
  <c r="E79" i="23"/>
  <c r="F79" i="23" s="1"/>
  <c r="E69" i="23"/>
  <c r="F69" i="23" s="1"/>
  <c r="E80" i="23"/>
  <c r="F80" i="23" s="1"/>
  <c r="E34" i="23"/>
  <c r="F34" i="23" s="1"/>
  <c r="E84" i="23"/>
  <c r="F84" i="23" s="1"/>
  <c r="E32" i="23"/>
  <c r="F32" i="23" s="1"/>
  <c r="E31" i="23"/>
  <c r="F31" i="23" s="1"/>
  <c r="E72" i="23"/>
  <c r="F72" i="23"/>
  <c r="E52" i="23"/>
  <c r="F52" i="23" s="1"/>
  <c r="E87" i="23"/>
  <c r="F87" i="23" s="1"/>
  <c r="E35" i="23"/>
  <c r="F35" i="23" s="1"/>
  <c r="E39" i="23"/>
  <c r="F39" i="23" s="1"/>
  <c r="E94" i="23"/>
  <c r="F94" i="23" s="1"/>
  <c r="E51" i="23"/>
  <c r="F51" i="23"/>
  <c r="E43" i="23"/>
  <c r="F43" i="23" s="1"/>
  <c r="E86" i="23"/>
  <c r="F86" i="23" s="1"/>
  <c r="E91" i="23"/>
  <c r="F91" i="23" s="1"/>
  <c r="E130" i="23"/>
  <c r="F130" i="23" s="1"/>
  <c r="E48" i="23"/>
  <c r="F48" i="23" s="1"/>
  <c r="E55" i="23"/>
  <c r="F55" i="23"/>
  <c r="G55" i="23" s="1"/>
  <c r="E64" i="23"/>
  <c r="F64" i="23" s="1"/>
  <c r="E77" i="23"/>
  <c r="F77" i="23" s="1"/>
  <c r="E85" i="23"/>
  <c r="F85" i="23" s="1"/>
  <c r="E44" i="23"/>
  <c r="F44" i="23" s="1"/>
  <c r="E88" i="23"/>
  <c r="F88" i="23" s="1"/>
  <c r="E10" i="23"/>
  <c r="F10" i="23" s="1"/>
  <c r="E11" i="23"/>
  <c r="F11" i="23" s="1"/>
  <c r="E8" i="23"/>
  <c r="F8" i="23" s="1"/>
  <c r="E15" i="23"/>
  <c r="F15" i="23" s="1"/>
  <c r="H15" i="23" s="1"/>
  <c r="E50" i="23"/>
  <c r="F50" i="23" s="1"/>
  <c r="E60" i="23"/>
  <c r="F60" i="23" s="1"/>
  <c r="E24" i="23"/>
  <c r="F24" i="23" s="1"/>
  <c r="H24" i="23" s="1"/>
  <c r="E61" i="23"/>
  <c r="F61" i="23" s="1"/>
  <c r="E27" i="23"/>
  <c r="F27" i="23" s="1"/>
  <c r="E21" i="23"/>
  <c r="F21" i="23" s="1"/>
  <c r="G21" i="23" s="1"/>
  <c r="E28" i="23"/>
  <c r="F28" i="23" s="1"/>
  <c r="E13" i="23"/>
  <c r="F13" i="23" s="1"/>
  <c r="E56" i="23"/>
  <c r="F56" i="23" s="1"/>
  <c r="E14" i="23"/>
  <c r="F14" i="23" s="1"/>
  <c r="E19" i="23"/>
  <c r="F19" i="23" s="1"/>
  <c r="E6" i="23"/>
  <c r="F6" i="23" s="1"/>
  <c r="E5" i="23"/>
  <c r="F5" i="23" s="1"/>
  <c r="E47" i="23"/>
  <c r="F47" i="23" s="1"/>
  <c r="E12" i="23"/>
  <c r="F12" i="23" s="1"/>
  <c r="G12" i="23" s="1"/>
  <c r="E36" i="23"/>
  <c r="F36" i="23" s="1"/>
  <c r="E23" i="23"/>
  <c r="F23" i="23" s="1"/>
  <c r="E7" i="23"/>
  <c r="F7" i="23" s="1"/>
  <c r="E38" i="23"/>
  <c r="F38" i="23" s="1"/>
  <c r="E30" i="23"/>
  <c r="F30" i="23" s="1"/>
  <c r="E16" i="23"/>
  <c r="F16" i="23" s="1"/>
  <c r="G16" i="23" s="1"/>
  <c r="E33" i="23"/>
  <c r="F33" i="23" s="1"/>
  <c r="E45" i="23"/>
  <c r="F45" i="23" s="1"/>
  <c r="E53" i="23"/>
  <c r="F53" i="23" s="1"/>
  <c r="E59" i="23"/>
  <c r="F59" i="23" s="1"/>
  <c r="E17" i="23"/>
  <c r="F17" i="23" s="1"/>
  <c r="E67" i="23"/>
  <c r="F67" i="23" s="1"/>
  <c r="E20" i="23"/>
  <c r="F20" i="23" s="1"/>
  <c r="E26" i="23"/>
  <c r="F26" i="23" s="1"/>
  <c r="E18" i="23"/>
  <c r="F18" i="23" s="1"/>
  <c r="E68" i="23"/>
  <c r="F68" i="23" s="1"/>
  <c r="E70" i="23"/>
  <c r="F70" i="23" s="1"/>
  <c r="E22" i="23"/>
  <c r="F22" i="23" s="1"/>
  <c r="E73" i="23"/>
  <c r="F73" i="23" s="1"/>
  <c r="E62" i="23"/>
  <c r="F62" i="23" s="1"/>
  <c r="E9" i="23"/>
  <c r="F9" i="23" s="1"/>
  <c r="H9" i="23" s="1"/>
  <c r="E49" i="23"/>
  <c r="F49" i="23" s="1"/>
  <c r="E29" i="23"/>
  <c r="F29" i="23" s="1"/>
  <c r="E40" i="23"/>
  <c r="F40" i="23" s="1"/>
  <c r="H40" i="23" s="1"/>
  <c r="E25" i="23"/>
  <c r="F25" i="23" s="1"/>
  <c r="E66" i="23"/>
  <c r="F66" i="23" s="1"/>
  <c r="E42" i="23"/>
  <c r="F42" i="23" s="1"/>
  <c r="E107" i="23"/>
  <c r="F107" i="23" s="1"/>
  <c r="E100" i="23"/>
  <c r="F100" i="23" s="1"/>
  <c r="E97" i="23"/>
  <c r="F97" i="23" s="1"/>
  <c r="G97" i="23" s="1"/>
  <c r="E128" i="23"/>
  <c r="F128" i="23" s="1"/>
  <c r="E118" i="23"/>
  <c r="F118" i="23" s="1"/>
  <c r="E137" i="23"/>
  <c r="F137" i="23" s="1"/>
  <c r="E145" i="23"/>
  <c r="F145" i="23" s="1"/>
  <c r="E74" i="23"/>
  <c r="F74" i="23" s="1"/>
  <c r="E112" i="23"/>
  <c r="F112" i="23"/>
  <c r="G112" i="23" s="1"/>
  <c r="E223" i="23"/>
  <c r="F223" i="23" s="1"/>
  <c r="E202" i="23"/>
  <c r="F202" i="23" s="1"/>
  <c r="E198" i="23"/>
  <c r="F198" i="23" s="1"/>
  <c r="E191" i="23"/>
  <c r="F191" i="23" s="1"/>
  <c r="E142" i="23"/>
  <c r="F142" i="23" s="1"/>
  <c r="E135" i="23"/>
  <c r="F135" i="23" s="1"/>
  <c r="G135" i="23" s="1"/>
  <c r="E133" i="23"/>
  <c r="F133" i="23" s="1"/>
  <c r="E192" i="23"/>
  <c r="F192" i="23" s="1"/>
  <c r="E170" i="23"/>
  <c r="F170" i="23" s="1"/>
  <c r="E196" i="23"/>
  <c r="F196" i="23" s="1"/>
  <c r="E141" i="23"/>
  <c r="F141" i="23" s="1"/>
  <c r="E110" i="23"/>
  <c r="F110" i="23" s="1"/>
  <c r="E78" i="23"/>
  <c r="F78" i="23" s="1"/>
  <c r="E149" i="23"/>
  <c r="F149" i="23" s="1"/>
  <c r="E153" i="23"/>
  <c r="F153" i="23" s="1"/>
  <c r="H153" i="23" s="1"/>
  <c r="E152" i="23"/>
  <c r="F152" i="23" s="1"/>
  <c r="E76" i="23"/>
  <c r="F76" i="23" s="1"/>
  <c r="E89" i="23"/>
  <c r="F89" i="23" s="1"/>
  <c r="E101" i="23"/>
  <c r="F101" i="23" s="1"/>
  <c r="E106" i="23"/>
  <c r="F106" i="23" s="1"/>
  <c r="E96" i="23"/>
  <c r="F96" i="23" s="1"/>
  <c r="H96" i="23" s="1"/>
  <c r="E103" i="23"/>
  <c r="F103" i="23" s="1"/>
  <c r="E82" i="23"/>
  <c r="F82" i="23" s="1"/>
  <c r="E109" i="23"/>
  <c r="F109" i="23" s="1"/>
  <c r="E102" i="23"/>
  <c r="F102" i="23" s="1"/>
  <c r="E37" i="23"/>
  <c r="F37" i="23" s="1"/>
  <c r="E41" i="23"/>
  <c r="F41" i="23" s="1"/>
  <c r="E92" i="23"/>
  <c r="F92" i="23" s="1"/>
  <c r="E90" i="23"/>
  <c r="F90" i="23" s="1"/>
  <c r="E213" i="23"/>
  <c r="F213" i="23" s="1"/>
  <c r="H213" i="23" s="1"/>
  <c r="E197" i="23"/>
  <c r="F197" i="23" s="1"/>
  <c r="E193" i="23"/>
  <c r="F193" i="23" s="1"/>
  <c r="E210" i="23"/>
  <c r="F210" i="23" s="1"/>
  <c r="E203" i="23"/>
  <c r="F203" i="23" s="1"/>
  <c r="E162" i="23"/>
  <c r="F162" i="23" s="1"/>
  <c r="E174" i="23"/>
  <c r="F174" i="23" s="1"/>
  <c r="H174" i="23" s="1"/>
  <c r="E187" i="23"/>
  <c r="F187" i="23" s="1"/>
  <c r="E168" i="23"/>
  <c r="F168" i="23" s="1"/>
  <c r="E175" i="23"/>
  <c r="F175" i="23" s="1"/>
  <c r="E154" i="23"/>
  <c r="F154" i="23" s="1"/>
  <c r="E180" i="23"/>
  <c r="F180" i="23" s="1"/>
  <c r="E158" i="23"/>
  <c r="F158" i="23" s="1"/>
  <c r="E176" i="23"/>
  <c r="F176" i="23" s="1"/>
  <c r="E182" i="23"/>
  <c r="F182" i="23" s="1"/>
  <c r="E144" i="23"/>
  <c r="F144" i="23" s="1"/>
  <c r="E172" i="23"/>
  <c r="F172" i="23" s="1"/>
  <c r="E160" i="23"/>
  <c r="F160" i="23" s="1"/>
  <c r="E165" i="23"/>
  <c r="F165" i="23" s="1"/>
  <c r="E181" i="23"/>
  <c r="F181" i="23" s="1"/>
  <c r="E167" i="23"/>
  <c r="F167" i="23" s="1"/>
  <c r="E188" i="23"/>
  <c r="F188" i="23" s="1"/>
  <c r="E173" i="23"/>
  <c r="F173" i="23" s="1"/>
  <c r="E179" i="23"/>
  <c r="F179" i="23" s="1"/>
  <c r="E189" i="23"/>
  <c r="F189" i="23" s="1"/>
  <c r="E205" i="23"/>
  <c r="F205" i="23" s="1"/>
  <c r="E199" i="23"/>
  <c r="F199" i="23" s="1"/>
  <c r="E215" i="23"/>
  <c r="F215" i="23" s="1"/>
  <c r="E212" i="23"/>
  <c r="F212" i="23" s="1"/>
  <c r="E209" i="23"/>
  <c r="F209" i="23" s="1"/>
  <c r="E204" i="23"/>
  <c r="F204" i="23" s="1"/>
  <c r="E228" i="23"/>
  <c r="F228" i="23" s="1"/>
  <c r="E227" i="23"/>
  <c r="F227" i="23" s="1"/>
  <c r="E226" i="23"/>
  <c r="F226" i="23" s="1"/>
  <c r="E232" i="23"/>
  <c r="F232" i="23" s="1"/>
  <c r="E230" i="23"/>
  <c r="F230" i="23" s="1"/>
  <c r="E229" i="23"/>
  <c r="F229" i="23" s="1"/>
  <c r="E231" i="23"/>
  <c r="F231" i="23" s="1"/>
  <c r="E233" i="23"/>
  <c r="F233" i="23" s="1"/>
  <c r="E200" i="23"/>
  <c r="F200" i="23" s="1"/>
  <c r="I5" i="23"/>
  <c r="E194" i="23"/>
  <c r="F194" i="23" s="1"/>
  <c r="G2" i="23"/>
  <c r="G2" i="22"/>
  <c r="G2" i="21"/>
  <c r="H76" i="22"/>
  <c r="G76" i="22"/>
  <c r="H74" i="22"/>
  <c r="G74" i="22"/>
  <c r="H71" i="22"/>
  <c r="G71" i="22"/>
  <c r="H68" i="22"/>
  <c r="G68" i="22"/>
  <c r="H65" i="22"/>
  <c r="G65" i="22"/>
  <c r="H62" i="22"/>
  <c r="G62" i="22"/>
  <c r="H59" i="22"/>
  <c r="G59" i="22"/>
  <c r="H56" i="22"/>
  <c r="G56" i="22"/>
  <c r="H53" i="22"/>
  <c r="G53" i="22"/>
  <c r="H50" i="22"/>
  <c r="G50" i="22"/>
  <c r="H47" i="22"/>
  <c r="G47" i="22"/>
  <c r="H44" i="22"/>
  <c r="G44" i="22"/>
  <c r="H41" i="22"/>
  <c r="G41" i="22"/>
  <c r="H38" i="22"/>
  <c r="G38" i="22"/>
  <c r="H35" i="22"/>
  <c r="G35" i="22"/>
  <c r="H32" i="22"/>
  <c r="G32" i="22"/>
  <c r="H29" i="22"/>
  <c r="G29" i="22"/>
  <c r="H26" i="22"/>
  <c r="G26" i="22"/>
  <c r="H23" i="22"/>
  <c r="G23" i="22"/>
  <c r="H20" i="22"/>
  <c r="G20" i="22"/>
  <c r="H17" i="22"/>
  <c r="G17" i="22"/>
  <c r="H14" i="22"/>
  <c r="G14" i="22"/>
  <c r="H11" i="22"/>
  <c r="G11" i="22"/>
  <c r="H8" i="22"/>
  <c r="G8" i="22"/>
  <c r="H5" i="22"/>
  <c r="G5" i="22"/>
  <c r="F76" i="22"/>
  <c r="I6" i="22"/>
  <c r="I7" i="22"/>
  <c r="I8" i="22"/>
  <c r="I9" i="22"/>
  <c r="I10" i="22"/>
  <c r="I11" i="22"/>
  <c r="I12" i="22"/>
  <c r="I13" i="22"/>
  <c r="I14" i="22"/>
  <c r="I15" i="22"/>
  <c r="I16" i="22"/>
  <c r="I17" i="22"/>
  <c r="I18" i="22"/>
  <c r="I19" i="22"/>
  <c r="I20" i="22"/>
  <c r="I21" i="22"/>
  <c r="I22" i="22"/>
  <c r="I23" i="22"/>
  <c r="I24" i="22"/>
  <c r="I25" i="22"/>
  <c r="I26" i="22"/>
  <c r="I27" i="22"/>
  <c r="I28" i="22"/>
  <c r="I29" i="22"/>
  <c r="I30" i="22"/>
  <c r="I31" i="22"/>
  <c r="I32" i="22"/>
  <c r="I33" i="22"/>
  <c r="I34" i="22"/>
  <c r="I35" i="22"/>
  <c r="I36" i="22"/>
  <c r="I37" i="22"/>
  <c r="I38" i="22"/>
  <c r="I39" i="22"/>
  <c r="I40" i="22"/>
  <c r="I41" i="22"/>
  <c r="I42" i="22"/>
  <c r="I43" i="22"/>
  <c r="I44" i="22"/>
  <c r="I45" i="22"/>
  <c r="I46" i="22"/>
  <c r="I47" i="22"/>
  <c r="I48" i="22"/>
  <c r="I49" i="22"/>
  <c r="I50" i="22"/>
  <c r="I51" i="22"/>
  <c r="I52" i="22"/>
  <c r="I53" i="22"/>
  <c r="I54" i="22"/>
  <c r="I55" i="22"/>
  <c r="I56" i="22"/>
  <c r="I57" i="22"/>
  <c r="I58" i="22"/>
  <c r="I59" i="22"/>
  <c r="I60" i="22"/>
  <c r="I61" i="22"/>
  <c r="I62" i="22"/>
  <c r="I63" i="22"/>
  <c r="I64" i="22"/>
  <c r="I65" i="22"/>
  <c r="I66" i="22"/>
  <c r="I67" i="22"/>
  <c r="I68" i="22"/>
  <c r="I69" i="22"/>
  <c r="I70" i="22"/>
  <c r="I71" i="22"/>
  <c r="I72" i="22"/>
  <c r="I73" i="22"/>
  <c r="I74" i="22"/>
  <c r="E33" i="22"/>
  <c r="F33" i="22" s="1"/>
  <c r="E38" i="22"/>
  <c r="F38" i="22"/>
  <c r="E26" i="22"/>
  <c r="F26" i="22" s="1"/>
  <c r="E37" i="22"/>
  <c r="F37" i="22" s="1"/>
  <c r="E25" i="22"/>
  <c r="F25" i="22" s="1"/>
  <c r="G25" i="22" s="1"/>
  <c r="E50" i="22"/>
  <c r="F50" i="22" s="1"/>
  <c r="E41" i="22"/>
  <c r="F41" i="22" s="1"/>
  <c r="E51" i="22"/>
  <c r="F51" i="22" s="1"/>
  <c r="G51" i="22" s="1"/>
  <c r="E27" i="22"/>
  <c r="F27" i="22" s="1"/>
  <c r="E34" i="22"/>
  <c r="F34" i="22" s="1"/>
  <c r="E54" i="22"/>
  <c r="F54" i="22"/>
  <c r="G54" i="22" s="1"/>
  <c r="E39" i="22"/>
  <c r="F39" i="22" s="1"/>
  <c r="E29" i="22"/>
  <c r="F29" i="22" s="1"/>
  <c r="E31" i="22"/>
  <c r="F31" i="22" s="1"/>
  <c r="G31" i="22" s="1"/>
  <c r="E56" i="22"/>
  <c r="F56" i="22" s="1"/>
  <c r="E45" i="22"/>
  <c r="F45" i="22" s="1"/>
  <c r="E60" i="22"/>
  <c r="F60" i="22" s="1"/>
  <c r="G60" i="22" s="1"/>
  <c r="E62" i="22"/>
  <c r="F62" i="22" s="1"/>
  <c r="E65" i="22"/>
  <c r="F65" i="22" s="1"/>
  <c r="E28" i="22"/>
  <c r="F28" i="22"/>
  <c r="G28" i="22" s="1"/>
  <c r="E11" i="22"/>
  <c r="F11" i="22" s="1"/>
  <c r="E19" i="22"/>
  <c r="F19" i="22" s="1"/>
  <c r="E22" i="22"/>
  <c r="F22" i="22" s="1"/>
  <c r="G22" i="22" s="1"/>
  <c r="E13" i="22"/>
  <c r="F13" i="22" s="1"/>
  <c r="E14" i="22"/>
  <c r="F14" i="22" s="1"/>
  <c r="E23" i="22"/>
  <c r="F23" i="22" s="1"/>
  <c r="E30" i="22"/>
  <c r="F30" i="22" s="1"/>
  <c r="E21" i="22"/>
  <c r="F21" i="22" s="1"/>
  <c r="E5" i="22"/>
  <c r="F5" i="22"/>
  <c r="E42" i="22"/>
  <c r="F42" i="22" s="1"/>
  <c r="E43" i="22"/>
  <c r="F43" i="22" s="1"/>
  <c r="E7" i="22"/>
  <c r="F7" i="22" s="1"/>
  <c r="G7" i="22" s="1"/>
  <c r="E9" i="22"/>
  <c r="F9" i="22" s="1"/>
  <c r="E53" i="22"/>
  <c r="F53" i="22" s="1"/>
  <c r="E10" i="22"/>
  <c r="F10" i="22" s="1"/>
  <c r="G10" i="22" s="1"/>
  <c r="E15" i="22"/>
  <c r="F15" i="22" s="1"/>
  <c r="E20" i="22"/>
  <c r="F20" i="22" s="1"/>
  <c r="E6" i="22"/>
  <c r="F6" i="22" s="1"/>
  <c r="G6" i="22" s="1"/>
  <c r="E17" i="22"/>
  <c r="F17" i="22" s="1"/>
  <c r="E12" i="22"/>
  <c r="F12" i="22" s="1"/>
  <c r="E16" i="22"/>
  <c r="F16" i="22" s="1"/>
  <c r="G16" i="22" s="1"/>
  <c r="E18" i="22"/>
  <c r="F18" i="22" s="1"/>
  <c r="E24" i="22"/>
  <c r="F24" i="22" s="1"/>
  <c r="E8" i="22"/>
  <c r="F8" i="22" s="1"/>
  <c r="E44" i="22"/>
  <c r="F44" i="22" s="1"/>
  <c r="E48" i="22"/>
  <c r="F48" i="22" s="1"/>
  <c r="E46" i="22"/>
  <c r="F46" i="22" s="1"/>
  <c r="G46" i="22" s="1"/>
  <c r="E35" i="22"/>
  <c r="F35" i="22" s="1"/>
  <c r="E36" i="22"/>
  <c r="F36" i="22" s="1"/>
  <c r="E47" i="22"/>
  <c r="F47" i="22" s="1"/>
  <c r="E57" i="22"/>
  <c r="F57" i="22" s="1"/>
  <c r="E52" i="22"/>
  <c r="F52" i="22" s="1"/>
  <c r="E55" i="22"/>
  <c r="F55" i="22" s="1"/>
  <c r="G55" i="22" s="1"/>
  <c r="E49" i="22"/>
  <c r="F49" i="22" s="1"/>
  <c r="E59" i="22"/>
  <c r="F59" i="22" s="1"/>
  <c r="E58" i="22"/>
  <c r="F58" i="22"/>
  <c r="G58" i="22" s="1"/>
  <c r="E70" i="22"/>
  <c r="F70" i="22" s="1"/>
  <c r="E71" i="22"/>
  <c r="F71" i="22" s="1"/>
  <c r="E63" i="22"/>
  <c r="F63" i="22" s="1"/>
  <c r="G63" i="22" s="1"/>
  <c r="E73" i="22"/>
  <c r="F73" i="22" s="1"/>
  <c r="E68" i="22"/>
  <c r="F68" i="22" s="1"/>
  <c r="E66" i="22"/>
  <c r="F66" i="22" s="1"/>
  <c r="G66" i="22" s="1"/>
  <c r="E69" i="22"/>
  <c r="F69" i="22" s="1"/>
  <c r="E72" i="22"/>
  <c r="F72" i="22" s="1"/>
  <c r="E67" i="22"/>
  <c r="F67" i="22"/>
  <c r="G67" i="22" s="1"/>
  <c r="E64" i="22"/>
  <c r="F64" i="22" s="1"/>
  <c r="E74" i="22"/>
  <c r="F74" i="22" s="1"/>
  <c r="E61" i="22"/>
  <c r="F61" i="22" s="1"/>
  <c r="G61" i="22" s="1"/>
  <c r="E40" i="22"/>
  <c r="F40" i="22" s="1"/>
  <c r="I5" i="22"/>
  <c r="E32" i="22"/>
  <c r="F32" i="22" s="1"/>
  <c r="H80" i="21"/>
  <c r="G80" i="21"/>
  <c r="H77" i="21"/>
  <c r="G77" i="21"/>
  <c r="H74" i="21"/>
  <c r="G74" i="21"/>
  <c r="H71" i="21"/>
  <c r="G71" i="21"/>
  <c r="H68" i="21"/>
  <c r="G68" i="21"/>
  <c r="H65" i="21"/>
  <c r="G65" i="21"/>
  <c r="H62" i="21"/>
  <c r="G62" i="21"/>
  <c r="H59" i="21"/>
  <c r="G59" i="21"/>
  <c r="H56" i="21"/>
  <c r="G56" i="21"/>
  <c r="H53" i="21"/>
  <c r="G53" i="21"/>
  <c r="H50" i="21"/>
  <c r="G50" i="21"/>
  <c r="H47" i="21"/>
  <c r="G47" i="21"/>
  <c r="H44" i="21"/>
  <c r="G44" i="21"/>
  <c r="H41" i="21"/>
  <c r="G41" i="21"/>
  <c r="H38" i="21"/>
  <c r="G38" i="21"/>
  <c r="H35" i="21"/>
  <c r="G35" i="21"/>
  <c r="H32" i="21"/>
  <c r="G32" i="21"/>
  <c r="H29" i="21"/>
  <c r="G29" i="21"/>
  <c r="H26" i="21"/>
  <c r="G26" i="21"/>
  <c r="H23" i="21"/>
  <c r="G23" i="21"/>
  <c r="H20" i="21"/>
  <c r="G20" i="21"/>
  <c r="H17" i="21"/>
  <c r="G17" i="21"/>
  <c r="H14" i="21"/>
  <c r="G14" i="21"/>
  <c r="H11" i="21"/>
  <c r="G11" i="21"/>
  <c r="H8" i="21"/>
  <c r="G8" i="21"/>
  <c r="H5" i="21"/>
  <c r="G5" i="21"/>
  <c r="F80" i="21"/>
  <c r="I6" i="21"/>
  <c r="I7" i="21"/>
  <c r="I8" i="21"/>
  <c r="I9" i="21"/>
  <c r="I10" i="21"/>
  <c r="I11" i="21"/>
  <c r="I12" i="21"/>
  <c r="I13" i="21"/>
  <c r="I14" i="21"/>
  <c r="I15" i="21"/>
  <c r="I16" i="21"/>
  <c r="I17" i="21"/>
  <c r="I18" i="21"/>
  <c r="I19" i="21"/>
  <c r="I20" i="21"/>
  <c r="I21" i="21"/>
  <c r="I22" i="21"/>
  <c r="I23" i="21"/>
  <c r="I24" i="21"/>
  <c r="I25" i="21"/>
  <c r="I26" i="21"/>
  <c r="I27" i="21"/>
  <c r="I28" i="21"/>
  <c r="I29" i="21"/>
  <c r="I30" i="21"/>
  <c r="I31" i="21"/>
  <c r="I32" i="21"/>
  <c r="I33" i="21"/>
  <c r="I34" i="21"/>
  <c r="I35" i="21"/>
  <c r="I36" i="21"/>
  <c r="I37" i="21"/>
  <c r="I38" i="21"/>
  <c r="I39" i="21"/>
  <c r="I40" i="21"/>
  <c r="I41" i="21"/>
  <c r="I42" i="21"/>
  <c r="I43" i="21"/>
  <c r="I44" i="21"/>
  <c r="I45" i="21"/>
  <c r="I46" i="21"/>
  <c r="I47" i="21"/>
  <c r="I48" i="21"/>
  <c r="I49" i="21"/>
  <c r="I50" i="21"/>
  <c r="I51" i="21"/>
  <c r="I52" i="21"/>
  <c r="I53" i="21"/>
  <c r="I54" i="21"/>
  <c r="I55" i="21"/>
  <c r="I56" i="21"/>
  <c r="I57" i="21"/>
  <c r="I58" i="21"/>
  <c r="I59" i="21"/>
  <c r="I60" i="21"/>
  <c r="I61" i="21"/>
  <c r="I62" i="21"/>
  <c r="I63" i="21"/>
  <c r="I64" i="21"/>
  <c r="I65" i="21"/>
  <c r="I66" i="21"/>
  <c r="I67" i="21"/>
  <c r="I68" i="21"/>
  <c r="I69" i="21"/>
  <c r="I70" i="21"/>
  <c r="I71" i="21"/>
  <c r="I72" i="21"/>
  <c r="I73" i="21"/>
  <c r="I74" i="21"/>
  <c r="I75" i="21"/>
  <c r="I76" i="21"/>
  <c r="I77" i="21"/>
  <c r="I78" i="21"/>
  <c r="I5" i="21"/>
  <c r="E41" i="21"/>
  <c r="F41" i="21" s="1"/>
  <c r="E50" i="21"/>
  <c r="F50" i="21" s="1"/>
  <c r="E42" i="21"/>
  <c r="F42" i="21" s="1"/>
  <c r="E28" i="21"/>
  <c r="F28" i="21" s="1"/>
  <c r="E26" i="21"/>
  <c r="F26" i="21" s="1"/>
  <c r="E43" i="21"/>
  <c r="F43" i="21" s="1"/>
  <c r="E35" i="21"/>
  <c r="F35" i="21" s="1"/>
  <c r="E37" i="21"/>
  <c r="F37" i="21" s="1"/>
  <c r="E31" i="21"/>
  <c r="F31" i="21" s="1"/>
  <c r="E46" i="21"/>
  <c r="F46" i="21" s="1"/>
  <c r="E40" i="21"/>
  <c r="F40" i="21" s="1"/>
  <c r="E45" i="21"/>
  <c r="F45" i="21" s="1"/>
  <c r="E48" i="21"/>
  <c r="F48" i="21" s="1"/>
  <c r="E49" i="21"/>
  <c r="F49" i="21" s="1"/>
  <c r="E77" i="21"/>
  <c r="F77" i="21" s="1"/>
  <c r="E70" i="21"/>
  <c r="F70" i="21" s="1"/>
  <c r="E56" i="21"/>
  <c r="F56" i="21" s="1"/>
  <c r="E52" i="21"/>
  <c r="F52" i="21" s="1"/>
  <c r="E64" i="21"/>
  <c r="F64" i="21" s="1"/>
  <c r="E33" i="21"/>
  <c r="F33" i="21" s="1"/>
  <c r="E60" i="21"/>
  <c r="F60" i="21" s="1"/>
  <c r="E53" i="21"/>
  <c r="F53" i="21" s="1"/>
  <c r="E65" i="21"/>
  <c r="F65" i="21" s="1"/>
  <c r="E38" i="21"/>
  <c r="F38" i="21" s="1"/>
  <c r="E61" i="21"/>
  <c r="F61" i="21" s="1"/>
  <c r="E62" i="21"/>
  <c r="F62" i="21" s="1"/>
  <c r="E76" i="21"/>
  <c r="F76" i="21" s="1"/>
  <c r="E54" i="21"/>
  <c r="F54" i="21" s="1"/>
  <c r="E9" i="21"/>
  <c r="F9" i="21" s="1"/>
  <c r="E7" i="21"/>
  <c r="F7" i="21" s="1"/>
  <c r="E5" i="21"/>
  <c r="F5" i="21" s="1"/>
  <c r="E19" i="21"/>
  <c r="F19" i="21" s="1"/>
  <c r="E14" i="21"/>
  <c r="F14" i="21" s="1"/>
  <c r="E8" i="21"/>
  <c r="F8" i="21" s="1"/>
  <c r="E10" i="21"/>
  <c r="F10" i="21" s="1"/>
  <c r="E12" i="21"/>
  <c r="F12" i="21" s="1"/>
  <c r="E6" i="21"/>
  <c r="F6" i="21" s="1"/>
  <c r="E15" i="21"/>
  <c r="F15" i="21" s="1"/>
  <c r="E17" i="21"/>
  <c r="F17" i="21" s="1"/>
  <c r="E23" i="21"/>
  <c r="F23" i="21" s="1"/>
  <c r="E16" i="21"/>
  <c r="F16" i="21" s="1"/>
  <c r="E24" i="21"/>
  <c r="F24" i="21" s="1"/>
  <c r="E13" i="21"/>
  <c r="F13" i="21" s="1"/>
  <c r="E22" i="21"/>
  <c r="F22" i="21" s="1"/>
  <c r="E21" i="21"/>
  <c r="F21" i="21" s="1"/>
  <c r="E25" i="21"/>
  <c r="F25" i="21" s="1"/>
  <c r="E11" i="21"/>
  <c r="F11" i="21" s="1"/>
  <c r="E20" i="21"/>
  <c r="F20" i="21" s="1"/>
  <c r="E36" i="21"/>
  <c r="F36" i="21" s="1"/>
  <c r="E18" i="21"/>
  <c r="F18" i="21" s="1"/>
  <c r="E27" i="21"/>
  <c r="F27" i="21" s="1"/>
  <c r="E29" i="21"/>
  <c r="F29" i="21" s="1"/>
  <c r="E30" i="21"/>
  <c r="F30" i="21" s="1"/>
  <c r="E55" i="21"/>
  <c r="F55" i="21" s="1"/>
  <c r="E74" i="21"/>
  <c r="F74" i="21" s="1"/>
  <c r="E34" i="21"/>
  <c r="F34" i="21" s="1"/>
  <c r="E32" i="21"/>
  <c r="F32" i="21" s="1"/>
  <c r="E72" i="21"/>
  <c r="F72" i="21" s="1"/>
  <c r="E75" i="21"/>
  <c r="F75" i="21" s="1"/>
  <c r="E73" i="21"/>
  <c r="F73" i="21" s="1"/>
  <c r="E78" i="21"/>
  <c r="F78" i="21" s="1"/>
  <c r="E67" i="21"/>
  <c r="F67" i="21" s="1"/>
  <c r="E71" i="21"/>
  <c r="F71" i="21" s="1"/>
  <c r="E68" i="21"/>
  <c r="F68" i="21" s="1"/>
  <c r="E58" i="21"/>
  <c r="F58" i="21" s="1"/>
  <c r="E66" i="21"/>
  <c r="F66" i="21" s="1"/>
  <c r="E69" i="21"/>
  <c r="F69" i="21" s="1"/>
  <c r="E47" i="21"/>
  <c r="F47" i="21" s="1"/>
  <c r="E63" i="21"/>
  <c r="F63" i="21" s="1"/>
  <c r="E51" i="21"/>
  <c r="F51" i="21" s="1"/>
  <c r="E57" i="21"/>
  <c r="F57" i="21" s="1"/>
  <c r="E59" i="21"/>
  <c r="F59" i="21" s="1"/>
  <c r="E39" i="21"/>
  <c r="F39" i="21" s="1"/>
  <c r="E44" i="21"/>
  <c r="F44" i="21" s="1"/>
  <c r="G2" i="19"/>
  <c r="I99" i="19"/>
  <c r="I133" i="19"/>
  <c r="I212" i="19"/>
  <c r="I48" i="19"/>
  <c r="I168" i="19"/>
  <c r="I25" i="19"/>
  <c r="I31" i="19"/>
  <c r="I14" i="19"/>
  <c r="I42" i="19"/>
  <c r="I169" i="19"/>
  <c r="I82" i="19"/>
  <c r="I213" i="19"/>
  <c r="I49" i="19"/>
  <c r="I100" i="19"/>
  <c r="I71" i="19"/>
  <c r="I134" i="19"/>
  <c r="I170" i="19"/>
  <c r="I156" i="19"/>
  <c r="I171" i="19"/>
  <c r="I135" i="19"/>
  <c r="I122" i="19"/>
  <c r="I101" i="19"/>
  <c r="I50" i="19"/>
  <c r="I214" i="19"/>
  <c r="I83" i="19"/>
  <c r="I172" i="19"/>
  <c r="I11" i="19"/>
  <c r="I15" i="19"/>
  <c r="I32" i="19"/>
  <c r="I215" i="19"/>
  <c r="I173" i="19"/>
  <c r="I51" i="19"/>
  <c r="I123" i="19"/>
  <c r="I136" i="19"/>
  <c r="I102" i="19"/>
  <c r="I157" i="19"/>
  <c r="I174" i="19"/>
  <c r="I6" i="19"/>
  <c r="I72" i="19"/>
  <c r="I175" i="19"/>
  <c r="I103" i="19"/>
  <c r="I216" i="19"/>
  <c r="I137" i="19"/>
  <c r="I52" i="19"/>
  <c r="I43" i="19"/>
  <c r="I176" i="19"/>
  <c r="I33" i="19"/>
  <c r="I26" i="19"/>
  <c r="I16" i="19"/>
  <c r="I177" i="19"/>
  <c r="I217" i="19"/>
  <c r="I84" i="19"/>
  <c r="I53" i="19"/>
  <c r="I94" i="19"/>
  <c r="I104" i="19"/>
  <c r="I138" i="19"/>
  <c r="I73" i="19"/>
  <c r="I178" i="19"/>
  <c r="I179" i="19"/>
  <c r="I124" i="19"/>
  <c r="I139" i="19"/>
  <c r="I105" i="19"/>
  <c r="I158" i="19"/>
  <c r="I54" i="19"/>
  <c r="I85" i="19"/>
  <c r="I218" i="19"/>
  <c r="I180" i="19"/>
  <c r="I17" i="19"/>
  <c r="I219" i="19"/>
  <c r="I34" i="19"/>
  <c r="I181" i="19"/>
  <c r="I159" i="19"/>
  <c r="I55" i="19"/>
  <c r="I140" i="19"/>
  <c r="I125" i="19"/>
  <c r="I106" i="19"/>
  <c r="I182" i="19"/>
  <c r="I74" i="19"/>
  <c r="I7" i="19"/>
  <c r="I183" i="19"/>
  <c r="I95" i="19"/>
  <c r="I107" i="19"/>
  <c r="I141" i="19"/>
  <c r="I220" i="19"/>
  <c r="I56" i="19"/>
  <c r="I184" i="19"/>
  <c r="I27" i="19"/>
  <c r="I35" i="19"/>
  <c r="I18" i="19"/>
  <c r="I44" i="19"/>
  <c r="I185" i="19"/>
  <c r="I86" i="19"/>
  <c r="I221" i="19"/>
  <c r="I57" i="19"/>
  <c r="I108" i="19"/>
  <c r="I75" i="19"/>
  <c r="I142" i="19"/>
  <c r="I186" i="19"/>
  <c r="I160" i="19"/>
  <c r="I187" i="19"/>
  <c r="I143" i="19"/>
  <c r="I126" i="19"/>
  <c r="I109" i="19"/>
  <c r="I58" i="19"/>
  <c r="I222" i="19"/>
  <c r="I87" i="19"/>
  <c r="I188" i="19"/>
  <c r="I12" i="19"/>
  <c r="I19" i="19"/>
  <c r="I36" i="19"/>
  <c r="I223" i="19"/>
  <c r="I189" i="19"/>
  <c r="I59" i="19"/>
  <c r="I127" i="19"/>
  <c r="I144" i="19"/>
  <c r="I110" i="19"/>
  <c r="I161" i="19"/>
  <c r="I190" i="19"/>
  <c r="I8" i="19"/>
  <c r="I76" i="19"/>
  <c r="I191" i="19"/>
  <c r="I111" i="19"/>
  <c r="I224" i="19"/>
  <c r="I145" i="19"/>
  <c r="I60" i="19"/>
  <c r="I45" i="19"/>
  <c r="I192" i="19"/>
  <c r="I37" i="19"/>
  <c r="I28" i="19"/>
  <c r="I20" i="19"/>
  <c r="I193" i="19"/>
  <c r="I225" i="19"/>
  <c r="I88" i="19"/>
  <c r="I61" i="19"/>
  <c r="I96" i="19"/>
  <c r="I112" i="19"/>
  <c r="I146" i="19"/>
  <c r="I77" i="19"/>
  <c r="I194" i="19"/>
  <c r="I195" i="19"/>
  <c r="I128" i="19"/>
  <c r="I147" i="19"/>
  <c r="I113" i="19"/>
  <c r="I162" i="19"/>
  <c r="I62" i="19"/>
  <c r="I89" i="19"/>
  <c r="I226" i="19"/>
  <c r="I196" i="19"/>
  <c r="I21" i="19"/>
  <c r="I227" i="19"/>
  <c r="I38" i="19"/>
  <c r="I197" i="19"/>
  <c r="I163" i="19"/>
  <c r="I63" i="19"/>
  <c r="I148" i="19"/>
  <c r="I129" i="19"/>
  <c r="I114" i="19"/>
  <c r="I198" i="19"/>
  <c r="I78" i="19"/>
  <c r="I9" i="19"/>
  <c r="I199" i="19"/>
  <c r="I97" i="19"/>
  <c r="I115" i="19"/>
  <c r="I149" i="19"/>
  <c r="I228" i="19"/>
  <c r="I64" i="19"/>
  <c r="I200" i="19"/>
  <c r="I29" i="19"/>
  <c r="I39" i="19"/>
  <c r="I22" i="19"/>
  <c r="I46" i="19"/>
  <c r="I201" i="19"/>
  <c r="I90" i="19"/>
  <c r="I229" i="19"/>
  <c r="I65" i="19"/>
  <c r="I116" i="19"/>
  <c r="I79" i="19"/>
  <c r="I150" i="19"/>
  <c r="I202" i="19"/>
  <c r="I164" i="19"/>
  <c r="I203" i="19"/>
  <c r="I151" i="19"/>
  <c r="I130" i="19"/>
  <c r="I117" i="19"/>
  <c r="I66" i="19"/>
  <c r="I230" i="19"/>
  <c r="I91" i="19"/>
  <c r="I204" i="19"/>
  <c r="I13" i="19"/>
  <c r="I23" i="19"/>
  <c r="I40" i="19"/>
  <c r="I231" i="19"/>
  <c r="I205" i="19"/>
  <c r="I67" i="19"/>
  <c r="I131" i="19"/>
  <c r="I152" i="19"/>
  <c r="I118" i="19"/>
  <c r="I165" i="19"/>
  <c r="I206" i="19"/>
  <c r="I10" i="19"/>
  <c r="I80" i="19"/>
  <c r="I207" i="19"/>
  <c r="I119" i="19"/>
  <c r="I232" i="19"/>
  <c r="I153" i="19"/>
  <c r="I68" i="19"/>
  <c r="I47" i="19"/>
  <c r="I208" i="19"/>
  <c r="I41" i="19"/>
  <c r="I30" i="19"/>
  <c r="I24" i="19"/>
  <c r="I209" i="19"/>
  <c r="I233" i="19"/>
  <c r="I92" i="19"/>
  <c r="I69" i="19"/>
  <c r="I98" i="19"/>
  <c r="I120" i="19"/>
  <c r="I154" i="19"/>
  <c r="I81" i="19"/>
  <c r="I210" i="19"/>
  <c r="I211" i="19"/>
  <c r="I132" i="19"/>
  <c r="I155" i="19"/>
  <c r="I121" i="19"/>
  <c r="I166" i="19"/>
  <c r="I93" i="19"/>
  <c r="I5" i="19"/>
  <c r="I167" i="19"/>
  <c r="I70" i="19"/>
  <c r="E98" i="19"/>
  <c r="F98" i="19" s="1"/>
  <c r="E120" i="19"/>
  <c r="F120" i="19" s="1"/>
  <c r="E69" i="19"/>
  <c r="F69" i="19" s="1"/>
  <c r="E41" i="19"/>
  <c r="F41" i="19" s="1"/>
  <c r="E208" i="19"/>
  <c r="F208" i="19" s="1"/>
  <c r="E80" i="19"/>
  <c r="F80" i="19" s="1"/>
  <c r="E117" i="19"/>
  <c r="F117" i="19" s="1"/>
  <c r="E202" i="19"/>
  <c r="F202" i="19" s="1"/>
  <c r="E232" i="19"/>
  <c r="F232" i="19" s="1"/>
  <c r="E47" i="19"/>
  <c r="F47" i="19" s="1"/>
  <c r="E150" i="19"/>
  <c r="F150" i="19" s="1"/>
  <c r="E205" i="19"/>
  <c r="F205" i="19" s="1"/>
  <c r="E153" i="19"/>
  <c r="F153" i="19" s="1"/>
  <c r="E66" i="19"/>
  <c r="F66" i="19" s="1"/>
  <c r="E9" i="19"/>
  <c r="F9" i="19" s="1"/>
  <c r="E198" i="19"/>
  <c r="F198" i="19" s="1"/>
  <c r="E189" i="19"/>
  <c r="F189" i="19" s="1"/>
  <c r="E146" i="19"/>
  <c r="F146" i="19" s="1"/>
  <c r="E226" i="19"/>
  <c r="F226" i="19" s="1"/>
  <c r="E188" i="19"/>
  <c r="F188" i="19" s="1"/>
  <c r="E60" i="19"/>
  <c r="F60" i="19" s="1"/>
  <c r="E227" i="19"/>
  <c r="F227" i="19" s="1"/>
  <c r="E75" i="19"/>
  <c r="F75" i="19" s="1"/>
  <c r="E186" i="19"/>
  <c r="F186" i="19" s="1"/>
  <c r="E111" i="19"/>
  <c r="F111" i="19" s="1"/>
  <c r="E160" i="19"/>
  <c r="F160" i="19" s="1"/>
  <c r="E109" i="19"/>
  <c r="F109" i="19" s="1"/>
  <c r="E58" i="19"/>
  <c r="F58" i="19" s="1"/>
  <c r="E87" i="19"/>
  <c r="F87" i="19" s="1"/>
  <c r="E86" i="19"/>
  <c r="F86" i="19" s="1"/>
  <c r="E19" i="19"/>
  <c r="F19" i="19" s="1"/>
  <c r="E195" i="19"/>
  <c r="F195" i="19" s="1"/>
  <c r="E96" i="19"/>
  <c r="F96" i="19" s="1"/>
  <c r="E61" i="19"/>
  <c r="F61" i="19" s="1"/>
  <c r="E128" i="19"/>
  <c r="F128" i="19" s="1"/>
  <c r="E37" i="19"/>
  <c r="F37" i="19" s="1"/>
  <c r="E39" i="19"/>
  <c r="F39" i="19" s="1"/>
  <c r="E20" i="19"/>
  <c r="F20" i="19" s="1"/>
  <c r="E225" i="19"/>
  <c r="F225" i="19" s="1"/>
  <c r="E38" i="19"/>
  <c r="F38" i="19" s="1"/>
  <c r="E63" i="19"/>
  <c r="F63" i="19" s="1"/>
  <c r="E148" i="19"/>
  <c r="F148" i="19" s="1"/>
  <c r="E161" i="19"/>
  <c r="F161" i="19" s="1"/>
  <c r="E8" i="19"/>
  <c r="F8" i="19" s="1"/>
  <c r="E144" i="19"/>
  <c r="F144" i="19" s="1"/>
  <c r="E76" i="19"/>
  <c r="F76" i="19" s="1"/>
  <c r="E113" i="19"/>
  <c r="F113" i="19" s="1"/>
  <c r="E59" i="19"/>
  <c r="F59" i="19" s="1"/>
  <c r="E190" i="19"/>
  <c r="F190" i="19" s="1"/>
  <c r="E223" i="19"/>
  <c r="F223" i="19" s="1"/>
  <c r="E12" i="19"/>
  <c r="F12" i="19" s="1"/>
  <c r="E116" i="19"/>
  <c r="F116" i="19" s="1"/>
  <c r="E129" i="19"/>
  <c r="F129" i="19" s="1"/>
  <c r="E79" i="19"/>
  <c r="F79" i="19" s="1"/>
  <c r="E207" i="19"/>
  <c r="F207" i="19" s="1"/>
  <c r="E119" i="19"/>
  <c r="F119" i="19" s="1"/>
  <c r="E30" i="19"/>
  <c r="F30" i="19" s="1"/>
  <c r="E209" i="19"/>
  <c r="F209" i="19" s="1"/>
  <c r="E24" i="19"/>
  <c r="F24" i="19" s="1"/>
  <c r="E233" i="19"/>
  <c r="F233" i="19" s="1"/>
  <c r="E164" i="19"/>
  <c r="F164" i="19" s="1"/>
  <c r="E163" i="19"/>
  <c r="F163" i="19" s="1"/>
  <c r="E22" i="19"/>
  <c r="F22" i="19" s="1"/>
  <c r="E194" i="19"/>
  <c r="F194" i="19" s="1"/>
  <c r="E199" i="19"/>
  <c r="F199" i="19" s="1"/>
  <c r="E62" i="19"/>
  <c r="F62" i="19" s="1"/>
  <c r="E36" i="19"/>
  <c r="F36" i="19" s="1"/>
  <c r="E175" i="19"/>
  <c r="F175" i="19" s="1"/>
  <c r="E143" i="19"/>
  <c r="F143" i="19" s="1"/>
  <c r="E140" i="19"/>
  <c r="F140" i="19" s="1"/>
  <c r="E85" i="19"/>
  <c r="F85" i="19" s="1"/>
  <c r="E138" i="19"/>
  <c r="F138" i="19" s="1"/>
  <c r="E95" i="19"/>
  <c r="F95" i="19" s="1"/>
  <c r="E55" i="19"/>
  <c r="F55" i="19" s="1"/>
  <c r="E16" i="19"/>
  <c r="F16" i="19" s="1"/>
  <c r="E126" i="19"/>
  <c r="F126" i="19" s="1"/>
  <c r="E218" i="19"/>
  <c r="F218" i="19" s="1"/>
  <c r="E107" i="19"/>
  <c r="F107" i="19" s="1"/>
  <c r="E137" i="19"/>
  <c r="F137" i="19" s="1"/>
  <c r="E106" i="19"/>
  <c r="F106" i="19" s="1"/>
  <c r="E73" i="19"/>
  <c r="F73" i="19" s="1"/>
  <c r="E183" i="19"/>
  <c r="F183" i="19" s="1"/>
  <c r="E123" i="19"/>
  <c r="F123" i="19" s="1"/>
  <c r="E141" i="19"/>
  <c r="F141" i="19" s="1"/>
  <c r="E15" i="19"/>
  <c r="F15" i="19" s="1"/>
  <c r="E11" i="19"/>
  <c r="F11" i="19" s="1"/>
  <c r="E124" i="19"/>
  <c r="F124" i="19" s="1"/>
  <c r="E84" i="19"/>
  <c r="F84" i="19" s="1"/>
  <c r="E18" i="19"/>
  <c r="F18" i="19" s="1"/>
  <c r="E172" i="19"/>
  <c r="F172" i="19" s="1"/>
  <c r="E215" i="19"/>
  <c r="F215" i="19" s="1"/>
  <c r="E57" i="19"/>
  <c r="F57" i="19" s="1"/>
  <c r="E6" i="19"/>
  <c r="F6" i="19" s="1"/>
  <c r="E136" i="19"/>
  <c r="F136" i="19" s="1"/>
  <c r="E27" i="19"/>
  <c r="F27" i="19" s="1"/>
  <c r="E221" i="19"/>
  <c r="F221" i="19" s="1"/>
  <c r="E28" i="19"/>
  <c r="F28" i="19" s="1"/>
  <c r="E51" i="19"/>
  <c r="F51" i="19" s="1"/>
  <c r="E179" i="19"/>
  <c r="F179" i="19" s="1"/>
  <c r="E180" i="19"/>
  <c r="F180" i="19" s="1"/>
  <c r="E182" i="19"/>
  <c r="F182" i="19" s="1"/>
  <c r="E220" i="19"/>
  <c r="F220" i="19" s="1"/>
  <c r="E216" i="19"/>
  <c r="F216" i="19" s="1"/>
  <c r="E185" i="19"/>
  <c r="F185" i="19" s="1"/>
  <c r="E167" i="19"/>
  <c r="F167" i="19" s="1"/>
  <c r="E31" i="19"/>
  <c r="F31" i="19" s="1"/>
  <c r="E168" i="19"/>
  <c r="F168" i="19" s="1"/>
  <c r="E25" i="19"/>
  <c r="F25" i="19" s="1"/>
  <c r="E177" i="19"/>
  <c r="F177" i="19" s="1"/>
  <c r="E174" i="19"/>
  <c r="F174" i="19" s="1"/>
  <c r="E100" i="19"/>
  <c r="F100" i="19" s="1"/>
  <c r="E158" i="19"/>
  <c r="F158" i="19" s="1"/>
  <c r="E156" i="19"/>
  <c r="F156" i="19" s="1"/>
  <c r="E171" i="19"/>
  <c r="F171" i="19" s="1"/>
  <c r="E71" i="19"/>
  <c r="F71" i="19" s="1"/>
  <c r="E212" i="19"/>
  <c r="F212" i="19" s="1"/>
  <c r="E32" i="19"/>
  <c r="F32" i="19" s="1"/>
  <c r="E42" i="19"/>
  <c r="F42" i="19" s="1"/>
  <c r="E170" i="19"/>
  <c r="F170" i="19" s="1"/>
  <c r="E48" i="19"/>
  <c r="F48" i="19" s="1"/>
  <c r="E99" i="19"/>
  <c r="F99" i="19" s="1"/>
  <c r="E33" i="19"/>
  <c r="F33" i="19" s="1"/>
  <c r="E70" i="19"/>
  <c r="F70" i="19" s="1"/>
  <c r="H70" i="19" s="1"/>
  <c r="E157" i="19"/>
  <c r="F157" i="19" s="1"/>
  <c r="E101" i="19"/>
  <c r="F101" i="19" s="1"/>
  <c r="E93" i="19"/>
  <c r="F93" i="19" s="1"/>
  <c r="E72" i="19"/>
  <c r="F72" i="19" s="1"/>
  <c r="E173" i="19"/>
  <c r="F173" i="19" s="1"/>
  <c r="E5" i="19"/>
  <c r="F5" i="19" s="1"/>
  <c r="E102" i="19"/>
  <c r="F102" i="19" s="1"/>
  <c r="E176" i="19"/>
  <c r="F176" i="19" s="1"/>
  <c r="E53" i="19"/>
  <c r="F53" i="19" s="1"/>
  <c r="E178" i="19"/>
  <c r="F178" i="19" s="1"/>
  <c r="E82" i="19"/>
  <c r="F82" i="19" s="1"/>
  <c r="E104" i="19"/>
  <c r="F104" i="19" s="1"/>
  <c r="E133" i="19"/>
  <c r="F133" i="19" s="1"/>
  <c r="E122" i="19"/>
  <c r="F122" i="19" s="1"/>
  <c r="E213" i="19"/>
  <c r="F213" i="19" s="1"/>
  <c r="E43" i="19"/>
  <c r="F43" i="19" s="1"/>
  <c r="E219" i="19"/>
  <c r="F219" i="19" s="1"/>
  <c r="E49" i="19"/>
  <c r="F49" i="19" s="1"/>
  <c r="E34" i="19"/>
  <c r="F34" i="19" s="1"/>
  <c r="E105" i="19"/>
  <c r="F105" i="19" s="1"/>
  <c r="E14" i="19"/>
  <c r="F14" i="19" s="1"/>
  <c r="E83" i="19"/>
  <c r="F83" i="19" s="1"/>
  <c r="E169" i="19"/>
  <c r="F169" i="19" s="1"/>
  <c r="E103" i="19"/>
  <c r="F103" i="19" s="1"/>
  <c r="E50" i="19"/>
  <c r="F50" i="19" s="1"/>
  <c r="E159" i="19"/>
  <c r="F159" i="19" s="1"/>
  <c r="E135" i="19"/>
  <c r="F135" i="19" s="1"/>
  <c r="E142" i="19"/>
  <c r="F142" i="19" s="1"/>
  <c r="E44" i="19"/>
  <c r="F44" i="19" s="1"/>
  <c r="E35" i="19"/>
  <c r="F35" i="19" s="1"/>
  <c r="E127" i="19"/>
  <c r="F127" i="19" s="1"/>
  <c r="E222" i="19"/>
  <c r="F222" i="19" s="1"/>
  <c r="E191" i="19"/>
  <c r="F191" i="19" s="1"/>
  <c r="E224" i="19"/>
  <c r="F224" i="19" s="1"/>
  <c r="E217" i="19"/>
  <c r="F217" i="19" s="1"/>
  <c r="E187" i="19"/>
  <c r="F187" i="19" s="1"/>
  <c r="E92" i="19"/>
  <c r="F92" i="19" s="1"/>
  <c r="E165" i="19"/>
  <c r="F165" i="19" s="1"/>
  <c r="E131" i="19"/>
  <c r="F131" i="19" s="1"/>
  <c r="E230" i="19"/>
  <c r="F230" i="19" s="1"/>
  <c r="E193" i="19"/>
  <c r="F193" i="19" s="1"/>
  <c r="E145" i="19"/>
  <c r="F145" i="19" s="1"/>
  <c r="E192" i="19"/>
  <c r="F192" i="19" s="1"/>
  <c r="E204" i="19"/>
  <c r="F204" i="19" s="1"/>
  <c r="E29" i="19"/>
  <c r="F29" i="19" s="1"/>
  <c r="E231" i="19"/>
  <c r="F231" i="19" s="1"/>
  <c r="E45" i="19"/>
  <c r="F45" i="19" s="1"/>
  <c r="E108" i="19"/>
  <c r="F108" i="19" s="1"/>
  <c r="E26" i="19"/>
  <c r="F26" i="19" s="1"/>
  <c r="E88" i="19"/>
  <c r="F88" i="19" s="1"/>
  <c r="E77" i="19"/>
  <c r="F77" i="19" s="1"/>
  <c r="E112" i="19"/>
  <c r="F112" i="19" s="1"/>
  <c r="E52" i="19"/>
  <c r="F52" i="19" s="1"/>
  <c r="E17" i="19"/>
  <c r="F17" i="19" s="1"/>
  <c r="E125" i="19"/>
  <c r="F125" i="19" s="1"/>
  <c r="E56" i="19"/>
  <c r="F56" i="19" s="1"/>
  <c r="E181" i="19"/>
  <c r="F181" i="19" s="1"/>
  <c r="E7" i="19"/>
  <c r="F7" i="19" s="1"/>
  <c r="E94" i="19"/>
  <c r="F94" i="19" s="1"/>
  <c r="E184" i="19"/>
  <c r="F184" i="19" s="1"/>
  <c r="E74" i="19"/>
  <c r="F74" i="19" s="1"/>
  <c r="E134" i="19"/>
  <c r="F134" i="19" s="1"/>
  <c r="E214" i="19"/>
  <c r="F214" i="19" s="1"/>
  <c r="E54" i="19"/>
  <c r="F54" i="19" s="1"/>
  <c r="E139" i="19"/>
  <c r="F139" i="19" s="1"/>
  <c r="E10" i="19"/>
  <c r="F10" i="19" s="1"/>
  <c r="E91" i="19"/>
  <c r="F91" i="19" s="1"/>
  <c r="E203" i="19"/>
  <c r="F203" i="19" s="1"/>
  <c r="E206" i="19"/>
  <c r="F206" i="19" s="1"/>
  <c r="E67" i="19"/>
  <c r="F67" i="19" s="1"/>
  <c r="E196" i="19"/>
  <c r="F196" i="19" s="1"/>
  <c r="E115" i="19"/>
  <c r="F115" i="19" s="1"/>
  <c r="E65" i="19"/>
  <c r="F65" i="19" s="1"/>
  <c r="E114" i="19"/>
  <c r="F114" i="19" s="1"/>
  <c r="E228" i="19"/>
  <c r="F228" i="19" s="1"/>
  <c r="E147" i="19"/>
  <c r="F147" i="19" s="1"/>
  <c r="E46" i="19"/>
  <c r="F46" i="19" s="1"/>
  <c r="E89" i="19"/>
  <c r="F89" i="19" s="1"/>
  <c r="E64" i="19"/>
  <c r="F64" i="19" s="1"/>
  <c r="E90" i="19"/>
  <c r="F90" i="19" s="1"/>
  <c r="E110" i="19"/>
  <c r="F110" i="19" s="1"/>
  <c r="E78" i="19"/>
  <c r="F78" i="19" s="1"/>
  <c r="E162" i="19"/>
  <c r="F162" i="19" s="1"/>
  <c r="E21" i="19"/>
  <c r="F21" i="19" s="1"/>
  <c r="E200" i="19"/>
  <c r="F200" i="19" s="1"/>
  <c r="E197" i="19"/>
  <c r="F197" i="19" s="1"/>
  <c r="E201" i="19"/>
  <c r="F201" i="19" s="1"/>
  <c r="E97" i="19"/>
  <c r="F97" i="19" s="1"/>
  <c r="E149" i="19"/>
  <c r="F149" i="19" s="1"/>
  <c r="E229" i="19"/>
  <c r="F229" i="19" s="1"/>
  <c r="E23" i="19"/>
  <c r="F23" i="19" s="1"/>
  <c r="E151" i="19"/>
  <c r="F151" i="19" s="1"/>
  <c r="E68" i="19"/>
  <c r="F68" i="19" s="1"/>
  <c r="E118" i="19"/>
  <c r="F118" i="19" s="1"/>
  <c r="E152" i="19"/>
  <c r="F152" i="19" s="1"/>
  <c r="E40" i="19"/>
  <c r="F40" i="19" s="1"/>
  <c r="E210" i="19"/>
  <c r="F210" i="19" s="1"/>
  <c r="E81" i="19"/>
  <c r="F81" i="19" s="1"/>
  <c r="E154" i="19"/>
  <c r="F154" i="19" s="1"/>
  <c r="E121" i="19"/>
  <c r="F121" i="19" s="1"/>
  <c r="E132" i="19"/>
  <c r="F132" i="19" s="1"/>
  <c r="E211" i="19"/>
  <c r="F211" i="19" s="1"/>
  <c r="E155" i="19"/>
  <c r="F155" i="19" s="1"/>
  <c r="E166" i="19"/>
  <c r="F166" i="19" s="1"/>
  <c r="E13" i="19"/>
  <c r="F13" i="19" s="1"/>
  <c r="E130" i="19"/>
  <c r="F130" i="19" s="1"/>
  <c r="H140" i="50" l="1"/>
  <c r="H59" i="50"/>
  <c r="G32" i="50"/>
  <c r="F162" i="50"/>
  <c r="G83" i="50" s="1"/>
  <c r="G52" i="42"/>
  <c r="G47" i="42"/>
  <c r="G12" i="42"/>
  <c r="G18" i="42"/>
  <c r="G31" i="42"/>
  <c r="G33" i="42"/>
  <c r="G28" i="42"/>
  <c r="G41" i="42"/>
  <c r="G40" i="42"/>
  <c r="G66" i="42"/>
  <c r="G36" i="42"/>
  <c r="G63" i="42"/>
  <c r="G22" i="42"/>
  <c r="G58" i="42"/>
  <c r="G49" i="42"/>
  <c r="G68" i="42"/>
  <c r="G8" i="42"/>
  <c r="G10" i="42"/>
  <c r="G56" i="42"/>
  <c r="G45" i="42"/>
  <c r="G65" i="42"/>
  <c r="G39" i="42"/>
  <c r="G51" i="42"/>
  <c r="G25" i="42"/>
  <c r="G54" i="42"/>
  <c r="G44" i="42"/>
  <c r="G23" i="42"/>
  <c r="G11" i="42"/>
  <c r="G19" i="42"/>
  <c r="G48" i="42"/>
  <c r="G59" i="42"/>
  <c r="G14" i="42"/>
  <c r="G30" i="42"/>
  <c r="G29" i="42"/>
  <c r="G42" i="42"/>
  <c r="G6" i="42"/>
  <c r="G26" i="42"/>
  <c r="G43" i="42"/>
  <c r="G27" i="42"/>
  <c r="G57" i="42"/>
  <c r="G64" i="42"/>
  <c r="G50" i="42"/>
  <c r="G20" i="42"/>
  <c r="G67" i="42"/>
  <c r="G55" i="42"/>
  <c r="G13" i="42"/>
  <c r="G34" i="42"/>
  <c r="G17" i="42"/>
  <c r="G37" i="42"/>
  <c r="G53" i="42"/>
  <c r="G5" i="42"/>
  <c r="H63" i="42"/>
  <c r="H57" i="42"/>
  <c r="H51" i="42"/>
  <c r="H45" i="42"/>
  <c r="H39" i="42"/>
  <c r="H33" i="42"/>
  <c r="H27" i="42"/>
  <c r="H21" i="42"/>
  <c r="H15" i="42"/>
  <c r="H9" i="42"/>
  <c r="H5" i="42"/>
  <c r="H68" i="42"/>
  <c r="H62" i="42"/>
  <c r="H56" i="42"/>
  <c r="H50" i="42"/>
  <c r="H44" i="42"/>
  <c r="H38" i="42"/>
  <c r="H32" i="42"/>
  <c r="H26" i="42"/>
  <c r="H20" i="42"/>
  <c r="H14" i="42"/>
  <c r="H70" i="42" s="1"/>
  <c r="H8" i="42"/>
  <c r="H67" i="42"/>
  <c r="H61" i="42"/>
  <c r="H55" i="42"/>
  <c r="H49" i="42"/>
  <c r="H43" i="42"/>
  <c r="H37" i="42"/>
  <c r="H31" i="42"/>
  <c r="H25" i="42"/>
  <c r="H19" i="42"/>
  <c r="H13" i="42"/>
  <c r="H7" i="42"/>
  <c r="H66" i="42"/>
  <c r="H60" i="42"/>
  <c r="H54" i="42"/>
  <c r="H48" i="42"/>
  <c r="H42" i="42"/>
  <c r="H36" i="42"/>
  <c r="H30" i="42"/>
  <c r="H24" i="42"/>
  <c r="H18" i="42"/>
  <c r="H12" i="42"/>
  <c r="H6" i="42"/>
  <c r="H65" i="42"/>
  <c r="H59" i="42"/>
  <c r="H53" i="42"/>
  <c r="H47" i="42"/>
  <c r="H41" i="42"/>
  <c r="H35" i="42"/>
  <c r="H29" i="42"/>
  <c r="H23" i="42"/>
  <c r="H17" i="42"/>
  <c r="H11" i="42"/>
  <c r="H64" i="42"/>
  <c r="H58" i="42"/>
  <c r="H52" i="42"/>
  <c r="H46" i="42"/>
  <c r="H40" i="42"/>
  <c r="H34" i="42"/>
  <c r="H28" i="42"/>
  <c r="H22" i="42"/>
  <c r="H16" i="42"/>
  <c r="H10" i="42"/>
  <c r="F30" i="63"/>
  <c r="H23" i="63" s="1"/>
  <c r="G11" i="63"/>
  <c r="H17" i="63"/>
  <c r="H11" i="63"/>
  <c r="G5" i="63"/>
  <c r="G19" i="63"/>
  <c r="H19" i="63"/>
  <c r="G21" i="63"/>
  <c r="H21" i="63"/>
  <c r="G7" i="63"/>
  <c r="H7" i="63"/>
  <c r="G13" i="63"/>
  <c r="H13" i="63"/>
  <c r="G15" i="63"/>
  <c r="H15" i="63"/>
  <c r="G9" i="63"/>
  <c r="H9" i="63"/>
  <c r="H27" i="63"/>
  <c r="G27" i="63"/>
  <c r="H25" i="63"/>
  <c r="G25" i="63"/>
  <c r="G84" i="62"/>
  <c r="H34" i="62"/>
  <c r="G34" i="62"/>
  <c r="G28" i="62"/>
  <c r="H28" i="62"/>
  <c r="G30" i="62"/>
  <c r="H30" i="62"/>
  <c r="G37" i="62"/>
  <c r="H37" i="62"/>
  <c r="G15" i="62"/>
  <c r="H15" i="62"/>
  <c r="G45" i="62"/>
  <c r="H45" i="62"/>
  <c r="G7" i="62"/>
  <c r="H7" i="62"/>
  <c r="G57" i="62"/>
  <c r="H57" i="62"/>
  <c r="G48" i="62"/>
  <c r="H48" i="62"/>
  <c r="G24" i="62"/>
  <c r="H24" i="62"/>
  <c r="G66" i="62"/>
  <c r="H66" i="62"/>
  <c r="G25" i="62"/>
  <c r="H25" i="62"/>
  <c r="G43" i="62"/>
  <c r="H43" i="62"/>
  <c r="G36" i="62"/>
  <c r="H36" i="62"/>
  <c r="G19" i="62"/>
  <c r="H19" i="62"/>
  <c r="H64" i="62"/>
  <c r="G64" i="62"/>
  <c r="G49" i="62"/>
  <c r="H49" i="62"/>
  <c r="G46" i="62"/>
  <c r="H46" i="62"/>
  <c r="G40" i="62"/>
  <c r="H40" i="62"/>
  <c r="G6" i="62"/>
  <c r="H6" i="62"/>
  <c r="G58" i="62"/>
  <c r="H58" i="62"/>
  <c r="G75" i="62"/>
  <c r="H75" i="62"/>
  <c r="G52" i="62"/>
  <c r="H52" i="62"/>
  <c r="G21" i="62"/>
  <c r="H21" i="62"/>
  <c r="G72" i="62"/>
  <c r="H72" i="62"/>
  <c r="G54" i="62"/>
  <c r="H54" i="62"/>
  <c r="G31" i="62"/>
  <c r="H31" i="62"/>
  <c r="G55" i="62"/>
  <c r="H55" i="62"/>
  <c r="G63" i="62"/>
  <c r="H63" i="62"/>
  <c r="G82" i="62"/>
  <c r="H82" i="62"/>
  <c r="G61" i="62"/>
  <c r="H61" i="62"/>
  <c r="G51" i="62"/>
  <c r="H51" i="62"/>
  <c r="G27" i="62"/>
  <c r="H27" i="62"/>
  <c r="G42" i="62"/>
  <c r="H42" i="62"/>
  <c r="G76" i="62"/>
  <c r="H76" i="62"/>
  <c r="G22" i="62"/>
  <c r="H22" i="62"/>
  <c r="G18" i="62"/>
  <c r="H18" i="62"/>
  <c r="H16" i="62"/>
  <c r="G16" i="62"/>
  <c r="H70" i="62"/>
  <c r="G70" i="62"/>
  <c r="G81" i="62"/>
  <c r="H81" i="62"/>
  <c r="G33" i="62"/>
  <c r="H33" i="62"/>
  <c r="G10" i="62"/>
  <c r="H10" i="62"/>
  <c r="G39" i="62"/>
  <c r="H39" i="62"/>
  <c r="G9" i="62"/>
  <c r="H9" i="62"/>
  <c r="G60" i="62"/>
  <c r="H60" i="62"/>
  <c r="G69" i="62"/>
  <c r="H69" i="62"/>
  <c r="G73" i="62"/>
  <c r="H73" i="62"/>
  <c r="G13" i="62"/>
  <c r="H13" i="62"/>
  <c r="G12" i="62"/>
  <c r="H12" i="62"/>
  <c r="G67" i="62"/>
  <c r="H67" i="62"/>
  <c r="H79" i="62"/>
  <c r="G79" i="62"/>
  <c r="H78" i="62"/>
  <c r="G78" i="62"/>
  <c r="G83" i="61"/>
  <c r="G21" i="61"/>
  <c r="H21" i="61"/>
  <c r="G52" i="61"/>
  <c r="H52" i="61"/>
  <c r="G43" i="61"/>
  <c r="H43" i="61"/>
  <c r="H25" i="61"/>
  <c r="H40" i="61"/>
  <c r="H34" i="61"/>
  <c r="G60" i="61"/>
  <c r="H60" i="61"/>
  <c r="G12" i="61"/>
  <c r="H12" i="61"/>
  <c r="H37" i="61"/>
  <c r="G37" i="61"/>
  <c r="H67" i="61"/>
  <c r="G67" i="61"/>
  <c r="H6" i="61"/>
  <c r="G6" i="61"/>
  <c r="H61" i="61"/>
  <c r="G61" i="61"/>
  <c r="G57" i="61"/>
  <c r="H57" i="61"/>
  <c r="G76" i="61"/>
  <c r="H76" i="61"/>
  <c r="G42" i="61"/>
  <c r="H42" i="61"/>
  <c r="G16" i="61"/>
  <c r="H16" i="61"/>
  <c r="G69" i="61"/>
  <c r="H69" i="61"/>
  <c r="G49" i="61"/>
  <c r="H49" i="61"/>
  <c r="G66" i="61"/>
  <c r="H66" i="61"/>
  <c r="G58" i="61"/>
  <c r="H58" i="61"/>
  <c r="G73" i="61"/>
  <c r="H73" i="61"/>
  <c r="G31" i="61"/>
  <c r="H31" i="61"/>
  <c r="G39" i="61"/>
  <c r="H39" i="61"/>
  <c r="G70" i="61"/>
  <c r="H70" i="61"/>
  <c r="G19" i="61"/>
  <c r="H19" i="61"/>
  <c r="H78" i="61"/>
  <c r="G78" i="61"/>
  <c r="H10" i="61"/>
  <c r="G10" i="61"/>
  <c r="H72" i="61"/>
  <c r="G72" i="61"/>
  <c r="G18" i="61"/>
  <c r="H18" i="61"/>
  <c r="G54" i="61"/>
  <c r="H54" i="61"/>
  <c r="G36" i="61"/>
  <c r="H36" i="61"/>
  <c r="G27" i="61"/>
  <c r="H27" i="61"/>
  <c r="G33" i="61"/>
  <c r="H33" i="61"/>
  <c r="G46" i="61"/>
  <c r="H46" i="61"/>
  <c r="H13" i="61"/>
  <c r="G13" i="61"/>
  <c r="G48" i="61"/>
  <c r="H48" i="61"/>
  <c r="H9" i="61"/>
  <c r="G9" i="61"/>
  <c r="H63" i="61"/>
  <c r="G63" i="61"/>
  <c r="G75" i="61"/>
  <c r="H75" i="61"/>
  <c r="G64" i="61"/>
  <c r="H64" i="61"/>
  <c r="G7" i="61"/>
  <c r="H7" i="61"/>
  <c r="G15" i="61"/>
  <c r="H15" i="61"/>
  <c r="G30" i="61"/>
  <c r="H30" i="61"/>
  <c r="G51" i="61"/>
  <c r="H51" i="61"/>
  <c r="G28" i="61"/>
  <c r="H28" i="61"/>
  <c r="G24" i="61"/>
  <c r="H24" i="61"/>
  <c r="G22" i="61"/>
  <c r="H22" i="61"/>
  <c r="G55" i="61"/>
  <c r="H55" i="61"/>
  <c r="G45" i="61"/>
  <c r="H45" i="61"/>
  <c r="G79" i="61"/>
  <c r="H79" i="61"/>
  <c r="G81" i="61"/>
  <c r="H85" i="60"/>
  <c r="G18" i="60"/>
  <c r="H18" i="60"/>
  <c r="G24" i="60"/>
  <c r="H24" i="60"/>
  <c r="G45" i="60"/>
  <c r="H45" i="60"/>
  <c r="G37" i="60"/>
  <c r="H37" i="60"/>
  <c r="G36" i="60"/>
  <c r="H36" i="60"/>
  <c r="H39" i="60"/>
  <c r="G39" i="60"/>
  <c r="G72" i="60"/>
  <c r="H72" i="60"/>
  <c r="G31" i="60"/>
  <c r="H31" i="60"/>
  <c r="G46" i="60"/>
  <c r="H46" i="60"/>
  <c r="G27" i="60"/>
  <c r="H27" i="60"/>
  <c r="H51" i="60"/>
  <c r="G51" i="60"/>
  <c r="G69" i="60"/>
  <c r="H69" i="60"/>
  <c r="H19" i="60"/>
  <c r="G19" i="60"/>
  <c r="H28" i="60"/>
  <c r="G28" i="60"/>
  <c r="H57" i="60"/>
  <c r="G57" i="60"/>
  <c r="H15" i="60"/>
  <c r="G15" i="60"/>
  <c r="G12" i="60"/>
  <c r="H12" i="60"/>
  <c r="G9" i="60"/>
  <c r="H9" i="60"/>
  <c r="G7" i="60"/>
  <c r="H7" i="60"/>
  <c r="G58" i="60"/>
  <c r="H58" i="60"/>
  <c r="G67" i="60"/>
  <c r="H67" i="60"/>
  <c r="H43" i="60"/>
  <c r="G43" i="60"/>
  <c r="G40" i="60"/>
  <c r="H40" i="60"/>
  <c r="G16" i="60"/>
  <c r="H16" i="60"/>
  <c r="G22" i="60"/>
  <c r="H22" i="60"/>
  <c r="G25" i="60"/>
  <c r="H25" i="60"/>
  <c r="H75" i="60"/>
  <c r="G75" i="60"/>
  <c r="H42" i="60"/>
  <c r="G42" i="60"/>
  <c r="H10" i="60"/>
  <c r="G10" i="60"/>
  <c r="H79" i="60"/>
  <c r="G79" i="60"/>
  <c r="H54" i="60"/>
  <c r="G54" i="60"/>
  <c r="G76" i="60"/>
  <c r="H76" i="60"/>
  <c r="G52" i="60"/>
  <c r="H52" i="60"/>
  <c r="G34" i="60"/>
  <c r="H34" i="60"/>
  <c r="G63" i="60"/>
  <c r="H63" i="60"/>
  <c r="G21" i="60"/>
  <c r="H21" i="60"/>
  <c r="G78" i="60"/>
  <c r="H78" i="60"/>
  <c r="G49" i="60"/>
  <c r="H49" i="60"/>
  <c r="G70" i="60"/>
  <c r="H70" i="60"/>
  <c r="G64" i="60"/>
  <c r="H64" i="60"/>
  <c r="H81" i="60"/>
  <c r="G81" i="60"/>
  <c r="H55" i="60"/>
  <c r="G55" i="60"/>
  <c r="H30" i="60"/>
  <c r="G30" i="60"/>
  <c r="G60" i="60"/>
  <c r="H60" i="60"/>
  <c r="G73" i="60"/>
  <c r="H73" i="60"/>
  <c r="G48" i="60"/>
  <c r="H48" i="60"/>
  <c r="G6" i="60"/>
  <c r="H6" i="60"/>
  <c r="G61" i="60"/>
  <c r="H61" i="60"/>
  <c r="G66" i="60"/>
  <c r="H66" i="60"/>
  <c r="G13" i="60"/>
  <c r="H13" i="60"/>
  <c r="G33" i="60"/>
  <c r="H33" i="60"/>
  <c r="H82" i="60"/>
  <c r="G82" i="60"/>
  <c r="H58" i="59"/>
  <c r="G58" i="59"/>
  <c r="G43" i="59"/>
  <c r="H43" i="59"/>
  <c r="G24" i="59"/>
  <c r="H24" i="59"/>
  <c r="G57" i="59"/>
  <c r="H57" i="59"/>
  <c r="H25" i="59"/>
  <c r="G25" i="59"/>
  <c r="G51" i="59"/>
  <c r="H51" i="59"/>
  <c r="H37" i="59"/>
  <c r="G37" i="59"/>
  <c r="H42" i="59"/>
  <c r="G42" i="59"/>
  <c r="H28" i="59"/>
  <c r="G28" i="59"/>
  <c r="H10" i="59"/>
  <c r="G10" i="59"/>
  <c r="G31" i="59"/>
  <c r="H31" i="59"/>
  <c r="G33" i="59"/>
  <c r="H33" i="59"/>
  <c r="G19" i="59"/>
  <c r="H19" i="59"/>
  <c r="H12" i="59"/>
  <c r="G12" i="59"/>
  <c r="H45" i="59"/>
  <c r="G45" i="59"/>
  <c r="H21" i="59"/>
  <c r="G21" i="59"/>
  <c r="H34" i="59"/>
  <c r="G34" i="59"/>
  <c r="H15" i="59"/>
  <c r="G15" i="59"/>
  <c r="G36" i="59"/>
  <c r="H36" i="59"/>
  <c r="H30" i="59"/>
  <c r="G30" i="59"/>
  <c r="G27" i="59"/>
  <c r="H27" i="59"/>
  <c r="G48" i="59"/>
  <c r="H48" i="59"/>
  <c r="G18" i="59"/>
  <c r="H18" i="59"/>
  <c r="G7" i="59"/>
  <c r="H7" i="59"/>
  <c r="G40" i="59"/>
  <c r="H40" i="59"/>
  <c r="H49" i="59"/>
  <c r="H54" i="59"/>
  <c r="H52" i="59"/>
  <c r="H13" i="59"/>
  <c r="H22" i="59"/>
  <c r="H46" i="59"/>
  <c r="H16" i="59"/>
  <c r="H39" i="59"/>
  <c r="H9" i="59"/>
  <c r="H6" i="59"/>
  <c r="G55" i="59"/>
  <c r="G160" i="58"/>
  <c r="G7" i="58"/>
  <c r="H7" i="58"/>
  <c r="G57" i="58"/>
  <c r="H57" i="58"/>
  <c r="G123" i="58"/>
  <c r="H123" i="58"/>
  <c r="G120" i="58"/>
  <c r="H120" i="58"/>
  <c r="G66" i="58"/>
  <c r="H66" i="58"/>
  <c r="G148" i="58"/>
  <c r="H148" i="58"/>
  <c r="G6" i="58"/>
  <c r="H6" i="58"/>
  <c r="G100" i="58"/>
  <c r="H100" i="58"/>
  <c r="G45" i="58"/>
  <c r="H45" i="58"/>
  <c r="G10" i="58"/>
  <c r="H10" i="58"/>
  <c r="G84" i="58"/>
  <c r="H84" i="58"/>
  <c r="G108" i="58"/>
  <c r="H108" i="58"/>
  <c r="G69" i="58"/>
  <c r="H69" i="58"/>
  <c r="G46" i="58"/>
  <c r="H46" i="58"/>
  <c r="G79" i="58"/>
  <c r="H79" i="58"/>
  <c r="G96" i="58"/>
  <c r="H96" i="58"/>
  <c r="G88" i="58"/>
  <c r="H88" i="58"/>
  <c r="H99" i="58"/>
  <c r="G99" i="58"/>
  <c r="G49" i="58"/>
  <c r="H49" i="58"/>
  <c r="H112" i="58"/>
  <c r="G112" i="58"/>
  <c r="G22" i="58"/>
  <c r="H22" i="58"/>
  <c r="G90" i="58"/>
  <c r="H90" i="58"/>
  <c r="G97" i="58"/>
  <c r="H97" i="58"/>
  <c r="H78" i="58"/>
  <c r="G78" i="58"/>
  <c r="G111" i="58"/>
  <c r="H111" i="58"/>
  <c r="G142" i="58"/>
  <c r="H142" i="58"/>
  <c r="G127" i="58"/>
  <c r="H127" i="58"/>
  <c r="G30" i="58"/>
  <c r="H30" i="58"/>
  <c r="G115" i="58"/>
  <c r="H115" i="58"/>
  <c r="G133" i="58"/>
  <c r="H133" i="58"/>
  <c r="G21" i="58"/>
  <c r="H21" i="58"/>
  <c r="G15" i="58"/>
  <c r="H15" i="58"/>
  <c r="H16" i="58"/>
  <c r="G16" i="58"/>
  <c r="H153" i="58"/>
  <c r="G153" i="58"/>
  <c r="G129" i="58"/>
  <c r="H129" i="58"/>
  <c r="G117" i="58"/>
  <c r="H117" i="58"/>
  <c r="G136" i="58"/>
  <c r="H136" i="58"/>
  <c r="G58" i="58"/>
  <c r="H58" i="58"/>
  <c r="G109" i="58"/>
  <c r="H109" i="58"/>
  <c r="G103" i="58"/>
  <c r="H103" i="58"/>
  <c r="G25" i="58"/>
  <c r="H25" i="58"/>
  <c r="G12" i="58"/>
  <c r="H12" i="58"/>
  <c r="G87" i="58"/>
  <c r="H87" i="58"/>
  <c r="G145" i="58"/>
  <c r="H145" i="58"/>
  <c r="G31" i="58"/>
  <c r="H31" i="58"/>
  <c r="G42" i="58"/>
  <c r="H42" i="58"/>
  <c r="G64" i="58"/>
  <c r="H64" i="58"/>
  <c r="G24" i="58"/>
  <c r="H24" i="58"/>
  <c r="H150" i="58"/>
  <c r="G150" i="58"/>
  <c r="G55" i="58"/>
  <c r="H55" i="58"/>
  <c r="H37" i="58"/>
  <c r="G37" i="58"/>
  <c r="H135" i="58"/>
  <c r="G135" i="58"/>
  <c r="G126" i="58"/>
  <c r="H126" i="58"/>
  <c r="G61" i="58"/>
  <c r="G154" i="58"/>
  <c r="G151" i="58"/>
  <c r="G144" i="58"/>
  <c r="G52" i="58"/>
  <c r="H61" i="58"/>
  <c r="H154" i="58"/>
  <c r="H151" i="58"/>
  <c r="H144" i="58"/>
  <c r="H52" i="58"/>
  <c r="G139" i="58"/>
  <c r="H139" i="58"/>
  <c r="G36" i="58"/>
  <c r="H36" i="58"/>
  <c r="H48" i="58"/>
  <c r="G48" i="58"/>
  <c r="H106" i="58"/>
  <c r="G106" i="58"/>
  <c r="G13" i="58"/>
  <c r="H13" i="58"/>
  <c r="H82" i="58"/>
  <c r="G82" i="58"/>
  <c r="G138" i="58"/>
  <c r="H138" i="58"/>
  <c r="G132" i="58"/>
  <c r="H132" i="58"/>
  <c r="G72" i="58"/>
  <c r="H72" i="58"/>
  <c r="G70" i="58"/>
  <c r="H70" i="58"/>
  <c r="G51" i="58"/>
  <c r="H51" i="58"/>
  <c r="G102" i="58"/>
  <c r="H102" i="58"/>
  <c r="G67" i="58"/>
  <c r="H67" i="58"/>
  <c r="G73" i="58"/>
  <c r="H73" i="58"/>
  <c r="G28" i="58"/>
  <c r="H28" i="58"/>
  <c r="G121" i="58"/>
  <c r="H121" i="58"/>
  <c r="G105" i="58"/>
  <c r="H105" i="58"/>
  <c r="G124" i="58"/>
  <c r="H124" i="58"/>
  <c r="G93" i="58"/>
  <c r="H93" i="58"/>
  <c r="G19" i="58"/>
  <c r="H19" i="58"/>
  <c r="G9" i="58"/>
  <c r="H9" i="58"/>
  <c r="G91" i="58"/>
  <c r="H91" i="58"/>
  <c r="G94" i="58"/>
  <c r="H94" i="58"/>
  <c r="G54" i="58"/>
  <c r="H54" i="58"/>
  <c r="G147" i="58"/>
  <c r="H147" i="58"/>
  <c r="G85" i="58"/>
  <c r="H85" i="58"/>
  <c r="H27" i="58"/>
  <c r="G27" i="58"/>
  <c r="G141" i="58"/>
  <c r="H141" i="58"/>
  <c r="H34" i="58"/>
  <c r="G34" i="58"/>
  <c r="G81" i="58"/>
  <c r="H81" i="58"/>
  <c r="G43" i="58"/>
  <c r="H43" i="58"/>
  <c r="G75" i="58"/>
  <c r="H75" i="58"/>
  <c r="G63" i="58"/>
  <c r="H63" i="58"/>
  <c r="H18" i="58"/>
  <c r="G18" i="58"/>
  <c r="G114" i="58"/>
  <c r="H114" i="58"/>
  <c r="G76" i="58"/>
  <c r="H76" i="58"/>
  <c r="G60" i="58"/>
  <c r="H60" i="58"/>
  <c r="G118" i="58"/>
  <c r="H118" i="58"/>
  <c r="G130" i="58"/>
  <c r="H130" i="58"/>
  <c r="G39" i="58"/>
  <c r="H39" i="58"/>
  <c r="G33" i="58"/>
  <c r="H33" i="58"/>
  <c r="G40" i="58"/>
  <c r="H40" i="58"/>
  <c r="G156" i="58"/>
  <c r="H156" i="58"/>
  <c r="H157" i="58"/>
  <c r="G157" i="58"/>
  <c r="G177" i="57"/>
  <c r="H177" i="57"/>
  <c r="H73" i="57"/>
  <c r="G73" i="57"/>
  <c r="H84" i="57"/>
  <c r="G84" i="57"/>
  <c r="H105" i="57"/>
  <c r="G105" i="57"/>
  <c r="H168" i="57"/>
  <c r="G168" i="57"/>
  <c r="H112" i="57"/>
  <c r="G112" i="57"/>
  <c r="H102" i="57"/>
  <c r="G102" i="57"/>
  <c r="H106" i="57"/>
  <c r="G106" i="57"/>
  <c r="G127" i="57"/>
  <c r="H127" i="57"/>
  <c r="G70" i="57"/>
  <c r="H70" i="57"/>
  <c r="G175" i="57"/>
  <c r="H175" i="57"/>
  <c r="G120" i="57"/>
  <c r="H120" i="57"/>
  <c r="G49" i="57"/>
  <c r="H49" i="57"/>
  <c r="G141" i="57"/>
  <c r="H141" i="57"/>
  <c r="G22" i="57"/>
  <c r="H22" i="57"/>
  <c r="G142" i="57"/>
  <c r="H142" i="57"/>
  <c r="G115" i="57"/>
  <c r="H115" i="57"/>
  <c r="G118" i="57"/>
  <c r="H118" i="57"/>
  <c r="G10" i="57"/>
  <c r="H10" i="57"/>
  <c r="G147" i="57"/>
  <c r="H147" i="57"/>
  <c r="G94" i="57"/>
  <c r="H94" i="57"/>
  <c r="G81" i="57"/>
  <c r="H81" i="57"/>
  <c r="G25" i="57"/>
  <c r="H25" i="57"/>
  <c r="G58" i="57"/>
  <c r="H58" i="57"/>
  <c r="G108" i="57"/>
  <c r="H108" i="57"/>
  <c r="G64" i="57"/>
  <c r="H64" i="57"/>
  <c r="G100" i="57"/>
  <c r="H100" i="57"/>
  <c r="G153" i="57"/>
  <c r="H153" i="57"/>
  <c r="G151" i="57"/>
  <c r="H151" i="57"/>
  <c r="G99" i="57"/>
  <c r="H99" i="57"/>
  <c r="G7" i="57"/>
  <c r="H7" i="57"/>
  <c r="G13" i="57"/>
  <c r="H13" i="57"/>
  <c r="G123" i="57"/>
  <c r="H123" i="57"/>
  <c r="G150" i="57"/>
  <c r="H150" i="57"/>
  <c r="G42" i="57"/>
  <c r="H42" i="57"/>
  <c r="H96" i="57"/>
  <c r="G96" i="57"/>
  <c r="H87" i="57"/>
  <c r="G87" i="57"/>
  <c r="H52" i="57"/>
  <c r="G52" i="57"/>
  <c r="G72" i="57"/>
  <c r="H72" i="57"/>
  <c r="H157" i="57"/>
  <c r="G157" i="57"/>
  <c r="G163" i="57"/>
  <c r="H163" i="57"/>
  <c r="H48" i="57"/>
  <c r="G48" i="57"/>
  <c r="H111" i="57"/>
  <c r="G111" i="57"/>
  <c r="G82" i="57"/>
  <c r="H82" i="57"/>
  <c r="G40" i="57"/>
  <c r="H40" i="57"/>
  <c r="G63" i="57"/>
  <c r="H63" i="57"/>
  <c r="G145" i="57"/>
  <c r="H145" i="57"/>
  <c r="G156" i="57"/>
  <c r="H156" i="57"/>
  <c r="G66" i="57"/>
  <c r="H66" i="57"/>
  <c r="G97" i="57"/>
  <c r="H97" i="57"/>
  <c r="H103" i="57"/>
  <c r="H57" i="57"/>
  <c r="G130" i="57"/>
  <c r="H6" i="57"/>
  <c r="H130" i="57"/>
  <c r="H61" i="57"/>
  <c r="G61" i="57"/>
  <c r="G103" i="57"/>
  <c r="G57" i="57"/>
  <c r="G6" i="57"/>
  <c r="G148" i="57"/>
  <c r="H148" i="57"/>
  <c r="G166" i="57"/>
  <c r="H166" i="57"/>
  <c r="G114" i="57"/>
  <c r="H114" i="57"/>
  <c r="G34" i="57"/>
  <c r="H34" i="57"/>
  <c r="G90" i="57"/>
  <c r="H90" i="57"/>
  <c r="G165" i="57"/>
  <c r="H165" i="57"/>
  <c r="G129" i="57"/>
  <c r="H129" i="57"/>
  <c r="G28" i="57"/>
  <c r="H28" i="57"/>
  <c r="G109" i="57"/>
  <c r="H109" i="57"/>
  <c r="G154" i="57"/>
  <c r="H154" i="57"/>
  <c r="G24" i="57"/>
  <c r="H24" i="57"/>
  <c r="G19" i="57"/>
  <c r="H19" i="57"/>
  <c r="G93" i="57"/>
  <c r="H93" i="57"/>
  <c r="H51" i="57"/>
  <c r="G51" i="57"/>
  <c r="H31" i="57"/>
  <c r="G31" i="57"/>
  <c r="H117" i="57"/>
  <c r="G117" i="57"/>
  <c r="H171" i="57"/>
  <c r="G171" i="57"/>
  <c r="H79" i="57"/>
  <c r="G79" i="57"/>
  <c r="H55" i="57"/>
  <c r="G55" i="57"/>
  <c r="H30" i="57"/>
  <c r="G30" i="57"/>
  <c r="G37" i="57"/>
  <c r="H37" i="57"/>
  <c r="G78" i="57"/>
  <c r="H78" i="57"/>
  <c r="G139" i="57"/>
  <c r="H139" i="57"/>
  <c r="G91" i="57"/>
  <c r="H91" i="57"/>
  <c r="G46" i="57"/>
  <c r="H46" i="57"/>
  <c r="G172" i="57"/>
  <c r="H172" i="57"/>
  <c r="G45" i="57"/>
  <c r="H45" i="57"/>
  <c r="G12" i="57"/>
  <c r="H12" i="57"/>
  <c r="G85" i="57"/>
  <c r="H85" i="57"/>
  <c r="G21" i="57"/>
  <c r="H21" i="57"/>
  <c r="G132" i="57"/>
  <c r="H132" i="57"/>
  <c r="G76" i="57"/>
  <c r="H76" i="57"/>
  <c r="G124" i="57"/>
  <c r="H124" i="57"/>
  <c r="G75" i="57"/>
  <c r="H75" i="57"/>
  <c r="G169" i="57"/>
  <c r="H169" i="57"/>
  <c r="G144" i="57"/>
  <c r="H144" i="57"/>
  <c r="G18" i="57"/>
  <c r="H18" i="57"/>
  <c r="G54" i="57"/>
  <c r="H54" i="57"/>
  <c r="G15" i="57"/>
  <c r="H15" i="57"/>
  <c r="G133" i="57"/>
  <c r="H133" i="57"/>
  <c r="H126" i="57"/>
  <c r="G126" i="57"/>
  <c r="H60" i="57"/>
  <c r="G60" i="57"/>
  <c r="H162" i="57"/>
  <c r="G162" i="57"/>
  <c r="H69" i="57"/>
  <c r="G69" i="57"/>
  <c r="H136" i="57"/>
  <c r="G136" i="57"/>
  <c r="H88" i="57"/>
  <c r="G88" i="57"/>
  <c r="H33" i="57"/>
  <c r="G33" i="57"/>
  <c r="H138" i="57"/>
  <c r="G138" i="57"/>
  <c r="H67" i="57"/>
  <c r="G67" i="57"/>
  <c r="G27" i="57"/>
  <c r="H27" i="57"/>
  <c r="G9" i="57"/>
  <c r="H9" i="57"/>
  <c r="G159" i="57"/>
  <c r="H159" i="57"/>
  <c r="G43" i="57"/>
  <c r="H43" i="57"/>
  <c r="G174" i="57"/>
  <c r="H174" i="57"/>
  <c r="G160" i="57"/>
  <c r="H160" i="57"/>
  <c r="G16" i="57"/>
  <c r="H16" i="57"/>
  <c r="G135" i="57"/>
  <c r="H135" i="57"/>
  <c r="G36" i="57"/>
  <c r="H36" i="57"/>
  <c r="G39" i="57"/>
  <c r="H39" i="57"/>
  <c r="G121" i="57"/>
  <c r="H121" i="57"/>
  <c r="H51" i="56"/>
  <c r="G51" i="56"/>
  <c r="H24" i="56"/>
  <c r="G24" i="56"/>
  <c r="H84" i="56"/>
  <c r="G84" i="56"/>
  <c r="G145" i="56"/>
  <c r="H145" i="56"/>
  <c r="G108" i="56"/>
  <c r="H108" i="56"/>
  <c r="G120" i="56"/>
  <c r="H120" i="56"/>
  <c r="G7" i="56"/>
  <c r="H7" i="56"/>
  <c r="G57" i="56"/>
  <c r="H57" i="56"/>
  <c r="G75" i="56"/>
  <c r="H75" i="56"/>
  <c r="G81" i="56"/>
  <c r="H81" i="56"/>
  <c r="G118" i="56"/>
  <c r="H118" i="56"/>
  <c r="G66" i="56"/>
  <c r="H66" i="56"/>
  <c r="G147" i="56"/>
  <c r="H147" i="56"/>
  <c r="G43" i="56"/>
  <c r="H43" i="56"/>
  <c r="G10" i="56"/>
  <c r="H10" i="56"/>
  <c r="G37" i="56"/>
  <c r="H37" i="56"/>
  <c r="G76" i="56"/>
  <c r="H76" i="56"/>
  <c r="G40" i="56"/>
  <c r="H40" i="56"/>
  <c r="G148" i="56"/>
  <c r="H148" i="56"/>
  <c r="G67" i="56"/>
  <c r="H67" i="56"/>
  <c r="H102" i="56"/>
  <c r="G102" i="56"/>
  <c r="H69" i="56"/>
  <c r="G69" i="56"/>
  <c r="H99" i="56"/>
  <c r="G99" i="56"/>
  <c r="H19" i="56"/>
  <c r="G19" i="56"/>
  <c r="H55" i="56"/>
  <c r="G55" i="56"/>
  <c r="H103" i="56"/>
  <c r="G103" i="56"/>
  <c r="H73" i="56"/>
  <c r="G73" i="56"/>
  <c r="G15" i="56"/>
  <c r="H15" i="56"/>
  <c r="G54" i="56"/>
  <c r="H54" i="56"/>
  <c r="G72" i="56"/>
  <c r="H72" i="56"/>
  <c r="G42" i="56"/>
  <c r="H42" i="56"/>
  <c r="G21" i="56"/>
  <c r="H21" i="56"/>
  <c r="G138" i="56"/>
  <c r="H138" i="56"/>
  <c r="G133" i="56"/>
  <c r="H133" i="56"/>
  <c r="G34" i="56"/>
  <c r="H34" i="56"/>
  <c r="G63" i="56"/>
  <c r="H63" i="56"/>
  <c r="G91" i="56"/>
  <c r="H91" i="56"/>
  <c r="G30" i="56"/>
  <c r="H30" i="56"/>
  <c r="G124" i="56"/>
  <c r="H124" i="56"/>
  <c r="G111" i="56"/>
  <c r="H111" i="56"/>
  <c r="H36" i="56"/>
  <c r="G36" i="56"/>
  <c r="H141" i="56"/>
  <c r="G141" i="56"/>
  <c r="H39" i="56"/>
  <c r="G39" i="56"/>
  <c r="H123" i="56"/>
  <c r="G123" i="56"/>
  <c r="H13" i="56"/>
  <c r="G13" i="56"/>
  <c r="G85" i="56"/>
  <c r="H85" i="56"/>
  <c r="H136" i="56"/>
  <c r="G136" i="56"/>
  <c r="G142" i="56"/>
  <c r="H142" i="56"/>
  <c r="G126" i="56"/>
  <c r="H126" i="56"/>
  <c r="G31" i="56"/>
  <c r="H31" i="56"/>
  <c r="G45" i="56"/>
  <c r="H45" i="56"/>
  <c r="G78" i="56"/>
  <c r="H78" i="56"/>
  <c r="G106" i="56"/>
  <c r="H106" i="56"/>
  <c r="G100" i="56"/>
  <c r="H100" i="56"/>
  <c r="G82" i="56"/>
  <c r="H82" i="56"/>
  <c r="G117" i="56"/>
  <c r="H117" i="56"/>
  <c r="G79" i="56"/>
  <c r="H79" i="56"/>
  <c r="G88" i="56"/>
  <c r="H88" i="56"/>
  <c r="G132" i="56"/>
  <c r="H132" i="56"/>
  <c r="G121" i="56"/>
  <c r="H121" i="56"/>
  <c r="G28" i="56"/>
  <c r="H28" i="56"/>
  <c r="G46" i="56"/>
  <c r="H46" i="56"/>
  <c r="G52" i="56"/>
  <c r="H52" i="56"/>
  <c r="G96" i="56"/>
  <c r="H96" i="56"/>
  <c r="G94" i="56"/>
  <c r="H94" i="56"/>
  <c r="G105" i="56"/>
  <c r="H105" i="56"/>
  <c r="H93" i="56"/>
  <c r="G93" i="56"/>
  <c r="H127" i="56"/>
  <c r="G127" i="56"/>
  <c r="G49" i="56"/>
  <c r="H49" i="56"/>
  <c r="H109" i="56"/>
  <c r="G109" i="56"/>
  <c r="H112" i="56"/>
  <c r="G112" i="56"/>
  <c r="H60" i="56"/>
  <c r="G60" i="56"/>
  <c r="H25" i="56"/>
  <c r="G25" i="56"/>
  <c r="H9" i="56"/>
  <c r="G9" i="56"/>
  <c r="H70" i="56"/>
  <c r="G70" i="56"/>
  <c r="H58" i="56"/>
  <c r="G58" i="56"/>
  <c r="G129" i="56"/>
  <c r="H129" i="56"/>
  <c r="G150" i="56"/>
  <c r="H150" i="56"/>
  <c r="G61" i="56"/>
  <c r="H61" i="56"/>
  <c r="G6" i="56"/>
  <c r="H6" i="56"/>
  <c r="G16" i="56"/>
  <c r="H16" i="56"/>
  <c r="G33" i="56"/>
  <c r="H33" i="56"/>
  <c r="G90" i="56"/>
  <c r="H90" i="56"/>
  <c r="G97" i="56"/>
  <c r="H97" i="56"/>
  <c r="G135" i="56"/>
  <c r="H135" i="56"/>
  <c r="G64" i="56"/>
  <c r="H64" i="56"/>
  <c r="G87" i="56"/>
  <c r="H87" i="56"/>
  <c r="G151" i="56"/>
  <c r="H151" i="56"/>
  <c r="G48" i="56"/>
  <c r="H48" i="56"/>
  <c r="G12" i="56"/>
  <c r="H12" i="56"/>
  <c r="G27" i="56"/>
  <c r="H27" i="56"/>
  <c r="G22" i="56"/>
  <c r="H22" i="56"/>
  <c r="G18" i="56"/>
  <c r="H18" i="56"/>
  <c r="G114" i="56"/>
  <c r="H114" i="56"/>
  <c r="G115" i="56"/>
  <c r="H115" i="56"/>
  <c r="G139" i="56"/>
  <c r="H139" i="56"/>
  <c r="H144" i="56"/>
  <c r="G144" i="56"/>
  <c r="H130" i="56"/>
  <c r="G130" i="56"/>
  <c r="G42" i="55"/>
  <c r="H42" i="55"/>
  <c r="G10" i="55"/>
  <c r="H10" i="55"/>
  <c r="G81" i="55"/>
  <c r="H81" i="55"/>
  <c r="G28" i="55"/>
  <c r="H28" i="55"/>
  <c r="G39" i="55"/>
  <c r="H39" i="55"/>
  <c r="G75" i="55"/>
  <c r="H75" i="55"/>
  <c r="G97" i="55"/>
  <c r="H97" i="55"/>
  <c r="G72" i="55"/>
  <c r="H72" i="55"/>
  <c r="G99" i="55"/>
  <c r="H99" i="55"/>
  <c r="G21" i="55"/>
  <c r="H21" i="55"/>
  <c r="G9" i="55"/>
  <c r="H9" i="55"/>
  <c r="G36" i="55"/>
  <c r="H36" i="55"/>
  <c r="G31" i="55"/>
  <c r="H31" i="55"/>
  <c r="G84" i="55"/>
  <c r="H84" i="55"/>
  <c r="G45" i="55"/>
  <c r="H45" i="55"/>
  <c r="G15" i="55"/>
  <c r="H15" i="55"/>
  <c r="G27" i="55"/>
  <c r="H27" i="55"/>
  <c r="G70" i="55"/>
  <c r="H70" i="55"/>
  <c r="G40" i="55"/>
  <c r="H40" i="55"/>
  <c r="H63" i="55"/>
  <c r="G63" i="55"/>
  <c r="G25" i="55"/>
  <c r="H25" i="55"/>
  <c r="G96" i="55"/>
  <c r="H96" i="55"/>
  <c r="G66" i="55"/>
  <c r="H66" i="55"/>
  <c r="G58" i="55"/>
  <c r="H58" i="55"/>
  <c r="G16" i="55"/>
  <c r="H16" i="55"/>
  <c r="G69" i="55"/>
  <c r="H69" i="55"/>
  <c r="G51" i="55"/>
  <c r="H51" i="55"/>
  <c r="G78" i="55"/>
  <c r="H78" i="55"/>
  <c r="G93" i="55"/>
  <c r="H93" i="55"/>
  <c r="G79" i="55"/>
  <c r="H79" i="55"/>
  <c r="G19" i="55"/>
  <c r="H19" i="55"/>
  <c r="G82" i="55"/>
  <c r="H82" i="55"/>
  <c r="G61" i="55"/>
  <c r="H61" i="55"/>
  <c r="G34" i="55"/>
  <c r="H34" i="55"/>
  <c r="G67" i="55"/>
  <c r="H67" i="55"/>
  <c r="G76" i="55"/>
  <c r="H76" i="55"/>
  <c r="G37" i="55"/>
  <c r="H37" i="55"/>
  <c r="G18" i="55"/>
  <c r="H18" i="55"/>
  <c r="G55" i="55"/>
  <c r="H55" i="55"/>
  <c r="G90" i="55"/>
  <c r="H90" i="55"/>
  <c r="G87" i="55"/>
  <c r="H87" i="55"/>
  <c r="G43" i="55"/>
  <c r="H43" i="55"/>
  <c r="G12" i="55"/>
  <c r="H12" i="55"/>
  <c r="G64" i="55"/>
  <c r="H64" i="55"/>
  <c r="G94" i="55"/>
  <c r="H94" i="55"/>
  <c r="G33" i="55"/>
  <c r="H33" i="55"/>
  <c r="G24" i="55"/>
  <c r="H24" i="55"/>
  <c r="G101" i="55"/>
  <c r="H101" i="55"/>
  <c r="G6" i="55"/>
  <c r="H6" i="55"/>
  <c r="G52" i="55"/>
  <c r="H52" i="55"/>
  <c r="G85" i="55"/>
  <c r="H85" i="55"/>
  <c r="G30" i="55"/>
  <c r="H30" i="55"/>
  <c r="G48" i="55"/>
  <c r="H48" i="55"/>
  <c r="G73" i="55"/>
  <c r="H73" i="55"/>
  <c r="G22" i="55"/>
  <c r="H22" i="55"/>
  <c r="G91" i="55"/>
  <c r="H91" i="55"/>
  <c r="G60" i="55"/>
  <c r="H60" i="55"/>
  <c r="G49" i="55"/>
  <c r="H49" i="55"/>
  <c r="G13" i="55"/>
  <c r="H13" i="55"/>
  <c r="G7" i="55"/>
  <c r="H7" i="55"/>
  <c r="G57" i="55"/>
  <c r="H57" i="55"/>
  <c r="G88" i="55"/>
  <c r="H88" i="55"/>
  <c r="G54" i="55"/>
  <c r="H54" i="55"/>
  <c r="H46" i="55"/>
  <c r="G46" i="55"/>
  <c r="G90" i="54"/>
  <c r="G72" i="54"/>
  <c r="H72" i="54"/>
  <c r="G10" i="54"/>
  <c r="H10" i="54"/>
  <c r="G39" i="54"/>
  <c r="H39" i="54"/>
  <c r="G21" i="54"/>
  <c r="H21" i="54"/>
  <c r="G12" i="54"/>
  <c r="H12" i="54"/>
  <c r="G81" i="54"/>
  <c r="H81" i="54"/>
  <c r="G18" i="54"/>
  <c r="H18" i="54"/>
  <c r="G61" i="54"/>
  <c r="H61" i="54"/>
  <c r="G22" i="54"/>
  <c r="H22" i="54"/>
  <c r="G15" i="54"/>
  <c r="H15" i="54"/>
  <c r="G49" i="54"/>
  <c r="H49" i="54"/>
  <c r="G30" i="54"/>
  <c r="H30" i="54"/>
  <c r="G87" i="54"/>
  <c r="H87" i="54"/>
  <c r="H63" i="54"/>
  <c r="G63" i="54"/>
  <c r="G19" i="54"/>
  <c r="H19" i="54"/>
  <c r="G48" i="54"/>
  <c r="H48" i="54"/>
  <c r="G37" i="54"/>
  <c r="H37" i="54"/>
  <c r="G42" i="54"/>
  <c r="H42" i="54"/>
  <c r="G46" i="54"/>
  <c r="H46" i="54"/>
  <c r="G27" i="54"/>
  <c r="H27" i="54"/>
  <c r="G36" i="54"/>
  <c r="H36" i="54"/>
  <c r="G84" i="54"/>
  <c r="H84" i="54"/>
  <c r="G58" i="54"/>
  <c r="H58" i="54"/>
  <c r="G67" i="54"/>
  <c r="H67" i="54"/>
  <c r="G7" i="54"/>
  <c r="H7" i="54"/>
  <c r="G66" i="54"/>
  <c r="H66" i="54"/>
  <c r="H25" i="54"/>
  <c r="G25" i="54"/>
  <c r="G69" i="54"/>
  <c r="H69" i="54"/>
  <c r="G70" i="54"/>
  <c r="H70" i="54"/>
  <c r="G85" i="54"/>
  <c r="H85" i="54"/>
  <c r="G82" i="54"/>
  <c r="H82" i="54"/>
  <c r="G13" i="54"/>
  <c r="H13" i="54"/>
  <c r="G45" i="54"/>
  <c r="H45" i="54"/>
  <c r="G40" i="54"/>
  <c r="H40" i="54"/>
  <c r="G33" i="54"/>
  <c r="H33" i="54"/>
  <c r="G52" i="54"/>
  <c r="H52" i="54"/>
  <c r="G24" i="54"/>
  <c r="H24" i="54"/>
  <c r="G9" i="54"/>
  <c r="H9" i="54"/>
  <c r="G51" i="54"/>
  <c r="H51" i="54"/>
  <c r="H88" i="54"/>
  <c r="H34" i="54"/>
  <c r="H28" i="54"/>
  <c r="H55" i="54"/>
  <c r="H64" i="54"/>
  <c r="H78" i="54"/>
  <c r="H54" i="54"/>
  <c r="H60" i="54"/>
  <c r="H79" i="54"/>
  <c r="H57" i="54"/>
  <c r="H31" i="54"/>
  <c r="H6" i="54"/>
  <c r="H16" i="54"/>
  <c r="H75" i="54"/>
  <c r="H73" i="54"/>
  <c r="H43" i="54"/>
  <c r="H76" i="54"/>
  <c r="G76" i="54"/>
  <c r="H63" i="53"/>
  <c r="G40" i="53"/>
  <c r="H40" i="53"/>
  <c r="G27" i="53"/>
  <c r="H27" i="53"/>
  <c r="H51" i="53"/>
  <c r="G51" i="53"/>
  <c r="G24" i="53"/>
  <c r="H24" i="53"/>
  <c r="G15" i="53"/>
  <c r="H15" i="53"/>
  <c r="G43" i="53"/>
  <c r="H43" i="53"/>
  <c r="H12" i="53"/>
  <c r="G12" i="53"/>
  <c r="H37" i="53"/>
  <c r="G37" i="53"/>
  <c r="H7" i="53"/>
  <c r="G7" i="53"/>
  <c r="H9" i="53"/>
  <c r="G9" i="53"/>
  <c r="H30" i="53"/>
  <c r="G30" i="53"/>
  <c r="H25" i="53"/>
  <c r="G25" i="53"/>
  <c r="G46" i="53"/>
  <c r="H46" i="53"/>
  <c r="G45" i="53"/>
  <c r="H45" i="53"/>
  <c r="G10" i="53"/>
  <c r="H10" i="53"/>
  <c r="G33" i="53"/>
  <c r="H33" i="53"/>
  <c r="H58" i="53"/>
  <c r="G58" i="53"/>
  <c r="H36" i="53"/>
  <c r="G36" i="53"/>
  <c r="G55" i="53"/>
  <c r="H55" i="53"/>
  <c r="G28" i="53"/>
  <c r="H28" i="53"/>
  <c r="G39" i="53"/>
  <c r="H39" i="53"/>
  <c r="G31" i="53"/>
  <c r="H31" i="53"/>
  <c r="G54" i="53"/>
  <c r="H54" i="53"/>
  <c r="G13" i="53"/>
  <c r="H13" i="53"/>
  <c r="G21" i="53"/>
  <c r="H21" i="53"/>
  <c r="G52" i="53"/>
  <c r="H52" i="53"/>
  <c r="H22" i="53"/>
  <c r="G22" i="53"/>
  <c r="H19" i="53"/>
  <c r="G19" i="53"/>
  <c r="H49" i="53"/>
  <c r="G49" i="53"/>
  <c r="H48" i="53"/>
  <c r="G48" i="53"/>
  <c r="G16" i="53"/>
  <c r="H16" i="53"/>
  <c r="G42" i="53"/>
  <c r="H42" i="53"/>
  <c r="G60" i="53"/>
  <c r="H60" i="53"/>
  <c r="G6" i="53"/>
  <c r="H6" i="53"/>
  <c r="G18" i="53"/>
  <c r="H18" i="53"/>
  <c r="G34" i="53"/>
  <c r="H34" i="53"/>
  <c r="G57" i="53"/>
  <c r="H57" i="53"/>
  <c r="G61" i="53"/>
  <c r="H61" i="53"/>
  <c r="H150" i="52"/>
  <c r="G150" i="52"/>
  <c r="H66" i="52"/>
  <c r="G66" i="52"/>
  <c r="G61" i="52"/>
  <c r="H61" i="52"/>
  <c r="G97" i="52"/>
  <c r="H97" i="52"/>
  <c r="G52" i="52"/>
  <c r="H52" i="52"/>
  <c r="G99" i="52"/>
  <c r="H99" i="52"/>
  <c r="G25" i="52"/>
  <c r="H25" i="52"/>
  <c r="G51" i="52"/>
  <c r="H51" i="52"/>
  <c r="G18" i="52"/>
  <c r="H18" i="52"/>
  <c r="G40" i="52"/>
  <c r="H40" i="52"/>
  <c r="G85" i="52"/>
  <c r="H85" i="52"/>
  <c r="G126" i="52"/>
  <c r="H126" i="52"/>
  <c r="G133" i="52"/>
  <c r="H133" i="52"/>
  <c r="G39" i="52"/>
  <c r="H39" i="52"/>
  <c r="G106" i="52"/>
  <c r="H106" i="52"/>
  <c r="G144" i="52"/>
  <c r="H144" i="52"/>
  <c r="G93" i="52"/>
  <c r="H93" i="52"/>
  <c r="G84" i="52"/>
  <c r="H129" i="52"/>
  <c r="G42" i="52"/>
  <c r="G112" i="52"/>
  <c r="H112" i="52"/>
  <c r="G129" i="52"/>
  <c r="H42" i="52"/>
  <c r="H84" i="52"/>
  <c r="G124" i="52"/>
  <c r="H124" i="52"/>
  <c r="G139" i="52"/>
  <c r="H139" i="52"/>
  <c r="G57" i="52"/>
  <c r="H57" i="52"/>
  <c r="G49" i="52"/>
  <c r="H49" i="52"/>
  <c r="G72" i="52"/>
  <c r="H72" i="52"/>
  <c r="G100" i="52"/>
  <c r="H100" i="52"/>
  <c r="G127" i="52"/>
  <c r="H127" i="52"/>
  <c r="G108" i="52"/>
  <c r="H108" i="52"/>
  <c r="G73" i="52"/>
  <c r="H73" i="52"/>
  <c r="H148" i="52"/>
  <c r="G148" i="52"/>
  <c r="G67" i="52"/>
  <c r="H67" i="52"/>
  <c r="G34" i="52"/>
  <c r="H34" i="52"/>
  <c r="G78" i="52"/>
  <c r="H78" i="52"/>
  <c r="H31" i="52"/>
  <c r="G31" i="52"/>
  <c r="G142" i="52"/>
  <c r="H142" i="52"/>
  <c r="G132" i="52"/>
  <c r="H132" i="52"/>
  <c r="G36" i="52"/>
  <c r="H36" i="52"/>
  <c r="G13" i="52"/>
  <c r="H13" i="52"/>
  <c r="G87" i="52"/>
  <c r="H87" i="52"/>
  <c r="G147" i="52"/>
  <c r="H147" i="52"/>
  <c r="G79" i="52"/>
  <c r="H79" i="52"/>
  <c r="G136" i="52"/>
  <c r="H136" i="52"/>
  <c r="G102" i="52"/>
  <c r="H102" i="52"/>
  <c r="G16" i="52"/>
  <c r="H16" i="52"/>
  <c r="G15" i="52"/>
  <c r="H15" i="52"/>
  <c r="G48" i="52"/>
  <c r="H48" i="52"/>
  <c r="G111" i="52"/>
  <c r="H111" i="52"/>
  <c r="G94" i="52"/>
  <c r="H94" i="52"/>
  <c r="G60" i="52"/>
  <c r="H60" i="52"/>
  <c r="G28" i="52"/>
  <c r="H28" i="52"/>
  <c r="G120" i="52"/>
  <c r="H120" i="52"/>
  <c r="G141" i="52"/>
  <c r="H141" i="52"/>
  <c r="H105" i="52"/>
  <c r="G105" i="52"/>
  <c r="G22" i="52"/>
  <c r="H22" i="52"/>
  <c r="H91" i="52"/>
  <c r="G91" i="52"/>
  <c r="G12" i="52"/>
  <c r="H12" i="52"/>
  <c r="G103" i="52"/>
  <c r="H103" i="52"/>
  <c r="G75" i="52"/>
  <c r="H75" i="52"/>
  <c r="G43" i="52"/>
  <c r="H43" i="52"/>
  <c r="G54" i="52"/>
  <c r="H54" i="52"/>
  <c r="G117" i="52"/>
  <c r="H117" i="52"/>
  <c r="G63" i="52"/>
  <c r="H63" i="52"/>
  <c r="G135" i="52"/>
  <c r="H135" i="52"/>
  <c r="G115" i="52"/>
  <c r="H115" i="52"/>
  <c r="G9" i="52"/>
  <c r="H9" i="52"/>
  <c r="G130" i="52"/>
  <c r="H130" i="52"/>
  <c r="G121" i="52"/>
  <c r="H121" i="52"/>
  <c r="G27" i="52"/>
  <c r="H27" i="52"/>
  <c r="G58" i="52"/>
  <c r="H58" i="52"/>
  <c r="G69" i="52"/>
  <c r="H69" i="52"/>
  <c r="G81" i="52"/>
  <c r="H81" i="52"/>
  <c r="G90" i="52"/>
  <c r="H90" i="52"/>
  <c r="G24" i="52"/>
  <c r="H24" i="52"/>
  <c r="G6" i="52"/>
  <c r="H6" i="52"/>
  <c r="G7" i="52"/>
  <c r="H7" i="52"/>
  <c r="G46" i="52"/>
  <c r="H46" i="52"/>
  <c r="G145" i="52"/>
  <c r="H145" i="52"/>
  <c r="H123" i="52"/>
  <c r="G123" i="52"/>
  <c r="G82" i="52"/>
  <c r="H82" i="52"/>
  <c r="G21" i="52"/>
  <c r="H21" i="52"/>
  <c r="G33" i="52"/>
  <c r="H33" i="52"/>
  <c r="G45" i="52"/>
  <c r="H45" i="52"/>
  <c r="G88" i="52"/>
  <c r="H88" i="52"/>
  <c r="G118" i="52"/>
  <c r="H118" i="52"/>
  <c r="G96" i="52"/>
  <c r="H96" i="52"/>
  <c r="G64" i="52"/>
  <c r="H64" i="52"/>
  <c r="G76" i="52"/>
  <c r="H76" i="52"/>
  <c r="G70" i="52"/>
  <c r="H70" i="52"/>
  <c r="G10" i="52"/>
  <c r="H10" i="52"/>
  <c r="G37" i="52"/>
  <c r="H37" i="52"/>
  <c r="G19" i="52"/>
  <c r="H19" i="52"/>
  <c r="G30" i="52"/>
  <c r="H30" i="52"/>
  <c r="G55" i="52"/>
  <c r="H55" i="52"/>
  <c r="G109" i="52"/>
  <c r="H109" i="52"/>
  <c r="H138" i="52"/>
  <c r="H114" i="52"/>
  <c r="G114" i="52"/>
  <c r="G138" i="52"/>
  <c r="G9" i="51"/>
  <c r="H9" i="51"/>
  <c r="G7" i="51"/>
  <c r="H7" i="51"/>
  <c r="H13" i="51"/>
  <c r="G13" i="51"/>
  <c r="G15" i="51"/>
  <c r="H15" i="51"/>
  <c r="G19" i="51"/>
  <c r="H19" i="51"/>
  <c r="H16" i="51"/>
  <c r="G16" i="51"/>
  <c r="G31" i="51"/>
  <c r="H31" i="51"/>
  <c r="G6" i="51"/>
  <c r="H6" i="51"/>
  <c r="H30" i="51"/>
  <c r="G30" i="51"/>
  <c r="G28" i="51"/>
  <c r="H28" i="51"/>
  <c r="G33" i="51"/>
  <c r="H33" i="51"/>
  <c r="G21" i="51"/>
  <c r="H21" i="51"/>
  <c r="G25" i="51"/>
  <c r="H25" i="51"/>
  <c r="G18" i="51"/>
  <c r="H18" i="51"/>
  <c r="H34" i="51"/>
  <c r="G34" i="51"/>
  <c r="H24" i="51"/>
  <c r="G24" i="51"/>
  <c r="G22" i="51"/>
  <c r="H22" i="51"/>
  <c r="G27" i="51"/>
  <c r="H27" i="51"/>
  <c r="G10" i="51"/>
  <c r="H10" i="51"/>
  <c r="G12" i="51"/>
  <c r="H12" i="51"/>
  <c r="H63" i="50"/>
  <c r="G63" i="50"/>
  <c r="G123" i="50"/>
  <c r="H123" i="50"/>
  <c r="G105" i="50"/>
  <c r="H105" i="50"/>
  <c r="G78" i="50"/>
  <c r="H78" i="50"/>
  <c r="G52" i="50"/>
  <c r="H52" i="50"/>
  <c r="G43" i="50"/>
  <c r="H43" i="50"/>
  <c r="G64" i="50"/>
  <c r="H64" i="50"/>
  <c r="G24" i="50"/>
  <c r="H24" i="50"/>
  <c r="G42" i="50"/>
  <c r="H42" i="50"/>
  <c r="G57" i="50"/>
  <c r="H57" i="50"/>
  <c r="G121" i="50"/>
  <c r="H121" i="50"/>
  <c r="G142" i="50"/>
  <c r="H142" i="50"/>
  <c r="G147" i="50"/>
  <c r="H147" i="50"/>
  <c r="G127" i="50"/>
  <c r="H127" i="50"/>
  <c r="G55" i="50"/>
  <c r="H55" i="50"/>
  <c r="G54" i="50"/>
  <c r="H54" i="50"/>
  <c r="G75" i="50"/>
  <c r="H75" i="50"/>
  <c r="G79" i="50"/>
  <c r="H79" i="50"/>
  <c r="G31" i="50"/>
  <c r="H31" i="50"/>
  <c r="G61" i="50"/>
  <c r="H61" i="50"/>
  <c r="G130" i="50"/>
  <c r="H130" i="50"/>
  <c r="G151" i="50"/>
  <c r="H151" i="50"/>
  <c r="G153" i="50"/>
  <c r="H153" i="50"/>
  <c r="G135" i="50"/>
  <c r="H135" i="50"/>
  <c r="G141" i="50"/>
  <c r="H141" i="50"/>
  <c r="G81" i="50"/>
  <c r="H81" i="50"/>
  <c r="G69" i="50"/>
  <c r="H69" i="50"/>
  <c r="G30" i="50"/>
  <c r="H30" i="50"/>
  <c r="G115" i="50"/>
  <c r="H115" i="50"/>
  <c r="G91" i="50"/>
  <c r="H91" i="50"/>
  <c r="G72" i="50"/>
  <c r="H72" i="50"/>
  <c r="G22" i="50"/>
  <c r="H22" i="50"/>
  <c r="G6" i="50"/>
  <c r="H6" i="50"/>
  <c r="G7" i="50"/>
  <c r="H7" i="50"/>
  <c r="G159" i="50"/>
  <c r="H159" i="50"/>
  <c r="G133" i="50"/>
  <c r="H133" i="50"/>
  <c r="G148" i="50"/>
  <c r="H148" i="50"/>
  <c r="G27" i="50"/>
  <c r="H27" i="50"/>
  <c r="G51" i="50"/>
  <c r="H51" i="50"/>
  <c r="G66" i="50"/>
  <c r="H66" i="50"/>
  <c r="G87" i="50"/>
  <c r="H87" i="50"/>
  <c r="G94" i="50"/>
  <c r="H94" i="50"/>
  <c r="G19" i="50"/>
  <c r="H19" i="50"/>
  <c r="G145" i="50"/>
  <c r="H145" i="50"/>
  <c r="G9" i="50"/>
  <c r="H9" i="50"/>
  <c r="G157" i="50"/>
  <c r="H157" i="50"/>
  <c r="G126" i="50"/>
  <c r="H126" i="50"/>
  <c r="G39" i="50"/>
  <c r="H39" i="50"/>
  <c r="G70" i="50"/>
  <c r="H70" i="50"/>
  <c r="G82" i="50"/>
  <c r="H82" i="50"/>
  <c r="G21" i="50"/>
  <c r="H21" i="50"/>
  <c r="G103" i="50"/>
  <c r="H103" i="50"/>
  <c r="H40" i="50"/>
  <c r="G40" i="50"/>
  <c r="G109" i="50"/>
  <c r="H109" i="50"/>
  <c r="G97" i="50"/>
  <c r="H97" i="50"/>
  <c r="G33" i="50"/>
  <c r="H33" i="50"/>
  <c r="H84" i="50"/>
  <c r="G84" i="50"/>
  <c r="H67" i="50"/>
  <c r="G67" i="50"/>
  <c r="G25" i="50"/>
  <c r="H25" i="50"/>
  <c r="G154" i="50"/>
  <c r="H154" i="50"/>
  <c r="G120" i="50"/>
  <c r="H120" i="50"/>
  <c r="G150" i="50"/>
  <c r="H150" i="50"/>
  <c r="G106" i="50"/>
  <c r="H106" i="50"/>
  <c r="G48" i="50"/>
  <c r="H48" i="50"/>
  <c r="G73" i="50"/>
  <c r="H73" i="50"/>
  <c r="G102" i="50"/>
  <c r="H102" i="50"/>
  <c r="G99" i="50"/>
  <c r="H99" i="50"/>
  <c r="H156" i="50"/>
  <c r="G156" i="50"/>
  <c r="G111" i="50"/>
  <c r="H111" i="50"/>
  <c r="G118" i="50"/>
  <c r="H118" i="50"/>
  <c r="G139" i="50"/>
  <c r="H139" i="50"/>
  <c r="G124" i="50"/>
  <c r="H124" i="50"/>
  <c r="G100" i="50"/>
  <c r="H100" i="50"/>
  <c r="G60" i="50"/>
  <c r="H60" i="50"/>
  <c r="G112" i="50"/>
  <c r="H112" i="50"/>
  <c r="G49" i="50"/>
  <c r="H49" i="50"/>
  <c r="G34" i="50"/>
  <c r="H34" i="50"/>
  <c r="G10" i="50"/>
  <c r="H10" i="50"/>
  <c r="G12" i="50"/>
  <c r="H12" i="50"/>
  <c r="G132" i="50"/>
  <c r="H132" i="50"/>
  <c r="G18" i="50"/>
  <c r="H18" i="50"/>
  <c r="G114" i="50"/>
  <c r="H114" i="50"/>
  <c r="G93" i="50"/>
  <c r="H93" i="50"/>
  <c r="G36" i="50"/>
  <c r="H36" i="50"/>
  <c r="G13" i="50"/>
  <c r="H13" i="50"/>
  <c r="G144" i="50"/>
  <c r="H144" i="50"/>
  <c r="G46" i="50"/>
  <c r="H46" i="50"/>
  <c r="G90" i="50"/>
  <c r="H90" i="50"/>
  <c r="G45" i="50"/>
  <c r="H45" i="50"/>
  <c r="G37" i="50"/>
  <c r="H37" i="50"/>
  <c r="G16" i="50"/>
  <c r="H16" i="50"/>
  <c r="G117" i="50"/>
  <c r="H117" i="50"/>
  <c r="G85" i="50"/>
  <c r="H85" i="50"/>
  <c r="G160" i="50"/>
  <c r="H160" i="50"/>
  <c r="G138" i="50"/>
  <c r="H138" i="50"/>
  <c r="G129" i="50"/>
  <c r="H129" i="50"/>
  <c r="G88" i="50"/>
  <c r="H88" i="50"/>
  <c r="G96" i="50"/>
  <c r="H96" i="50"/>
  <c r="G76" i="50"/>
  <c r="H76" i="50"/>
  <c r="G58" i="50"/>
  <c r="H58" i="50"/>
  <c r="G28" i="50"/>
  <c r="H28" i="50"/>
  <c r="G15" i="50"/>
  <c r="H15" i="50"/>
  <c r="G108" i="50"/>
  <c r="H108" i="50"/>
  <c r="H136" i="50"/>
  <c r="G136" i="50"/>
  <c r="G152" i="49"/>
  <c r="G81" i="49"/>
  <c r="G34" i="49"/>
  <c r="G10" i="49"/>
  <c r="G105" i="49"/>
  <c r="G106" i="49"/>
  <c r="G9" i="49"/>
  <c r="G55" i="49"/>
  <c r="G138" i="49"/>
  <c r="G60" i="49"/>
  <c r="G12" i="49"/>
  <c r="G84" i="49"/>
  <c r="G46" i="49"/>
  <c r="G93" i="49"/>
  <c r="G43" i="49"/>
  <c r="G22" i="49"/>
  <c r="G18" i="49"/>
  <c r="G130" i="49"/>
  <c r="G123" i="49"/>
  <c r="G115" i="49"/>
  <c r="G75" i="49"/>
  <c r="G136" i="49"/>
  <c r="G54" i="49"/>
  <c r="G111" i="49"/>
  <c r="H129" i="49"/>
  <c r="G129" i="49"/>
  <c r="H73" i="49"/>
  <c r="G73" i="49"/>
  <c r="H70" i="49"/>
  <c r="G70" i="49"/>
  <c r="H33" i="49"/>
  <c r="G33" i="49"/>
  <c r="H40" i="49"/>
  <c r="G40" i="49"/>
  <c r="H64" i="49"/>
  <c r="G64" i="49"/>
  <c r="H145" i="49"/>
  <c r="G145" i="49"/>
  <c r="G67" i="49"/>
  <c r="H67" i="49"/>
  <c r="G117" i="49"/>
  <c r="H117" i="49"/>
  <c r="G28" i="49"/>
  <c r="H28" i="49"/>
  <c r="G72" i="49"/>
  <c r="H72" i="49"/>
  <c r="G114" i="49"/>
  <c r="H114" i="49"/>
  <c r="G66" i="49"/>
  <c r="H66" i="49"/>
  <c r="G21" i="49"/>
  <c r="H21" i="49"/>
  <c r="G45" i="49"/>
  <c r="H45" i="49"/>
  <c r="G7" i="49"/>
  <c r="H7" i="49"/>
  <c r="G147" i="49"/>
  <c r="H147" i="49"/>
  <c r="G144" i="49"/>
  <c r="H144" i="49"/>
  <c r="H42" i="49"/>
  <c r="G42" i="49"/>
  <c r="H94" i="49"/>
  <c r="G94" i="49"/>
  <c r="H121" i="49"/>
  <c r="G121" i="49"/>
  <c r="H142" i="49"/>
  <c r="G142" i="49"/>
  <c r="H13" i="49"/>
  <c r="G13" i="49"/>
  <c r="H58" i="49"/>
  <c r="G58" i="49"/>
  <c r="H52" i="49"/>
  <c r="G52" i="49"/>
  <c r="G57" i="49"/>
  <c r="H57" i="49"/>
  <c r="H96" i="49"/>
  <c r="G96" i="49"/>
  <c r="H99" i="49"/>
  <c r="G99" i="49"/>
  <c r="H90" i="49"/>
  <c r="G90" i="49"/>
  <c r="G27" i="49"/>
  <c r="H27" i="49"/>
  <c r="H49" i="49"/>
  <c r="G49" i="49"/>
  <c r="H141" i="49"/>
  <c r="G141" i="49"/>
  <c r="H6" i="49"/>
  <c r="G6" i="49"/>
  <c r="G69" i="49"/>
  <c r="H69" i="49"/>
  <c r="G132" i="49"/>
  <c r="H132" i="49"/>
  <c r="G97" i="49"/>
  <c r="H97" i="49"/>
  <c r="G102" i="49"/>
  <c r="H102" i="49"/>
  <c r="G88" i="49"/>
  <c r="H88" i="49"/>
  <c r="G103" i="49"/>
  <c r="H103" i="49"/>
  <c r="G31" i="49"/>
  <c r="H31" i="49"/>
  <c r="G36" i="49"/>
  <c r="H36" i="49"/>
  <c r="G91" i="49"/>
  <c r="H91" i="49"/>
  <c r="G127" i="49"/>
  <c r="H127" i="49"/>
  <c r="H61" i="49"/>
  <c r="G61" i="49"/>
  <c r="H78" i="49"/>
  <c r="G78" i="49"/>
  <c r="H37" i="49"/>
  <c r="G37" i="49"/>
  <c r="H82" i="49"/>
  <c r="G82" i="49"/>
  <c r="H24" i="49"/>
  <c r="G24" i="49"/>
  <c r="H100" i="49"/>
  <c r="G100" i="49"/>
  <c r="H30" i="49"/>
  <c r="G30" i="49"/>
  <c r="H112" i="49"/>
  <c r="G112" i="49"/>
  <c r="H25" i="49"/>
  <c r="G25" i="49"/>
  <c r="H15" i="49"/>
  <c r="G15" i="49"/>
  <c r="H51" i="49"/>
  <c r="G51" i="49"/>
  <c r="H135" i="49"/>
  <c r="G135" i="49"/>
  <c r="G108" i="49"/>
  <c r="H108" i="49"/>
  <c r="G124" i="49"/>
  <c r="H124" i="49"/>
  <c r="G87" i="49"/>
  <c r="H87" i="49"/>
  <c r="G133" i="49"/>
  <c r="H133" i="49"/>
  <c r="G126" i="49"/>
  <c r="H126" i="49"/>
  <c r="G109" i="49"/>
  <c r="H109" i="49"/>
  <c r="G79" i="49"/>
  <c r="H79" i="49"/>
  <c r="G63" i="49"/>
  <c r="H63" i="49"/>
  <c r="G19" i="49"/>
  <c r="H19" i="49"/>
  <c r="G16" i="49"/>
  <c r="H16" i="49"/>
  <c r="G139" i="49"/>
  <c r="H139" i="49"/>
  <c r="H148" i="49"/>
  <c r="H54" i="49"/>
  <c r="H118" i="49"/>
  <c r="H120" i="49"/>
  <c r="H76" i="49"/>
  <c r="H75" i="49"/>
  <c r="H84" i="49"/>
  <c r="H115" i="49"/>
  <c r="H85" i="49"/>
  <c r="H93" i="49"/>
  <c r="H81" i="49"/>
  <c r="H60" i="49"/>
  <c r="H111" i="49"/>
  <c r="H106" i="49"/>
  <c r="H22" i="49"/>
  <c r="H34" i="49"/>
  <c r="H46" i="49"/>
  <c r="H55" i="49"/>
  <c r="H43" i="49"/>
  <c r="H48" i="49"/>
  <c r="H10" i="49"/>
  <c r="H12" i="49"/>
  <c r="H18" i="49"/>
  <c r="H9" i="49"/>
  <c r="H39" i="49"/>
  <c r="H138" i="49"/>
  <c r="H130" i="49"/>
  <c r="H136" i="49"/>
  <c r="H105" i="49"/>
  <c r="H123" i="49"/>
  <c r="H150" i="49"/>
  <c r="G150" i="49"/>
  <c r="G5" i="48"/>
  <c r="G24" i="48" s="1"/>
  <c r="H24" i="48"/>
  <c r="G95" i="47"/>
  <c r="G67" i="47"/>
  <c r="G63" i="47"/>
  <c r="G66" i="47"/>
  <c r="G113" i="47"/>
  <c r="G38" i="47"/>
  <c r="G36" i="47"/>
  <c r="G9" i="47"/>
  <c r="G86" i="47"/>
  <c r="G14" i="47"/>
  <c r="G17" i="47"/>
  <c r="G84" i="47"/>
  <c r="G110" i="47"/>
  <c r="G29" i="47"/>
  <c r="G79" i="47"/>
  <c r="G28" i="47"/>
  <c r="G34" i="47"/>
  <c r="G106" i="47"/>
  <c r="G117" i="47"/>
  <c r="G62" i="47"/>
  <c r="G16" i="47"/>
  <c r="G96" i="47"/>
  <c r="G97" i="47"/>
  <c r="G40" i="47"/>
  <c r="G44" i="47"/>
  <c r="G53" i="47"/>
  <c r="G64" i="47"/>
  <c r="G114" i="47"/>
  <c r="G81" i="47"/>
  <c r="G83" i="47"/>
  <c r="G21" i="47"/>
  <c r="G70" i="47"/>
  <c r="H70" i="47"/>
  <c r="G73" i="47"/>
  <c r="H73" i="47"/>
  <c r="G101" i="47"/>
  <c r="H101" i="47"/>
  <c r="G94" i="47"/>
  <c r="H94" i="47"/>
  <c r="G116" i="47"/>
  <c r="H116" i="47"/>
  <c r="G75" i="47"/>
  <c r="H75" i="47"/>
  <c r="G58" i="47"/>
  <c r="H58" i="47"/>
  <c r="G43" i="47"/>
  <c r="H43" i="47"/>
  <c r="G20" i="47"/>
  <c r="H20" i="47"/>
  <c r="G112" i="47"/>
  <c r="H112" i="47"/>
  <c r="G11" i="47"/>
  <c r="H11" i="47"/>
  <c r="G8" i="47"/>
  <c r="H8" i="47"/>
  <c r="G6" i="47"/>
  <c r="H6" i="47"/>
  <c r="G90" i="47"/>
  <c r="H90" i="47"/>
  <c r="G47" i="47"/>
  <c r="H47" i="47"/>
  <c r="G19" i="47"/>
  <c r="H19" i="47"/>
  <c r="G41" i="47"/>
  <c r="H41" i="47"/>
  <c r="G39" i="47"/>
  <c r="H39" i="47"/>
  <c r="G102" i="47"/>
  <c r="H102" i="47"/>
  <c r="G74" i="47"/>
  <c r="H74" i="47"/>
  <c r="G60" i="47"/>
  <c r="H60" i="47"/>
  <c r="G26" i="47"/>
  <c r="H26" i="47"/>
  <c r="G48" i="47"/>
  <c r="H48" i="47"/>
  <c r="G108" i="47"/>
  <c r="H108" i="47"/>
  <c r="G59" i="47"/>
  <c r="H59" i="47"/>
  <c r="H22" i="47"/>
  <c r="G22" i="47"/>
  <c r="G23" i="47"/>
  <c r="H23" i="47"/>
  <c r="G13" i="47"/>
  <c r="H13" i="47"/>
  <c r="G104" i="47"/>
  <c r="H104" i="47"/>
  <c r="G89" i="47"/>
  <c r="H89" i="47"/>
  <c r="G35" i="47"/>
  <c r="H35" i="47"/>
  <c r="G55" i="47"/>
  <c r="H55" i="47"/>
  <c r="G68" i="47"/>
  <c r="H68" i="47"/>
  <c r="G122" i="47"/>
  <c r="H122" i="47"/>
  <c r="G77" i="47"/>
  <c r="H77" i="47"/>
  <c r="G5" i="47"/>
  <c r="H5" i="47"/>
  <c r="G24" i="47"/>
  <c r="H24" i="47"/>
  <c r="G31" i="47"/>
  <c r="H31" i="47"/>
  <c r="G7" i="47"/>
  <c r="H7" i="47"/>
  <c r="G100" i="47"/>
  <c r="H100" i="47"/>
  <c r="G51" i="47"/>
  <c r="H51" i="47"/>
  <c r="G12" i="47"/>
  <c r="H12" i="47"/>
  <c r="G119" i="47"/>
  <c r="H119" i="47"/>
  <c r="G18" i="47"/>
  <c r="H18" i="47"/>
  <c r="G65" i="47"/>
  <c r="H65" i="47"/>
  <c r="G46" i="47"/>
  <c r="H46" i="47"/>
  <c r="G109" i="47"/>
  <c r="H109" i="47"/>
  <c r="H50" i="47"/>
  <c r="G50" i="47"/>
  <c r="G99" i="47"/>
  <c r="H99" i="47"/>
  <c r="G91" i="47"/>
  <c r="H91" i="47"/>
  <c r="H72" i="47"/>
  <c r="G72" i="47"/>
  <c r="G87" i="47"/>
  <c r="H87" i="47"/>
  <c r="H27" i="47"/>
  <c r="G27" i="47"/>
  <c r="G54" i="47"/>
  <c r="H54" i="47"/>
  <c r="H32" i="47"/>
  <c r="G32" i="47"/>
  <c r="G37" i="47"/>
  <c r="H37" i="47"/>
  <c r="G45" i="47"/>
  <c r="H45" i="47"/>
  <c r="G10" i="47"/>
  <c r="H10" i="47"/>
  <c r="G115" i="47"/>
  <c r="H115" i="47"/>
  <c r="G82" i="47"/>
  <c r="H82" i="47"/>
  <c r="G93" i="47"/>
  <c r="H93" i="47"/>
  <c r="G103" i="47"/>
  <c r="H103" i="47"/>
  <c r="G49" i="47"/>
  <c r="H49" i="47"/>
  <c r="G57" i="47"/>
  <c r="H57" i="47"/>
  <c r="G56" i="47"/>
  <c r="H56" i="47"/>
  <c r="G98" i="47"/>
  <c r="H98" i="47"/>
  <c r="G107" i="47"/>
  <c r="H107" i="47"/>
  <c r="G71" i="47"/>
  <c r="H71" i="47"/>
  <c r="G105" i="47"/>
  <c r="H105" i="47"/>
  <c r="G25" i="47"/>
  <c r="H25" i="47"/>
  <c r="G15" i="47"/>
  <c r="H15" i="47"/>
  <c r="G76" i="47"/>
  <c r="H76" i="47"/>
  <c r="G80" i="47"/>
  <c r="H80" i="47"/>
  <c r="G69" i="47"/>
  <c r="H69" i="47"/>
  <c r="G30" i="47"/>
  <c r="H30" i="47"/>
  <c r="G120" i="47"/>
  <c r="H120" i="47"/>
  <c r="G33" i="47"/>
  <c r="H33" i="47"/>
  <c r="G78" i="47"/>
  <c r="H78" i="47"/>
  <c r="H117" i="47"/>
  <c r="H81" i="47"/>
  <c r="H95" i="47"/>
  <c r="H84" i="47"/>
  <c r="H96" i="47"/>
  <c r="H52" i="47"/>
  <c r="H66" i="47"/>
  <c r="H79" i="47"/>
  <c r="H53" i="47"/>
  <c r="H88" i="47"/>
  <c r="H86" i="47"/>
  <c r="H62" i="47"/>
  <c r="H111" i="47"/>
  <c r="H113" i="47"/>
  <c r="H110" i="47"/>
  <c r="H97" i="47"/>
  <c r="H92" i="47"/>
  <c r="H38" i="47"/>
  <c r="H28" i="47"/>
  <c r="H64" i="47"/>
  <c r="H61" i="47"/>
  <c r="H14" i="47"/>
  <c r="H16" i="47"/>
  <c r="H83" i="47"/>
  <c r="H67" i="47"/>
  <c r="H29" i="47"/>
  <c r="H40" i="47"/>
  <c r="H85" i="47"/>
  <c r="H36" i="47"/>
  <c r="H34" i="47"/>
  <c r="H21" i="47"/>
  <c r="H63" i="47"/>
  <c r="H17" i="47"/>
  <c r="H44" i="47"/>
  <c r="H42" i="47"/>
  <c r="H9" i="47"/>
  <c r="H106" i="47"/>
  <c r="H114" i="47"/>
  <c r="H118" i="47"/>
  <c r="H121" i="47"/>
  <c r="G121" i="47"/>
  <c r="H252" i="46"/>
  <c r="H108" i="46"/>
  <c r="H112" i="46"/>
  <c r="H102" i="46"/>
  <c r="H10" i="46"/>
  <c r="H88" i="46"/>
  <c r="H127" i="46"/>
  <c r="H234" i="46"/>
  <c r="H126" i="46"/>
  <c r="H45" i="46"/>
  <c r="H46" i="46"/>
  <c r="H72" i="46"/>
  <c r="G249" i="46"/>
  <c r="G238" i="46"/>
  <c r="H238" i="46"/>
  <c r="G136" i="46"/>
  <c r="H136" i="46"/>
  <c r="G40" i="46"/>
  <c r="H40" i="46"/>
  <c r="G231" i="46"/>
  <c r="H231" i="46"/>
  <c r="G57" i="46"/>
  <c r="H57" i="46"/>
  <c r="G133" i="46"/>
  <c r="H133" i="46"/>
  <c r="G211" i="46"/>
  <c r="H211" i="46"/>
  <c r="G9" i="46"/>
  <c r="H9" i="46"/>
  <c r="G171" i="46"/>
  <c r="H171" i="46"/>
  <c r="G174" i="46"/>
  <c r="H174" i="46"/>
  <c r="G16" i="46"/>
  <c r="H16" i="46"/>
  <c r="G78" i="46"/>
  <c r="H78" i="46"/>
  <c r="G31" i="46"/>
  <c r="H31" i="46"/>
  <c r="G97" i="46"/>
  <c r="H97" i="46"/>
  <c r="G178" i="46"/>
  <c r="H178" i="46"/>
  <c r="G244" i="46"/>
  <c r="H244" i="46"/>
  <c r="G229" i="46"/>
  <c r="H229" i="46"/>
  <c r="H247" i="46"/>
  <c r="G247" i="46"/>
  <c r="H93" i="46"/>
  <c r="G93" i="46"/>
  <c r="H115" i="46"/>
  <c r="G115" i="46"/>
  <c r="H60" i="46"/>
  <c r="G60" i="46"/>
  <c r="G144" i="46"/>
  <c r="H144" i="46"/>
  <c r="G166" i="46"/>
  <c r="H166" i="46"/>
  <c r="G81" i="46"/>
  <c r="H81" i="46"/>
  <c r="G184" i="46"/>
  <c r="H184" i="46"/>
  <c r="G232" i="46"/>
  <c r="H232" i="46"/>
  <c r="G52" i="46"/>
  <c r="H52" i="46"/>
  <c r="G48" i="46"/>
  <c r="H48" i="46"/>
  <c r="G42" i="46"/>
  <c r="H42" i="46"/>
  <c r="G22" i="46"/>
  <c r="H22" i="46"/>
  <c r="G216" i="46"/>
  <c r="H216" i="46"/>
  <c r="G21" i="46"/>
  <c r="H21" i="46"/>
  <c r="G90" i="46"/>
  <c r="H90" i="46"/>
  <c r="G223" i="46"/>
  <c r="H223" i="46"/>
  <c r="G145" i="46"/>
  <c r="H145" i="46"/>
  <c r="G156" i="46"/>
  <c r="H156" i="46"/>
  <c r="G49" i="46"/>
  <c r="H49" i="46"/>
  <c r="H214" i="46"/>
  <c r="H151" i="46"/>
  <c r="H222" i="46"/>
  <c r="H199" i="46"/>
  <c r="H84" i="46"/>
  <c r="H43" i="46"/>
  <c r="G192" i="46"/>
  <c r="H192" i="46"/>
  <c r="G241" i="46"/>
  <c r="H241" i="46"/>
  <c r="G150" i="46"/>
  <c r="H150" i="46"/>
  <c r="G130" i="46"/>
  <c r="H130" i="46"/>
  <c r="G157" i="46"/>
  <c r="H157" i="46"/>
  <c r="G169" i="46"/>
  <c r="H169" i="46"/>
  <c r="H243" i="46"/>
  <c r="G243" i="46"/>
  <c r="H148" i="46"/>
  <c r="G148" i="46"/>
  <c r="H100" i="46"/>
  <c r="G100" i="46"/>
  <c r="H220" i="46"/>
  <c r="G220" i="46"/>
  <c r="G114" i="46"/>
  <c r="H114" i="46"/>
  <c r="G186" i="46"/>
  <c r="H186" i="46"/>
  <c r="G73" i="46"/>
  <c r="H73" i="46"/>
  <c r="G196" i="46"/>
  <c r="H196" i="46"/>
  <c r="G27" i="46"/>
  <c r="H27" i="46"/>
  <c r="G28" i="46"/>
  <c r="H28" i="46"/>
  <c r="G198" i="46"/>
  <c r="H198" i="46"/>
  <c r="G172" i="46"/>
  <c r="H172" i="46"/>
  <c r="G181" i="46"/>
  <c r="H181" i="46"/>
  <c r="G154" i="46"/>
  <c r="H154" i="46"/>
  <c r="G79" i="46"/>
  <c r="H79" i="46"/>
  <c r="G183" i="46"/>
  <c r="H183" i="46"/>
  <c r="G160" i="46"/>
  <c r="H160" i="46"/>
  <c r="G142" i="46"/>
  <c r="H142" i="46"/>
  <c r="G87" i="46"/>
  <c r="H87" i="46"/>
  <c r="G69" i="46"/>
  <c r="H69" i="46"/>
  <c r="G195" i="46"/>
  <c r="H195" i="46"/>
  <c r="G163" i="46"/>
  <c r="H163" i="46"/>
  <c r="G237" i="46"/>
  <c r="H237" i="46"/>
  <c r="G180" i="46"/>
  <c r="H180" i="46"/>
  <c r="G66" i="46"/>
  <c r="H66" i="46"/>
  <c r="G106" i="46"/>
  <c r="H106" i="46"/>
  <c r="G12" i="46"/>
  <c r="H12" i="46"/>
  <c r="G226" i="46"/>
  <c r="H226" i="46"/>
  <c r="G18" i="46"/>
  <c r="H18" i="46"/>
  <c r="G213" i="46"/>
  <c r="H213" i="46"/>
  <c r="G25" i="46"/>
  <c r="H25" i="46"/>
  <c r="G96" i="46"/>
  <c r="H96" i="46"/>
  <c r="G94" i="46"/>
  <c r="H94" i="46"/>
  <c r="G124" i="46"/>
  <c r="H124" i="46"/>
  <c r="G58" i="46"/>
  <c r="H58" i="46"/>
  <c r="H210" i="46"/>
  <c r="G210" i="46"/>
  <c r="G208" i="46"/>
  <c r="H208" i="46"/>
  <c r="G76" i="46"/>
  <c r="H76" i="46"/>
  <c r="G109" i="46"/>
  <c r="H109" i="46"/>
  <c r="G219" i="46"/>
  <c r="H219" i="46"/>
  <c r="G207" i="46"/>
  <c r="H207" i="46"/>
  <c r="G246" i="46"/>
  <c r="H246" i="46"/>
  <c r="H177" i="46"/>
  <c r="H117" i="46"/>
  <c r="H105" i="46"/>
  <c r="H70" i="46"/>
  <c r="H15" i="46"/>
  <c r="H189" i="46"/>
  <c r="H24" i="46"/>
  <c r="H228" i="46"/>
  <c r="H132" i="46"/>
  <c r="H118" i="46"/>
  <c r="H85" i="46"/>
  <c r="G85" i="46"/>
  <c r="G202" i="46"/>
  <c r="H202" i="46"/>
  <c r="H75" i="46"/>
  <c r="G75" i="46"/>
  <c r="H111" i="46"/>
  <c r="G111" i="46"/>
  <c r="G147" i="46"/>
  <c r="H147" i="46"/>
  <c r="G162" i="46"/>
  <c r="H162" i="46"/>
  <c r="G138" i="46"/>
  <c r="H138" i="46"/>
  <c r="G234" i="46"/>
  <c r="G159" i="46"/>
  <c r="H159" i="46"/>
  <c r="G193" i="46"/>
  <c r="H193" i="46"/>
  <c r="G201" i="46"/>
  <c r="H201" i="46"/>
  <c r="G175" i="46"/>
  <c r="H175" i="46"/>
  <c r="G168" i="46"/>
  <c r="H168" i="46"/>
  <c r="G54" i="46"/>
  <c r="H54" i="46"/>
  <c r="G6" i="46"/>
  <c r="H6" i="46"/>
  <c r="G13" i="46"/>
  <c r="H13" i="46"/>
  <c r="G19" i="46"/>
  <c r="H19" i="46"/>
  <c r="G34" i="46"/>
  <c r="H34" i="46"/>
  <c r="G64" i="46"/>
  <c r="H64" i="46"/>
  <c r="G153" i="46"/>
  <c r="H153" i="46"/>
  <c r="H205" i="46"/>
  <c r="G205" i="46"/>
  <c r="G250" i="46"/>
  <c r="H250" i="46"/>
  <c r="G99" i="46"/>
  <c r="H99" i="46"/>
  <c r="G135" i="46"/>
  <c r="H135" i="46"/>
  <c r="G91" i="46"/>
  <c r="H91" i="46"/>
  <c r="G123" i="46"/>
  <c r="H123" i="46"/>
  <c r="G204" i="46"/>
  <c r="H204" i="46"/>
  <c r="G240" i="46"/>
  <c r="H240" i="46"/>
  <c r="G55" i="46"/>
  <c r="H55" i="46"/>
  <c r="G141" i="46"/>
  <c r="H141" i="46"/>
  <c r="G225" i="46"/>
  <c r="H225" i="46"/>
  <c r="G61" i="46"/>
  <c r="H61" i="46"/>
  <c r="G190" i="46"/>
  <c r="H190" i="46"/>
  <c r="G121" i="46"/>
  <c r="H121" i="46"/>
  <c r="G139" i="46"/>
  <c r="H139" i="46"/>
  <c r="G37" i="46"/>
  <c r="H37" i="46"/>
  <c r="G63" i="46"/>
  <c r="H63" i="46"/>
  <c r="G33" i="46"/>
  <c r="H33" i="46"/>
  <c r="G36" i="46"/>
  <c r="H36" i="46"/>
  <c r="G165" i="46"/>
  <c r="H165" i="46"/>
  <c r="H217" i="46"/>
  <c r="G120" i="46"/>
  <c r="H120" i="46"/>
  <c r="H235" i="46"/>
  <c r="G235" i="46"/>
  <c r="H129" i="46"/>
  <c r="G129" i="46"/>
  <c r="H67" i="46"/>
  <c r="G67" i="46"/>
  <c r="H82" i="46"/>
  <c r="G82" i="46"/>
  <c r="G109" i="45"/>
  <c r="G45" i="45"/>
  <c r="H45" i="45"/>
  <c r="G49" i="45"/>
  <c r="H49" i="45"/>
  <c r="G75" i="45"/>
  <c r="H75" i="45"/>
  <c r="G63" i="45"/>
  <c r="H63" i="45"/>
  <c r="G27" i="45"/>
  <c r="H27" i="45"/>
  <c r="G79" i="45"/>
  <c r="H79" i="45"/>
  <c r="G58" i="45"/>
  <c r="H58" i="45"/>
  <c r="G10" i="45"/>
  <c r="H10" i="45"/>
  <c r="G51" i="45"/>
  <c r="H51" i="45"/>
  <c r="G90" i="45"/>
  <c r="H90" i="45"/>
  <c r="G24" i="45"/>
  <c r="H24" i="45"/>
  <c r="G82" i="45"/>
  <c r="H82" i="45"/>
  <c r="G6" i="45"/>
  <c r="H6" i="45"/>
  <c r="G67" i="45"/>
  <c r="H67" i="45"/>
  <c r="G85" i="45"/>
  <c r="H85" i="45"/>
  <c r="G28" i="45"/>
  <c r="H28" i="45"/>
  <c r="G84" i="45"/>
  <c r="H84" i="45"/>
  <c r="G21" i="45"/>
  <c r="H21" i="45"/>
  <c r="G40" i="45"/>
  <c r="H40" i="45"/>
  <c r="G103" i="45"/>
  <c r="H103" i="45"/>
  <c r="G93" i="45"/>
  <c r="H93" i="45"/>
  <c r="G54" i="45"/>
  <c r="H54" i="45"/>
  <c r="G70" i="45"/>
  <c r="H70" i="45"/>
  <c r="G9" i="45"/>
  <c r="H9" i="45"/>
  <c r="G66" i="45"/>
  <c r="H66" i="45"/>
  <c r="G37" i="45"/>
  <c r="H37" i="45"/>
  <c r="G94" i="45"/>
  <c r="H94" i="45"/>
  <c r="G16" i="45"/>
  <c r="H16" i="45"/>
  <c r="G55" i="45"/>
  <c r="H55" i="45"/>
  <c r="G34" i="45"/>
  <c r="H34" i="45"/>
  <c r="G33" i="45"/>
  <c r="H33" i="45"/>
  <c r="G15" i="45"/>
  <c r="H15" i="45"/>
  <c r="G87" i="45"/>
  <c r="H87" i="45"/>
  <c r="G100" i="45"/>
  <c r="H100" i="45"/>
  <c r="G12" i="45"/>
  <c r="H12" i="45"/>
  <c r="H91" i="45"/>
  <c r="G91" i="45"/>
  <c r="G72" i="45"/>
  <c r="H72" i="45"/>
  <c r="G31" i="45"/>
  <c r="H31" i="45"/>
  <c r="G73" i="45"/>
  <c r="H73" i="45"/>
  <c r="G48" i="45"/>
  <c r="H48" i="45"/>
  <c r="G88" i="45"/>
  <c r="H88" i="45"/>
  <c r="G64" i="45"/>
  <c r="H64" i="45"/>
  <c r="G78" i="45"/>
  <c r="H78" i="45"/>
  <c r="G60" i="45"/>
  <c r="H60" i="45"/>
  <c r="G7" i="45"/>
  <c r="H7" i="45"/>
  <c r="G76" i="45"/>
  <c r="H76" i="45"/>
  <c r="G46" i="45"/>
  <c r="H46" i="45"/>
  <c r="G99" i="45"/>
  <c r="H99" i="45"/>
  <c r="G97" i="45"/>
  <c r="H97" i="45"/>
  <c r="G39" i="45"/>
  <c r="H39" i="45"/>
  <c r="G81" i="45"/>
  <c r="H81" i="45"/>
  <c r="G43" i="45"/>
  <c r="H43" i="45"/>
  <c r="G102" i="45"/>
  <c r="H102" i="45"/>
  <c r="G36" i="45"/>
  <c r="H36" i="45"/>
  <c r="G52" i="45"/>
  <c r="H52" i="45"/>
  <c r="G18" i="45"/>
  <c r="H18" i="45"/>
  <c r="G19" i="45"/>
  <c r="H19" i="45"/>
  <c r="G13" i="45"/>
  <c r="H13" i="45"/>
  <c r="G106" i="45"/>
  <c r="H106" i="45"/>
  <c r="G61" i="45"/>
  <c r="H61" i="45"/>
  <c r="G42" i="45"/>
  <c r="H42" i="45"/>
  <c r="G96" i="45"/>
  <c r="H96" i="45"/>
  <c r="G57" i="45"/>
  <c r="H57" i="45"/>
  <c r="G25" i="45"/>
  <c r="H25" i="45"/>
  <c r="G22" i="45"/>
  <c r="H22" i="45"/>
  <c r="G30" i="45"/>
  <c r="H30" i="45"/>
  <c r="G69" i="45"/>
  <c r="H69" i="45"/>
  <c r="G105" i="45"/>
  <c r="G82" i="44"/>
  <c r="H24" i="44"/>
  <c r="G24" i="44"/>
  <c r="G69" i="44"/>
  <c r="H69" i="44"/>
  <c r="G39" i="44"/>
  <c r="H39" i="44"/>
  <c r="G78" i="44"/>
  <c r="H78" i="44"/>
  <c r="G61" i="44"/>
  <c r="H61" i="44"/>
  <c r="H9" i="44"/>
  <c r="G9" i="44"/>
  <c r="H75" i="44"/>
  <c r="G75" i="44"/>
  <c r="H15" i="44"/>
  <c r="G15" i="44"/>
  <c r="G63" i="44"/>
  <c r="H63" i="44"/>
  <c r="G22" i="44"/>
  <c r="H22" i="44"/>
  <c r="G36" i="44"/>
  <c r="H36" i="44"/>
  <c r="G34" i="44"/>
  <c r="H34" i="44"/>
  <c r="G10" i="44"/>
  <c r="H10" i="44"/>
  <c r="G66" i="44"/>
  <c r="H66" i="44"/>
  <c r="G13" i="44"/>
  <c r="H13" i="44"/>
  <c r="G45" i="44"/>
  <c r="H45" i="44"/>
  <c r="G25" i="44"/>
  <c r="H25" i="44"/>
  <c r="G51" i="44"/>
  <c r="H51" i="44"/>
  <c r="H52" i="44"/>
  <c r="G52" i="44"/>
  <c r="G31" i="44"/>
  <c r="H31" i="44"/>
  <c r="G67" i="44"/>
  <c r="H67" i="44"/>
  <c r="G18" i="44"/>
  <c r="H18" i="44"/>
  <c r="G48" i="44"/>
  <c r="H48" i="44"/>
  <c r="G64" i="44"/>
  <c r="H64" i="44"/>
  <c r="H46" i="44"/>
  <c r="G46" i="44"/>
  <c r="H43" i="44"/>
  <c r="G43" i="44"/>
  <c r="H21" i="44"/>
  <c r="G21" i="44"/>
  <c r="H55" i="44"/>
  <c r="G55" i="44"/>
  <c r="G7" i="44"/>
  <c r="H7" i="44"/>
  <c r="G40" i="44"/>
  <c r="H40" i="44"/>
  <c r="G12" i="44"/>
  <c r="H12" i="44"/>
  <c r="G30" i="44"/>
  <c r="H30" i="44"/>
  <c r="G49" i="44"/>
  <c r="H49" i="44"/>
  <c r="H6" i="44"/>
  <c r="G6" i="44"/>
  <c r="G54" i="44"/>
  <c r="H54" i="44"/>
  <c r="G37" i="44"/>
  <c r="H37" i="44"/>
  <c r="G33" i="44"/>
  <c r="H33" i="44"/>
  <c r="G27" i="44"/>
  <c r="H27" i="44"/>
  <c r="G58" i="44"/>
  <c r="H58" i="44"/>
  <c r="H60" i="44"/>
  <c r="G60" i="44"/>
  <c r="H70" i="44"/>
  <c r="G70" i="44"/>
  <c r="G76" i="44"/>
  <c r="H76" i="44"/>
  <c r="G42" i="44"/>
  <c r="H42" i="44"/>
  <c r="G72" i="44"/>
  <c r="H72" i="44"/>
  <c r="G79" i="44"/>
  <c r="H79" i="44"/>
  <c r="G28" i="44"/>
  <c r="H28" i="44"/>
  <c r="G73" i="44"/>
  <c r="H73" i="44"/>
  <c r="G16" i="44"/>
  <c r="H16" i="44"/>
  <c r="G57" i="44"/>
  <c r="H57" i="44"/>
  <c r="G19" i="44"/>
  <c r="H19" i="44"/>
  <c r="H25" i="43"/>
  <c r="G25" i="43"/>
  <c r="G93" i="43"/>
  <c r="H93" i="43"/>
  <c r="G13" i="43"/>
  <c r="H13" i="43"/>
  <c r="G28" i="43"/>
  <c r="H28" i="43"/>
  <c r="H120" i="43"/>
  <c r="G120" i="43"/>
  <c r="G105" i="43"/>
  <c r="H105" i="43"/>
  <c r="G16" i="43"/>
  <c r="H16" i="43"/>
  <c r="G54" i="43"/>
  <c r="H54" i="43"/>
  <c r="G94" i="43"/>
  <c r="H94" i="43"/>
  <c r="G18" i="43"/>
  <c r="H18" i="43"/>
  <c r="G31" i="43"/>
  <c r="H31" i="43"/>
  <c r="H21" i="43"/>
  <c r="G21" i="43"/>
  <c r="H96" i="43"/>
  <c r="G96" i="43"/>
  <c r="H97" i="43"/>
  <c r="G97" i="43"/>
  <c r="H10" i="43"/>
  <c r="G10" i="43"/>
  <c r="H85" i="43"/>
  <c r="G85" i="43"/>
  <c r="H15" i="43"/>
  <c r="G15" i="43"/>
  <c r="H27" i="43"/>
  <c r="G27" i="43"/>
  <c r="H22" i="43"/>
  <c r="G22" i="43"/>
  <c r="G100" i="43"/>
  <c r="H100" i="43"/>
  <c r="G49" i="43"/>
  <c r="H49" i="43"/>
  <c r="G67" i="43"/>
  <c r="H67" i="43"/>
  <c r="G112" i="43"/>
  <c r="H112" i="43"/>
  <c r="G51" i="43"/>
  <c r="H51" i="43"/>
  <c r="G24" i="43"/>
  <c r="H24" i="43"/>
  <c r="G81" i="43"/>
  <c r="H81" i="43"/>
  <c r="G84" i="43"/>
  <c r="H84" i="43"/>
  <c r="G87" i="43"/>
  <c r="H87" i="43"/>
  <c r="G73" i="43"/>
  <c r="H73" i="43"/>
  <c r="G9" i="43"/>
  <c r="H9" i="43"/>
  <c r="G72" i="43"/>
  <c r="H72" i="43"/>
  <c r="G55" i="43"/>
  <c r="H55" i="43"/>
  <c r="G78" i="43"/>
  <c r="H78" i="43"/>
  <c r="G103" i="43"/>
  <c r="H103" i="43"/>
  <c r="G43" i="43"/>
  <c r="H43" i="43"/>
  <c r="G61" i="43"/>
  <c r="H61" i="43"/>
  <c r="H48" i="43"/>
  <c r="G48" i="43"/>
  <c r="H7" i="43"/>
  <c r="G7" i="43"/>
  <c r="H70" i="43"/>
  <c r="G70" i="43"/>
  <c r="H19" i="43"/>
  <c r="G19" i="43"/>
  <c r="H121" i="43"/>
  <c r="G121" i="43"/>
  <c r="H30" i="43"/>
  <c r="G30" i="43"/>
  <c r="H34" i="43"/>
  <c r="G34" i="43"/>
  <c r="G52" i="43"/>
  <c r="H52" i="43"/>
  <c r="G63" i="43"/>
  <c r="H63" i="43"/>
  <c r="G6" i="43"/>
  <c r="H6" i="43"/>
  <c r="G109" i="43"/>
  <c r="H109" i="43"/>
  <c r="G40" i="43"/>
  <c r="H40" i="43"/>
  <c r="G108" i="43"/>
  <c r="H108" i="43"/>
  <c r="G45" i="43"/>
  <c r="H45" i="43"/>
  <c r="G76" i="43"/>
  <c r="H76" i="43"/>
  <c r="G69" i="43"/>
  <c r="H69" i="43"/>
  <c r="G88" i="43"/>
  <c r="H88" i="43"/>
  <c r="G91" i="43"/>
  <c r="H91" i="43"/>
  <c r="G36" i="43"/>
  <c r="H36" i="43"/>
  <c r="G115" i="43"/>
  <c r="H115" i="43"/>
  <c r="H99" i="43"/>
  <c r="G99" i="43"/>
  <c r="H64" i="43"/>
  <c r="G64" i="43"/>
  <c r="H12" i="43"/>
  <c r="G12" i="43"/>
  <c r="H42" i="43"/>
  <c r="G42" i="43"/>
  <c r="H117" i="43"/>
  <c r="G117" i="43"/>
  <c r="H33" i="43"/>
  <c r="G33" i="43"/>
  <c r="G114" i="43"/>
  <c r="H114" i="43"/>
  <c r="G75" i="43"/>
  <c r="H75" i="43"/>
  <c r="G58" i="43"/>
  <c r="H58" i="43"/>
  <c r="G79" i="43"/>
  <c r="H79" i="43"/>
  <c r="G66" i="43"/>
  <c r="H66" i="43"/>
  <c r="G37" i="43"/>
  <c r="H37" i="43"/>
  <c r="G118" i="43"/>
  <c r="H118" i="43"/>
  <c r="G90" i="43"/>
  <c r="H90" i="43"/>
  <c r="G111" i="43"/>
  <c r="H111" i="43"/>
  <c r="G102" i="43"/>
  <c r="H102" i="43"/>
  <c r="G57" i="43"/>
  <c r="H57" i="43"/>
  <c r="G39" i="43"/>
  <c r="H39" i="43"/>
  <c r="G106" i="43"/>
  <c r="H106" i="43"/>
  <c r="G46" i="43"/>
  <c r="H46" i="43"/>
  <c r="G60" i="43"/>
  <c r="H60" i="43"/>
  <c r="H82" i="43"/>
  <c r="G82" i="43"/>
  <c r="H12" i="41"/>
  <c r="G12" i="41"/>
  <c r="G6" i="41"/>
  <c r="H6" i="41"/>
  <c r="G18" i="41"/>
  <c r="H18" i="41"/>
  <c r="G19" i="41"/>
  <c r="H19" i="41"/>
  <c r="G46" i="41"/>
  <c r="H46" i="41"/>
  <c r="H7" i="41"/>
  <c r="G7" i="41"/>
  <c r="H36" i="41"/>
  <c r="G36" i="41"/>
  <c r="G58" i="41"/>
  <c r="H58" i="41"/>
  <c r="G43" i="41"/>
  <c r="H43" i="41"/>
  <c r="G55" i="41"/>
  <c r="H55" i="41"/>
  <c r="G25" i="41"/>
  <c r="H25" i="41"/>
  <c r="G28" i="41"/>
  <c r="H28" i="41"/>
  <c r="H24" i="41"/>
  <c r="G24" i="41"/>
  <c r="G13" i="41"/>
  <c r="H13" i="41"/>
  <c r="G9" i="41"/>
  <c r="H9" i="41"/>
  <c r="G37" i="41"/>
  <c r="H37" i="41"/>
  <c r="G60" i="41"/>
  <c r="H60" i="41"/>
  <c r="G34" i="41"/>
  <c r="H34" i="41"/>
  <c r="G49" i="41"/>
  <c r="H49" i="41"/>
  <c r="G21" i="41"/>
  <c r="H21" i="41"/>
  <c r="G33" i="41"/>
  <c r="H33" i="41"/>
  <c r="G45" i="41"/>
  <c r="H45" i="41"/>
  <c r="G31" i="41"/>
  <c r="H31" i="41"/>
  <c r="H57" i="41"/>
  <c r="H15" i="41"/>
  <c r="H22" i="41"/>
  <c r="H39" i="41"/>
  <c r="H51" i="41"/>
  <c r="H40" i="41"/>
  <c r="H42" i="41"/>
  <c r="H16" i="41"/>
  <c r="H30" i="41"/>
  <c r="H10" i="41"/>
  <c r="H54" i="41"/>
  <c r="H52" i="41"/>
  <c r="H27" i="41"/>
  <c r="G48" i="41"/>
  <c r="H48" i="41"/>
  <c r="H61" i="41"/>
  <c r="G61" i="41"/>
  <c r="G45" i="40"/>
  <c r="H16" i="40"/>
  <c r="G16" i="40"/>
  <c r="H43" i="40"/>
  <c r="G43" i="40"/>
  <c r="H42" i="40"/>
  <c r="G42" i="40"/>
  <c r="H10" i="40"/>
  <c r="G10" i="40"/>
  <c r="G34" i="40"/>
  <c r="G39" i="40"/>
  <c r="G19" i="40"/>
  <c r="G7" i="40"/>
  <c r="G36" i="40"/>
  <c r="H36" i="40"/>
  <c r="G18" i="40"/>
  <c r="H18" i="40"/>
  <c r="G6" i="40"/>
  <c r="H6" i="40"/>
  <c r="G13" i="40"/>
  <c r="H13" i="40"/>
  <c r="G12" i="40"/>
  <c r="H12" i="40"/>
  <c r="G27" i="40"/>
  <c r="H27" i="40"/>
  <c r="G15" i="40"/>
  <c r="H15" i="40"/>
  <c r="G22" i="40"/>
  <c r="H22" i="40"/>
  <c r="G30" i="40"/>
  <c r="H30" i="40"/>
  <c r="G24" i="40"/>
  <c r="H24" i="40"/>
  <c r="H37" i="40"/>
  <c r="H33" i="40"/>
  <c r="H40" i="40"/>
  <c r="H28" i="40"/>
  <c r="H21" i="40"/>
  <c r="H9" i="40"/>
  <c r="H25" i="40"/>
  <c r="H31" i="40"/>
  <c r="G21" i="39"/>
  <c r="H21" i="39"/>
  <c r="G25" i="39"/>
  <c r="H25" i="39"/>
  <c r="G22" i="39"/>
  <c r="H22" i="39"/>
  <c r="G10" i="39"/>
  <c r="H10" i="39"/>
  <c r="H34" i="39"/>
  <c r="G34" i="39"/>
  <c r="G15" i="39"/>
  <c r="H15" i="39"/>
  <c r="G6" i="39"/>
  <c r="H6" i="39"/>
  <c r="G19" i="39"/>
  <c r="H19" i="39"/>
  <c r="G7" i="39"/>
  <c r="H7" i="39"/>
  <c r="G31" i="39"/>
  <c r="H31" i="39"/>
  <c r="G27" i="39"/>
  <c r="H27" i="39"/>
  <c r="H24" i="39"/>
  <c r="G24" i="39"/>
  <c r="G13" i="39"/>
  <c r="H13" i="39"/>
  <c r="G30" i="39"/>
  <c r="H30" i="39"/>
  <c r="G18" i="39"/>
  <c r="H18" i="39"/>
  <c r="G16" i="39"/>
  <c r="H16" i="39"/>
  <c r="G28" i="39"/>
  <c r="H28" i="39"/>
  <c r="G36" i="39"/>
  <c r="H36" i="39"/>
  <c r="G12" i="39"/>
  <c r="H12" i="39"/>
  <c r="G9" i="39"/>
  <c r="H9" i="39"/>
  <c r="G33" i="39"/>
  <c r="H33" i="39"/>
  <c r="H37" i="39"/>
  <c r="G37" i="39"/>
  <c r="H139" i="38"/>
  <c r="G108" i="38"/>
  <c r="G73" i="38"/>
  <c r="G25" i="38"/>
  <c r="G28" i="38"/>
  <c r="G36" i="38"/>
  <c r="G22" i="38"/>
  <c r="G33" i="38"/>
  <c r="G100" i="38"/>
  <c r="G127" i="38"/>
  <c r="G94" i="38"/>
  <c r="G123" i="38"/>
  <c r="G117" i="38"/>
  <c r="G135" i="38"/>
  <c r="G112" i="38"/>
  <c r="G54" i="38"/>
  <c r="H54" i="38"/>
  <c r="G103" i="38"/>
  <c r="G91" i="38"/>
  <c r="G57" i="38"/>
  <c r="G61" i="38"/>
  <c r="G115" i="38"/>
  <c r="G30" i="38"/>
  <c r="G24" i="38"/>
  <c r="G126" i="38"/>
  <c r="G84" i="38"/>
  <c r="G58" i="38"/>
  <c r="G66" i="38"/>
  <c r="G64" i="38"/>
  <c r="G109" i="38"/>
  <c r="G63" i="38"/>
  <c r="G120" i="38"/>
  <c r="G13" i="38"/>
  <c r="G136" i="38"/>
  <c r="G132" i="38"/>
  <c r="G49" i="38"/>
  <c r="H66" i="38"/>
  <c r="H103" i="38"/>
  <c r="H112" i="38"/>
  <c r="H73" i="38"/>
  <c r="H108" i="38"/>
  <c r="H136" i="38"/>
  <c r="H63" i="38"/>
  <c r="H84" i="38"/>
  <c r="G76" i="38"/>
  <c r="H76" i="38"/>
  <c r="G15" i="38"/>
  <c r="H33" i="38"/>
  <c r="G21" i="38"/>
  <c r="H21" i="38"/>
  <c r="H58" i="38"/>
  <c r="H109" i="38"/>
  <c r="H135" i="38"/>
  <c r="G40" i="38"/>
  <c r="H40" i="38"/>
  <c r="G87" i="38"/>
  <c r="H126" i="38"/>
  <c r="G39" i="38"/>
  <c r="G27" i="38"/>
  <c r="H27" i="38"/>
  <c r="G67" i="38"/>
  <c r="H67" i="38"/>
  <c r="G7" i="38"/>
  <c r="H7" i="38"/>
  <c r="G121" i="38"/>
  <c r="H121" i="38"/>
  <c r="G52" i="38"/>
  <c r="H52" i="38"/>
  <c r="G82" i="38"/>
  <c r="H82" i="38"/>
  <c r="G105" i="38"/>
  <c r="H115" i="38"/>
  <c r="H132" i="38"/>
  <c r="G19" i="38"/>
  <c r="H24" i="38"/>
  <c r="G31" i="38"/>
  <c r="H31" i="38"/>
  <c r="G16" i="38"/>
  <c r="H16" i="38"/>
  <c r="G45" i="38"/>
  <c r="H45" i="38"/>
  <c r="G78" i="38"/>
  <c r="H78" i="38"/>
  <c r="G114" i="38"/>
  <c r="H114" i="38"/>
  <c r="G124" i="38"/>
  <c r="H30" i="38"/>
  <c r="H94" i="38"/>
  <c r="G129" i="38"/>
  <c r="H129" i="38"/>
  <c r="G99" i="38"/>
  <c r="H99" i="38"/>
  <c r="H28" i="38"/>
  <c r="H25" i="38"/>
  <c r="H117" i="38"/>
  <c r="H91" i="38"/>
  <c r="G46" i="38"/>
  <c r="H46" i="38"/>
  <c r="G69" i="38"/>
  <c r="G88" i="38"/>
  <c r="G90" i="38"/>
  <c r="H120" i="38"/>
  <c r="G12" i="38"/>
  <c r="H12" i="38"/>
  <c r="G18" i="38"/>
  <c r="H18" i="38"/>
  <c r="G48" i="38"/>
  <c r="H48" i="38"/>
  <c r="G118" i="38"/>
  <c r="H118" i="38"/>
  <c r="G60" i="38"/>
  <c r="H60" i="38"/>
  <c r="H49" i="38"/>
  <c r="H127" i="38"/>
  <c r="H22" i="38"/>
  <c r="G6" i="38"/>
  <c r="H6" i="38"/>
  <c r="G43" i="38"/>
  <c r="H43" i="38"/>
  <c r="G96" i="38"/>
  <c r="H96" i="38"/>
  <c r="H123" i="38"/>
  <c r="G75" i="38"/>
  <c r="H75" i="38"/>
  <c r="G10" i="38"/>
  <c r="H13" i="38"/>
  <c r="G34" i="38"/>
  <c r="H34" i="38"/>
  <c r="H36" i="38"/>
  <c r="H64" i="38"/>
  <c r="G85" i="38"/>
  <c r="H85" i="38"/>
  <c r="G97" i="38"/>
  <c r="G130" i="38"/>
  <c r="H130" i="38"/>
  <c r="G102" i="38"/>
  <c r="G42" i="38"/>
  <c r="H61" i="38"/>
  <c r="G70" i="38"/>
  <c r="H70" i="38"/>
  <c r="H100" i="38"/>
  <c r="G111" i="38"/>
  <c r="H111" i="38"/>
  <c r="G79" i="38"/>
  <c r="H79" i="38"/>
  <c r="G9" i="38"/>
  <c r="H9" i="38"/>
  <c r="G106" i="38"/>
  <c r="H106" i="38"/>
  <c r="H57" i="38"/>
  <c r="G81" i="38"/>
  <c r="G133" i="38"/>
  <c r="H133" i="38"/>
  <c r="G55" i="38"/>
  <c r="H55" i="38"/>
  <c r="G37" i="38"/>
  <c r="H37" i="38"/>
  <c r="G51" i="38"/>
  <c r="H51" i="38"/>
  <c r="G93" i="38"/>
  <c r="H93" i="38"/>
  <c r="H42" i="38"/>
  <c r="H88" i="38"/>
  <c r="H97" i="38"/>
  <c r="H87" i="38"/>
  <c r="H124" i="38"/>
  <c r="H19" i="38"/>
  <c r="H10" i="38"/>
  <c r="H15" i="38"/>
  <c r="H90" i="38"/>
  <c r="H81" i="38"/>
  <c r="H102" i="38"/>
  <c r="H39" i="38"/>
  <c r="H105" i="38"/>
  <c r="H69" i="38"/>
  <c r="H72" i="38"/>
  <c r="G72" i="38"/>
  <c r="G5" i="37"/>
  <c r="G13" i="37"/>
  <c r="G40" i="36"/>
  <c r="H40" i="36"/>
  <c r="G112" i="36"/>
  <c r="H112" i="36"/>
  <c r="G94" i="36"/>
  <c r="H94" i="36"/>
  <c r="G18" i="36"/>
  <c r="H18" i="36"/>
  <c r="G76" i="36"/>
  <c r="H76" i="36"/>
  <c r="G19" i="36"/>
  <c r="H19" i="36"/>
  <c r="G102" i="36"/>
  <c r="H102" i="36"/>
  <c r="G121" i="36"/>
  <c r="H121" i="36"/>
  <c r="G12" i="36"/>
  <c r="H12" i="36"/>
  <c r="G69" i="36"/>
  <c r="H69" i="36"/>
  <c r="G54" i="36"/>
  <c r="H54" i="36"/>
  <c r="H123" i="36"/>
  <c r="G123" i="36"/>
  <c r="H45" i="36"/>
  <c r="G45" i="36"/>
  <c r="H82" i="36"/>
  <c r="G82" i="36"/>
  <c r="H33" i="36"/>
  <c r="G33" i="36"/>
  <c r="H15" i="36"/>
  <c r="G15" i="36"/>
  <c r="H91" i="36"/>
  <c r="G91" i="36"/>
  <c r="H21" i="36"/>
  <c r="G21" i="36"/>
  <c r="G79" i="36"/>
  <c r="H79" i="36"/>
  <c r="G6" i="36"/>
  <c r="H6" i="36"/>
  <c r="G106" i="36"/>
  <c r="H106" i="36"/>
  <c r="G117" i="36"/>
  <c r="H117" i="36"/>
  <c r="G58" i="36"/>
  <c r="H58" i="36"/>
  <c r="G75" i="36"/>
  <c r="H75" i="36"/>
  <c r="G25" i="36"/>
  <c r="H25" i="36"/>
  <c r="G93" i="36"/>
  <c r="H93" i="36"/>
  <c r="G72" i="36"/>
  <c r="H72" i="36"/>
  <c r="G57" i="36"/>
  <c r="H57" i="36"/>
  <c r="G87" i="36"/>
  <c r="H87" i="36"/>
  <c r="G16" i="36"/>
  <c r="H16" i="36"/>
  <c r="H96" i="36"/>
  <c r="G96" i="36"/>
  <c r="H24" i="36"/>
  <c r="G24" i="36"/>
  <c r="H28" i="36"/>
  <c r="G28" i="36"/>
  <c r="H84" i="36"/>
  <c r="G84" i="36"/>
  <c r="H111" i="36"/>
  <c r="G111" i="36"/>
  <c r="H37" i="36"/>
  <c r="G37" i="36"/>
  <c r="H64" i="36"/>
  <c r="G64" i="36"/>
  <c r="H43" i="36"/>
  <c r="G43" i="36"/>
  <c r="G31" i="36"/>
  <c r="H31" i="36"/>
  <c r="G63" i="36"/>
  <c r="H63" i="36"/>
  <c r="G90" i="36"/>
  <c r="H90" i="36"/>
  <c r="G115" i="36"/>
  <c r="H115" i="36"/>
  <c r="G7" i="36"/>
  <c r="H7" i="36"/>
  <c r="G85" i="36"/>
  <c r="H85" i="36"/>
  <c r="H60" i="36"/>
  <c r="G60" i="36"/>
  <c r="G46" i="36"/>
  <c r="H46" i="36"/>
  <c r="G126" i="36"/>
  <c r="H126" i="36"/>
  <c r="G109" i="36"/>
  <c r="H109" i="36"/>
  <c r="G22" i="36"/>
  <c r="H22" i="36"/>
  <c r="G49" i="36"/>
  <c r="H49" i="36"/>
  <c r="G27" i="36"/>
  <c r="H27" i="36"/>
  <c r="G88" i="36"/>
  <c r="H88" i="36"/>
  <c r="H34" i="36"/>
  <c r="G34" i="36"/>
  <c r="H99" i="36"/>
  <c r="G99" i="36"/>
  <c r="H48" i="36"/>
  <c r="G48" i="36"/>
  <c r="H61" i="36"/>
  <c r="G61" i="36"/>
  <c r="H127" i="36"/>
  <c r="G127" i="36"/>
  <c r="H70" i="36"/>
  <c r="G70" i="36"/>
  <c r="H73" i="36"/>
  <c r="G73" i="36"/>
  <c r="H36" i="36"/>
  <c r="G36" i="36"/>
  <c r="H39" i="36"/>
  <c r="G39" i="36"/>
  <c r="G103" i="36"/>
  <c r="H103" i="36"/>
  <c r="G78" i="36"/>
  <c r="H78" i="36"/>
  <c r="G9" i="36"/>
  <c r="H9" i="36"/>
  <c r="G81" i="36"/>
  <c r="H81" i="36"/>
  <c r="G124" i="36"/>
  <c r="H124" i="36"/>
  <c r="G67" i="36"/>
  <c r="H67" i="36"/>
  <c r="G55" i="36"/>
  <c r="H55" i="36"/>
  <c r="G42" i="36"/>
  <c r="H42" i="36"/>
  <c r="G10" i="36"/>
  <c r="H10" i="36"/>
  <c r="G66" i="36"/>
  <c r="H66" i="36"/>
  <c r="G105" i="36"/>
  <c r="H105" i="36"/>
  <c r="G118" i="36"/>
  <c r="H118" i="36"/>
  <c r="G120" i="36"/>
  <c r="H120" i="36"/>
  <c r="G51" i="36"/>
  <c r="H51" i="36"/>
  <c r="G52" i="36"/>
  <c r="H52" i="36"/>
  <c r="G100" i="36"/>
  <c r="H100" i="36"/>
  <c r="G13" i="36"/>
  <c r="H13" i="36"/>
  <c r="G30" i="36"/>
  <c r="H30" i="36"/>
  <c r="G97" i="36"/>
  <c r="H97" i="36"/>
  <c r="H114" i="36"/>
  <c r="G108" i="36"/>
  <c r="H108" i="36"/>
  <c r="G114" i="36"/>
  <c r="H115" i="35"/>
  <c r="H60" i="35"/>
  <c r="G60" i="35"/>
  <c r="G10" i="35"/>
  <c r="H31" i="35"/>
  <c r="G31" i="35"/>
  <c r="H25" i="35"/>
  <c r="G25" i="35"/>
  <c r="H82" i="35"/>
  <c r="G82" i="35"/>
  <c r="H112" i="35"/>
  <c r="G112" i="35"/>
  <c r="H13" i="35"/>
  <c r="G13" i="35"/>
  <c r="H34" i="35"/>
  <c r="G34" i="35"/>
  <c r="H51" i="35"/>
  <c r="G51" i="35"/>
  <c r="H40" i="35"/>
  <c r="G40" i="35"/>
  <c r="H16" i="35"/>
  <c r="G16" i="35"/>
  <c r="H37" i="35"/>
  <c r="G37" i="35"/>
  <c r="H43" i="35"/>
  <c r="G43" i="35"/>
  <c r="H90" i="35"/>
  <c r="G90" i="35"/>
  <c r="H54" i="35"/>
  <c r="G54" i="35"/>
  <c r="H78" i="35"/>
  <c r="G78" i="35"/>
  <c r="H46" i="35"/>
  <c r="G46" i="35"/>
  <c r="G49" i="35"/>
  <c r="G102" i="35"/>
  <c r="G72" i="35"/>
  <c r="G66" i="35"/>
  <c r="G52" i="35"/>
  <c r="H52" i="35"/>
  <c r="G111" i="35"/>
  <c r="H111" i="35"/>
  <c r="G9" i="35"/>
  <c r="H9" i="35"/>
  <c r="G58" i="35"/>
  <c r="H58" i="35"/>
  <c r="G45" i="35"/>
  <c r="H45" i="35"/>
  <c r="G96" i="35"/>
  <c r="H96" i="35"/>
  <c r="G24" i="35"/>
  <c r="H24" i="35"/>
  <c r="G61" i="35"/>
  <c r="H61" i="35"/>
  <c r="G108" i="35"/>
  <c r="H108" i="35"/>
  <c r="G55" i="35"/>
  <c r="H55" i="35"/>
  <c r="G109" i="35"/>
  <c r="H109" i="35"/>
  <c r="G70" i="35"/>
  <c r="H70" i="35"/>
  <c r="G73" i="35"/>
  <c r="H73" i="35"/>
  <c r="G30" i="35"/>
  <c r="H30" i="35"/>
  <c r="G21" i="35"/>
  <c r="H21" i="35"/>
  <c r="G63" i="35"/>
  <c r="H63" i="35"/>
  <c r="G76" i="35"/>
  <c r="H76" i="35"/>
  <c r="G6" i="35"/>
  <c r="H6" i="35"/>
  <c r="G79" i="35"/>
  <c r="H79" i="35"/>
  <c r="G28" i="35"/>
  <c r="H28" i="35"/>
  <c r="G100" i="35"/>
  <c r="H100" i="35"/>
  <c r="G48" i="35"/>
  <c r="H48" i="35"/>
  <c r="G69" i="35"/>
  <c r="H69" i="35"/>
  <c r="G75" i="35"/>
  <c r="H75" i="35"/>
  <c r="G67" i="35"/>
  <c r="H67" i="35"/>
  <c r="G19" i="35"/>
  <c r="H19" i="35"/>
  <c r="G103" i="35"/>
  <c r="H103" i="35"/>
  <c r="G12" i="35"/>
  <c r="H12" i="35"/>
  <c r="G84" i="35"/>
  <c r="H84" i="35"/>
  <c r="G39" i="35"/>
  <c r="H39" i="35"/>
  <c r="G97" i="35"/>
  <c r="H97" i="35"/>
  <c r="G88" i="35"/>
  <c r="H88" i="35"/>
  <c r="G99" i="35"/>
  <c r="H99" i="35"/>
  <c r="G105" i="35"/>
  <c r="H105" i="35"/>
  <c r="G57" i="35"/>
  <c r="H57" i="35"/>
  <c r="G18" i="35"/>
  <c r="H18" i="35"/>
  <c r="G27" i="35"/>
  <c r="H27" i="35"/>
  <c r="G81" i="35"/>
  <c r="H81" i="35"/>
  <c r="G42" i="35"/>
  <c r="H42" i="35"/>
  <c r="G94" i="35"/>
  <c r="H94" i="35"/>
  <c r="G36" i="35"/>
  <c r="H36" i="35"/>
  <c r="G15" i="35"/>
  <c r="H15" i="35"/>
  <c r="G85" i="35"/>
  <c r="H85" i="35"/>
  <c r="G106" i="35"/>
  <c r="H106" i="35"/>
  <c r="G91" i="35"/>
  <c r="H91" i="35"/>
  <c r="G64" i="35"/>
  <c r="H64" i="35"/>
  <c r="G7" i="35"/>
  <c r="H7" i="35"/>
  <c r="G87" i="35"/>
  <c r="H87" i="35"/>
  <c r="H93" i="35"/>
  <c r="G93" i="35"/>
  <c r="G28" i="34"/>
  <c r="H28" i="34"/>
  <c r="H18" i="34"/>
  <c r="G18" i="34"/>
  <c r="G19" i="34"/>
  <c r="H19" i="34"/>
  <c r="G22" i="34"/>
  <c r="H22" i="34"/>
  <c r="G25" i="34"/>
  <c r="H25" i="34"/>
  <c r="G45" i="34"/>
  <c r="H45" i="34"/>
  <c r="G42" i="34"/>
  <c r="H42" i="34"/>
  <c r="G12" i="34"/>
  <c r="H12" i="34"/>
  <c r="G39" i="34"/>
  <c r="H39" i="34"/>
  <c r="H7" i="34"/>
  <c r="G7" i="34"/>
  <c r="G34" i="34"/>
  <c r="H34" i="34"/>
  <c r="G13" i="34"/>
  <c r="H13" i="34"/>
  <c r="G10" i="34"/>
  <c r="H10" i="34"/>
  <c r="G27" i="34"/>
  <c r="H27" i="34"/>
  <c r="G49" i="34"/>
  <c r="H49" i="34"/>
  <c r="H9" i="34"/>
  <c r="G9" i="34"/>
  <c r="G40" i="34"/>
  <c r="H40" i="34"/>
  <c r="G16" i="34"/>
  <c r="H16" i="34"/>
  <c r="G37" i="34"/>
  <c r="H37" i="34"/>
  <c r="G48" i="34"/>
  <c r="H48" i="34"/>
  <c r="G6" i="34"/>
  <c r="H6" i="34"/>
  <c r="G30" i="34"/>
  <c r="H30" i="34"/>
  <c r="H21" i="34"/>
  <c r="G21" i="34"/>
  <c r="H31" i="34"/>
  <c r="G31" i="34"/>
  <c r="G15" i="34"/>
  <c r="H15" i="34"/>
  <c r="G46" i="34"/>
  <c r="H46" i="34"/>
  <c r="G33" i="34"/>
  <c r="H33" i="34"/>
  <c r="G24" i="34"/>
  <c r="H24" i="34"/>
  <c r="H36" i="34"/>
  <c r="G36" i="34"/>
  <c r="H43" i="34"/>
  <c r="G43" i="34"/>
  <c r="H31" i="33"/>
  <c r="G31" i="33"/>
  <c r="H30" i="33"/>
  <c r="G30" i="33"/>
  <c r="G19" i="33"/>
  <c r="H19" i="33"/>
  <c r="G7" i="33"/>
  <c r="H7" i="33"/>
  <c r="G39" i="33"/>
  <c r="H39" i="33"/>
  <c r="G16" i="33"/>
  <c r="H16" i="33"/>
  <c r="G13" i="33"/>
  <c r="H13" i="33"/>
  <c r="G25" i="33"/>
  <c r="H25" i="33"/>
  <c r="H22" i="33"/>
  <c r="G22" i="33"/>
  <c r="G21" i="33"/>
  <c r="H21" i="33"/>
  <c r="G12" i="33"/>
  <c r="H12" i="33"/>
  <c r="G18" i="33"/>
  <c r="H18" i="33"/>
  <c r="G40" i="33"/>
  <c r="H40" i="33"/>
  <c r="G15" i="33"/>
  <c r="H15" i="33"/>
  <c r="G43" i="33"/>
  <c r="H43" i="33"/>
  <c r="G51" i="33"/>
  <c r="H51" i="33"/>
  <c r="H27" i="33"/>
  <c r="G27" i="33"/>
  <c r="H28" i="33"/>
  <c r="G28" i="33"/>
  <c r="G34" i="33"/>
  <c r="H34" i="33"/>
  <c r="G42" i="33"/>
  <c r="H42" i="33"/>
  <c r="G49" i="33"/>
  <c r="H49" i="33"/>
  <c r="G10" i="33"/>
  <c r="H10" i="33"/>
  <c r="G45" i="33"/>
  <c r="H45" i="33"/>
  <c r="H37" i="33"/>
  <c r="G37" i="33"/>
  <c r="H24" i="33"/>
  <c r="G24" i="33"/>
  <c r="G48" i="33"/>
  <c r="H48" i="33"/>
  <c r="G46" i="33"/>
  <c r="H46" i="33"/>
  <c r="G36" i="33"/>
  <c r="H36" i="33"/>
  <c r="G33" i="33"/>
  <c r="H33" i="33"/>
  <c r="G6" i="33"/>
  <c r="H6" i="33"/>
  <c r="G9" i="33"/>
  <c r="H9" i="33"/>
  <c r="H52" i="33"/>
  <c r="G52" i="33"/>
  <c r="G15" i="32"/>
  <c r="H15" i="32"/>
  <c r="H6" i="32"/>
  <c r="G30" i="32"/>
  <c r="H30" i="32"/>
  <c r="G24" i="32"/>
  <c r="H24" i="32"/>
  <c r="G16" i="32"/>
  <c r="H16" i="32"/>
  <c r="H7" i="32"/>
  <c r="G21" i="32"/>
  <c r="H21" i="32"/>
  <c r="G25" i="32"/>
  <c r="H25" i="32"/>
  <c r="G27" i="32"/>
  <c r="H27" i="32"/>
  <c r="G10" i="32"/>
  <c r="H10" i="32"/>
  <c r="G9" i="32"/>
  <c r="H9" i="32"/>
  <c r="G18" i="32"/>
  <c r="H18" i="32"/>
  <c r="G19" i="32"/>
  <c r="H19" i="32"/>
  <c r="G28" i="32"/>
  <c r="H28" i="32"/>
  <c r="G36" i="32"/>
  <c r="H36" i="32"/>
  <c r="G34" i="32"/>
  <c r="H34" i="32"/>
  <c r="G13" i="32"/>
  <c r="H13" i="32"/>
  <c r="G33" i="32"/>
  <c r="H33" i="32"/>
  <c r="G12" i="32"/>
  <c r="H12" i="32"/>
  <c r="G31" i="32"/>
  <c r="H31" i="32"/>
  <c r="H22" i="32"/>
  <c r="G22" i="32"/>
  <c r="G90" i="31"/>
  <c r="H90" i="31"/>
  <c r="H12" i="31"/>
  <c r="G12" i="31"/>
  <c r="G58" i="31"/>
  <c r="H58" i="31"/>
  <c r="G91" i="31"/>
  <c r="H91" i="31"/>
  <c r="G7" i="31"/>
  <c r="H7" i="31"/>
  <c r="G57" i="31"/>
  <c r="H57" i="31"/>
  <c r="G70" i="31"/>
  <c r="H70" i="31"/>
  <c r="G33" i="31"/>
  <c r="H33" i="31"/>
  <c r="H39" i="31"/>
  <c r="G39" i="31"/>
  <c r="G18" i="31"/>
  <c r="H18" i="31"/>
  <c r="G52" i="31"/>
  <c r="H52" i="31"/>
  <c r="G40" i="31"/>
  <c r="H40" i="31"/>
  <c r="H82" i="31"/>
  <c r="G82" i="31"/>
  <c r="G94" i="31"/>
  <c r="H94" i="31"/>
  <c r="G67" i="31"/>
  <c r="H67" i="31"/>
  <c r="G79" i="31"/>
  <c r="H79" i="31"/>
  <c r="G13" i="31"/>
  <c r="H13" i="31"/>
  <c r="G75" i="31"/>
  <c r="H75" i="31"/>
  <c r="G66" i="31"/>
  <c r="H66" i="31"/>
  <c r="G64" i="31"/>
  <c r="H64" i="31"/>
  <c r="G97" i="31"/>
  <c r="H97" i="31"/>
  <c r="G37" i="31"/>
  <c r="H37" i="31"/>
  <c r="G93" i="31"/>
  <c r="H93" i="31"/>
  <c r="H54" i="31"/>
  <c r="G54" i="31"/>
  <c r="G19" i="31"/>
  <c r="H19" i="31"/>
  <c r="H15" i="31"/>
  <c r="G15" i="31"/>
  <c r="G21" i="31"/>
  <c r="H21" i="31"/>
  <c r="G42" i="31"/>
  <c r="H42" i="31"/>
  <c r="G25" i="31"/>
  <c r="H25" i="31"/>
  <c r="H85" i="31"/>
  <c r="G85" i="31"/>
  <c r="G84" i="31"/>
  <c r="H84" i="31"/>
  <c r="G46" i="31"/>
  <c r="H46" i="31"/>
  <c r="G31" i="31"/>
  <c r="H31" i="31"/>
  <c r="G34" i="31"/>
  <c r="H34" i="31"/>
  <c r="G10" i="31"/>
  <c r="H10" i="31"/>
  <c r="G22" i="31"/>
  <c r="H22" i="31"/>
  <c r="G30" i="31"/>
  <c r="H30" i="31"/>
  <c r="G49" i="31"/>
  <c r="H49" i="31"/>
  <c r="G69" i="31"/>
  <c r="H69" i="31"/>
  <c r="G99" i="31"/>
  <c r="H99" i="31"/>
  <c r="G76" i="31"/>
  <c r="H76" i="31"/>
  <c r="G6" i="31"/>
  <c r="H6" i="31"/>
  <c r="H48" i="31"/>
  <c r="H16" i="31"/>
  <c r="H24" i="31"/>
  <c r="H9" i="31"/>
  <c r="H73" i="31"/>
  <c r="H28" i="31"/>
  <c r="H43" i="31"/>
  <c r="H27" i="31"/>
  <c r="H63" i="31"/>
  <c r="H51" i="31"/>
  <c r="H36" i="31"/>
  <c r="H72" i="31"/>
  <c r="H45" i="31"/>
  <c r="H60" i="31"/>
  <c r="H61" i="31"/>
  <c r="H55" i="31"/>
  <c r="H78" i="31"/>
  <c r="H87" i="31"/>
  <c r="H88" i="31"/>
  <c r="H96" i="31"/>
  <c r="G81" i="31"/>
  <c r="H81" i="31"/>
  <c r="H34" i="30"/>
  <c r="H45" i="30"/>
  <c r="H6" i="30"/>
  <c r="H12" i="30"/>
  <c r="H57" i="30"/>
  <c r="H49" i="30"/>
  <c r="G49" i="30"/>
  <c r="H21" i="30"/>
  <c r="G21" i="30"/>
  <c r="H58" i="30"/>
  <c r="G58" i="30"/>
  <c r="H18" i="30"/>
  <c r="G18" i="30"/>
  <c r="H55" i="30"/>
  <c r="G55" i="30"/>
  <c r="G64" i="30"/>
  <c r="H64" i="30"/>
  <c r="G42" i="30"/>
  <c r="H42" i="30"/>
  <c r="G54" i="30"/>
  <c r="H54" i="30"/>
  <c r="H69" i="30"/>
  <c r="G69" i="30"/>
  <c r="H67" i="30"/>
  <c r="G67" i="30"/>
  <c r="H39" i="30"/>
  <c r="G39" i="30"/>
  <c r="H46" i="30"/>
  <c r="G46" i="30"/>
  <c r="H33" i="30"/>
  <c r="G33" i="30"/>
  <c r="H70" i="30"/>
  <c r="G70" i="30"/>
  <c r="H66" i="30"/>
  <c r="G66" i="30"/>
  <c r="H52" i="30"/>
  <c r="G52" i="30"/>
  <c r="H19" i="30"/>
  <c r="G19" i="30"/>
  <c r="H48" i="30"/>
  <c r="G48" i="30"/>
  <c r="H31" i="30"/>
  <c r="G31" i="30"/>
  <c r="H51" i="30"/>
  <c r="G51" i="30"/>
  <c r="G72" i="30"/>
  <c r="H72" i="30"/>
  <c r="G40" i="30"/>
  <c r="H40" i="30"/>
  <c r="G22" i="30"/>
  <c r="H22" i="30"/>
  <c r="G10" i="30"/>
  <c r="H10" i="30"/>
  <c r="H9" i="30"/>
  <c r="G9" i="30"/>
  <c r="H61" i="30"/>
  <c r="G61" i="30"/>
  <c r="H43" i="30"/>
  <c r="G43" i="30"/>
  <c r="H30" i="30"/>
  <c r="G30" i="30"/>
  <c r="G13" i="30"/>
  <c r="H13" i="30"/>
  <c r="G16" i="30"/>
  <c r="H16" i="30"/>
  <c r="G37" i="30"/>
  <c r="H37" i="30"/>
  <c r="H28" i="30"/>
  <c r="G28" i="30"/>
  <c r="H24" i="30"/>
  <c r="G24" i="30"/>
  <c r="H36" i="30"/>
  <c r="G36" i="30"/>
  <c r="H7" i="30"/>
  <c r="G7" i="30"/>
  <c r="G63" i="30"/>
  <c r="H63" i="30"/>
  <c r="G25" i="30"/>
  <c r="H25" i="30"/>
  <c r="G27" i="30"/>
  <c r="H27" i="30"/>
  <c r="G15" i="30"/>
  <c r="H15" i="30"/>
  <c r="H60" i="30"/>
  <c r="G60" i="30"/>
  <c r="H24" i="29"/>
  <c r="G24" i="29"/>
  <c r="G13" i="29"/>
  <c r="H13" i="29"/>
  <c r="H7" i="29"/>
  <c r="G7" i="29"/>
  <c r="G40" i="29"/>
  <c r="H40" i="29"/>
  <c r="G39" i="29"/>
  <c r="H39" i="29"/>
  <c r="G19" i="29"/>
  <c r="H19" i="29"/>
  <c r="G10" i="29"/>
  <c r="H10" i="29"/>
  <c r="G18" i="29"/>
  <c r="H18" i="29"/>
  <c r="G6" i="29"/>
  <c r="H6" i="29"/>
  <c r="G34" i="29"/>
  <c r="H34" i="29"/>
  <c r="G37" i="29"/>
  <c r="H37" i="29"/>
  <c r="G9" i="29"/>
  <c r="H9" i="29"/>
  <c r="G21" i="29"/>
  <c r="H21" i="29"/>
  <c r="H30" i="29"/>
  <c r="G30" i="29"/>
  <c r="G45" i="29"/>
  <c r="H45" i="29"/>
  <c r="G15" i="29"/>
  <c r="H15" i="29"/>
  <c r="G22" i="29"/>
  <c r="H22" i="29"/>
  <c r="G43" i="29"/>
  <c r="H43" i="29"/>
  <c r="G36" i="29"/>
  <c r="H36" i="29"/>
  <c r="G46" i="29"/>
  <c r="H46" i="29"/>
  <c r="G31" i="29"/>
  <c r="H31" i="29"/>
  <c r="G28" i="29"/>
  <c r="H28" i="29"/>
  <c r="G33" i="29"/>
  <c r="H33" i="29"/>
  <c r="G16" i="29"/>
  <c r="H16" i="29"/>
  <c r="G51" i="29"/>
  <c r="H51" i="29"/>
  <c r="G25" i="29"/>
  <c r="H25" i="29"/>
  <c r="H12" i="29"/>
  <c r="G12" i="29"/>
  <c r="H42" i="29"/>
  <c r="G42" i="29"/>
  <c r="G49" i="29"/>
  <c r="H49" i="29"/>
  <c r="G27" i="29"/>
  <c r="H27" i="29"/>
  <c r="G48" i="29"/>
  <c r="H48" i="29"/>
  <c r="G52" i="29"/>
  <c r="G58" i="28"/>
  <c r="H30" i="28"/>
  <c r="G30" i="28"/>
  <c r="G12" i="28"/>
  <c r="H12" i="28"/>
  <c r="H15" i="28"/>
  <c r="G15" i="28"/>
  <c r="G40" i="28"/>
  <c r="H40" i="28"/>
  <c r="G13" i="28"/>
  <c r="H13" i="28"/>
  <c r="G42" i="28"/>
  <c r="H42" i="28"/>
  <c r="H33" i="28"/>
  <c r="H21" i="28"/>
  <c r="H24" i="28"/>
  <c r="G22" i="28"/>
  <c r="H22" i="28"/>
  <c r="G31" i="28"/>
  <c r="H31" i="28"/>
  <c r="G27" i="28"/>
  <c r="H27" i="28"/>
  <c r="G52" i="28"/>
  <c r="H52" i="28"/>
  <c r="G37" i="28"/>
  <c r="H37" i="28"/>
  <c r="G45" i="28"/>
  <c r="H45" i="28"/>
  <c r="G19" i="28"/>
  <c r="H19" i="28"/>
  <c r="G18" i="28"/>
  <c r="H18" i="28"/>
  <c r="G36" i="28"/>
  <c r="H36" i="28"/>
  <c r="H51" i="28"/>
  <c r="H10" i="28"/>
  <c r="H28" i="28"/>
  <c r="H43" i="28"/>
  <c r="H25" i="28"/>
  <c r="H34" i="28"/>
  <c r="H6" i="28"/>
  <c r="H16" i="28"/>
  <c r="H9" i="28"/>
  <c r="H7" i="28"/>
  <c r="H49" i="28"/>
  <c r="H46" i="28"/>
  <c r="H55" i="28"/>
  <c r="H39" i="28"/>
  <c r="H54" i="28"/>
  <c r="G54" i="28"/>
  <c r="H48" i="28"/>
  <c r="G48" i="28"/>
  <c r="H103" i="27"/>
  <c r="G70" i="27"/>
  <c r="H70" i="27"/>
  <c r="G49" i="27"/>
  <c r="H49" i="27"/>
  <c r="H21" i="27"/>
  <c r="H40" i="27"/>
  <c r="H90" i="27"/>
  <c r="G79" i="27"/>
  <c r="H79" i="27"/>
  <c r="G94" i="27"/>
  <c r="H94" i="27"/>
  <c r="G48" i="27"/>
  <c r="H48" i="27"/>
  <c r="G78" i="27"/>
  <c r="H78" i="27"/>
  <c r="G99" i="27"/>
  <c r="H99" i="27"/>
  <c r="G39" i="27"/>
  <c r="H39" i="27"/>
  <c r="H6" i="27"/>
  <c r="G18" i="27"/>
  <c r="H18" i="27"/>
  <c r="G27" i="27"/>
  <c r="H27" i="27"/>
  <c r="G54" i="27"/>
  <c r="H54" i="27"/>
  <c r="G67" i="27"/>
  <c r="H67" i="27"/>
  <c r="G28" i="27"/>
  <c r="H28" i="27"/>
  <c r="G22" i="27"/>
  <c r="H22" i="27"/>
  <c r="G88" i="27"/>
  <c r="H88" i="27"/>
  <c r="G76" i="27"/>
  <c r="H76" i="27"/>
  <c r="G46" i="27"/>
  <c r="H46" i="27"/>
  <c r="G30" i="27"/>
  <c r="H30" i="27"/>
  <c r="G36" i="27"/>
  <c r="H36" i="27"/>
  <c r="G9" i="27"/>
  <c r="H9" i="27"/>
  <c r="G31" i="27"/>
  <c r="H31" i="27"/>
  <c r="G13" i="27"/>
  <c r="H13" i="27"/>
  <c r="G93" i="27"/>
  <c r="H93" i="27"/>
  <c r="H37" i="27"/>
  <c r="G37" i="27"/>
  <c r="H81" i="27"/>
  <c r="G81" i="27"/>
  <c r="H97" i="27"/>
  <c r="G97" i="27"/>
  <c r="G87" i="27"/>
  <c r="H87" i="27"/>
  <c r="G10" i="27"/>
  <c r="H10" i="27"/>
  <c r="G100" i="27"/>
  <c r="H100" i="27"/>
  <c r="G33" i="27"/>
  <c r="H33" i="27"/>
  <c r="G96" i="27"/>
  <c r="H96" i="27"/>
  <c r="G82" i="27"/>
  <c r="H82" i="27"/>
  <c r="G15" i="27"/>
  <c r="H15" i="27"/>
  <c r="G51" i="27"/>
  <c r="H51" i="27"/>
  <c r="G42" i="27"/>
  <c r="H42" i="27"/>
  <c r="G66" i="27"/>
  <c r="H66" i="27"/>
  <c r="G57" i="27"/>
  <c r="H57" i="27"/>
  <c r="G58" i="27"/>
  <c r="H58" i="27"/>
  <c r="G45" i="27"/>
  <c r="H45" i="27"/>
  <c r="G69" i="27"/>
  <c r="H69" i="27"/>
  <c r="H60" i="27"/>
  <c r="G60" i="27"/>
  <c r="H64" i="27"/>
  <c r="G64" i="27"/>
  <c r="H52" i="27"/>
  <c r="G52" i="27"/>
  <c r="G16" i="27"/>
  <c r="H16" i="27"/>
  <c r="G73" i="27"/>
  <c r="H73" i="27"/>
  <c r="G12" i="27"/>
  <c r="H12" i="27"/>
  <c r="G55" i="27"/>
  <c r="H55" i="27"/>
  <c r="G25" i="27"/>
  <c r="H25" i="27"/>
  <c r="G43" i="27"/>
  <c r="H43" i="27"/>
  <c r="H63" i="27"/>
  <c r="G63" i="27"/>
  <c r="G7" i="27"/>
  <c r="H7" i="27"/>
  <c r="G84" i="27"/>
  <c r="H84" i="27"/>
  <c r="G72" i="27"/>
  <c r="H72" i="27"/>
  <c r="G19" i="27"/>
  <c r="H19" i="27"/>
  <c r="G61" i="27"/>
  <c r="H61" i="27"/>
  <c r="G75" i="27"/>
  <c r="H75" i="27"/>
  <c r="G34" i="27"/>
  <c r="H34" i="27"/>
  <c r="G24" i="27"/>
  <c r="H24" i="27"/>
  <c r="G85" i="27"/>
  <c r="H85" i="27"/>
  <c r="H91" i="27"/>
  <c r="G91" i="27"/>
  <c r="G85" i="26"/>
  <c r="G69" i="26"/>
  <c r="H69" i="26"/>
  <c r="G12" i="26"/>
  <c r="H12" i="26"/>
  <c r="G45" i="26"/>
  <c r="H45" i="26"/>
  <c r="G33" i="26"/>
  <c r="H33" i="26"/>
  <c r="G36" i="26"/>
  <c r="H36" i="26"/>
  <c r="G27" i="26"/>
  <c r="H27" i="26"/>
  <c r="G25" i="26"/>
  <c r="H25" i="26"/>
  <c r="G72" i="26"/>
  <c r="H72" i="26"/>
  <c r="G73" i="26"/>
  <c r="H73" i="26"/>
  <c r="G78" i="26"/>
  <c r="H78" i="26"/>
  <c r="G52" i="26"/>
  <c r="H52" i="26"/>
  <c r="H54" i="26"/>
  <c r="G54" i="26"/>
  <c r="H10" i="26"/>
  <c r="G10" i="26"/>
  <c r="G43" i="26"/>
  <c r="H43" i="26"/>
  <c r="G42" i="26"/>
  <c r="H42" i="26"/>
  <c r="G76" i="26"/>
  <c r="H76" i="26"/>
  <c r="G60" i="26"/>
  <c r="H60" i="26"/>
  <c r="G55" i="26"/>
  <c r="H55" i="26"/>
  <c r="G51" i="26"/>
  <c r="H51" i="26"/>
  <c r="H18" i="26"/>
  <c r="G18" i="26"/>
  <c r="H39" i="26"/>
  <c r="G39" i="26"/>
  <c r="H57" i="26"/>
  <c r="G57" i="26"/>
  <c r="H37" i="26"/>
  <c r="G37" i="26"/>
  <c r="G30" i="26"/>
  <c r="H30" i="26"/>
  <c r="G24" i="26"/>
  <c r="H24" i="26"/>
  <c r="G21" i="26"/>
  <c r="H21" i="26"/>
  <c r="H7" i="26"/>
  <c r="G7" i="26"/>
  <c r="G46" i="26"/>
  <c r="H46" i="26"/>
  <c r="G63" i="26"/>
  <c r="H63" i="26"/>
  <c r="G64" i="26"/>
  <c r="H64" i="26"/>
  <c r="G40" i="26"/>
  <c r="H40" i="26"/>
  <c r="G49" i="26"/>
  <c r="H49" i="26"/>
  <c r="G67" i="26"/>
  <c r="H67" i="26"/>
  <c r="H28" i="26"/>
  <c r="H58" i="26"/>
  <c r="H48" i="26"/>
  <c r="H61" i="26"/>
  <c r="H66" i="26"/>
  <c r="H75" i="26"/>
  <c r="H34" i="26"/>
  <c r="H15" i="26"/>
  <c r="H16" i="26"/>
  <c r="H22" i="26"/>
  <c r="H13" i="26"/>
  <c r="H6" i="26"/>
  <c r="H19" i="26"/>
  <c r="H9" i="26"/>
  <c r="H31" i="26"/>
  <c r="H79" i="26"/>
  <c r="H81" i="26"/>
  <c r="G82" i="26"/>
  <c r="H82" i="26"/>
  <c r="G70" i="26"/>
  <c r="H47" i="25"/>
  <c r="G42" i="25"/>
  <c r="H42" i="25"/>
  <c r="G34" i="25"/>
  <c r="H34" i="25"/>
  <c r="G43" i="25"/>
  <c r="H43" i="25"/>
  <c r="G36" i="25"/>
  <c r="H36" i="25"/>
  <c r="H37" i="25"/>
  <c r="G37" i="25"/>
  <c r="G27" i="25"/>
  <c r="H27" i="25"/>
  <c r="G9" i="25"/>
  <c r="H9" i="25"/>
  <c r="G7" i="25"/>
  <c r="H7" i="25"/>
  <c r="G40" i="25"/>
  <c r="H40" i="25"/>
  <c r="G6" i="25"/>
  <c r="H6" i="25"/>
  <c r="G33" i="25"/>
  <c r="H33" i="25"/>
  <c r="G22" i="25"/>
  <c r="H22" i="25"/>
  <c r="G10" i="25"/>
  <c r="H10" i="25"/>
  <c r="G45" i="25"/>
  <c r="H45" i="25"/>
  <c r="G31" i="25"/>
  <c r="H31" i="25"/>
  <c r="G25" i="25"/>
  <c r="H25" i="25"/>
  <c r="G18" i="25"/>
  <c r="H18" i="25"/>
  <c r="G30" i="25"/>
  <c r="H30" i="25"/>
  <c r="G12" i="25"/>
  <c r="H12" i="25"/>
  <c r="H19" i="25"/>
  <c r="G19" i="25"/>
  <c r="G39" i="25"/>
  <c r="H39" i="25"/>
  <c r="G16" i="25"/>
  <c r="H16" i="25"/>
  <c r="G15" i="25"/>
  <c r="H15" i="25"/>
  <c r="G21" i="25"/>
  <c r="H21" i="25"/>
  <c r="G24" i="25"/>
  <c r="H24" i="25"/>
  <c r="G13" i="25"/>
  <c r="H13" i="25"/>
  <c r="H28" i="25"/>
  <c r="G28" i="25"/>
  <c r="G103" i="24"/>
  <c r="H103" i="24"/>
  <c r="G88" i="24"/>
  <c r="H88" i="24"/>
  <c r="G7" i="24"/>
  <c r="H7" i="24"/>
  <c r="H27" i="24"/>
  <c r="G27" i="24"/>
  <c r="G73" i="24"/>
  <c r="H73" i="24"/>
  <c r="G37" i="24"/>
  <c r="H37" i="24"/>
  <c r="G36" i="24"/>
  <c r="H36" i="24"/>
  <c r="G15" i="24"/>
  <c r="H15" i="24"/>
  <c r="G90" i="24"/>
  <c r="H90" i="24"/>
  <c r="G58" i="24"/>
  <c r="H58" i="24"/>
  <c r="G18" i="24"/>
  <c r="H18" i="24"/>
  <c r="G100" i="24"/>
  <c r="H100" i="24"/>
  <c r="G28" i="24"/>
  <c r="H28" i="24"/>
  <c r="G63" i="24"/>
  <c r="H63" i="24"/>
  <c r="G93" i="24"/>
  <c r="H93" i="24"/>
  <c r="G22" i="24"/>
  <c r="H22" i="24"/>
  <c r="G16" i="24"/>
  <c r="H16" i="24"/>
  <c r="G34" i="24"/>
  <c r="H34" i="24"/>
  <c r="G39" i="24"/>
  <c r="H39" i="24"/>
  <c r="G75" i="24"/>
  <c r="H75" i="24"/>
  <c r="G87" i="24"/>
  <c r="H87" i="24"/>
  <c r="G49" i="24"/>
  <c r="H49" i="24"/>
  <c r="G52" i="24"/>
  <c r="H52" i="24"/>
  <c r="G82" i="24"/>
  <c r="H82" i="24"/>
  <c r="G91" i="24"/>
  <c r="H91" i="24"/>
  <c r="G66" i="24"/>
  <c r="H66" i="24"/>
  <c r="G55" i="24"/>
  <c r="H55" i="24"/>
  <c r="G19" i="24"/>
  <c r="H19" i="24"/>
  <c r="G31" i="24"/>
  <c r="H31" i="24"/>
  <c r="G42" i="24"/>
  <c r="H42" i="24"/>
  <c r="G85" i="24"/>
  <c r="H85" i="24"/>
  <c r="G69" i="24"/>
  <c r="H69" i="24"/>
  <c r="G70" i="24"/>
  <c r="H70" i="24"/>
  <c r="H72" i="24"/>
  <c r="G72" i="24"/>
  <c r="G9" i="24"/>
  <c r="H9" i="24"/>
  <c r="G96" i="24"/>
  <c r="H96" i="24"/>
  <c r="G97" i="24"/>
  <c r="H97" i="24"/>
  <c r="G94" i="24"/>
  <c r="H94" i="24"/>
  <c r="G12" i="24"/>
  <c r="H12" i="24"/>
  <c r="G99" i="24"/>
  <c r="H99" i="24"/>
  <c r="G76" i="24"/>
  <c r="H76" i="24"/>
  <c r="G67" i="24"/>
  <c r="H67" i="24"/>
  <c r="G79" i="24"/>
  <c r="H79" i="24"/>
  <c r="G6" i="24"/>
  <c r="H6" i="24"/>
  <c r="G60" i="24"/>
  <c r="H60" i="24"/>
  <c r="G45" i="24"/>
  <c r="H45" i="24"/>
  <c r="G43" i="24"/>
  <c r="H43" i="24"/>
  <c r="G81" i="24"/>
  <c r="H81" i="24"/>
  <c r="G84" i="24"/>
  <c r="H84" i="24"/>
  <c r="G21" i="24"/>
  <c r="H21" i="24"/>
  <c r="G25" i="24"/>
  <c r="H25" i="24"/>
  <c r="G78" i="24"/>
  <c r="H78" i="24"/>
  <c r="G51" i="24"/>
  <c r="H51" i="24"/>
  <c r="G40" i="24"/>
  <c r="H40" i="24"/>
  <c r="G61" i="24"/>
  <c r="H61" i="24"/>
  <c r="G24" i="24"/>
  <c r="H24" i="24"/>
  <c r="G64" i="24"/>
  <c r="H64" i="24"/>
  <c r="G30" i="24"/>
  <c r="H30" i="24"/>
  <c r="G54" i="24"/>
  <c r="H54" i="24"/>
  <c r="G48" i="24"/>
  <c r="H48" i="24"/>
  <c r="G102" i="24"/>
  <c r="H102" i="24"/>
  <c r="G33" i="24"/>
  <c r="H33" i="24"/>
  <c r="G57" i="24"/>
  <c r="H57" i="24"/>
  <c r="G13" i="24"/>
  <c r="H13" i="24"/>
  <c r="G10" i="24"/>
  <c r="H10" i="24"/>
  <c r="G46" i="24"/>
  <c r="H46" i="24"/>
  <c r="H227" i="23"/>
  <c r="H206" i="23"/>
  <c r="G204" i="23"/>
  <c r="H204" i="23"/>
  <c r="H209" i="23"/>
  <c r="H161" i="23"/>
  <c r="F235" i="23"/>
  <c r="H68" i="23" s="1"/>
  <c r="H182" i="23"/>
  <c r="H176" i="23"/>
  <c r="H128" i="23"/>
  <c r="H59" i="23"/>
  <c r="H56" i="23"/>
  <c r="G26" i="23"/>
  <c r="G152" i="23"/>
  <c r="G47" i="23"/>
  <c r="G155" i="23"/>
  <c r="G173" i="23"/>
  <c r="G50" i="23"/>
  <c r="G122" i="23"/>
  <c r="G140" i="23"/>
  <c r="G158" i="23"/>
  <c r="G53" i="23"/>
  <c r="G125" i="23"/>
  <c r="G143" i="23"/>
  <c r="G161" i="23"/>
  <c r="G74" i="23"/>
  <c r="G182" i="23"/>
  <c r="G200" i="23"/>
  <c r="G218" i="23"/>
  <c r="G144" i="23"/>
  <c r="H144" i="23"/>
  <c r="G226" i="23"/>
  <c r="H226" i="23"/>
  <c r="G165" i="23"/>
  <c r="H165" i="23"/>
  <c r="H18" i="23"/>
  <c r="G72" i="23"/>
  <c r="G105" i="23"/>
  <c r="G198" i="23"/>
  <c r="H198" i="23"/>
  <c r="G6" i="23"/>
  <c r="H6" i="23"/>
  <c r="G42" i="23"/>
  <c r="H42" i="23"/>
  <c r="G229" i="23"/>
  <c r="H229" i="23"/>
  <c r="G22" i="23"/>
  <c r="H22" i="23"/>
  <c r="G175" i="23"/>
  <c r="H175" i="23"/>
  <c r="G7" i="23"/>
  <c r="H7" i="23"/>
  <c r="G10" i="23"/>
  <c r="H10" i="23"/>
  <c r="G189" i="23"/>
  <c r="H189" i="23"/>
  <c r="G67" i="23"/>
  <c r="H67" i="23"/>
  <c r="G84" i="23"/>
  <c r="H84" i="23"/>
  <c r="G210" i="23"/>
  <c r="H210" i="23"/>
  <c r="G109" i="23"/>
  <c r="H109" i="23"/>
  <c r="G40" i="23"/>
  <c r="G51" i="23"/>
  <c r="H21" i="23"/>
  <c r="H55" i="23"/>
  <c r="H136" i="23"/>
  <c r="G120" i="23"/>
  <c r="H120" i="23"/>
  <c r="G181" i="23"/>
  <c r="H181" i="23"/>
  <c r="G162" i="23"/>
  <c r="H162" i="23"/>
  <c r="G106" i="23"/>
  <c r="H106" i="23"/>
  <c r="G145" i="23"/>
  <c r="H145" i="23"/>
  <c r="G123" i="23"/>
  <c r="H123" i="23"/>
  <c r="G150" i="23"/>
  <c r="H150" i="23"/>
  <c r="G199" i="23"/>
  <c r="H199" i="23"/>
  <c r="G142" i="23"/>
  <c r="H142" i="23"/>
  <c r="G73" i="23"/>
  <c r="H73" i="23"/>
  <c r="G30" i="23"/>
  <c r="H30" i="23"/>
  <c r="G94" i="23"/>
  <c r="H94" i="23"/>
  <c r="G75" i="23"/>
  <c r="H75" i="23"/>
  <c r="G169" i="23"/>
  <c r="G208" i="23"/>
  <c r="H208" i="23"/>
  <c r="G138" i="23"/>
  <c r="H138" i="23"/>
  <c r="G78" i="23"/>
  <c r="H78" i="23"/>
  <c r="G139" i="23"/>
  <c r="H139" i="23"/>
  <c r="G232" i="23"/>
  <c r="H232" i="23"/>
  <c r="G180" i="23"/>
  <c r="H180" i="23"/>
  <c r="G39" i="23"/>
  <c r="H39" i="23"/>
  <c r="G207" i="23"/>
  <c r="H207" i="23"/>
  <c r="G177" i="23"/>
  <c r="H177" i="23"/>
  <c r="G154" i="23"/>
  <c r="H154" i="23"/>
  <c r="G102" i="23"/>
  <c r="H102" i="23"/>
  <c r="G141" i="23"/>
  <c r="H141" i="23"/>
  <c r="G25" i="23"/>
  <c r="H25" i="23"/>
  <c r="G61" i="23"/>
  <c r="H61" i="23"/>
  <c r="G48" i="23"/>
  <c r="H48" i="23"/>
  <c r="G111" i="23"/>
  <c r="H111" i="23"/>
  <c r="G156" i="23"/>
  <c r="H156" i="23"/>
  <c r="H183" i="23"/>
  <c r="G124" i="23"/>
  <c r="H124" i="23"/>
  <c r="G157" i="23"/>
  <c r="H157" i="23"/>
  <c r="G186" i="23"/>
  <c r="H186" i="23"/>
  <c r="G205" i="23"/>
  <c r="H205" i="23"/>
  <c r="G228" i="23"/>
  <c r="H228" i="23"/>
  <c r="G160" i="23"/>
  <c r="H160" i="23"/>
  <c r="G196" i="23"/>
  <c r="H196" i="23"/>
  <c r="G118" i="23"/>
  <c r="H118" i="23"/>
  <c r="G19" i="23"/>
  <c r="H19" i="23"/>
  <c r="G130" i="23"/>
  <c r="H130" i="23"/>
  <c r="G34" i="23"/>
  <c r="H34" i="23"/>
  <c r="G183" i="23"/>
  <c r="G151" i="23"/>
  <c r="H151" i="23"/>
  <c r="G159" i="23"/>
  <c r="G201" i="23"/>
  <c r="G214" i="23"/>
  <c r="H214" i="23"/>
  <c r="G163" i="23"/>
  <c r="H163" i="23"/>
  <c r="G172" i="23"/>
  <c r="H172" i="23"/>
  <c r="G193" i="23"/>
  <c r="H193" i="23"/>
  <c r="G76" i="23"/>
  <c r="H76" i="23"/>
  <c r="G70" i="23"/>
  <c r="H70" i="23"/>
  <c r="H222" i="23"/>
  <c r="H201" i="23"/>
  <c r="H195" i="23"/>
  <c r="H159" i="23"/>
  <c r="H105" i="23"/>
  <c r="G24" i="23"/>
  <c r="G88" i="23"/>
  <c r="H88" i="23"/>
  <c r="H91" i="23"/>
  <c r="G57" i="23"/>
  <c r="G46" i="23"/>
  <c r="H46" i="23"/>
  <c r="G127" i="23"/>
  <c r="H127" i="23"/>
  <c r="G136" i="23"/>
  <c r="G148" i="23"/>
  <c r="H148" i="23"/>
  <c r="G64" i="23"/>
  <c r="H64" i="23"/>
  <c r="G66" i="23"/>
  <c r="H66" i="23"/>
  <c r="G231" i="23"/>
  <c r="H231" i="23"/>
  <c r="G202" i="23"/>
  <c r="H202" i="23"/>
  <c r="H97" i="23"/>
  <c r="G91" i="23"/>
  <c r="G87" i="23"/>
  <c r="H87" i="23"/>
  <c r="H69" i="23"/>
  <c r="G117" i="23"/>
  <c r="H117" i="23"/>
  <c r="G166" i="23"/>
  <c r="H166" i="23"/>
  <c r="H121" i="23"/>
  <c r="G115" i="23"/>
  <c r="H115" i="23"/>
  <c r="G190" i="23"/>
  <c r="H190" i="23"/>
  <c r="G216" i="23"/>
  <c r="H216" i="23"/>
  <c r="G37" i="23"/>
  <c r="H37" i="23"/>
  <c r="G168" i="23"/>
  <c r="H168" i="23"/>
  <c r="G82" i="23"/>
  <c r="H82" i="23"/>
  <c r="G223" i="23"/>
  <c r="H223" i="23"/>
  <c r="G36" i="23"/>
  <c r="H36" i="23"/>
  <c r="G60" i="23"/>
  <c r="H60" i="23"/>
  <c r="H85" i="23"/>
  <c r="G52" i="23"/>
  <c r="H52" i="23"/>
  <c r="G69" i="23"/>
  <c r="G184" i="23"/>
  <c r="H184" i="23"/>
  <c r="G121" i="23"/>
  <c r="G132" i="23"/>
  <c r="H132" i="23"/>
  <c r="H93" i="23"/>
  <c r="G147" i="23"/>
  <c r="H147" i="23"/>
  <c r="G211" i="23"/>
  <c r="H211" i="23"/>
  <c r="G217" i="23"/>
  <c r="H217" i="23"/>
  <c r="G31" i="23"/>
  <c r="H31" i="23"/>
  <c r="G27" i="23"/>
  <c r="H27" i="23"/>
  <c r="G63" i="23"/>
  <c r="H63" i="23"/>
  <c r="G99" i="23"/>
  <c r="H99" i="23"/>
  <c r="G187" i="23"/>
  <c r="H187" i="23"/>
  <c r="G213" i="23"/>
  <c r="G103" i="23"/>
  <c r="H103" i="23"/>
  <c r="G153" i="23"/>
  <c r="G192" i="23"/>
  <c r="H192" i="23"/>
  <c r="H112" i="23"/>
  <c r="G49" i="23"/>
  <c r="H49" i="23"/>
  <c r="G18" i="23"/>
  <c r="G45" i="23"/>
  <c r="H45" i="23"/>
  <c r="H12" i="23"/>
  <c r="G85" i="23"/>
  <c r="H72" i="23"/>
  <c r="G81" i="23"/>
  <c r="H81" i="23"/>
  <c r="G219" i="23"/>
  <c r="H219" i="23"/>
  <c r="G171" i="23"/>
  <c r="H171" i="23"/>
  <c r="G93" i="23"/>
  <c r="G195" i="23"/>
  <c r="G222" i="23"/>
  <c r="G108" i="23"/>
  <c r="H108" i="23"/>
  <c r="G90" i="23"/>
  <c r="H90" i="23"/>
  <c r="G133" i="23"/>
  <c r="H133" i="23"/>
  <c r="G100" i="23"/>
  <c r="H100" i="23"/>
  <c r="G33" i="23"/>
  <c r="H33" i="23"/>
  <c r="G13" i="23"/>
  <c r="H13" i="23"/>
  <c r="G43" i="23"/>
  <c r="H43" i="23"/>
  <c r="G79" i="23"/>
  <c r="H79" i="23"/>
  <c r="G220" i="23"/>
  <c r="H220" i="23"/>
  <c r="G129" i="23"/>
  <c r="H129" i="23"/>
  <c r="G174" i="23"/>
  <c r="G96" i="23"/>
  <c r="H135" i="23"/>
  <c r="G9" i="23"/>
  <c r="H16" i="23"/>
  <c r="G28" i="23"/>
  <c r="H28" i="23"/>
  <c r="G15" i="23"/>
  <c r="H51" i="23"/>
  <c r="G54" i="23"/>
  <c r="H54" i="23"/>
  <c r="G58" i="23"/>
  <c r="G126" i="23"/>
  <c r="H126" i="23"/>
  <c r="G114" i="23"/>
  <c r="H114" i="23"/>
  <c r="G178" i="23"/>
  <c r="H178" i="23"/>
  <c r="G225" i="23"/>
  <c r="H225" i="23"/>
  <c r="F235" i="19"/>
  <c r="G215" i="19" s="1"/>
  <c r="G27" i="22"/>
  <c r="H27" i="22"/>
  <c r="H69" i="22"/>
  <c r="G69" i="22"/>
  <c r="G30" i="22"/>
  <c r="H30" i="22"/>
  <c r="H52" i="22"/>
  <c r="G52" i="22"/>
  <c r="G24" i="22"/>
  <c r="H24" i="22"/>
  <c r="G45" i="22"/>
  <c r="H45" i="22"/>
  <c r="G15" i="22"/>
  <c r="H15" i="22"/>
  <c r="G73" i="22"/>
  <c r="H73" i="22"/>
  <c r="G57" i="22"/>
  <c r="H57" i="22"/>
  <c r="G18" i="22"/>
  <c r="H18" i="22"/>
  <c r="G9" i="22"/>
  <c r="H9" i="22"/>
  <c r="H13" i="22"/>
  <c r="G13" i="22"/>
  <c r="H49" i="22"/>
  <c r="G49" i="22"/>
  <c r="G36" i="22"/>
  <c r="H36" i="22"/>
  <c r="G12" i="22"/>
  <c r="H12" i="22"/>
  <c r="G43" i="22"/>
  <c r="H43" i="22"/>
  <c r="G19" i="22"/>
  <c r="H19" i="22"/>
  <c r="H37" i="22"/>
  <c r="G37" i="22"/>
  <c r="G64" i="22"/>
  <c r="H64" i="22"/>
  <c r="H42" i="22"/>
  <c r="G42" i="22"/>
  <c r="G70" i="22"/>
  <c r="H70" i="22"/>
  <c r="H39" i="22"/>
  <c r="G39" i="22"/>
  <c r="G72" i="22"/>
  <c r="H72" i="22"/>
  <c r="G48" i="22"/>
  <c r="H48" i="22"/>
  <c r="G21" i="22"/>
  <c r="H21" i="22"/>
  <c r="G34" i="22"/>
  <c r="H34" i="22"/>
  <c r="G33" i="22"/>
  <c r="H33" i="22"/>
  <c r="H61" i="22"/>
  <c r="H67" i="22"/>
  <c r="H66" i="22"/>
  <c r="H63" i="22"/>
  <c r="H58" i="22"/>
  <c r="H55" i="22"/>
  <c r="H46" i="22"/>
  <c r="H16" i="22"/>
  <c r="H6" i="22"/>
  <c r="H10" i="22"/>
  <c r="H7" i="22"/>
  <c r="H22" i="22"/>
  <c r="H28" i="22"/>
  <c r="H60" i="22"/>
  <c r="H31" i="22"/>
  <c r="H54" i="22"/>
  <c r="H51" i="22"/>
  <c r="H25" i="22"/>
  <c r="H40" i="22"/>
  <c r="G40" i="22"/>
  <c r="H27" i="21"/>
  <c r="G27" i="21"/>
  <c r="H76" i="21"/>
  <c r="G76" i="21"/>
  <c r="H42" i="21"/>
  <c r="G42" i="21"/>
  <c r="G18" i="21"/>
  <c r="H18" i="21"/>
  <c r="G15" i="21"/>
  <c r="H15" i="21"/>
  <c r="G39" i="21"/>
  <c r="H39" i="21"/>
  <c r="H78" i="21"/>
  <c r="G78" i="21"/>
  <c r="G36" i="21"/>
  <c r="H36" i="21"/>
  <c r="G6" i="21"/>
  <c r="H6" i="21"/>
  <c r="G61" i="21"/>
  <c r="H61" i="21"/>
  <c r="G48" i="21"/>
  <c r="H48" i="21"/>
  <c r="G73" i="21"/>
  <c r="H73" i="21"/>
  <c r="G12" i="21"/>
  <c r="H12" i="21"/>
  <c r="G45" i="21"/>
  <c r="H45" i="21"/>
  <c r="G67" i="21"/>
  <c r="H67" i="21"/>
  <c r="G49" i="21"/>
  <c r="H49" i="21"/>
  <c r="G57" i="21"/>
  <c r="H57" i="21"/>
  <c r="G75" i="21"/>
  <c r="H75" i="21"/>
  <c r="G10" i="21"/>
  <c r="H10" i="21"/>
  <c r="G40" i="21"/>
  <c r="H40" i="21"/>
  <c r="G51" i="21"/>
  <c r="H51" i="21"/>
  <c r="G72" i="21"/>
  <c r="H72" i="21"/>
  <c r="G25" i="21"/>
  <c r="H25" i="21"/>
  <c r="G46" i="21"/>
  <c r="H46" i="21"/>
  <c r="H63" i="21"/>
  <c r="G63" i="21"/>
  <c r="G21" i="21"/>
  <c r="H21" i="21"/>
  <c r="G31" i="21"/>
  <c r="H31" i="21"/>
  <c r="G34" i="21"/>
  <c r="H34" i="21"/>
  <c r="G22" i="21"/>
  <c r="H22" i="21"/>
  <c r="G19" i="21"/>
  <c r="H19" i="21"/>
  <c r="G37" i="21"/>
  <c r="H37" i="21"/>
  <c r="G69" i="21"/>
  <c r="H69" i="21"/>
  <c r="G13" i="21"/>
  <c r="H13" i="21"/>
  <c r="G64" i="21"/>
  <c r="H64" i="21"/>
  <c r="G66" i="21"/>
  <c r="H66" i="21"/>
  <c r="G55" i="21"/>
  <c r="H55" i="21"/>
  <c r="G24" i="21"/>
  <c r="H24" i="21"/>
  <c r="G7" i="21"/>
  <c r="H7" i="21"/>
  <c r="G52" i="21"/>
  <c r="H52" i="21"/>
  <c r="G43" i="21"/>
  <c r="H43" i="21"/>
  <c r="G60" i="21"/>
  <c r="H60" i="21"/>
  <c r="G33" i="21"/>
  <c r="H33" i="21"/>
  <c r="G58" i="21"/>
  <c r="H58" i="21"/>
  <c r="G30" i="21"/>
  <c r="H30" i="21"/>
  <c r="G16" i="21"/>
  <c r="H16" i="21"/>
  <c r="G9" i="21"/>
  <c r="H9" i="21"/>
  <c r="G54" i="21"/>
  <c r="H54" i="21"/>
  <c r="G70" i="21"/>
  <c r="H70" i="21"/>
  <c r="G28" i="21"/>
  <c r="H28" i="21"/>
  <c r="G130" i="19"/>
  <c r="G13" i="19"/>
  <c r="H65" i="50" l="1"/>
  <c r="G8" i="50"/>
  <c r="G38" i="50"/>
  <c r="H95" i="50"/>
  <c r="G98" i="50"/>
  <c r="G23" i="50"/>
  <c r="G26" i="50"/>
  <c r="G110" i="50"/>
  <c r="H74" i="50"/>
  <c r="H35" i="50"/>
  <c r="G65" i="50"/>
  <c r="G122" i="50"/>
  <c r="H125" i="50"/>
  <c r="G50" i="50"/>
  <c r="H53" i="50"/>
  <c r="G137" i="50"/>
  <c r="H83" i="50"/>
  <c r="G35" i="50"/>
  <c r="G92" i="50"/>
  <c r="H122" i="50"/>
  <c r="G125" i="50"/>
  <c r="H50" i="50"/>
  <c r="G53" i="50"/>
  <c r="H92" i="50"/>
  <c r="H62" i="50"/>
  <c r="G119" i="50"/>
  <c r="G149" i="50"/>
  <c r="H152" i="50"/>
  <c r="G77" i="50"/>
  <c r="H80" i="50"/>
  <c r="H32" i="50"/>
  <c r="H101" i="50"/>
  <c r="G62" i="50"/>
  <c r="G146" i="50"/>
  <c r="H149" i="50"/>
  <c r="G152" i="50"/>
  <c r="H77" i="50"/>
  <c r="G80" i="50"/>
  <c r="G59" i="50"/>
  <c r="H110" i="50"/>
  <c r="H89" i="50"/>
  <c r="G14" i="50"/>
  <c r="H17" i="50"/>
  <c r="G20" i="50"/>
  <c r="G104" i="50"/>
  <c r="H107" i="50"/>
  <c r="H11" i="50"/>
  <c r="H119" i="50"/>
  <c r="G89" i="50"/>
  <c r="H14" i="50"/>
  <c r="G17" i="50"/>
  <c r="G47" i="50"/>
  <c r="H104" i="50"/>
  <c r="G107" i="50"/>
  <c r="G86" i="50"/>
  <c r="H20" i="50"/>
  <c r="H128" i="50"/>
  <c r="H116" i="50"/>
  <c r="G41" i="50"/>
  <c r="H44" i="50"/>
  <c r="G74" i="50"/>
  <c r="G131" i="50"/>
  <c r="H134" i="50"/>
  <c r="H86" i="50"/>
  <c r="H29" i="50"/>
  <c r="H137" i="50"/>
  <c r="G116" i="50"/>
  <c r="H41" i="50"/>
  <c r="G44" i="50"/>
  <c r="G101" i="50"/>
  <c r="H131" i="50"/>
  <c r="G134" i="50"/>
  <c r="G113" i="50"/>
  <c r="H38" i="50"/>
  <c r="H146" i="50"/>
  <c r="H143" i="50"/>
  <c r="G68" i="50"/>
  <c r="H71" i="50"/>
  <c r="G128" i="50"/>
  <c r="G158" i="50"/>
  <c r="G29" i="50"/>
  <c r="H113" i="50"/>
  <c r="H47" i="50"/>
  <c r="H155" i="50"/>
  <c r="G143" i="50"/>
  <c r="H68" i="50"/>
  <c r="G71" i="50"/>
  <c r="G155" i="50"/>
  <c r="H158" i="50"/>
  <c r="G56" i="50"/>
  <c r="G140" i="50"/>
  <c r="H56" i="50"/>
  <c r="H8" i="50"/>
  <c r="G11" i="50"/>
  <c r="G95" i="50"/>
  <c r="H98" i="50"/>
  <c r="H23" i="50"/>
  <c r="H26" i="50"/>
  <c r="H5" i="50"/>
  <c r="G5" i="50"/>
  <c r="G70" i="42"/>
  <c r="G23" i="63"/>
  <c r="H5" i="63"/>
  <c r="H30" i="63" s="1"/>
  <c r="G17" i="63"/>
  <c r="G30" i="63"/>
  <c r="H13" i="37"/>
  <c r="G134" i="23"/>
  <c r="H179" i="23"/>
  <c r="H89" i="23"/>
  <c r="H233" i="23"/>
  <c r="H47" i="23"/>
  <c r="H194" i="23"/>
  <c r="H125" i="23"/>
  <c r="H95" i="23"/>
  <c r="G137" i="23"/>
  <c r="G116" i="23"/>
  <c r="H230" i="23"/>
  <c r="H158" i="23"/>
  <c r="H116" i="23"/>
  <c r="H17" i="23"/>
  <c r="H173" i="23"/>
  <c r="H140" i="23"/>
  <c r="H80" i="23"/>
  <c r="G146" i="23"/>
  <c r="G107" i="23"/>
  <c r="G104" i="23"/>
  <c r="G119" i="23"/>
  <c r="G80" i="23"/>
  <c r="H71" i="23"/>
  <c r="H119" i="23"/>
  <c r="H113" i="23"/>
  <c r="H29" i="23"/>
  <c r="G35" i="23"/>
  <c r="H77" i="23"/>
  <c r="H44" i="23"/>
  <c r="G128" i="23"/>
  <c r="G89" i="23"/>
  <c r="G86" i="23"/>
  <c r="G101" i="23"/>
  <c r="G62" i="23"/>
  <c r="H8" i="23"/>
  <c r="H62" i="23"/>
  <c r="H143" i="23"/>
  <c r="H74" i="23"/>
  <c r="H35" i="23"/>
  <c r="H23" i="23"/>
  <c r="H38" i="23"/>
  <c r="G92" i="23"/>
  <c r="G71" i="23"/>
  <c r="G68" i="23"/>
  <c r="G65" i="23"/>
  <c r="G44" i="23"/>
  <c r="H197" i="23"/>
  <c r="H101" i="23"/>
  <c r="H50" i="23"/>
  <c r="H203" i="23"/>
  <c r="H20" i="23"/>
  <c r="H26" i="23"/>
  <c r="G59" i="23"/>
  <c r="G41" i="23"/>
  <c r="G23" i="23"/>
  <c r="G77" i="23"/>
  <c r="G5" i="23"/>
  <c r="G113" i="23"/>
  <c r="G131" i="23"/>
  <c r="G95" i="23"/>
  <c r="G167" i="23"/>
  <c r="G149" i="23"/>
  <c r="G185" i="23"/>
  <c r="G203" i="23"/>
  <c r="G221" i="23"/>
  <c r="H212" i="23"/>
  <c r="G110" i="23"/>
  <c r="H134" i="23"/>
  <c r="H107" i="23"/>
  <c r="G38" i="23"/>
  <c r="G17" i="23"/>
  <c r="G32" i="23"/>
  <c r="G29" i="23"/>
  <c r="G8" i="23"/>
  <c r="H185" i="23"/>
  <c r="G170" i="23"/>
  <c r="G215" i="23"/>
  <c r="H65" i="23"/>
  <c r="H110" i="23"/>
  <c r="H191" i="23"/>
  <c r="H41" i="23"/>
  <c r="G20" i="23"/>
  <c r="G230" i="23"/>
  <c r="G14" i="23"/>
  <c r="G11" i="23"/>
  <c r="H5" i="23"/>
  <c r="H32" i="23"/>
  <c r="H170" i="23"/>
  <c r="H215" i="23"/>
  <c r="H152" i="23"/>
  <c r="H218" i="23"/>
  <c r="H188" i="23"/>
  <c r="G233" i="23"/>
  <c r="G212" i="23"/>
  <c r="G227" i="23"/>
  <c r="G224" i="23"/>
  <c r="H224" i="23"/>
  <c r="H86" i="23"/>
  <c r="H155" i="23"/>
  <c r="H131" i="23"/>
  <c r="H146" i="23"/>
  <c r="H104" i="23"/>
  <c r="H122" i="23"/>
  <c r="G197" i="23"/>
  <c r="G194" i="23"/>
  <c r="G209" i="23"/>
  <c r="G206" i="23"/>
  <c r="H221" i="23"/>
  <c r="H11" i="23"/>
  <c r="H53" i="23"/>
  <c r="G164" i="23"/>
  <c r="G83" i="23"/>
  <c r="G98" i="23"/>
  <c r="H149" i="23"/>
  <c r="H92" i="23"/>
  <c r="G179" i="23"/>
  <c r="G176" i="23"/>
  <c r="G191" i="23"/>
  <c r="G188" i="23"/>
  <c r="G56" i="23"/>
  <c r="H14" i="23"/>
  <c r="H137" i="23"/>
  <c r="H164" i="23"/>
  <c r="H83" i="23"/>
  <c r="H98" i="23"/>
  <c r="H167" i="23"/>
  <c r="H200" i="23"/>
  <c r="H80" i="19"/>
  <c r="G74" i="19"/>
  <c r="G131" i="19"/>
  <c r="G26" i="19"/>
  <c r="G167" i="19"/>
  <c r="G128" i="19"/>
  <c r="G173" i="19"/>
  <c r="G125" i="19"/>
  <c r="H89" i="19"/>
  <c r="H155" i="19"/>
  <c r="G92" i="19"/>
  <c r="G89" i="19"/>
  <c r="H152" i="19"/>
  <c r="H119" i="19"/>
  <c r="G53" i="19"/>
  <c r="H50" i="19"/>
  <c r="G155" i="19"/>
  <c r="G158" i="19"/>
  <c r="H92" i="19"/>
  <c r="G122" i="19"/>
  <c r="G185" i="19"/>
  <c r="G191" i="19"/>
  <c r="G32" i="19"/>
  <c r="G119" i="19"/>
  <c r="H17" i="19"/>
  <c r="H215" i="19"/>
  <c r="G17" i="19"/>
  <c r="H86" i="19"/>
  <c r="H221" i="19"/>
  <c r="G23" i="19"/>
  <c r="H179" i="19"/>
  <c r="H212" i="19"/>
  <c r="G14" i="19"/>
  <c r="G47" i="19"/>
  <c r="H128" i="19"/>
  <c r="G221" i="19"/>
  <c r="H95" i="19"/>
  <c r="G149" i="19"/>
  <c r="G182" i="19"/>
  <c r="G62" i="19"/>
  <c r="G50" i="19"/>
  <c r="H185" i="19"/>
  <c r="G188" i="19"/>
  <c r="H143" i="19"/>
  <c r="H176" i="19"/>
  <c r="H209" i="19"/>
  <c r="G11" i="19"/>
  <c r="G113" i="19"/>
  <c r="H53" i="19"/>
  <c r="H83" i="19"/>
  <c r="G143" i="19"/>
  <c r="G101" i="19"/>
  <c r="G107" i="19"/>
  <c r="G98" i="19"/>
  <c r="H164" i="19"/>
  <c r="H149" i="19"/>
  <c r="H218" i="19"/>
  <c r="H107" i="19"/>
  <c r="H140" i="19"/>
  <c r="H173" i="19"/>
  <c r="H47" i="19"/>
  <c r="G170" i="19"/>
  <c r="H14" i="19"/>
  <c r="H224" i="19"/>
  <c r="G41" i="19"/>
  <c r="H122" i="19"/>
  <c r="H131" i="19"/>
  <c r="H59" i="19"/>
  <c r="G218" i="19"/>
  <c r="H113" i="19"/>
  <c r="H182" i="19"/>
  <c r="H71" i="19"/>
  <c r="H104" i="19"/>
  <c r="H137" i="19"/>
  <c r="H227" i="19"/>
  <c r="G176" i="19"/>
  <c r="H191" i="19"/>
  <c r="G104" i="19"/>
  <c r="H38" i="19"/>
  <c r="G134" i="19"/>
  <c r="G77" i="19"/>
  <c r="G56" i="19"/>
  <c r="H200" i="19"/>
  <c r="G5" i="19"/>
  <c r="H77" i="19"/>
  <c r="H110" i="19"/>
  <c r="H35" i="19"/>
  <c r="H68" i="19"/>
  <c r="H101" i="19"/>
  <c r="G209" i="19"/>
  <c r="H56" i="19"/>
  <c r="G29" i="19"/>
  <c r="G65" i="19"/>
  <c r="G38" i="19"/>
  <c r="H197" i="19"/>
  <c r="H161" i="19"/>
  <c r="G95" i="19"/>
  <c r="G86" i="19"/>
  <c r="H146" i="19"/>
  <c r="G59" i="19"/>
  <c r="H233" i="19"/>
  <c r="H41" i="19"/>
  <c r="H74" i="19"/>
  <c r="G233" i="19"/>
  <c r="H32" i="19"/>
  <c r="H65" i="19"/>
  <c r="G140" i="19"/>
  <c r="H203" i="19"/>
  <c r="G206" i="19"/>
  <c r="G35" i="19"/>
  <c r="H116" i="19"/>
  <c r="G137" i="19"/>
  <c r="H206" i="19"/>
  <c r="H20" i="19"/>
  <c r="G146" i="19"/>
  <c r="G80" i="19"/>
  <c r="H26" i="19"/>
  <c r="G224" i="19"/>
  <c r="H170" i="19"/>
  <c r="H98" i="19"/>
  <c r="H62" i="19"/>
  <c r="H134" i="19"/>
  <c r="G116" i="19"/>
  <c r="G8" i="19"/>
  <c r="G152" i="19"/>
  <c r="G44" i="19"/>
  <c r="H188" i="19"/>
  <c r="H5" i="19"/>
  <c r="G200" i="19"/>
  <c r="G197" i="19"/>
  <c r="G230" i="19"/>
  <c r="H29" i="19"/>
  <c r="H125" i="19"/>
  <c r="G68" i="19"/>
  <c r="G110" i="19"/>
  <c r="G20" i="19"/>
  <c r="H194" i="19"/>
  <c r="G71" i="19"/>
  <c r="H44" i="19"/>
  <c r="G212" i="19"/>
  <c r="G83" i="19"/>
  <c r="G203" i="19"/>
  <c r="G164" i="19"/>
  <c r="G161" i="19"/>
  <c r="G194" i="19"/>
  <c r="G227" i="19"/>
  <c r="H23" i="19"/>
  <c r="G179" i="19"/>
  <c r="H230" i="19"/>
  <c r="H11" i="19"/>
  <c r="H158" i="19"/>
  <c r="H8" i="19"/>
  <c r="H167" i="19"/>
  <c r="H162" i="50" l="1"/>
  <c r="G162" i="50"/>
  <c r="G235" i="23"/>
  <c r="H235" i="23"/>
  <c r="H235" i="19"/>
  <c r="G235" i="19"/>
</calcChain>
</file>

<file path=xl/sharedStrings.xml><?xml version="1.0" encoding="utf-8"?>
<sst xmlns="http://schemas.openxmlformats.org/spreadsheetml/2006/main" count="736" uniqueCount="41">
  <si>
    <t>ParkID</t>
  </si>
  <si>
    <t>WGS84_Lng</t>
  </si>
  <si>
    <t>WGS84_Lat</t>
  </si>
  <si>
    <t>Cluster</t>
  </si>
  <si>
    <t>Lng_Mean</t>
  </si>
  <si>
    <t>Lat_Mean</t>
  </si>
  <si>
    <t>ParkID</t>
    <phoneticPr fontId="1" type="noConversion"/>
  </si>
  <si>
    <t>Distance</t>
    <phoneticPr fontId="1" type="noConversion"/>
  </si>
  <si>
    <t>Weight</t>
    <phoneticPr fontId="1" type="noConversion"/>
  </si>
  <si>
    <t>行标签</t>
  </si>
  <si>
    <t>总计</t>
  </si>
  <si>
    <t>计数项:Cluster</t>
  </si>
  <si>
    <t>Cluster</t>
    <phoneticPr fontId="1" type="noConversion"/>
  </si>
  <si>
    <t>CapacityS1</t>
    <phoneticPr fontId="1" type="noConversion"/>
  </si>
  <si>
    <t>CapacityS2</t>
    <phoneticPr fontId="1" type="noConversion"/>
  </si>
  <si>
    <t>Connected PDN</t>
    <phoneticPr fontId="1" type="noConversion"/>
  </si>
  <si>
    <t>Open CS</t>
    <phoneticPr fontId="1" type="noConversion"/>
  </si>
  <si>
    <t>建设充电站规模</t>
    <phoneticPr fontId="1" type="noConversion"/>
  </si>
  <si>
    <t>负载能力</t>
    <phoneticPr fontId="1" type="noConversion"/>
  </si>
  <si>
    <t>项目指标</t>
    <phoneticPr fontId="1" type="noConversion"/>
  </si>
  <si>
    <t>辅助数据</t>
    <phoneticPr fontId="1" type="noConversion"/>
  </si>
  <si>
    <t>选中</t>
    <phoneticPr fontId="1" type="noConversion"/>
  </si>
  <si>
    <r>
      <t>55.25</t>
    </r>
    <r>
      <rPr>
        <b/>
        <sz val="11"/>
        <color rgb="FFFF0000"/>
        <rFont val="宋体"/>
        <family val="1"/>
        <charset val="134"/>
      </rPr>
      <t>万</t>
    </r>
    <r>
      <rPr>
        <b/>
        <sz val="11"/>
        <color rgb="FFFF0000"/>
        <rFont val="Times New Roman"/>
        <family val="1"/>
      </rPr>
      <t xml:space="preserve"> kw</t>
    </r>
    <phoneticPr fontId="1" type="noConversion"/>
  </si>
  <si>
    <r>
      <t>Cluster (</t>
    </r>
    <r>
      <rPr>
        <b/>
        <sz val="11"/>
        <color theme="1"/>
        <rFont val="宋体"/>
        <family val="1"/>
        <charset val="134"/>
      </rPr>
      <t>服务区</t>
    </r>
    <r>
      <rPr>
        <b/>
        <sz val="11"/>
        <color theme="1"/>
        <rFont val="Times New Roman"/>
        <family val="1"/>
      </rPr>
      <t>)</t>
    </r>
    <phoneticPr fontId="1" type="noConversion"/>
  </si>
  <si>
    <r>
      <t>Lng_Mean (</t>
    </r>
    <r>
      <rPr>
        <b/>
        <sz val="11"/>
        <color theme="1"/>
        <rFont val="等线"/>
        <family val="1"/>
        <charset val="134"/>
      </rPr>
      <t>经度</t>
    </r>
    <r>
      <rPr>
        <b/>
        <sz val="11"/>
        <color theme="1"/>
        <rFont val="Times New Roman"/>
        <family val="1"/>
      </rPr>
      <t>)</t>
    </r>
    <phoneticPr fontId="1" type="noConversion"/>
  </si>
  <si>
    <r>
      <t>Lat_Mean (</t>
    </r>
    <r>
      <rPr>
        <b/>
        <sz val="11"/>
        <color theme="1"/>
        <rFont val="等线"/>
        <family val="1"/>
        <charset val="134"/>
      </rPr>
      <t>纬度</t>
    </r>
    <r>
      <rPr>
        <b/>
        <sz val="11"/>
        <color theme="1"/>
        <rFont val="Times New Roman"/>
        <family val="1"/>
      </rPr>
      <t>)</t>
    </r>
    <phoneticPr fontId="1" type="noConversion"/>
  </si>
  <si>
    <r>
      <t>WGS84_Lng  (</t>
    </r>
    <r>
      <rPr>
        <b/>
        <sz val="11"/>
        <color theme="1"/>
        <rFont val="等线"/>
        <family val="1"/>
        <charset val="134"/>
      </rPr>
      <t>经度</t>
    </r>
    <r>
      <rPr>
        <b/>
        <sz val="11"/>
        <color theme="1"/>
        <rFont val="Times New Roman"/>
        <family val="1"/>
      </rPr>
      <t>)</t>
    </r>
    <phoneticPr fontId="1" type="noConversion"/>
  </si>
  <si>
    <r>
      <t>WGS84_Lat  (</t>
    </r>
    <r>
      <rPr>
        <b/>
        <sz val="11"/>
        <color theme="1"/>
        <rFont val="等线"/>
        <family val="1"/>
        <charset val="134"/>
      </rPr>
      <t>纬度</t>
    </r>
    <r>
      <rPr>
        <b/>
        <sz val="11"/>
        <color theme="1"/>
        <rFont val="Times New Roman"/>
        <family val="1"/>
      </rPr>
      <t>)</t>
    </r>
    <phoneticPr fontId="1" type="noConversion"/>
  </si>
  <si>
    <r>
      <t>CapacityS1 (</t>
    </r>
    <r>
      <rPr>
        <b/>
        <sz val="11"/>
        <color theme="1"/>
        <rFont val="等线"/>
        <family val="1"/>
        <charset val="134"/>
      </rPr>
      <t>服务区第一阶段容量</t>
    </r>
    <r>
      <rPr>
        <b/>
        <sz val="11"/>
        <color theme="1"/>
        <rFont val="Times New Roman"/>
        <family val="1"/>
      </rPr>
      <t>)</t>
    </r>
    <phoneticPr fontId="1" type="noConversion"/>
  </si>
  <si>
    <r>
      <t>CapacityS2  (</t>
    </r>
    <r>
      <rPr>
        <b/>
        <sz val="11"/>
        <color theme="1"/>
        <rFont val="等线"/>
        <family val="1"/>
        <charset val="134"/>
      </rPr>
      <t>服务区第二阶段容量</t>
    </r>
    <r>
      <rPr>
        <b/>
        <sz val="11"/>
        <color theme="1"/>
        <rFont val="Times New Roman"/>
        <family val="1"/>
      </rPr>
      <t>)</t>
    </r>
    <phoneticPr fontId="1" type="noConversion"/>
  </si>
  <si>
    <r>
      <t>Cluster (</t>
    </r>
    <r>
      <rPr>
        <b/>
        <sz val="11"/>
        <color theme="1"/>
        <rFont val="等线"/>
        <family val="1"/>
        <charset val="134"/>
      </rPr>
      <t>所属服务区</t>
    </r>
    <r>
      <rPr>
        <b/>
        <sz val="11"/>
        <color theme="1"/>
        <rFont val="Times New Roman"/>
        <family val="1"/>
      </rPr>
      <t>)</t>
    </r>
    <phoneticPr fontId="1" type="noConversion"/>
  </si>
  <si>
    <r>
      <t xml:space="preserve">Weight </t>
    </r>
    <r>
      <rPr>
        <b/>
        <sz val="11"/>
        <color rgb="FF00B050"/>
        <rFont val="等线"/>
        <family val="3"/>
        <charset val="134"/>
      </rPr>
      <t>（辅助变量，这个不用管）</t>
    </r>
    <phoneticPr fontId="1" type="noConversion"/>
  </si>
  <si>
    <r>
      <t>Connected PDN (</t>
    </r>
    <r>
      <rPr>
        <b/>
        <sz val="11"/>
        <color theme="1"/>
        <rFont val="等线"/>
        <family val="1"/>
        <charset val="134"/>
      </rPr>
      <t>分配的电网节点</t>
    </r>
    <r>
      <rPr>
        <b/>
        <sz val="11"/>
        <color theme="1"/>
        <rFont val="Times New Roman"/>
        <family val="1"/>
      </rPr>
      <t>)</t>
    </r>
    <phoneticPr fontId="1" type="noConversion"/>
  </si>
  <si>
    <r>
      <t xml:space="preserve">Open CS </t>
    </r>
    <r>
      <rPr>
        <b/>
        <sz val="11"/>
        <color theme="1"/>
        <rFont val="等线"/>
        <family val="1"/>
        <charset val="134"/>
      </rPr>
      <t>（该服务区建立的充电站数量）</t>
    </r>
    <phoneticPr fontId="1" type="noConversion"/>
  </si>
  <si>
    <r>
      <t xml:space="preserve">辅助数据 </t>
    </r>
    <r>
      <rPr>
        <b/>
        <sz val="11"/>
        <color rgb="FF00B050"/>
        <rFont val="宋体"/>
        <family val="3"/>
        <charset val="134"/>
      </rPr>
      <t>(辅助变量，这个不用管)</t>
    </r>
    <phoneticPr fontId="1" type="noConversion"/>
  </si>
  <si>
    <r>
      <t>CapacityS1  (</t>
    </r>
    <r>
      <rPr>
        <b/>
        <sz val="11"/>
        <color theme="1"/>
        <rFont val="等线"/>
        <family val="1"/>
        <charset val="134"/>
      </rPr>
      <t>充电站第一阶段容量</t>
    </r>
    <r>
      <rPr>
        <b/>
        <sz val="11"/>
        <color theme="1"/>
        <rFont val="Times New Roman"/>
        <family val="1"/>
      </rPr>
      <t>)</t>
    </r>
    <phoneticPr fontId="1" type="noConversion"/>
  </si>
  <si>
    <r>
      <t>CapacityS2  (</t>
    </r>
    <r>
      <rPr>
        <b/>
        <sz val="11"/>
        <color theme="1"/>
        <rFont val="等线"/>
        <family val="1"/>
        <charset val="134"/>
      </rPr>
      <t>充电站第二阶段容量</t>
    </r>
    <r>
      <rPr>
        <b/>
        <sz val="11"/>
        <color theme="1"/>
        <rFont val="Times New Roman"/>
        <family val="1"/>
      </rPr>
      <t>)</t>
    </r>
    <phoneticPr fontId="1" type="noConversion"/>
  </si>
  <si>
    <r>
      <t>ParkID (</t>
    </r>
    <r>
      <rPr>
        <b/>
        <sz val="11"/>
        <color theme="1"/>
        <rFont val="等线"/>
        <family val="1"/>
        <charset val="134"/>
      </rPr>
      <t>充电站ID)</t>
    </r>
    <phoneticPr fontId="1" type="noConversion"/>
  </si>
  <si>
    <t>说明：这两行是服务区的信息</t>
    <phoneticPr fontId="1" type="noConversion"/>
  </si>
  <si>
    <t>这三个标绿的单元格也是辅助数据，不用管</t>
    <phoneticPr fontId="1" type="noConversion"/>
  </si>
  <si>
    <r>
      <t xml:space="preserve">Distance </t>
    </r>
    <r>
      <rPr>
        <b/>
        <sz val="11"/>
        <color rgb="FF00B050"/>
        <rFont val="等线"/>
        <family val="1"/>
        <charset val="134"/>
      </rPr>
      <t>（</t>
    </r>
    <r>
      <rPr>
        <b/>
        <sz val="11"/>
        <color rgb="FF00B050"/>
        <rFont val="等线"/>
        <family val="3"/>
        <charset val="134"/>
      </rPr>
      <t>辅助变量，这个不用管</t>
    </r>
    <r>
      <rPr>
        <b/>
        <sz val="11"/>
        <color rgb="FF00B050"/>
        <rFont val="等线"/>
        <family val="1"/>
        <charset val="134"/>
      </rPr>
      <t>）</t>
    </r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</si>
</sst>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_ "/>
  </numFmts>
  <fonts count="21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  <font>
      <sz val="11"/>
      <color theme="1"/>
      <name val="宋体"/>
      <family val="1"/>
      <charset val="134"/>
    </font>
    <font>
      <b/>
      <sz val="11"/>
      <color theme="1"/>
      <name val="等线"/>
      <family val="3"/>
      <charset val="134"/>
      <scheme val="minor"/>
    </font>
    <font>
      <b/>
      <sz val="11"/>
      <color theme="1"/>
      <name val="宋体"/>
      <family val="1"/>
      <charset val="134"/>
    </font>
    <font>
      <sz val="10"/>
      <color rgb="FF1A1A1A"/>
      <name val="Consolas"/>
      <family val="3"/>
    </font>
    <font>
      <sz val="10"/>
      <color rgb="FF1A1A1A"/>
      <name val="宋体"/>
      <family val="3"/>
      <charset val="134"/>
    </font>
    <font>
      <b/>
      <sz val="11"/>
      <color rgb="FFFF0000"/>
      <name val="Times New Roman"/>
      <family val="1"/>
    </font>
    <font>
      <b/>
      <sz val="11"/>
      <color rgb="FFFF0000"/>
      <name val="宋体"/>
      <family val="1"/>
      <charset val="134"/>
    </font>
    <font>
      <b/>
      <sz val="11"/>
      <color theme="1"/>
      <name val="等线"/>
      <family val="1"/>
      <charset val="134"/>
    </font>
    <font>
      <b/>
      <sz val="11"/>
      <color rgb="FF00B050"/>
      <name val="等线"/>
      <family val="3"/>
      <charset val="134"/>
    </font>
    <font>
      <b/>
      <sz val="11"/>
      <color rgb="FF00B050"/>
      <name val="宋体"/>
      <family val="3"/>
      <charset val="134"/>
    </font>
    <font>
      <b/>
      <sz val="11"/>
      <color rgb="FFFF0000"/>
      <name val="等线"/>
      <family val="2"/>
    </font>
    <font>
      <sz val="11"/>
      <color rgb="FF00B050"/>
      <name val="Times New Roman"/>
      <family val="1"/>
    </font>
    <font>
      <b/>
      <sz val="11"/>
      <color rgb="FF00B050"/>
      <name val="Times New Roman"/>
      <family val="1"/>
    </font>
    <font>
      <b/>
      <sz val="11"/>
      <color rgb="FF00B050"/>
      <name val="等线"/>
      <family val="1"/>
      <charset val="134"/>
    </font>
    <font>
      <b/>
      <sz val="11"/>
      <color rgb="FF00B050"/>
      <name val="宋体"/>
      <family val="1"/>
      <charset val="134"/>
    </font>
    <font>
      <sz val="10"/>
      <color rgb="FF00B050"/>
      <name val="Consolas"/>
      <family val="3"/>
    </font>
    <font>
      <b/>
      <sz val="11"/>
      <color rgb="FFFF0000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43">
    <xf numFmtId="0" fontId="0" fillId="0" borderId="0" xfId="0"/>
    <xf numFmtId="0" fontId="0" fillId="0" borderId="0" xfId="0" applyAlignment="1">
      <alignment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0" xfId="0" applyFont="1"/>
    <xf numFmtId="0" fontId="2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3" fillId="0" borderId="0" xfId="0" applyFont="1" applyAlignment="1">
      <alignment horizontal="center"/>
    </xf>
    <xf numFmtId="176" fontId="3" fillId="0" borderId="0" xfId="0" applyNumberFormat="1" applyFont="1" applyAlignment="1">
      <alignment horizontal="center" vertical="center"/>
    </xf>
    <xf numFmtId="0" fontId="0" fillId="0" borderId="0" xfId="0" pivotButton="1"/>
    <xf numFmtId="0" fontId="0" fillId="0" borderId="0" xfId="0" applyAlignment="1">
      <alignment horizontal="left"/>
    </xf>
    <xf numFmtId="0" fontId="3" fillId="0" borderId="1" xfId="0" applyFont="1" applyBorder="1" applyAlignment="1">
      <alignment horizontal="center"/>
    </xf>
    <xf numFmtId="0" fontId="4" fillId="0" borderId="0" xfId="0" applyFont="1"/>
    <xf numFmtId="0" fontId="0" fillId="0" borderId="0" xfId="0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7" fillId="0" borderId="0" xfId="0" applyFont="1" applyAlignment="1">
      <alignment horizontal="left" vertical="center" indent="1" readingOrder="1"/>
    </xf>
    <xf numFmtId="0" fontId="8" fillId="0" borderId="0" xfId="0" applyFont="1" applyAlignment="1">
      <alignment horizontal="left" vertical="center" indent="1" readingOrder="1"/>
    </xf>
    <xf numFmtId="0" fontId="9" fillId="0" borderId="6" xfId="0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15" fillId="0" borderId="0" xfId="0" applyFont="1" applyAlignment="1">
      <alignment horizontal="center"/>
    </xf>
    <xf numFmtId="0" fontId="16" fillId="0" borderId="0" xfId="0" applyFont="1" applyAlignment="1">
      <alignment horizontal="center" vertical="center"/>
    </xf>
    <xf numFmtId="0" fontId="18" fillId="0" borderId="0" xfId="0" applyFont="1" applyAlignment="1">
      <alignment horizontal="center" vertical="center"/>
    </xf>
    <xf numFmtId="0" fontId="19" fillId="0" borderId="0" xfId="0" applyFont="1" applyAlignment="1">
      <alignment horizontal="center" vertical="center" readingOrder="1"/>
    </xf>
    <xf numFmtId="176" fontId="16" fillId="0" borderId="6" xfId="0" applyNumberFormat="1" applyFont="1" applyBorder="1" applyAlignment="1">
      <alignment horizontal="center" vertical="center"/>
    </xf>
    <xf numFmtId="0" fontId="16" fillId="0" borderId="7" xfId="0" applyFont="1" applyBorder="1" applyAlignment="1">
      <alignment horizontal="center"/>
    </xf>
    <xf numFmtId="176" fontId="16" fillId="0" borderId="8" xfId="0" applyNumberFormat="1" applyFont="1" applyBorder="1" applyAlignment="1">
      <alignment horizontal="center" vertical="center"/>
    </xf>
    <xf numFmtId="0" fontId="5" fillId="0" borderId="1" xfId="0" applyFont="1" applyBorder="1" applyAlignment="1">
      <alignment horizontal="center"/>
    </xf>
    <xf numFmtId="0" fontId="14" fillId="0" borderId="4" xfId="0" applyFont="1" applyBorder="1" applyAlignment="1">
      <alignment horizontal="center" vertical="center"/>
    </xf>
    <xf numFmtId="0" fontId="9" fillId="0" borderId="4" xfId="0" applyFont="1" applyBorder="1" applyAlignment="1">
      <alignment horizontal="center" vertical="center"/>
    </xf>
    <xf numFmtId="0" fontId="20" fillId="0" borderId="5" xfId="0" applyFont="1" applyBorder="1" applyAlignment="1">
      <alignment horizontal="center"/>
    </xf>
    <xf numFmtId="0" fontId="20" fillId="0" borderId="1" xfId="0" applyFont="1" applyBorder="1" applyAlignment="1">
      <alignment horizontal="center"/>
    </xf>
    <xf numFmtId="0" fontId="20" fillId="0" borderId="2" xfId="0" applyFont="1" applyBorder="1" applyAlignment="1">
      <alignment horizont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theme" Target="theme/theme1.xml"/><Relationship Id="rId50" Type="http://schemas.openxmlformats.org/officeDocument/2006/relationships/calcChain" Target="calcChain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styles" Target="styles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pivotCacheDefinition" Target="pivotCache/pivotCacheDefinition1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HP" refreshedDate="46136.78117199074" createdVersion="8" refreshedVersion="8" minRefreshableVersion="3" recordCount="4535" xr:uid="{237B6909-3E06-4AEB-BBF8-C1C4F81D09B0}">
  <cacheSource type="worksheet">
    <worksheetSource ref="A1:D4536" sheet="充电服务区分区情况"/>
  </cacheSource>
  <cacheFields count="4">
    <cacheField name="ParkID" numFmtId="0">
      <sharedItems containsSemiMixedTypes="0" containsString="0" containsNumber="1" containsInteger="1" minValue="1" maxValue="4535"/>
    </cacheField>
    <cacheField name="WGS84_Lng" numFmtId="0">
      <sharedItems containsSemiMixedTypes="0" containsString="0" containsNumber="1" minValue="113.2504677" maxValue="113.550009"/>
    </cacheField>
    <cacheField name="WGS84_Lat" numFmtId="0">
      <sharedItems containsSemiMixedTypes="0" containsString="0" containsNumber="1" minValue="22.872560310000001" maxValue="23.07357485"/>
    </cacheField>
    <cacheField name="Cluster" numFmtId="0">
      <sharedItems containsSemiMixedTypes="0" containsString="0" containsNumber="1" containsInteger="1" minValue="1" maxValue="50" count="50">
        <n v="50"/>
        <n v="31"/>
        <n v="30"/>
        <n v="49"/>
        <n v="41"/>
        <n v="39"/>
        <n v="1"/>
        <n v="12"/>
        <n v="14"/>
        <n v="47"/>
        <n v="48"/>
        <n v="37"/>
        <n v="36"/>
        <n v="4"/>
        <n v="24"/>
        <n v="40"/>
        <n v="8"/>
        <n v="13"/>
        <n v="15"/>
        <n v="11"/>
        <n v="26"/>
        <n v="19"/>
        <n v="38"/>
        <n v="23"/>
        <n v="7"/>
        <n v="16"/>
        <n v="29"/>
        <n v="2"/>
        <n v="18"/>
        <n v="20"/>
        <n v="3"/>
        <n v="28"/>
        <n v="45"/>
        <n v="6"/>
        <n v="34"/>
        <n v="9"/>
        <n v="17"/>
        <n v="32"/>
        <n v="27"/>
        <n v="22"/>
        <n v="35"/>
        <n v="10"/>
        <n v="43"/>
        <n v="44"/>
        <n v="33"/>
        <n v="46"/>
        <n v="21"/>
        <n v="5"/>
        <n v="42"/>
        <n v="25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535">
  <r>
    <n v="1"/>
    <n v="113.4450677"/>
    <n v="23.060023470000001"/>
    <x v="0"/>
  </r>
  <r>
    <n v="2"/>
    <n v="113.4856102"/>
    <n v="23.053327289999999"/>
    <x v="0"/>
  </r>
  <r>
    <n v="3"/>
    <n v="113.3119501"/>
    <n v="23.024824110000001"/>
    <x v="1"/>
  </r>
  <r>
    <n v="4"/>
    <n v="113.3213825"/>
    <n v="23.028932439999998"/>
    <x v="2"/>
  </r>
  <r>
    <n v="5"/>
    <n v="113.41200790000001"/>
    <n v="23.025294129999999"/>
    <x v="3"/>
  </r>
  <r>
    <n v="6"/>
    <n v="113.4119458"/>
    <n v="23.025368060000002"/>
    <x v="3"/>
  </r>
  <r>
    <n v="7"/>
    <n v="113.3731974"/>
    <n v="23.013712460000001"/>
    <x v="4"/>
  </r>
  <r>
    <n v="8"/>
    <n v="113.4639773"/>
    <n v="23.021436749999999"/>
    <x v="0"/>
  </r>
  <r>
    <n v="9"/>
    <n v="113.392742"/>
    <n v="23.000809830000001"/>
    <x v="4"/>
  </r>
  <r>
    <n v="10"/>
    <n v="113.3923934"/>
    <n v="22.995784069999999"/>
    <x v="5"/>
  </r>
  <r>
    <n v="11"/>
    <n v="113.4202348"/>
    <n v="22.996035939999999"/>
    <x v="5"/>
  </r>
  <r>
    <n v="12"/>
    <n v="113.4044262"/>
    <n v="22.989326779999999"/>
    <x v="5"/>
  </r>
  <r>
    <n v="13"/>
    <n v="113.4118151"/>
    <n v="22.99103281"/>
    <x v="5"/>
  </r>
  <r>
    <n v="14"/>
    <n v="113.4087894"/>
    <n v="22.980559490000001"/>
    <x v="5"/>
  </r>
  <r>
    <n v="15"/>
    <n v="113.5092411"/>
    <n v="22.969596979999999"/>
    <x v="6"/>
  </r>
  <r>
    <n v="16"/>
    <n v="113.5102857"/>
    <n v="22.970311720000002"/>
    <x v="6"/>
  </r>
  <r>
    <n v="17"/>
    <n v="113.42764339999999"/>
    <n v="22.940604700000002"/>
    <x v="7"/>
  </r>
  <r>
    <n v="18"/>
    <n v="113.4354766"/>
    <n v="22.94145339"/>
    <x v="7"/>
  </r>
  <r>
    <n v="19"/>
    <n v="113.4638017"/>
    <n v="22.933351089999999"/>
    <x v="7"/>
  </r>
  <r>
    <n v="20"/>
    <n v="113.5079834"/>
    <n v="22.93101871"/>
    <x v="6"/>
  </r>
  <r>
    <n v="21"/>
    <n v="113.4577609"/>
    <n v="22.917836189999999"/>
    <x v="7"/>
  </r>
  <r>
    <n v="22"/>
    <n v="113.4794038"/>
    <n v="22.921161649999998"/>
    <x v="6"/>
  </r>
  <r>
    <n v="23"/>
    <n v="113.31988490000001"/>
    <n v="22.905036150000001"/>
    <x v="8"/>
  </r>
  <r>
    <n v="24"/>
    <n v="113.32043470000001"/>
    <n v="22.906524489999999"/>
    <x v="8"/>
  </r>
  <r>
    <n v="25"/>
    <n v="113.37528450000001"/>
    <n v="23.07357485"/>
    <x v="9"/>
  </r>
  <r>
    <n v="26"/>
    <n v="113.3647122"/>
    <n v="23.067479639999998"/>
    <x v="10"/>
  </r>
  <r>
    <n v="27"/>
    <n v="113.3647022"/>
    <n v="23.067225759999999"/>
    <x v="10"/>
  </r>
  <r>
    <n v="28"/>
    <n v="113.3710258"/>
    <n v="23.069690550000001"/>
    <x v="9"/>
  </r>
  <r>
    <n v="29"/>
    <n v="113.3714667"/>
    <n v="23.064448330000001"/>
    <x v="10"/>
  </r>
  <r>
    <n v="30"/>
    <n v="113.3791389"/>
    <n v="23.066309839999999"/>
    <x v="9"/>
  </r>
  <r>
    <n v="31"/>
    <n v="113.3794838"/>
    <n v="23.06493618"/>
    <x v="9"/>
  </r>
  <r>
    <n v="32"/>
    <n v="113.379154"/>
    <n v="23.06503137"/>
    <x v="9"/>
  </r>
  <r>
    <n v="33"/>
    <n v="113.3800734"/>
    <n v="23.06439099"/>
    <x v="9"/>
  </r>
  <r>
    <n v="34"/>
    <n v="113.3799625"/>
    <n v="23.064250130000001"/>
    <x v="9"/>
  </r>
  <r>
    <n v="35"/>
    <n v="113.3848417"/>
    <n v="23.0656356"/>
    <x v="9"/>
  </r>
  <r>
    <n v="36"/>
    <n v="113.38706860000001"/>
    <n v="23.068135519999998"/>
    <x v="9"/>
  </r>
  <r>
    <n v="37"/>
    <n v="113.3866479"/>
    <n v="23.066079569999999"/>
    <x v="9"/>
  </r>
  <r>
    <n v="38"/>
    <n v="113.3841171"/>
    <n v="23.06490329"/>
    <x v="9"/>
  </r>
  <r>
    <n v="39"/>
    <n v="113.3851983"/>
    <n v="23.0685182"/>
    <x v="9"/>
  </r>
  <r>
    <n v="40"/>
    <n v="113.38966809999999"/>
    <n v="23.064648070000001"/>
    <x v="9"/>
  </r>
  <r>
    <n v="41"/>
    <n v="113.38621120000001"/>
    <n v="23.06396866"/>
    <x v="9"/>
  </r>
  <r>
    <n v="42"/>
    <n v="113.3908847"/>
    <n v="23.067720430000001"/>
    <x v="9"/>
  </r>
  <r>
    <n v="43"/>
    <n v="113.3910465"/>
    <n v="23.069901460000001"/>
    <x v="9"/>
  </r>
  <r>
    <n v="44"/>
    <n v="113.38725820000001"/>
    <n v="23.07319429"/>
    <x v="9"/>
  </r>
  <r>
    <n v="45"/>
    <n v="113.3861302"/>
    <n v="23.064083650000001"/>
    <x v="9"/>
  </r>
  <r>
    <n v="46"/>
    <n v="113.38993000000001"/>
    <n v="23.065152779999998"/>
    <x v="9"/>
  </r>
  <r>
    <n v="47"/>
    <n v="113.3904118"/>
    <n v="23.066683990000001"/>
    <x v="9"/>
  </r>
  <r>
    <n v="48"/>
    <n v="113.3851671"/>
    <n v="23.07219065"/>
    <x v="9"/>
  </r>
  <r>
    <n v="49"/>
    <n v="113.3910238"/>
    <n v="23.065001550000002"/>
    <x v="9"/>
  </r>
  <r>
    <n v="50"/>
    <n v="113.3906616"/>
    <n v="23.06910989"/>
    <x v="9"/>
  </r>
  <r>
    <n v="51"/>
    <n v="113.3956955"/>
    <n v="23.06582452"/>
    <x v="9"/>
  </r>
  <r>
    <n v="52"/>
    <n v="113.3940063"/>
    <n v="23.06879339"/>
    <x v="9"/>
  </r>
  <r>
    <n v="53"/>
    <n v="113.39537559999999"/>
    <n v="23.064272200000001"/>
    <x v="9"/>
  </r>
  <r>
    <n v="54"/>
    <n v="113.3925931"/>
    <n v="23.072415070000002"/>
    <x v="9"/>
  </r>
  <r>
    <n v="55"/>
    <n v="113.3950646"/>
    <n v="23.06415127"/>
    <x v="9"/>
  </r>
  <r>
    <n v="56"/>
    <n v="113.4004985"/>
    <n v="23.064042579999999"/>
    <x v="9"/>
  </r>
  <r>
    <n v="57"/>
    <n v="113.3916942"/>
    <n v="23.072490210000002"/>
    <x v="9"/>
  </r>
  <r>
    <n v="58"/>
    <n v="113.4020671"/>
    <n v="23.063571100000001"/>
    <x v="9"/>
  </r>
  <r>
    <n v="59"/>
    <n v="113.28751440000001"/>
    <n v="23.053740040000001"/>
    <x v="11"/>
  </r>
  <r>
    <n v="60"/>
    <n v="113.3667166"/>
    <n v="23.05538739"/>
    <x v="10"/>
  </r>
  <r>
    <n v="61"/>
    <n v="113.3677821"/>
    <n v="23.05831791"/>
    <x v="10"/>
  </r>
  <r>
    <n v="62"/>
    <n v="113.3624255"/>
    <n v="23.06293947"/>
    <x v="10"/>
  </r>
  <r>
    <n v="63"/>
    <n v="113.36548569999999"/>
    <n v="23.061339310000001"/>
    <x v="10"/>
  </r>
  <r>
    <n v="64"/>
    <n v="113.36754550000001"/>
    <n v="23.056062140000002"/>
    <x v="10"/>
  </r>
  <r>
    <n v="65"/>
    <n v="113.36629720000001"/>
    <n v="23.053973490000001"/>
    <x v="10"/>
  </r>
  <r>
    <n v="66"/>
    <n v="113.3686184"/>
    <n v="23.054219719999999"/>
    <x v="10"/>
  </r>
  <r>
    <n v="67"/>
    <n v="113.36888709999999"/>
    <n v="23.054869149999998"/>
    <x v="10"/>
  </r>
  <r>
    <n v="68"/>
    <n v="113.37139449999999"/>
    <n v="23.05380495"/>
    <x v="10"/>
  </r>
  <r>
    <n v="69"/>
    <n v="113.3705612"/>
    <n v="23.056142810000001"/>
    <x v="10"/>
  </r>
  <r>
    <n v="70"/>
    <n v="113.3684634"/>
    <n v="23.057714399999998"/>
    <x v="10"/>
  </r>
  <r>
    <n v="71"/>
    <n v="113.369606"/>
    <n v="23.058664740000001"/>
    <x v="10"/>
  </r>
  <r>
    <n v="72"/>
    <n v="113.3712854"/>
    <n v="23.05685076"/>
    <x v="10"/>
  </r>
  <r>
    <n v="73"/>
    <n v="113.37400770000001"/>
    <n v="23.05810258"/>
    <x v="10"/>
  </r>
  <r>
    <n v="74"/>
    <n v="113.3760417"/>
    <n v="23.060072940000001"/>
    <x v="10"/>
  </r>
  <r>
    <n v="75"/>
    <n v="113.379591"/>
    <n v="23.060666919999999"/>
    <x v="9"/>
  </r>
  <r>
    <n v="76"/>
    <n v="113.3803277"/>
    <n v="23.05847035"/>
    <x v="9"/>
  </r>
  <r>
    <n v="77"/>
    <n v="113.37987390000001"/>
    <n v="23.059730120000001"/>
    <x v="9"/>
  </r>
  <r>
    <n v="78"/>
    <n v="113.37268589999999"/>
    <n v="23.058362720000002"/>
    <x v="10"/>
  </r>
  <r>
    <n v="79"/>
    <n v="113.38095420000001"/>
    <n v="23.058920730000001"/>
    <x v="9"/>
  </r>
  <r>
    <n v="80"/>
    <n v="113.3807972"/>
    <n v="23.060250270000001"/>
    <x v="9"/>
  </r>
  <r>
    <n v="81"/>
    <n v="113.37989159999999"/>
    <n v="23.06314265"/>
    <x v="9"/>
  </r>
  <r>
    <n v="82"/>
    <n v="113.38088430000001"/>
    <n v="23.058881800000002"/>
    <x v="9"/>
  </r>
  <r>
    <n v="83"/>
    <n v="113.3722496"/>
    <n v="23.053630170000002"/>
    <x v="10"/>
  </r>
  <r>
    <n v="84"/>
    <n v="113.37810349999999"/>
    <n v="23.053726990000001"/>
    <x v="10"/>
  </r>
  <r>
    <n v="85"/>
    <n v="113.3719715"/>
    <n v="23.05945796"/>
    <x v="10"/>
  </r>
  <r>
    <n v="86"/>
    <n v="113.3799399"/>
    <n v="23.058477610000001"/>
    <x v="9"/>
  </r>
  <r>
    <n v="87"/>
    <n v="113.37765469999999"/>
    <n v="23.056156300000001"/>
    <x v="10"/>
  </r>
  <r>
    <n v="88"/>
    <n v="113.3798518"/>
    <n v="23.060325880000001"/>
    <x v="9"/>
  </r>
  <r>
    <n v="89"/>
    <n v="113.38042249999999"/>
    <n v="23.05933491"/>
    <x v="9"/>
  </r>
  <r>
    <n v="90"/>
    <n v="113.3725381"/>
    <n v="23.057971030000001"/>
    <x v="10"/>
  </r>
  <r>
    <n v="91"/>
    <n v="113.37976209999999"/>
    <n v="23.058020930000001"/>
    <x v="9"/>
  </r>
  <r>
    <n v="92"/>
    <n v="113.3805785"/>
    <n v="23.058253270000002"/>
    <x v="9"/>
  </r>
  <r>
    <n v="93"/>
    <n v="113.37224260000001"/>
    <n v="23.053644179999999"/>
    <x v="10"/>
  </r>
  <r>
    <n v="94"/>
    <n v="113.3742951"/>
    <n v="23.061859720000001"/>
    <x v="10"/>
  </r>
  <r>
    <n v="95"/>
    <n v="113.3752398"/>
    <n v="23.0538463"/>
    <x v="10"/>
  </r>
  <r>
    <n v="96"/>
    <n v="113.3893245"/>
    <n v="23.05941142"/>
    <x v="9"/>
  </r>
  <r>
    <n v="97"/>
    <n v="113.38840449999999"/>
    <n v="23.062931219999999"/>
    <x v="9"/>
  </r>
  <r>
    <n v="98"/>
    <n v="113.3839985"/>
    <n v="23.059791539999999"/>
    <x v="9"/>
  </r>
  <r>
    <n v="99"/>
    <n v="113.3841635"/>
    <n v="23.058698920000001"/>
    <x v="9"/>
  </r>
  <r>
    <n v="100"/>
    <n v="113.3840283"/>
    <n v="23.0619406"/>
    <x v="9"/>
  </r>
  <r>
    <n v="101"/>
    <n v="113.3864732"/>
    <n v="23.063188879999998"/>
    <x v="9"/>
  </r>
  <r>
    <n v="102"/>
    <n v="113.3897533"/>
    <n v="23.06219609"/>
    <x v="9"/>
  </r>
  <r>
    <n v="103"/>
    <n v="113.38873239999999"/>
    <n v="23.06317001"/>
    <x v="9"/>
  </r>
  <r>
    <n v="104"/>
    <n v="113.3903251"/>
    <n v="23.063101540000002"/>
    <x v="9"/>
  </r>
  <r>
    <n v="105"/>
    <n v="113.3892828"/>
    <n v="23.05610184"/>
    <x v="9"/>
  </r>
  <r>
    <n v="106"/>
    <n v="113.38423349999999"/>
    <n v="23.05799618"/>
    <x v="9"/>
  </r>
  <r>
    <n v="107"/>
    <n v="113.39134989999999"/>
    <n v="23.062410580000002"/>
    <x v="9"/>
  </r>
  <r>
    <n v="108"/>
    <n v="113.39154240000001"/>
    <n v="23.054711820000001"/>
    <x v="9"/>
  </r>
  <r>
    <n v="109"/>
    <n v="113.39058319999999"/>
    <n v="23.061028360000002"/>
    <x v="9"/>
  </r>
  <r>
    <n v="110"/>
    <n v="113.38942849999999"/>
    <n v="23.059168490000001"/>
    <x v="9"/>
  </r>
  <r>
    <n v="111"/>
    <n v="113.3950833"/>
    <n v="23.054017600000002"/>
    <x v="9"/>
  </r>
  <r>
    <n v="112"/>
    <n v="113.39657010000001"/>
    <n v="23.059066380000001"/>
    <x v="9"/>
  </r>
  <r>
    <n v="113"/>
    <n v="113.397436"/>
    <n v="23.061609310000001"/>
    <x v="9"/>
  </r>
  <r>
    <n v="114"/>
    <n v="113.3985721"/>
    <n v="23.062427029999998"/>
    <x v="9"/>
  </r>
  <r>
    <n v="115"/>
    <n v="113.3927633"/>
    <n v="23.05412583"/>
    <x v="9"/>
  </r>
  <r>
    <n v="116"/>
    <n v="113.40150130000001"/>
    <n v="23.057561539999998"/>
    <x v="9"/>
  </r>
  <r>
    <n v="117"/>
    <n v="113.4012211"/>
    <n v="23.05827317"/>
    <x v="9"/>
  </r>
  <r>
    <n v="118"/>
    <n v="113.39344629999999"/>
    <n v="23.054165709999999"/>
    <x v="9"/>
  </r>
  <r>
    <n v="119"/>
    <n v="113.397273"/>
    <n v="23.0606717"/>
    <x v="9"/>
  </r>
  <r>
    <n v="120"/>
    <n v="113.4009102"/>
    <n v="23.055379349999999"/>
    <x v="3"/>
  </r>
  <r>
    <n v="121"/>
    <n v="113.4012973"/>
    <n v="23.055883210000001"/>
    <x v="3"/>
  </r>
  <r>
    <n v="122"/>
    <n v="113.40085500000001"/>
    <n v="23.058253109999999"/>
    <x v="9"/>
  </r>
  <r>
    <n v="123"/>
    <n v="113.3917849"/>
    <n v="23.061978669999998"/>
    <x v="9"/>
  </r>
  <r>
    <n v="124"/>
    <n v="113.3976954"/>
    <n v="23.055812800000002"/>
    <x v="9"/>
  </r>
  <r>
    <n v="125"/>
    <n v="113.3971985"/>
    <n v="23.05425245"/>
    <x v="9"/>
  </r>
  <r>
    <n v="126"/>
    <n v="113.39241079999999"/>
    <n v="23.062597279999999"/>
    <x v="9"/>
  </r>
  <r>
    <n v="127"/>
    <n v="113.400944"/>
    <n v="23.058180159999999"/>
    <x v="9"/>
  </r>
  <r>
    <n v="128"/>
    <n v="113.3917738"/>
    <n v="23.063102189999999"/>
    <x v="9"/>
  </r>
  <r>
    <n v="129"/>
    <n v="113.4006866"/>
    <n v="23.063323919999998"/>
    <x v="9"/>
  </r>
  <r>
    <n v="130"/>
    <n v="113.3918374"/>
    <n v="23.054401890000001"/>
    <x v="9"/>
  </r>
  <r>
    <n v="131"/>
    <n v="113.4013393"/>
    <n v="23.056309039999999"/>
    <x v="3"/>
  </r>
  <r>
    <n v="132"/>
    <n v="113.4068449"/>
    <n v="23.056077949999999"/>
    <x v="3"/>
  </r>
  <r>
    <n v="133"/>
    <n v="113.4063136"/>
    <n v="23.05622765"/>
    <x v="3"/>
  </r>
  <r>
    <n v="134"/>
    <n v="113.40271869999999"/>
    <n v="23.057411890000001"/>
    <x v="3"/>
  </r>
  <r>
    <n v="135"/>
    <n v="113.4076412"/>
    <n v="23.059148010000001"/>
    <x v="3"/>
  </r>
  <r>
    <n v="136"/>
    <n v="113.4083888"/>
    <n v="23.058852519999999"/>
    <x v="3"/>
  </r>
  <r>
    <n v="137"/>
    <n v="113.4096278"/>
    <n v="23.056339269999999"/>
    <x v="3"/>
  </r>
  <r>
    <n v="138"/>
    <n v="113.4076195"/>
    <n v="23.054737889999998"/>
    <x v="3"/>
  </r>
  <r>
    <n v="139"/>
    <n v="113.4097088"/>
    <n v="23.057407860000001"/>
    <x v="3"/>
  </r>
  <r>
    <n v="140"/>
    <n v="113.4089634"/>
    <n v="23.056171970000001"/>
    <x v="3"/>
  </r>
  <r>
    <n v="141"/>
    <n v="113.40260379999999"/>
    <n v="23.05598947"/>
    <x v="3"/>
  </r>
  <r>
    <n v="142"/>
    <n v="113.4016922"/>
    <n v="23.05974964"/>
    <x v="9"/>
  </r>
  <r>
    <n v="143"/>
    <n v="113.40176599999999"/>
    <n v="23.063131219999999"/>
    <x v="9"/>
  </r>
  <r>
    <n v="144"/>
    <n v="113.4018853"/>
    <n v="23.05920592"/>
    <x v="9"/>
  </r>
  <r>
    <n v="145"/>
    <n v="113.2562789"/>
    <n v="23.045866"/>
    <x v="12"/>
  </r>
  <r>
    <n v="146"/>
    <n v="113.2558939"/>
    <n v="23.048896859999999"/>
    <x v="12"/>
  </r>
  <r>
    <n v="147"/>
    <n v="113.2553442"/>
    <n v="23.048650200000001"/>
    <x v="12"/>
  </r>
  <r>
    <n v="148"/>
    <n v="113.25373020000001"/>
    <n v="23.046207859999999"/>
    <x v="12"/>
  </r>
  <r>
    <n v="149"/>
    <n v="113.2544527"/>
    <n v="23.04846263"/>
    <x v="12"/>
  </r>
  <r>
    <n v="150"/>
    <n v="113.2553082"/>
    <n v="23.048693199999999"/>
    <x v="12"/>
  </r>
  <r>
    <n v="151"/>
    <n v="113.251985"/>
    <n v="23.044733050000001"/>
    <x v="12"/>
  </r>
  <r>
    <n v="152"/>
    <n v="113.26848219999999"/>
    <n v="23.045513020000001"/>
    <x v="12"/>
  </r>
  <r>
    <n v="153"/>
    <n v="113.27047899999999"/>
    <n v="23.047094510000001"/>
    <x v="12"/>
  </r>
  <r>
    <n v="154"/>
    <n v="113.2666701"/>
    <n v="23.044563969999999"/>
    <x v="12"/>
  </r>
  <r>
    <n v="155"/>
    <n v="113.2671591"/>
    <n v="23.052883990000002"/>
    <x v="12"/>
  </r>
  <r>
    <n v="156"/>
    <n v="113.2691287"/>
    <n v="23.04394512"/>
    <x v="12"/>
  </r>
  <r>
    <n v="157"/>
    <n v="113.27063390000001"/>
    <n v="23.047250300000002"/>
    <x v="12"/>
  </r>
  <r>
    <n v="158"/>
    <n v="113.2705709"/>
    <n v="23.047334320000001"/>
    <x v="12"/>
  </r>
  <r>
    <n v="159"/>
    <n v="113.2742307"/>
    <n v="23.048148269999999"/>
    <x v="12"/>
  </r>
  <r>
    <n v="160"/>
    <n v="113.27360849999999"/>
    <n v="23.047442239999999"/>
    <x v="12"/>
  </r>
  <r>
    <n v="161"/>
    <n v="113.2718055"/>
    <n v="23.048729519999998"/>
    <x v="12"/>
  </r>
  <r>
    <n v="162"/>
    <n v="113.28579259999999"/>
    <n v="23.04751117"/>
    <x v="11"/>
  </r>
  <r>
    <n v="163"/>
    <n v="113.28801679999999"/>
    <n v="23.050996479999998"/>
    <x v="11"/>
  </r>
  <r>
    <n v="164"/>
    <n v="113.28950639999999"/>
    <n v="23.050883330000001"/>
    <x v="11"/>
  </r>
  <r>
    <n v="165"/>
    <n v="113.2901195"/>
    <n v="23.049481"/>
    <x v="11"/>
  </r>
  <r>
    <n v="166"/>
    <n v="113.2913495"/>
    <n v="23.047210100000001"/>
    <x v="11"/>
  </r>
  <r>
    <n v="167"/>
    <n v="113.29105490000001"/>
    <n v="23.04930066"/>
    <x v="11"/>
  </r>
  <r>
    <n v="168"/>
    <n v="113.2882094"/>
    <n v="23.051968779999999"/>
    <x v="11"/>
  </r>
  <r>
    <n v="169"/>
    <n v="113.28745670000001"/>
    <n v="23.051973879999998"/>
    <x v="11"/>
  </r>
  <r>
    <n v="170"/>
    <n v="113.2879957"/>
    <n v="23.05295667"/>
    <x v="11"/>
  </r>
  <r>
    <n v="171"/>
    <n v="113.29047780000001"/>
    <n v="23.0503231"/>
    <x v="11"/>
  </r>
  <r>
    <n v="172"/>
    <n v="113.2892887"/>
    <n v="23.051422420000002"/>
    <x v="11"/>
  </r>
  <r>
    <n v="173"/>
    <n v="113.2907436"/>
    <n v="23.046743230000001"/>
    <x v="11"/>
  </r>
  <r>
    <n v="174"/>
    <n v="113.2915811"/>
    <n v="23.04758258"/>
    <x v="11"/>
  </r>
  <r>
    <n v="175"/>
    <n v="113.2908434"/>
    <n v="23.046552160000001"/>
    <x v="11"/>
  </r>
  <r>
    <n v="176"/>
    <n v="113.2898598"/>
    <n v="23.050771839999999"/>
    <x v="11"/>
  </r>
  <r>
    <n v="177"/>
    <n v="113.2908571"/>
    <n v="23.050704360000001"/>
    <x v="11"/>
  </r>
  <r>
    <n v="178"/>
    <n v="113.28985179999999"/>
    <n v="23.051376600000001"/>
    <x v="11"/>
  </r>
  <r>
    <n v="179"/>
    <n v="113.2890869"/>
    <n v="23.053008040000002"/>
    <x v="11"/>
  </r>
  <r>
    <n v="180"/>
    <n v="113.2913095"/>
    <n v="23.049507179999999"/>
    <x v="11"/>
  </r>
  <r>
    <n v="181"/>
    <n v="113.2899685"/>
    <n v="23.052782820000001"/>
    <x v="11"/>
  </r>
  <r>
    <n v="182"/>
    <n v="113.2903189"/>
    <n v="23.052817269999998"/>
    <x v="11"/>
  </r>
  <r>
    <n v="183"/>
    <n v="113.2839357"/>
    <n v="23.04381532"/>
    <x v="11"/>
  </r>
  <r>
    <n v="184"/>
    <n v="113.2884473"/>
    <n v="23.047975149999999"/>
    <x v="11"/>
  </r>
  <r>
    <n v="185"/>
    <n v="113.29145200000001"/>
    <n v="23.052469689999999"/>
    <x v="11"/>
  </r>
  <r>
    <n v="186"/>
    <n v="113.2914715"/>
    <n v="23.043966309999998"/>
    <x v="11"/>
  </r>
  <r>
    <n v="187"/>
    <n v="113.2969535"/>
    <n v="23.049262240000001"/>
    <x v="11"/>
  </r>
  <r>
    <n v="188"/>
    <n v="113.2975065"/>
    <n v="23.049707130000002"/>
    <x v="11"/>
  </r>
  <r>
    <n v="189"/>
    <n v="113.2957668"/>
    <n v="23.046866219999998"/>
    <x v="11"/>
  </r>
  <r>
    <n v="190"/>
    <n v="113.29179569999999"/>
    <n v="23.04871576"/>
    <x v="11"/>
  </r>
  <r>
    <n v="191"/>
    <n v="113.2998884"/>
    <n v="23.044578300000001"/>
    <x v="11"/>
  </r>
  <r>
    <n v="192"/>
    <n v="113.2958095"/>
    <n v="23.050692510000001"/>
    <x v="11"/>
  </r>
  <r>
    <n v="193"/>
    <n v="113.2984527"/>
    <n v="23.050408239999999"/>
    <x v="11"/>
  </r>
  <r>
    <n v="194"/>
    <n v="113.2966064"/>
    <n v="23.045718340000001"/>
    <x v="11"/>
  </r>
  <r>
    <n v="195"/>
    <n v="113.2942355"/>
    <n v="23.047341500000002"/>
    <x v="11"/>
  </r>
  <r>
    <n v="196"/>
    <n v="113.29666229999999"/>
    <n v="23.04589017"/>
    <x v="11"/>
  </r>
  <r>
    <n v="197"/>
    <n v="113.2938771"/>
    <n v="23.047822870000001"/>
    <x v="11"/>
  </r>
  <r>
    <n v="198"/>
    <n v="113.29374540000001"/>
    <n v="23.0470744"/>
    <x v="11"/>
  </r>
  <r>
    <n v="199"/>
    <n v="113.296279"/>
    <n v="23.044841250000001"/>
    <x v="11"/>
  </r>
  <r>
    <n v="200"/>
    <n v="113.29352280000001"/>
    <n v="23.047233689999999"/>
    <x v="11"/>
  </r>
  <r>
    <n v="201"/>
    <n v="113.2927411"/>
    <n v="23.048050570000001"/>
    <x v="11"/>
  </r>
  <r>
    <n v="202"/>
    <n v="113.29359479999999"/>
    <n v="23.045510310000001"/>
    <x v="11"/>
  </r>
  <r>
    <n v="203"/>
    <n v="113.3012674"/>
    <n v="23.05029047"/>
    <x v="11"/>
  </r>
  <r>
    <n v="204"/>
    <n v="113.2938164"/>
    <n v="23.045903790000001"/>
    <x v="11"/>
  </r>
  <r>
    <n v="205"/>
    <n v="113.29463990000001"/>
    <n v="23.04566457"/>
    <x v="11"/>
  </r>
  <r>
    <n v="206"/>
    <n v="113.29393810000001"/>
    <n v="23.046160489999998"/>
    <x v="11"/>
  </r>
  <r>
    <n v="207"/>
    <n v="113.2944114"/>
    <n v="23.045317090000001"/>
    <x v="11"/>
  </r>
  <r>
    <n v="208"/>
    <n v="113.29382440000001"/>
    <n v="23.045686870000001"/>
    <x v="11"/>
  </r>
  <r>
    <n v="209"/>
    <n v="113.29516"/>
    <n v="23.044930050000001"/>
    <x v="11"/>
  </r>
  <r>
    <n v="210"/>
    <n v="113.2986507"/>
    <n v="23.045443039999999"/>
    <x v="11"/>
  </r>
  <r>
    <n v="211"/>
    <n v="113.292799"/>
    <n v="23.048228399999999"/>
    <x v="11"/>
  </r>
  <r>
    <n v="212"/>
    <n v="113.2949285"/>
    <n v="23.04391686"/>
    <x v="11"/>
  </r>
  <r>
    <n v="213"/>
    <n v="113.2960635"/>
    <n v="23.044453770000001"/>
    <x v="11"/>
  </r>
  <r>
    <n v="214"/>
    <n v="113.29287890000001"/>
    <n v="23.04684087"/>
    <x v="11"/>
  </r>
  <r>
    <n v="215"/>
    <n v="113.293451"/>
    <n v="23.045843399999999"/>
    <x v="11"/>
  </r>
  <r>
    <n v="216"/>
    <n v="113.29391080000001"/>
    <n v="23.05156221"/>
    <x v="11"/>
  </r>
  <r>
    <n v="217"/>
    <n v="113.292833"/>
    <n v="23.046581060000001"/>
    <x v="11"/>
  </r>
  <r>
    <n v="218"/>
    <n v="113.2950812"/>
    <n v="23.044813220000002"/>
    <x v="11"/>
  </r>
  <r>
    <n v="219"/>
    <n v="113.2961353"/>
    <n v="23.044649570000001"/>
    <x v="11"/>
  </r>
  <r>
    <n v="220"/>
    <n v="113.2977025"/>
    <n v="23.0443411"/>
    <x v="11"/>
  </r>
  <r>
    <n v="221"/>
    <n v="113.2917947"/>
    <n v="23.048119020000001"/>
    <x v="11"/>
  </r>
  <r>
    <n v="222"/>
    <n v="113.2941359"/>
    <n v="23.045110619999999"/>
    <x v="11"/>
  </r>
  <r>
    <n v="223"/>
    <n v="113.3012945"/>
    <n v="23.04839424"/>
    <x v="11"/>
  </r>
  <r>
    <n v="224"/>
    <n v="113.2961354"/>
    <n v="23.043976860000001"/>
    <x v="11"/>
  </r>
  <r>
    <n v="225"/>
    <n v="113.29234390000001"/>
    <n v="23.046768749999998"/>
    <x v="11"/>
  </r>
  <r>
    <n v="226"/>
    <n v="113.2920793"/>
    <n v="23.047374900000001"/>
    <x v="11"/>
  </r>
  <r>
    <n v="227"/>
    <n v="113.2961653"/>
    <n v="23.044256690000001"/>
    <x v="11"/>
  </r>
  <r>
    <n v="228"/>
    <n v="113.2953358"/>
    <n v="23.044391990000001"/>
    <x v="11"/>
  </r>
  <r>
    <n v="229"/>
    <n v="113.2949584"/>
    <n v="23.04450555"/>
    <x v="11"/>
  </r>
  <r>
    <n v="230"/>
    <n v="113.2918906"/>
    <n v="23.047252239999999"/>
    <x v="11"/>
  </r>
  <r>
    <n v="231"/>
    <n v="113.2987875"/>
    <n v="23.044158360000001"/>
    <x v="11"/>
  </r>
  <r>
    <n v="232"/>
    <n v="113.2918868"/>
    <n v="23.044745330000001"/>
    <x v="11"/>
  </r>
  <r>
    <n v="233"/>
    <n v="113.29207630000001"/>
    <n v="23.046526270000001"/>
    <x v="11"/>
  </r>
  <r>
    <n v="234"/>
    <n v="113.2975079"/>
    <n v="23.043924610000001"/>
    <x v="11"/>
  </r>
  <r>
    <n v="235"/>
    <n v="113.2993475"/>
    <n v="23.04413641"/>
    <x v="11"/>
  </r>
  <r>
    <n v="236"/>
    <n v="113.2932644"/>
    <n v="23.045053029999998"/>
    <x v="11"/>
  </r>
  <r>
    <n v="237"/>
    <n v="113.29500040000001"/>
    <n v="23.043756810000001"/>
    <x v="11"/>
  </r>
  <r>
    <n v="238"/>
    <n v="113.2924963"/>
    <n v="23.051494479999999"/>
    <x v="11"/>
  </r>
  <r>
    <n v="239"/>
    <n v="113.3011638"/>
    <n v="23.047328920000002"/>
    <x v="11"/>
  </r>
  <r>
    <n v="240"/>
    <n v="113.3009733"/>
    <n v="23.045566010000002"/>
    <x v="11"/>
  </r>
  <r>
    <n v="241"/>
    <n v="113.3008945"/>
    <n v="23.0452133"/>
    <x v="11"/>
  </r>
  <r>
    <n v="242"/>
    <n v="113.3009335"/>
    <n v="23.04439558"/>
    <x v="11"/>
  </r>
  <r>
    <n v="243"/>
    <n v="113.3007885"/>
    <n v="23.047786370000001"/>
    <x v="11"/>
  </r>
  <r>
    <n v="244"/>
    <n v="113.29528550000001"/>
    <n v="23.048974099999999"/>
    <x v="11"/>
  </r>
  <r>
    <n v="245"/>
    <n v="113.3002333"/>
    <n v="23.050990949999999"/>
    <x v="11"/>
  </r>
  <r>
    <n v="246"/>
    <n v="113.2923964"/>
    <n v="23.05211237"/>
    <x v="11"/>
  </r>
  <r>
    <n v="247"/>
    <n v="113.301514"/>
    <n v="23.050360009999999"/>
    <x v="11"/>
  </r>
  <r>
    <n v="248"/>
    <n v="113.29229309999999"/>
    <n v="23.044696720000001"/>
    <x v="11"/>
  </r>
  <r>
    <n v="249"/>
    <n v="113.2922677"/>
    <n v="23.050965059999999"/>
    <x v="11"/>
  </r>
  <r>
    <n v="250"/>
    <n v="113.2922178"/>
    <n v="23.050949150000001"/>
    <x v="11"/>
  </r>
  <r>
    <n v="251"/>
    <n v="113.30524490000001"/>
    <n v="23.048566180000002"/>
    <x v="13"/>
  </r>
  <r>
    <n v="252"/>
    <n v="113.306265"/>
    <n v="23.046764119999999"/>
    <x v="13"/>
  </r>
  <r>
    <n v="253"/>
    <n v="113.30632989999999"/>
    <n v="23.045633479999999"/>
    <x v="13"/>
  </r>
  <r>
    <n v="254"/>
    <n v="113.30696880000001"/>
    <n v="23.044407849999999"/>
    <x v="13"/>
  </r>
  <r>
    <n v="255"/>
    <n v="113.30225950000001"/>
    <n v="23.050395689999998"/>
    <x v="11"/>
  </r>
  <r>
    <n v="256"/>
    <n v="113.3050475"/>
    <n v="23.044629230000002"/>
    <x v="13"/>
  </r>
  <r>
    <n v="257"/>
    <n v="113.30797269999999"/>
    <n v="23.044775860000001"/>
    <x v="13"/>
  </r>
  <r>
    <n v="258"/>
    <n v="113.3072921"/>
    <n v="23.044430259999999"/>
    <x v="13"/>
  </r>
  <r>
    <n v="259"/>
    <n v="113.3018783"/>
    <n v="23.048979970000001"/>
    <x v="11"/>
  </r>
  <r>
    <n v="260"/>
    <n v="113.30728499999999"/>
    <n v="23.045712720000001"/>
    <x v="13"/>
  </r>
  <r>
    <n v="261"/>
    <n v="113.3095976"/>
    <n v="23.043859269999999"/>
    <x v="13"/>
  </r>
  <r>
    <n v="262"/>
    <n v="113.30665329999999"/>
    <n v="23.04560991"/>
    <x v="13"/>
  </r>
  <r>
    <n v="263"/>
    <n v="113.30978020000001"/>
    <n v="23.043831950000001"/>
    <x v="13"/>
  </r>
  <r>
    <n v="264"/>
    <n v="113.3027627"/>
    <n v="23.048958429999999"/>
    <x v="11"/>
  </r>
  <r>
    <n v="265"/>
    <n v="113.3022946"/>
    <n v="23.04874534"/>
    <x v="11"/>
  </r>
  <r>
    <n v="266"/>
    <n v="113.3119325"/>
    <n v="23.049121670000002"/>
    <x v="13"/>
  </r>
  <r>
    <n v="267"/>
    <n v="113.3143579"/>
    <n v="23.044151249999999"/>
    <x v="13"/>
  </r>
  <r>
    <n v="268"/>
    <n v="113.3138988"/>
    <n v="23.043954200000002"/>
    <x v="13"/>
  </r>
  <r>
    <n v="269"/>
    <n v="113.31169629999999"/>
    <n v="23.044384149999999"/>
    <x v="13"/>
  </r>
  <r>
    <n v="270"/>
    <n v="113.31184399999999"/>
    <n v="23.044682739999999"/>
    <x v="13"/>
  </r>
  <r>
    <n v="271"/>
    <n v="113.3120945"/>
    <n v="23.04407754"/>
    <x v="13"/>
  </r>
  <r>
    <n v="272"/>
    <n v="113.3125446"/>
    <n v="23.043691859999999"/>
    <x v="13"/>
  </r>
  <r>
    <n v="273"/>
    <n v="113.32708359999999"/>
    <n v="23.04612113"/>
    <x v="14"/>
  </r>
  <r>
    <n v="274"/>
    <n v="113.32380139999999"/>
    <n v="23.045005889999999"/>
    <x v="14"/>
  </r>
  <r>
    <n v="275"/>
    <n v="113.3575767"/>
    <n v="23.044298120000001"/>
    <x v="10"/>
  </r>
  <r>
    <n v="276"/>
    <n v="113.3590635"/>
    <n v="23.043894179999999"/>
    <x v="10"/>
  </r>
  <r>
    <n v="277"/>
    <n v="113.3567379"/>
    <n v="23.044561219999999"/>
    <x v="10"/>
  </r>
  <r>
    <n v="278"/>
    <n v="113.35616589999999"/>
    <n v="23.044069270000001"/>
    <x v="10"/>
  </r>
  <r>
    <n v="279"/>
    <n v="113.3550127"/>
    <n v="23.043975029999999"/>
    <x v="10"/>
  </r>
  <r>
    <n v="280"/>
    <n v="113.3679479"/>
    <n v="23.044602600000001"/>
    <x v="10"/>
  </r>
  <r>
    <n v="281"/>
    <n v="113.3664223"/>
    <n v="23.049936070000001"/>
    <x v="10"/>
  </r>
  <r>
    <n v="282"/>
    <n v="113.3661456"/>
    <n v="23.05024427"/>
    <x v="10"/>
  </r>
  <r>
    <n v="283"/>
    <n v="113.3680864"/>
    <n v="23.049020550000002"/>
    <x v="10"/>
  </r>
  <r>
    <n v="284"/>
    <n v="113.3668091"/>
    <n v="23.045331600000001"/>
    <x v="10"/>
  </r>
  <r>
    <n v="285"/>
    <n v="113.3687098"/>
    <n v="23.0468218"/>
    <x v="10"/>
  </r>
  <r>
    <n v="286"/>
    <n v="113.3688107"/>
    <n v="23.046762709999999"/>
    <x v="10"/>
  </r>
  <r>
    <n v="287"/>
    <n v="113.3655286"/>
    <n v="23.046406659999999"/>
    <x v="10"/>
  </r>
  <r>
    <n v="288"/>
    <n v="113.3696885"/>
    <n v="23.050029349999999"/>
    <x v="10"/>
  </r>
  <r>
    <n v="289"/>
    <n v="113.36823"/>
    <n v="23.053084640000002"/>
    <x v="10"/>
  </r>
  <r>
    <n v="290"/>
    <n v="113.3666018"/>
    <n v="23.053484340000001"/>
    <x v="10"/>
  </r>
  <r>
    <n v="291"/>
    <n v="113.3667846"/>
    <n v="23.053185249999999"/>
    <x v="10"/>
  </r>
  <r>
    <n v="292"/>
    <n v="113.36824249999999"/>
    <n v="23.044555290000002"/>
    <x v="10"/>
  </r>
  <r>
    <n v="293"/>
    <n v="113.3631336"/>
    <n v="23.047356229999998"/>
    <x v="10"/>
  </r>
  <r>
    <n v="294"/>
    <n v="113.371207"/>
    <n v="23.048571389999999"/>
    <x v="10"/>
  </r>
  <r>
    <n v="295"/>
    <n v="113.3664107"/>
    <n v="23.04402163"/>
    <x v="10"/>
  </r>
  <r>
    <n v="296"/>
    <n v="113.3656216"/>
    <n v="23.0455659"/>
    <x v="10"/>
  </r>
  <r>
    <n v="297"/>
    <n v="113.3709085"/>
    <n v="23.045524"/>
    <x v="10"/>
  </r>
  <r>
    <n v="298"/>
    <n v="113.37424919999999"/>
    <n v="23.04723302"/>
    <x v="10"/>
  </r>
  <r>
    <n v="299"/>
    <n v="113.3770717"/>
    <n v="23.047730380000001"/>
    <x v="10"/>
  </r>
  <r>
    <n v="300"/>
    <n v="113.37420090000001"/>
    <n v="23.05194504"/>
    <x v="10"/>
  </r>
  <r>
    <n v="301"/>
    <n v="113.3791509"/>
    <n v="23.05209391"/>
    <x v="10"/>
  </r>
  <r>
    <n v="302"/>
    <n v="113.37782180000001"/>
    <n v="23.05248074"/>
    <x v="10"/>
  </r>
  <r>
    <n v="303"/>
    <n v="113.378282"/>
    <n v="23.044520810000002"/>
    <x v="10"/>
  </r>
  <r>
    <n v="304"/>
    <n v="113.3744387"/>
    <n v="23.051177160000002"/>
    <x v="10"/>
  </r>
  <r>
    <n v="305"/>
    <n v="113.3786358"/>
    <n v="23.044919369999999"/>
    <x v="10"/>
  </r>
  <r>
    <n v="306"/>
    <n v="113.3768941"/>
    <n v="23.043991129999998"/>
    <x v="10"/>
  </r>
  <r>
    <n v="307"/>
    <n v="113.3717288"/>
    <n v="23.04486945"/>
    <x v="10"/>
  </r>
  <r>
    <n v="308"/>
    <n v="113.38565130000001"/>
    <n v="23.05197905"/>
    <x v="15"/>
  </r>
  <r>
    <n v="309"/>
    <n v="113.3850058"/>
    <n v="23.048219970000002"/>
    <x v="15"/>
  </r>
  <r>
    <n v="310"/>
    <n v="113.38444610000001"/>
    <n v="23.047624509999999"/>
    <x v="15"/>
  </r>
  <r>
    <n v="311"/>
    <n v="113.38580229999999"/>
    <n v="23.0509834"/>
    <x v="15"/>
  </r>
  <r>
    <n v="312"/>
    <n v="113.3856893"/>
    <n v="23.051196359999999"/>
    <x v="15"/>
  </r>
  <r>
    <n v="313"/>
    <n v="113.38599809999999"/>
    <n v="23.051915910000002"/>
    <x v="15"/>
  </r>
  <r>
    <n v="314"/>
    <n v="113.38487480000001"/>
    <n v="23.048547899999999"/>
    <x v="15"/>
  </r>
  <r>
    <n v="315"/>
    <n v="113.39140399999999"/>
    <n v="23.047448970000001"/>
    <x v="15"/>
  </r>
  <r>
    <n v="316"/>
    <n v="113.38433089999999"/>
    <n v="23.05101312"/>
    <x v="15"/>
  </r>
  <r>
    <n v="317"/>
    <n v="113.3844309"/>
    <n v="23.05072419"/>
    <x v="15"/>
  </r>
  <r>
    <n v="318"/>
    <n v="113.38353739999999"/>
    <n v="23.050089939999999"/>
    <x v="15"/>
  </r>
  <r>
    <n v="319"/>
    <n v="113.39142200000001"/>
    <n v="23.047481950000002"/>
    <x v="15"/>
  </r>
  <r>
    <n v="320"/>
    <n v="113.38661140000001"/>
    <n v="23.04494463"/>
    <x v="15"/>
  </r>
  <r>
    <n v="321"/>
    <n v="113.38980239999999"/>
    <n v="23.04593504"/>
    <x v="15"/>
  </r>
  <r>
    <n v="322"/>
    <n v="113.3909247"/>
    <n v="23.05267984"/>
    <x v="15"/>
  </r>
  <r>
    <n v="323"/>
    <n v="113.3868722"/>
    <n v="23.04632393"/>
    <x v="15"/>
  </r>
  <r>
    <n v="324"/>
    <n v="113.38607349999999"/>
    <n v="23.045570600000001"/>
    <x v="15"/>
  </r>
  <r>
    <n v="325"/>
    <n v="113.38815270000001"/>
    <n v="23.046991139999999"/>
    <x v="15"/>
  </r>
  <r>
    <n v="326"/>
    <n v="113.3915219"/>
    <n v="23.04748493"/>
    <x v="15"/>
  </r>
  <r>
    <n v="327"/>
    <n v="113.3853895"/>
    <n v="23.049469250000001"/>
    <x v="15"/>
  </r>
  <r>
    <n v="328"/>
    <n v="113.3898014"/>
    <n v="23.04593105"/>
    <x v="15"/>
  </r>
  <r>
    <n v="329"/>
    <n v="113.3933048"/>
    <n v="23.046351080000001"/>
    <x v="15"/>
  </r>
  <r>
    <n v="330"/>
    <n v="113.3949375"/>
    <n v="23.051015899999999"/>
    <x v="15"/>
  </r>
  <r>
    <n v="331"/>
    <n v="113.39588089999999"/>
    <n v="23.045523200000002"/>
    <x v="15"/>
  </r>
  <r>
    <n v="332"/>
    <n v="113.39279089999999"/>
    <n v="23.04642114"/>
    <x v="15"/>
  </r>
  <r>
    <n v="333"/>
    <n v="113.397418"/>
    <n v="23.047123509999999"/>
    <x v="15"/>
  </r>
  <r>
    <n v="334"/>
    <n v="113.3952609"/>
    <n v="23.045085419999999"/>
    <x v="15"/>
  </r>
  <r>
    <n v="335"/>
    <n v="113.3925729"/>
    <n v="23.046446159999999"/>
    <x v="15"/>
  </r>
  <r>
    <n v="336"/>
    <n v="113.39207089999999"/>
    <n v="23.04684709"/>
    <x v="15"/>
  </r>
  <r>
    <n v="337"/>
    <n v="113.39714600000001"/>
    <n v="23.046823629999999"/>
    <x v="15"/>
  </r>
  <r>
    <n v="338"/>
    <n v="113.39338840000001"/>
    <n v="23.053240120000002"/>
    <x v="15"/>
  </r>
  <r>
    <n v="339"/>
    <n v="113.39659159999999"/>
    <n v="23.050619000000001"/>
    <x v="15"/>
  </r>
  <r>
    <n v="340"/>
    <n v="113.398521"/>
    <n v="23.05007531"/>
    <x v="3"/>
  </r>
  <r>
    <n v="341"/>
    <n v="113.401563"/>
    <n v="23.046740190000001"/>
    <x v="3"/>
  </r>
  <r>
    <n v="342"/>
    <n v="113.3927475"/>
    <n v="23.0521037"/>
    <x v="15"/>
  </r>
  <r>
    <n v="343"/>
    <n v="113.3979952"/>
    <n v="23.045733129999999"/>
    <x v="15"/>
  </r>
  <r>
    <n v="344"/>
    <n v="113.3996605"/>
    <n v="23.046348030000001"/>
    <x v="3"/>
  </r>
  <r>
    <n v="345"/>
    <n v="113.3919539"/>
    <n v="23.047455849999999"/>
    <x v="15"/>
  </r>
  <r>
    <n v="346"/>
    <n v="113.3966109"/>
    <n v="23.04609194"/>
    <x v="15"/>
  </r>
  <r>
    <n v="347"/>
    <n v="113.3978881"/>
    <n v="23.045938039999999"/>
    <x v="15"/>
  </r>
  <r>
    <n v="348"/>
    <n v="113.3996973"/>
    <n v="23.048864949999999"/>
    <x v="3"/>
  </r>
  <r>
    <n v="349"/>
    <n v="113.39250079999999"/>
    <n v="23.047717630000001"/>
    <x v="15"/>
  </r>
  <r>
    <n v="350"/>
    <n v="113.3929929"/>
    <n v="23.04535156"/>
    <x v="15"/>
  </r>
  <r>
    <n v="351"/>
    <n v="113.4010255"/>
    <n v="23.05232668"/>
    <x v="3"/>
  </r>
  <r>
    <n v="352"/>
    <n v="113.3933705"/>
    <n v="23.051050060000001"/>
    <x v="15"/>
  </r>
  <r>
    <n v="353"/>
    <n v="113.3997782"/>
    <n v="23.051568799999998"/>
    <x v="3"/>
  </r>
  <r>
    <n v="354"/>
    <n v="113.4006399"/>
    <n v="23.043582369999999"/>
    <x v="3"/>
  </r>
  <r>
    <n v="355"/>
    <n v="113.40045189999999"/>
    <n v="23.043741270000002"/>
    <x v="3"/>
  </r>
  <r>
    <n v="356"/>
    <n v="113.39259560000001"/>
    <n v="23.051303069999999"/>
    <x v="15"/>
  </r>
  <r>
    <n v="357"/>
    <n v="113.39653060000001"/>
    <n v="23.050640990000002"/>
    <x v="15"/>
  </r>
  <r>
    <n v="358"/>
    <n v="113.4045161"/>
    <n v="23.048804130000001"/>
    <x v="3"/>
  </r>
  <r>
    <n v="359"/>
    <n v="113.40538359999999"/>
    <n v="23.04863653"/>
    <x v="3"/>
  </r>
  <r>
    <n v="360"/>
    <n v="113.4041659"/>
    <n v="23.049711630000001"/>
    <x v="3"/>
  </r>
  <r>
    <n v="361"/>
    <n v="113.4039058"/>
    <n v="23.04941367"/>
    <x v="3"/>
  </r>
  <r>
    <n v="362"/>
    <n v="113.40433299999999"/>
    <n v="23.04936983"/>
    <x v="3"/>
  </r>
  <r>
    <n v="363"/>
    <n v="113.4074177"/>
    <n v="23.050742499999998"/>
    <x v="3"/>
  </r>
  <r>
    <n v="364"/>
    <n v="113.4071734"/>
    <n v="23.05177694"/>
    <x v="3"/>
  </r>
  <r>
    <n v="365"/>
    <n v="113.40268709999999"/>
    <n v="23.052607940000001"/>
    <x v="3"/>
  </r>
  <r>
    <n v="366"/>
    <n v="113.40359359999999"/>
    <n v="23.050279199999999"/>
    <x v="3"/>
  </r>
  <r>
    <n v="367"/>
    <n v="113.40379489999999"/>
    <n v="23.047557430000001"/>
    <x v="3"/>
  </r>
  <r>
    <n v="368"/>
    <n v="113.4023344"/>
    <n v="23.045237010000001"/>
    <x v="3"/>
  </r>
  <r>
    <n v="369"/>
    <n v="113.4050191"/>
    <n v="23.052787609999999"/>
    <x v="3"/>
  </r>
  <r>
    <n v="370"/>
    <n v="113.402162"/>
    <n v="23.051160429999999"/>
    <x v="3"/>
  </r>
  <r>
    <n v="371"/>
    <n v="113.40230510000001"/>
    <n v="23.050537729999999"/>
    <x v="3"/>
  </r>
  <r>
    <n v="372"/>
    <n v="113.40171309999999"/>
    <n v="23.04671823"/>
    <x v="3"/>
  </r>
  <r>
    <n v="373"/>
    <n v="113.40230510000001"/>
    <n v="23.050537729999999"/>
    <x v="3"/>
  </r>
  <r>
    <n v="374"/>
    <n v="113.40230510000001"/>
    <n v="23.050537729999999"/>
    <x v="3"/>
  </r>
  <r>
    <n v="375"/>
    <n v="113.4021891"/>
    <n v="23.0491353"/>
    <x v="3"/>
  </r>
  <r>
    <n v="376"/>
    <n v="113.42623949999999"/>
    <n v="23.05222281"/>
    <x v="3"/>
  </r>
  <r>
    <n v="377"/>
    <n v="113.446837"/>
    <n v="23.046025159999999"/>
    <x v="0"/>
  </r>
  <r>
    <n v="378"/>
    <n v="113.4484229"/>
    <n v="23.04681823"/>
    <x v="0"/>
  </r>
  <r>
    <n v="379"/>
    <n v="113.445599"/>
    <n v="23.04502299"/>
    <x v="0"/>
  </r>
  <r>
    <n v="380"/>
    <n v="113.44295270000001"/>
    <n v="23.045246519999999"/>
    <x v="0"/>
  </r>
  <r>
    <n v="381"/>
    <n v="113.4473765"/>
    <n v="23.043986189999998"/>
    <x v="0"/>
  </r>
  <r>
    <n v="382"/>
    <n v="113.44362030000001"/>
    <n v="23.044886009999999"/>
    <x v="0"/>
  </r>
  <r>
    <n v="383"/>
    <n v="113.4461644"/>
    <n v="23.044705310000001"/>
    <x v="0"/>
  </r>
  <r>
    <n v="384"/>
    <n v="113.4484911"/>
    <n v="23.046730419999999"/>
    <x v="0"/>
  </r>
  <r>
    <n v="385"/>
    <n v="113.447198"/>
    <n v="23.044037790000001"/>
    <x v="0"/>
  </r>
  <r>
    <n v="386"/>
    <n v="113.4481459"/>
    <n v="23.051858469999999"/>
    <x v="0"/>
  </r>
  <r>
    <n v="387"/>
    <n v="113.4922961"/>
    <n v="23.043969329999999"/>
    <x v="0"/>
  </r>
  <r>
    <n v="388"/>
    <n v="113.2504677"/>
    <n v="23.04244242"/>
    <x v="12"/>
  </r>
  <r>
    <n v="389"/>
    <n v="113.2515033"/>
    <n v="23.043158859999998"/>
    <x v="12"/>
  </r>
  <r>
    <n v="390"/>
    <n v="113.25286079999999"/>
    <n v="23.042859589999999"/>
    <x v="12"/>
  </r>
  <r>
    <n v="391"/>
    <n v="113.25198210000001"/>
    <n v="23.04292783"/>
    <x v="12"/>
  </r>
  <r>
    <n v="392"/>
    <n v="113.26921400000001"/>
    <n v="23.037421850000001"/>
    <x v="12"/>
  </r>
  <r>
    <n v="393"/>
    <n v="113.2634255"/>
    <n v="23.03632898"/>
    <x v="12"/>
  </r>
  <r>
    <n v="394"/>
    <n v="113.27026859999999"/>
    <n v="23.041820980000001"/>
    <x v="12"/>
  </r>
  <r>
    <n v="395"/>
    <n v="113.26947939999999"/>
    <n v="23.043091159999999"/>
    <x v="12"/>
  </r>
  <r>
    <n v="396"/>
    <n v="113.2704564"/>
    <n v="23.042237620000002"/>
    <x v="12"/>
  </r>
  <r>
    <n v="397"/>
    <n v="113.27380580000001"/>
    <n v="23.03801108"/>
    <x v="12"/>
  </r>
  <r>
    <n v="398"/>
    <n v="113.27737999999999"/>
    <n v="23.04299396"/>
    <x v="12"/>
  </r>
  <r>
    <n v="399"/>
    <n v="113.2802533"/>
    <n v="23.039609939999998"/>
    <x v="11"/>
  </r>
  <r>
    <n v="400"/>
    <n v="113.2880049"/>
    <n v="23.03531924"/>
    <x v="11"/>
  </r>
  <r>
    <n v="401"/>
    <n v="113.289627"/>
    <n v="23.0384305"/>
    <x v="11"/>
  </r>
  <r>
    <n v="402"/>
    <n v="113.2887673"/>
    <n v="23.040257990000001"/>
    <x v="11"/>
  </r>
  <r>
    <n v="403"/>
    <n v="113.287702"/>
    <n v="23.04078333"/>
    <x v="11"/>
  </r>
  <r>
    <n v="404"/>
    <n v="113.2882791"/>
    <n v="23.040499610000001"/>
    <x v="11"/>
  </r>
  <r>
    <n v="405"/>
    <n v="113.2885519"/>
    <n v="23.03738555"/>
    <x v="11"/>
  </r>
  <r>
    <n v="406"/>
    <n v="113.29132420000001"/>
    <n v="23.037610269999998"/>
    <x v="11"/>
  </r>
  <r>
    <n v="407"/>
    <n v="113.28455700000001"/>
    <n v="23.03992715"/>
    <x v="11"/>
  </r>
  <r>
    <n v="408"/>
    <n v="113.28867169999999"/>
    <n v="23.03635482"/>
    <x v="11"/>
  </r>
  <r>
    <n v="409"/>
    <n v="113.28814920000001"/>
    <n v="23.041559339999999"/>
    <x v="11"/>
  </r>
  <r>
    <n v="410"/>
    <n v="113.2882541"/>
    <n v="23.041112380000001"/>
    <x v="11"/>
  </r>
  <r>
    <n v="411"/>
    <n v="113.2900532"/>
    <n v="23.04005016"/>
    <x v="11"/>
  </r>
  <r>
    <n v="412"/>
    <n v="113.28909899999999"/>
    <n v="23.036984910000001"/>
    <x v="11"/>
  </r>
  <r>
    <n v="413"/>
    <n v="113.2913619"/>
    <n v="23.04117068"/>
    <x v="11"/>
  </r>
  <r>
    <n v="414"/>
    <n v="113.2914416"/>
    <n v="23.04326365"/>
    <x v="11"/>
  </r>
  <r>
    <n v="415"/>
    <n v="113.29008020000001"/>
    <n v="23.039676279999998"/>
    <x v="11"/>
  </r>
  <r>
    <n v="416"/>
    <n v="113.2912589"/>
    <n v="23.043684760000001"/>
    <x v="11"/>
  </r>
  <r>
    <n v="417"/>
    <n v="113.2845883"/>
    <n v="23.0345984"/>
    <x v="11"/>
  </r>
  <r>
    <n v="418"/>
    <n v="113.29076499999999"/>
    <n v="23.03990014"/>
    <x v="11"/>
  </r>
  <r>
    <n v="419"/>
    <n v="113.2885211"/>
    <n v="23.035036609999999"/>
    <x v="11"/>
  </r>
  <r>
    <n v="420"/>
    <n v="113.286722"/>
    <n v="23.033940690000001"/>
    <x v="11"/>
  </r>
  <r>
    <n v="421"/>
    <n v="113.2900992"/>
    <n v="23.038804630000001"/>
    <x v="11"/>
  </r>
  <r>
    <n v="422"/>
    <n v="113.28685280000001"/>
    <n v="23.033758580000001"/>
    <x v="11"/>
  </r>
  <r>
    <n v="423"/>
    <n v="113.2965391"/>
    <n v="23.037718890000001"/>
    <x v="11"/>
  </r>
  <r>
    <n v="424"/>
    <n v="113.2984546"/>
    <n v="23.03651421"/>
    <x v="16"/>
  </r>
  <r>
    <n v="425"/>
    <n v="113.2975344"/>
    <n v="23.035749089999999"/>
    <x v="16"/>
  </r>
  <r>
    <n v="426"/>
    <n v="113.2941584"/>
    <n v="23.036868129999998"/>
    <x v="11"/>
  </r>
  <r>
    <n v="427"/>
    <n v="113.29634040000001"/>
    <n v="23.038062069999999"/>
    <x v="11"/>
  </r>
  <r>
    <n v="428"/>
    <n v="113.2995876"/>
    <n v="23.03549872"/>
    <x v="16"/>
  </r>
  <r>
    <n v="429"/>
    <n v="113.29704289999999"/>
    <n v="23.04083971"/>
    <x v="11"/>
  </r>
  <r>
    <n v="430"/>
    <n v="113.2972006"/>
    <n v="23.04163711"/>
    <x v="11"/>
  </r>
  <r>
    <n v="431"/>
    <n v="113.2979133"/>
    <n v="23.04138902"/>
    <x v="11"/>
  </r>
  <r>
    <n v="432"/>
    <n v="113.29444650000001"/>
    <n v="23.041669599999999"/>
    <x v="11"/>
  </r>
  <r>
    <n v="433"/>
    <n v="113.30090490000001"/>
    <n v="23.039021940000001"/>
    <x v="13"/>
  </r>
  <r>
    <n v="434"/>
    <n v="113.299328"/>
    <n v="23.036744630000001"/>
    <x v="16"/>
  </r>
  <r>
    <n v="435"/>
    <n v="113.29759079999999"/>
    <n v="23.042495089999999"/>
    <x v="11"/>
  </r>
  <r>
    <n v="436"/>
    <n v="113.2978963"/>
    <n v="23.04203377"/>
    <x v="11"/>
  </r>
  <r>
    <n v="437"/>
    <n v="113.2941075"/>
    <n v="23.03615052"/>
    <x v="11"/>
  </r>
  <r>
    <n v="438"/>
    <n v="113.29774999999999"/>
    <n v="23.035185970000001"/>
    <x v="16"/>
  </r>
  <r>
    <n v="439"/>
    <n v="113.2984797"/>
    <n v="23.035305690000001"/>
    <x v="16"/>
  </r>
  <r>
    <n v="440"/>
    <n v="113.2987617"/>
    <n v="23.04246813"/>
    <x v="11"/>
  </r>
  <r>
    <n v="441"/>
    <n v="113.2973452"/>
    <n v="23.04351106"/>
    <x v="11"/>
  </r>
  <r>
    <n v="442"/>
    <n v="113.2985001"/>
    <n v="23.042770440000002"/>
    <x v="11"/>
  </r>
  <r>
    <n v="443"/>
    <n v="113.2925092"/>
    <n v="23.038007260000001"/>
    <x v="11"/>
  </r>
  <r>
    <n v="444"/>
    <n v="113.29794219999999"/>
    <n v="23.042560470000002"/>
    <x v="11"/>
  </r>
  <r>
    <n v="445"/>
    <n v="113.2968188"/>
    <n v="23.034233929999999"/>
    <x v="16"/>
  </r>
  <r>
    <n v="446"/>
    <n v="113.3016105"/>
    <n v="23.0388278"/>
    <x v="13"/>
  </r>
  <r>
    <n v="447"/>
    <n v="113.2926001"/>
    <n v="23.037092510000001"/>
    <x v="11"/>
  </r>
  <r>
    <n v="448"/>
    <n v="113.29837329999999"/>
    <n v="23.04294058"/>
    <x v="11"/>
  </r>
  <r>
    <n v="449"/>
    <n v="113.29934"/>
    <n v="23.036850560000001"/>
    <x v="16"/>
  </r>
  <r>
    <n v="450"/>
    <n v="113.2927727"/>
    <n v="23.038845479999999"/>
    <x v="11"/>
  </r>
  <r>
    <n v="451"/>
    <n v="113.2981963"/>
    <n v="23.033777829999998"/>
    <x v="16"/>
  </r>
  <r>
    <n v="452"/>
    <n v="113.30090559999999"/>
    <n v="23.042908270000002"/>
    <x v="11"/>
  </r>
  <r>
    <n v="453"/>
    <n v="113.301188"/>
    <n v="23.043650459999999"/>
    <x v="11"/>
  </r>
  <r>
    <n v="454"/>
    <n v="113.3015613"/>
    <n v="23.043578839999999"/>
    <x v="11"/>
  </r>
  <r>
    <n v="455"/>
    <n v="113.2995497"/>
    <n v="23.035341859999999"/>
    <x v="16"/>
  </r>
  <r>
    <n v="456"/>
    <n v="113.29830699999999"/>
    <n v="23.035247999999999"/>
    <x v="16"/>
  </r>
  <r>
    <n v="457"/>
    <n v="113.2984927"/>
    <n v="23.033936260000001"/>
    <x v="16"/>
  </r>
  <r>
    <n v="458"/>
    <n v="113.2917631"/>
    <n v="23.043124219999999"/>
    <x v="11"/>
  </r>
  <r>
    <n v="459"/>
    <n v="113.3074651"/>
    <n v="23.039471070000001"/>
    <x v="13"/>
  </r>
  <r>
    <n v="460"/>
    <n v="113.30907910000001"/>
    <n v="23.036127560000001"/>
    <x v="13"/>
  </r>
  <r>
    <n v="461"/>
    <n v="113.3078144"/>
    <n v="23.039508420000001"/>
    <x v="13"/>
  </r>
  <r>
    <n v="462"/>
    <n v="113.30794419999999"/>
    <n v="23.038996399999998"/>
    <x v="13"/>
  </r>
  <r>
    <n v="463"/>
    <n v="113.3086009"/>
    <n v="23.039128139999999"/>
    <x v="13"/>
  </r>
  <r>
    <n v="464"/>
    <n v="113.3112536"/>
    <n v="23.03819464"/>
    <x v="13"/>
  </r>
  <r>
    <n v="465"/>
    <n v="113.3055998"/>
    <n v="23.039598399999999"/>
    <x v="13"/>
  </r>
  <r>
    <n v="466"/>
    <n v="113.30618560000001"/>
    <n v="23.040504949999999"/>
    <x v="13"/>
  </r>
  <r>
    <n v="467"/>
    <n v="113.3064869"/>
    <n v="23.0409772"/>
    <x v="13"/>
  </r>
  <r>
    <n v="468"/>
    <n v="113.30427330000001"/>
    <n v="23.040554360000002"/>
    <x v="13"/>
  </r>
  <r>
    <n v="469"/>
    <n v="113.31057389999999"/>
    <n v="23.0389056"/>
    <x v="13"/>
  </r>
  <r>
    <n v="470"/>
    <n v="113.3083403"/>
    <n v="23.04092485"/>
    <x v="13"/>
  </r>
  <r>
    <n v="471"/>
    <n v="113.30461459999999"/>
    <n v="23.040604729999998"/>
    <x v="13"/>
  </r>
  <r>
    <n v="472"/>
    <n v="113.3083355"/>
    <n v="23.037065519999999"/>
    <x v="13"/>
  </r>
  <r>
    <n v="473"/>
    <n v="113.30726129999999"/>
    <n v="23.042023350000001"/>
    <x v="13"/>
  </r>
  <r>
    <n v="474"/>
    <n v="113.3045278"/>
    <n v="23.040347000000001"/>
    <x v="13"/>
  </r>
  <r>
    <n v="475"/>
    <n v="113.3047523"/>
    <n v="23.041126259999999"/>
    <x v="13"/>
  </r>
  <r>
    <n v="476"/>
    <n v="113.3043981"/>
    <n v="23.040093339999999"/>
    <x v="13"/>
  </r>
  <r>
    <n v="477"/>
    <n v="113.3106636"/>
    <n v="23.04058371"/>
    <x v="13"/>
  </r>
  <r>
    <n v="478"/>
    <n v="113.3042363"/>
    <n v="23.041603980000001"/>
    <x v="13"/>
  </r>
  <r>
    <n v="479"/>
    <n v="113.30996620000001"/>
    <n v="23.038267000000001"/>
    <x v="13"/>
  </r>
  <r>
    <n v="480"/>
    <n v="113.31000400000001"/>
    <n v="23.04048397"/>
    <x v="13"/>
  </r>
  <r>
    <n v="481"/>
    <n v="113.3095369"/>
    <n v="23.040624780000002"/>
    <x v="13"/>
  </r>
  <r>
    <n v="482"/>
    <n v="113.30385510000001"/>
    <n v="23.040983919999999"/>
    <x v="13"/>
  </r>
  <r>
    <n v="483"/>
    <n v="113.30411359999999"/>
    <n v="23.04096547"/>
    <x v="13"/>
  </r>
  <r>
    <n v="484"/>
    <n v="113.3115761"/>
    <n v="23.03649777"/>
    <x v="13"/>
  </r>
  <r>
    <n v="485"/>
    <n v="113.31002290000001"/>
    <n v="23.04023205"/>
    <x v="13"/>
  </r>
  <r>
    <n v="486"/>
    <n v="113.3027175"/>
    <n v="23.037349500000001"/>
    <x v="13"/>
  </r>
  <r>
    <n v="487"/>
    <n v="113.3087554"/>
    <n v="23.04180771"/>
    <x v="13"/>
  </r>
  <r>
    <n v="488"/>
    <n v="113.30998099999999"/>
    <n v="23.040291100000001"/>
    <x v="13"/>
  </r>
  <r>
    <n v="489"/>
    <n v="113.31081639999999"/>
    <n v="23.039819749999999"/>
    <x v="13"/>
  </r>
  <r>
    <n v="490"/>
    <n v="113.3116448"/>
    <n v="23.038847629999999"/>
    <x v="13"/>
  </r>
  <r>
    <n v="491"/>
    <n v="113.3028779"/>
    <n v="23.042391049999999"/>
    <x v="13"/>
  </r>
  <r>
    <n v="492"/>
    <n v="113.303854"/>
    <n v="23.043019050000002"/>
    <x v="13"/>
  </r>
  <r>
    <n v="493"/>
    <n v="113.3099721"/>
    <n v="23.039113619999998"/>
    <x v="13"/>
  </r>
  <r>
    <n v="494"/>
    <n v="113.31098830000001"/>
    <n v="23.035468309999999"/>
    <x v="13"/>
  </r>
  <r>
    <n v="495"/>
    <n v="113.3019687"/>
    <n v="23.04196782"/>
    <x v="13"/>
  </r>
  <r>
    <n v="496"/>
    <n v="113.30288880000001"/>
    <n v="23.043043749999999"/>
    <x v="13"/>
  </r>
  <r>
    <n v="497"/>
    <n v="113.3017621"/>
    <n v="23.04183124"/>
    <x v="13"/>
  </r>
  <r>
    <n v="498"/>
    <n v="113.3101338"/>
    <n v="23.03896838"/>
    <x v="13"/>
  </r>
  <r>
    <n v="499"/>
    <n v="113.3098052"/>
    <n v="23.043189179999999"/>
    <x v="13"/>
  </r>
  <r>
    <n v="500"/>
    <n v="113.3017251"/>
    <n v="23.041847300000001"/>
    <x v="13"/>
  </r>
  <r>
    <n v="501"/>
    <n v="113.3045188"/>
    <n v="23.040678870000001"/>
    <x v="13"/>
  </r>
  <r>
    <n v="502"/>
    <n v="113.3042483"/>
    <n v="23.040643370000002"/>
    <x v="13"/>
  </r>
  <r>
    <n v="503"/>
    <n v="113.3037461"/>
    <n v="23.043487039999999"/>
    <x v="13"/>
  </r>
  <r>
    <n v="504"/>
    <n v="113.3040757"/>
    <n v="23.040264839999999"/>
    <x v="13"/>
  </r>
  <r>
    <n v="505"/>
    <n v="113.31132909999999"/>
    <n v="23.043332289999999"/>
    <x v="13"/>
  </r>
  <r>
    <n v="506"/>
    <n v="113.3040378"/>
    <n v="23.040520799999999"/>
    <x v="13"/>
  </r>
  <r>
    <n v="507"/>
    <n v="113.3151567"/>
    <n v="23.03792442"/>
    <x v="13"/>
  </r>
  <r>
    <n v="508"/>
    <n v="113.31507070000001"/>
    <n v="23.040108650000001"/>
    <x v="13"/>
  </r>
  <r>
    <n v="509"/>
    <n v="113.31431430000001"/>
    <n v="23.03894657"/>
    <x v="13"/>
  </r>
  <r>
    <n v="510"/>
    <n v="113.31576149999999"/>
    <n v="23.036330970000002"/>
    <x v="13"/>
  </r>
  <r>
    <n v="511"/>
    <n v="113.3173559"/>
    <n v="23.041496710000001"/>
    <x v="13"/>
  </r>
  <r>
    <n v="512"/>
    <n v="113.3153274"/>
    <n v="23.036692630000001"/>
    <x v="13"/>
  </r>
  <r>
    <n v="513"/>
    <n v="113.320324"/>
    <n v="23.039319989999999"/>
    <x v="14"/>
  </r>
  <r>
    <n v="514"/>
    <n v="113.3126745"/>
    <n v="23.04149456"/>
    <x v="13"/>
  </r>
  <r>
    <n v="515"/>
    <n v="113.3131008"/>
    <n v="23.038773930000001"/>
    <x v="13"/>
  </r>
  <r>
    <n v="516"/>
    <n v="113.31450580000001"/>
    <n v="23.041471130000001"/>
    <x v="13"/>
  </r>
  <r>
    <n v="517"/>
    <n v="113.3138132"/>
    <n v="23.041241530000001"/>
    <x v="13"/>
  </r>
  <r>
    <n v="518"/>
    <n v="113.32116929999999"/>
    <n v="23.03819485"/>
    <x v="14"/>
  </r>
  <r>
    <n v="519"/>
    <n v="113.3184716"/>
    <n v="23.042460169999998"/>
    <x v="14"/>
  </r>
  <r>
    <n v="520"/>
    <n v="113.3151668"/>
    <n v="23.035515440000001"/>
    <x v="13"/>
  </r>
  <r>
    <n v="521"/>
    <n v="113.31401820000001"/>
    <n v="23.035609569999998"/>
    <x v="13"/>
  </r>
  <r>
    <n v="522"/>
    <n v="113.3140018"/>
    <n v="23.041494069999999"/>
    <x v="13"/>
  </r>
  <r>
    <n v="523"/>
    <n v="113.3136255"/>
    <n v="23.042316419999999"/>
    <x v="13"/>
  </r>
  <r>
    <n v="524"/>
    <n v="113.3216592"/>
    <n v="23.039465369999999"/>
    <x v="14"/>
  </r>
  <r>
    <n v="525"/>
    <n v="113.3125059"/>
    <n v="23.04117402"/>
    <x v="13"/>
  </r>
  <r>
    <n v="526"/>
    <n v="113.3130687"/>
    <n v="23.041352880000002"/>
    <x v="13"/>
  </r>
  <r>
    <n v="527"/>
    <n v="113.31256860000001"/>
    <n v="23.04252632"/>
    <x v="13"/>
  </r>
  <r>
    <n v="528"/>
    <n v="113.31338649999999"/>
    <n v="23.03560976"/>
    <x v="13"/>
  </r>
  <r>
    <n v="529"/>
    <n v="113.3117295"/>
    <n v="23.040913580000002"/>
    <x v="13"/>
  </r>
  <r>
    <n v="530"/>
    <n v="113.3144722"/>
    <n v="23.035578730000001"/>
    <x v="13"/>
  </r>
  <r>
    <n v="531"/>
    <n v="113.3123083"/>
    <n v="23.04085053"/>
    <x v="13"/>
  </r>
  <r>
    <n v="532"/>
    <n v="113.3206643"/>
    <n v="23.03840473"/>
    <x v="14"/>
  </r>
  <r>
    <n v="533"/>
    <n v="113.3122278"/>
    <n v="23.03563492"/>
    <x v="13"/>
  </r>
  <r>
    <n v="534"/>
    <n v="113.3118825"/>
    <n v="23.035915450000001"/>
    <x v="13"/>
  </r>
  <r>
    <n v="535"/>
    <n v="113.313408"/>
    <n v="23.04229784"/>
    <x v="13"/>
  </r>
  <r>
    <n v="536"/>
    <n v="113.3143331"/>
    <n v="23.042462029999999"/>
    <x v="13"/>
  </r>
  <r>
    <n v="537"/>
    <n v="113.32005359999999"/>
    <n v="23.038546839999999"/>
    <x v="14"/>
  </r>
  <r>
    <n v="538"/>
    <n v="113.31257890000001"/>
    <n v="23.038240139999999"/>
    <x v="13"/>
  </r>
  <r>
    <n v="539"/>
    <n v="113.31380540000001"/>
    <n v="23.03873463"/>
    <x v="13"/>
  </r>
  <r>
    <n v="540"/>
    <n v="113.31170229999999"/>
    <n v="23.043668449999998"/>
    <x v="13"/>
  </r>
  <r>
    <n v="541"/>
    <n v="113.3213289"/>
    <n v="23.039655920000001"/>
    <x v="14"/>
  </r>
  <r>
    <n v="542"/>
    <n v="113.3307779"/>
    <n v="23.034293210000001"/>
    <x v="14"/>
  </r>
  <r>
    <n v="543"/>
    <n v="113.32416809999999"/>
    <n v="23.03862693"/>
    <x v="14"/>
  </r>
  <r>
    <n v="544"/>
    <n v="113.32698449999999"/>
    <n v="23.036212590000002"/>
    <x v="14"/>
  </r>
  <r>
    <n v="545"/>
    <n v="113.3239186"/>
    <n v="23.03907821"/>
    <x v="14"/>
  </r>
  <r>
    <n v="546"/>
    <n v="113.3246901"/>
    <n v="23.036854689999998"/>
    <x v="14"/>
  </r>
  <r>
    <n v="547"/>
    <n v="113.32549349999999"/>
    <n v="23.036128470000001"/>
    <x v="14"/>
  </r>
  <r>
    <n v="548"/>
    <n v="113.3236143"/>
    <n v="23.03794328"/>
    <x v="14"/>
  </r>
  <r>
    <n v="549"/>
    <n v="113.32256940000001"/>
    <n v="23.03854402"/>
    <x v="14"/>
  </r>
  <r>
    <n v="550"/>
    <n v="113.32469709999999"/>
    <n v="23.036317910000001"/>
    <x v="14"/>
  </r>
  <r>
    <n v="551"/>
    <n v="113.32879269999999"/>
    <n v="23.037563559999999"/>
    <x v="14"/>
  </r>
  <r>
    <n v="552"/>
    <n v="113.3224206"/>
    <n v="23.039494900000001"/>
    <x v="14"/>
  </r>
  <r>
    <n v="553"/>
    <n v="113.3247087"/>
    <n v="23.042153379999998"/>
    <x v="14"/>
  </r>
  <r>
    <n v="554"/>
    <n v="113.3305112"/>
    <n v="23.036938580000001"/>
    <x v="14"/>
  </r>
  <r>
    <n v="555"/>
    <n v="113.3260283"/>
    <n v="23.03731694"/>
    <x v="14"/>
  </r>
  <r>
    <n v="556"/>
    <n v="113.33155410000001"/>
    <n v="23.03683066"/>
    <x v="14"/>
  </r>
  <r>
    <n v="557"/>
    <n v="113.3278706"/>
    <n v="23.037229459999999"/>
    <x v="14"/>
  </r>
  <r>
    <n v="558"/>
    <n v="113.33027389999999"/>
    <n v="23.033921329999998"/>
    <x v="14"/>
  </r>
  <r>
    <n v="559"/>
    <n v="113.33029790000001"/>
    <n v="23.03402724"/>
    <x v="14"/>
  </r>
  <r>
    <n v="560"/>
    <n v="113.3235224"/>
    <n v="23.038395260000001"/>
    <x v="14"/>
  </r>
  <r>
    <n v="561"/>
    <n v="113.3256428"/>
    <n v="23.041984660000001"/>
    <x v="14"/>
  </r>
  <r>
    <n v="562"/>
    <n v="113.3221233"/>
    <n v="23.038458909999999"/>
    <x v="14"/>
  </r>
  <r>
    <n v="563"/>
    <n v="113.32228499999999"/>
    <n v="23.038028789999998"/>
    <x v="14"/>
  </r>
  <r>
    <n v="564"/>
    <n v="113.33827599999999"/>
    <n v="23.034692119999999"/>
    <x v="17"/>
  </r>
  <r>
    <n v="565"/>
    <n v="113.3397411"/>
    <n v="23.036223809999999"/>
    <x v="17"/>
  </r>
  <r>
    <n v="566"/>
    <n v="113.3372598"/>
    <n v="23.036718100000002"/>
    <x v="17"/>
  </r>
  <r>
    <n v="567"/>
    <n v="113.3340621"/>
    <n v="23.037461690000001"/>
    <x v="14"/>
  </r>
  <r>
    <n v="568"/>
    <n v="113.3342407"/>
    <n v="23.037001549999999"/>
    <x v="14"/>
  </r>
  <r>
    <n v="569"/>
    <n v="113.3331867"/>
    <n v="23.03839292"/>
    <x v="14"/>
  </r>
  <r>
    <n v="570"/>
    <n v="113.3359674"/>
    <n v="23.03640261"/>
    <x v="17"/>
  </r>
  <r>
    <n v="571"/>
    <n v="113.3343855"/>
    <n v="23.03654848"/>
    <x v="14"/>
  </r>
  <r>
    <n v="572"/>
    <n v="113.3409108"/>
    <n v="23.036168740000001"/>
    <x v="17"/>
  </r>
  <r>
    <n v="573"/>
    <n v="113.3324643"/>
    <n v="23.036741979999999"/>
    <x v="14"/>
  </r>
  <r>
    <n v="574"/>
    <n v="113.33253929999999"/>
    <n v="23.035100549999999"/>
    <x v="14"/>
  </r>
  <r>
    <n v="575"/>
    <n v="113.3373297"/>
    <n v="23.036325139999999"/>
    <x v="17"/>
  </r>
  <r>
    <n v="576"/>
    <n v="113.3328554"/>
    <n v="23.038140649999999"/>
    <x v="14"/>
  </r>
  <r>
    <n v="577"/>
    <n v="113.3407632"/>
    <n v="23.034491729999999"/>
    <x v="17"/>
  </r>
  <r>
    <n v="578"/>
    <n v="113.3450283"/>
    <n v="23.035017029999999"/>
    <x v="17"/>
  </r>
  <r>
    <n v="579"/>
    <n v="113.3459934"/>
    <n v="23.03674264"/>
    <x v="17"/>
  </r>
  <r>
    <n v="580"/>
    <n v="113.3432624"/>
    <n v="23.036010659999999"/>
    <x v="17"/>
  </r>
  <r>
    <n v="581"/>
    <n v="113.3476945"/>
    <n v="23.035240420000001"/>
    <x v="17"/>
  </r>
  <r>
    <n v="582"/>
    <n v="113.3494535"/>
    <n v="23.03445086"/>
    <x v="17"/>
  </r>
  <r>
    <n v="583"/>
    <n v="113.3421546"/>
    <n v="23.035021029999999"/>
    <x v="17"/>
  </r>
  <r>
    <n v="584"/>
    <n v="113.35922859999999"/>
    <n v="23.039776719999999"/>
    <x v="10"/>
  </r>
  <r>
    <n v="585"/>
    <n v="113.3608143"/>
    <n v="23.040474240000002"/>
    <x v="10"/>
  </r>
  <r>
    <n v="586"/>
    <n v="113.3593733"/>
    <n v="23.040057399999998"/>
    <x v="10"/>
  </r>
  <r>
    <n v="587"/>
    <n v="113.35701469999999"/>
    <n v="23.04197293"/>
    <x v="10"/>
  </r>
  <r>
    <n v="588"/>
    <n v="113.363253"/>
    <n v="23.038944699999998"/>
    <x v="10"/>
  </r>
  <r>
    <n v="589"/>
    <n v="113.3684166"/>
    <n v="23.040639779999999"/>
    <x v="10"/>
  </r>
  <r>
    <n v="590"/>
    <n v="113.3662901"/>
    <n v="23.039908539999999"/>
    <x v="10"/>
  </r>
  <r>
    <n v="591"/>
    <n v="113.3638851"/>
    <n v="23.039994440000001"/>
    <x v="10"/>
  </r>
  <r>
    <n v="592"/>
    <n v="113.36922869999999"/>
    <n v="23.04007713"/>
    <x v="10"/>
  </r>
  <r>
    <n v="593"/>
    <n v="113.3636494"/>
    <n v="23.040420560000001"/>
    <x v="10"/>
  </r>
  <r>
    <n v="594"/>
    <n v="113.36608029999999"/>
    <n v="23.040723440000001"/>
    <x v="10"/>
  </r>
  <r>
    <n v="595"/>
    <n v="113.367052"/>
    <n v="23.043320179999998"/>
    <x v="10"/>
  </r>
  <r>
    <n v="596"/>
    <n v="113.36669550000001"/>
    <n v="23.04196018"/>
    <x v="10"/>
  </r>
  <r>
    <n v="597"/>
    <n v="113.3777918"/>
    <n v="23.038646709999998"/>
    <x v="15"/>
  </r>
  <r>
    <n v="598"/>
    <n v="113.3813392"/>
    <n v="23.040537369999999"/>
    <x v="15"/>
  </r>
  <r>
    <n v="599"/>
    <n v="113.37486490000001"/>
    <n v="23.043389120000001"/>
    <x v="10"/>
  </r>
  <r>
    <n v="600"/>
    <n v="113.3723425"/>
    <n v="23.039804019999998"/>
    <x v="10"/>
  </r>
  <r>
    <n v="601"/>
    <n v="113.3768592"/>
    <n v="23.043311450000001"/>
    <x v="10"/>
  </r>
  <r>
    <n v="602"/>
    <n v="113.3726539"/>
    <n v="23.043574100000001"/>
    <x v="10"/>
  </r>
  <r>
    <n v="603"/>
    <n v="113.3838499"/>
    <n v="23.03930141"/>
    <x v="15"/>
  </r>
  <r>
    <n v="604"/>
    <n v="113.38618990000001"/>
    <n v="23.039523150000001"/>
    <x v="15"/>
  </r>
  <r>
    <n v="605"/>
    <n v="113.38398979999999"/>
    <n v="23.040078999999999"/>
    <x v="15"/>
  </r>
  <r>
    <n v="606"/>
    <n v="113.38404180000001"/>
    <n v="23.039859060000001"/>
    <x v="15"/>
  </r>
  <r>
    <n v="607"/>
    <n v="113.38354940000001"/>
    <n v="23.035528200000002"/>
    <x v="15"/>
  </r>
  <r>
    <n v="608"/>
    <n v="113.38198010000001"/>
    <n v="23.037188409999999"/>
    <x v="15"/>
  </r>
  <r>
    <n v="609"/>
    <n v="113.39055140000001"/>
    <n v="23.04296111"/>
    <x v="15"/>
  </r>
  <r>
    <n v="610"/>
    <n v="113.3896611"/>
    <n v="23.03484186"/>
    <x v="15"/>
  </r>
  <r>
    <n v="611"/>
    <n v="113.388481"/>
    <n v="23.040788689999999"/>
    <x v="15"/>
  </r>
  <r>
    <n v="612"/>
    <n v="113.3825617"/>
    <n v="23.03863243"/>
    <x v="15"/>
  </r>
  <r>
    <n v="613"/>
    <n v="113.3829633"/>
    <n v="23.04156493"/>
    <x v="15"/>
  </r>
  <r>
    <n v="614"/>
    <n v="113.3846693"/>
    <n v="23.0431913"/>
    <x v="15"/>
  </r>
  <r>
    <n v="615"/>
    <n v="113.3825085"/>
    <n v="23.04107441"/>
    <x v="15"/>
  </r>
  <r>
    <n v="616"/>
    <n v="113.3822637"/>
    <n v="23.040393850000001"/>
    <x v="15"/>
  </r>
  <r>
    <n v="617"/>
    <n v="113.3818122"/>
    <n v="23.037619329999998"/>
    <x v="15"/>
  </r>
  <r>
    <n v="618"/>
    <n v="113.39138370000001"/>
    <n v="23.036990469999999"/>
    <x v="15"/>
  </r>
  <r>
    <n v="619"/>
    <n v="113.3818912"/>
    <n v="23.0371065"/>
    <x v="15"/>
  </r>
  <r>
    <n v="620"/>
    <n v="113.3968253"/>
    <n v="23.041184049999998"/>
    <x v="15"/>
  </r>
  <r>
    <n v="621"/>
    <n v="113.39437340000001"/>
    <n v="23.037795630000002"/>
    <x v="15"/>
  </r>
  <r>
    <n v="622"/>
    <n v="113.3962843"/>
    <n v="23.041008130000002"/>
    <x v="15"/>
  </r>
  <r>
    <n v="623"/>
    <n v="113.3962643"/>
    <n v="23.040916169999999"/>
    <x v="15"/>
  </r>
  <r>
    <n v="624"/>
    <n v="113.3945461"/>
    <n v="23.04196782"/>
    <x v="15"/>
  </r>
  <r>
    <n v="625"/>
    <n v="113.3975415"/>
    <n v="23.039665719999999"/>
    <x v="15"/>
  </r>
  <r>
    <n v="626"/>
    <n v="113.39319829999999"/>
    <n v="23.039083229999999"/>
    <x v="15"/>
  </r>
  <r>
    <n v="627"/>
    <n v="113.39507"/>
    <n v="23.043265219999999"/>
    <x v="15"/>
  </r>
  <r>
    <n v="628"/>
    <n v="113.395185"/>
    <n v="23.043248219999999"/>
    <x v="15"/>
  </r>
  <r>
    <n v="629"/>
    <n v="113.39315120000001"/>
    <n v="23.041411230000001"/>
    <x v="15"/>
  </r>
  <r>
    <n v="630"/>
    <n v="113.400471"/>
    <n v="23.042281899999999"/>
    <x v="3"/>
  </r>
  <r>
    <n v="631"/>
    <n v="113.3952451"/>
    <n v="23.041899789999999"/>
    <x v="15"/>
  </r>
  <r>
    <n v="632"/>
    <n v="113.3937804"/>
    <n v="23.038401440000001"/>
    <x v="15"/>
  </r>
  <r>
    <n v="633"/>
    <n v="113.39376729999999"/>
    <n v="23.038888230000001"/>
    <x v="15"/>
  </r>
  <r>
    <n v="634"/>
    <n v="113.3938083"/>
    <n v="23.039900790000001"/>
    <x v="15"/>
  </r>
  <r>
    <n v="635"/>
    <n v="113.3988536"/>
    <n v="23.041740919999999"/>
    <x v="3"/>
  </r>
  <r>
    <n v="636"/>
    <n v="113.3999998"/>
    <n v="23.042563699999999"/>
    <x v="3"/>
  </r>
  <r>
    <n v="637"/>
    <n v="113.3937392"/>
    <n v="23.041371160000001"/>
    <x v="15"/>
  </r>
  <r>
    <n v="638"/>
    <n v="113.3935492"/>
    <n v="23.040681490000001"/>
    <x v="15"/>
  </r>
  <r>
    <n v="639"/>
    <n v="113.394442"/>
    <n v="23.04354515"/>
    <x v="15"/>
  </r>
  <r>
    <n v="640"/>
    <n v="113.40122119999999"/>
    <n v="23.042630880000001"/>
    <x v="3"/>
  </r>
  <r>
    <n v="641"/>
    <n v="113.39159859999999"/>
    <n v="23.037054399999999"/>
    <x v="15"/>
  </r>
  <r>
    <n v="642"/>
    <n v="113.3932054"/>
    <n v="23.03854346"/>
    <x v="15"/>
  </r>
  <r>
    <n v="643"/>
    <n v="113.3992497"/>
    <n v="23.04245465"/>
    <x v="3"/>
  </r>
  <r>
    <n v="644"/>
    <n v="113.3932353"/>
    <n v="23.03970395"/>
    <x v="15"/>
  </r>
  <r>
    <n v="645"/>
    <n v="113.3936532"/>
    <n v="23.041238230000001"/>
    <x v="15"/>
  </r>
  <r>
    <n v="646"/>
    <n v="113.3931154"/>
    <n v="23.037831780000001"/>
    <x v="15"/>
  </r>
  <r>
    <n v="647"/>
    <n v="113.39999880000001"/>
    <n v="23.042535709999999"/>
    <x v="3"/>
  </r>
  <r>
    <n v="648"/>
    <n v="113.40883340000001"/>
    <n v="23.038889319999999"/>
    <x v="3"/>
  </r>
  <r>
    <n v="649"/>
    <n v="113.4097101"/>
    <n v="23.038760870000001"/>
    <x v="3"/>
  </r>
  <r>
    <n v="650"/>
    <n v="113.4107029"/>
    <n v="23.03885743"/>
    <x v="3"/>
  </r>
  <r>
    <n v="651"/>
    <n v="113.4106317"/>
    <n v="23.04081454"/>
    <x v="3"/>
  </r>
  <r>
    <n v="652"/>
    <n v="113.4112593"/>
    <n v="23.03950051"/>
    <x v="3"/>
  </r>
  <r>
    <n v="653"/>
    <n v="113.410686"/>
    <n v="23.03734807"/>
    <x v="3"/>
  </r>
  <r>
    <n v="654"/>
    <n v="113.41078779999999"/>
    <n v="23.040917589999999"/>
    <x v="3"/>
  </r>
  <r>
    <n v="655"/>
    <n v="113.41063389999999"/>
    <n v="23.037035169999999"/>
    <x v="3"/>
  </r>
  <r>
    <n v="656"/>
    <n v="113.4106379"/>
    <n v="23.037652909999998"/>
    <x v="3"/>
  </r>
  <r>
    <n v="657"/>
    <n v="113.4109931"/>
    <n v="23.038779640000001"/>
    <x v="3"/>
  </r>
  <r>
    <n v="658"/>
    <n v="113.4022428"/>
    <n v="23.03975835"/>
    <x v="3"/>
  </r>
  <r>
    <n v="659"/>
    <n v="113.4114453"/>
    <n v="23.04104396"/>
    <x v="3"/>
  </r>
  <r>
    <n v="660"/>
    <n v="113.4112083"/>
    <n v="23.039265570000001"/>
    <x v="3"/>
  </r>
  <r>
    <n v="661"/>
    <n v="113.40203270000001"/>
    <n v="23.039656340000001"/>
    <x v="3"/>
  </r>
  <r>
    <n v="662"/>
    <n v="113.4115164"/>
    <n v="23.041552790000001"/>
    <x v="3"/>
  </r>
  <r>
    <n v="663"/>
    <n v="113.4113754"/>
    <n v="23.03930467"/>
    <x v="3"/>
  </r>
  <r>
    <n v="664"/>
    <n v="113.4020017"/>
    <n v="23.03963834"/>
    <x v="3"/>
  </r>
  <r>
    <n v="665"/>
    <n v="113.4153432"/>
    <n v="23.037745300000001"/>
    <x v="3"/>
  </r>
  <r>
    <n v="666"/>
    <n v="113.4133952"/>
    <n v="23.038826289999999"/>
    <x v="3"/>
  </r>
  <r>
    <n v="667"/>
    <n v="113.4145846"/>
    <n v="23.036007430000002"/>
    <x v="3"/>
  </r>
  <r>
    <n v="668"/>
    <n v="113.41287370000001"/>
    <n v="23.038944860000001"/>
    <x v="3"/>
  </r>
  <r>
    <n v="669"/>
    <n v="113.4122541"/>
    <n v="23.039459189999999"/>
    <x v="3"/>
  </r>
  <r>
    <n v="670"/>
    <n v="113.41358750000001"/>
    <n v="23.03776989"/>
    <x v="3"/>
  </r>
  <r>
    <n v="671"/>
    <n v="113.41229420000001"/>
    <n v="23.039228319999999"/>
    <x v="3"/>
  </r>
  <r>
    <n v="672"/>
    <n v="113.4116946"/>
    <n v="23.03970271"/>
    <x v="3"/>
  </r>
  <r>
    <n v="673"/>
    <n v="113.45014759999999"/>
    <n v="23.042761779999999"/>
    <x v="0"/>
  </r>
  <r>
    <n v="674"/>
    <n v="113.4508064"/>
    <n v="23.041587759999999"/>
    <x v="0"/>
  </r>
  <r>
    <n v="675"/>
    <n v="113.4426634"/>
    <n v="23.040351050000002"/>
    <x v="0"/>
  </r>
  <r>
    <n v="676"/>
    <n v="113.4564187"/>
    <n v="23.042034730000001"/>
    <x v="0"/>
  </r>
  <r>
    <n v="677"/>
    <n v="113.4547342"/>
    <n v="23.038580159999999"/>
    <x v="0"/>
  </r>
  <r>
    <n v="678"/>
    <n v="113.4527587"/>
    <n v="23.039726030000001"/>
    <x v="0"/>
  </r>
  <r>
    <n v="679"/>
    <n v="113.2636595"/>
    <n v="23.033673960000002"/>
    <x v="12"/>
  </r>
  <r>
    <n v="680"/>
    <n v="113.26270940000001"/>
    <n v="23.03270204"/>
    <x v="12"/>
  </r>
  <r>
    <n v="681"/>
    <n v="113.2744138"/>
    <n v="23.028240650000001"/>
    <x v="18"/>
  </r>
  <r>
    <n v="682"/>
    <n v="113.2749542"/>
    <n v="23.027276480000001"/>
    <x v="18"/>
  </r>
  <r>
    <n v="683"/>
    <n v="113.2744328"/>
    <n v="23.028004729999999"/>
    <x v="18"/>
  </r>
  <r>
    <n v="684"/>
    <n v="113.2745855"/>
    <n v="23.028420390000001"/>
    <x v="18"/>
  </r>
  <r>
    <n v="685"/>
    <n v="113.28576959999999"/>
    <n v="23.033193369999999"/>
    <x v="11"/>
  </r>
  <r>
    <n v="686"/>
    <n v="113.2858944"/>
    <n v="23.033254159999998"/>
    <x v="11"/>
  </r>
  <r>
    <n v="687"/>
    <n v="113.2899839"/>
    <n v="23.032044710000001"/>
    <x v="16"/>
  </r>
  <r>
    <n v="688"/>
    <n v="113.286793"/>
    <n v="23.03342082"/>
    <x v="11"/>
  </r>
  <r>
    <n v="689"/>
    <n v="113.2865334"/>
    <n v="23.033529139999999"/>
    <x v="11"/>
  </r>
  <r>
    <n v="690"/>
    <n v="113.29913790000001"/>
    <n v="23.028948320000001"/>
    <x v="16"/>
  </r>
  <r>
    <n v="691"/>
    <n v="113.29599949999999"/>
    <n v="23.030625839999999"/>
    <x v="16"/>
  </r>
  <r>
    <n v="692"/>
    <n v="113.2963319"/>
    <n v="23.030648280000001"/>
    <x v="16"/>
  </r>
  <r>
    <n v="693"/>
    <n v="113.2988265"/>
    <n v="23.028402079999999"/>
    <x v="16"/>
  </r>
  <r>
    <n v="694"/>
    <n v="113.29826559999999"/>
    <n v="23.027869259999999"/>
    <x v="16"/>
  </r>
  <r>
    <n v="695"/>
    <n v="113.2959496"/>
    <n v="23.030336040000002"/>
    <x v="16"/>
  </r>
  <r>
    <n v="696"/>
    <n v="113.2986509"/>
    <n v="23.026779080000001"/>
    <x v="16"/>
  </r>
  <r>
    <n v="697"/>
    <n v="113.2935629"/>
    <n v="23.028932510000001"/>
    <x v="16"/>
  </r>
  <r>
    <n v="698"/>
    <n v="113.2968673"/>
    <n v="23.025750510000002"/>
    <x v="16"/>
  </r>
  <r>
    <n v="699"/>
    <n v="113.2932315"/>
    <n v="23.02956176"/>
    <x v="16"/>
  </r>
  <r>
    <n v="700"/>
    <n v="113.29535300000001"/>
    <n v="23.025714010000002"/>
    <x v="16"/>
  </r>
  <r>
    <n v="701"/>
    <n v="113.2970964"/>
    <n v="23.03247923"/>
    <x v="16"/>
  </r>
  <r>
    <n v="702"/>
    <n v="113.30074"/>
    <n v="23.027400239999999"/>
    <x v="16"/>
  </r>
  <r>
    <n v="703"/>
    <n v="113.2972252"/>
    <n v="23.03254398"/>
    <x v="16"/>
  </r>
  <r>
    <n v="704"/>
    <n v="113.3004004"/>
    <n v="23.030748379999999"/>
    <x v="16"/>
  </r>
  <r>
    <n v="705"/>
    <n v="113.3009126"/>
    <n v="23.027469910000001"/>
    <x v="16"/>
  </r>
  <r>
    <n v="706"/>
    <n v="113.293998"/>
    <n v="23.03217141"/>
    <x v="16"/>
  </r>
  <r>
    <n v="707"/>
    <n v="113.3001998"/>
    <n v="23.03055681"/>
    <x v="16"/>
  </r>
  <r>
    <n v="708"/>
    <n v="113.3009952"/>
    <n v="23.031516020000002"/>
    <x v="16"/>
  </r>
  <r>
    <n v="709"/>
    <n v="113.2986305"/>
    <n v="23.032903470000001"/>
    <x v="16"/>
  </r>
  <r>
    <n v="710"/>
    <n v="113.30102549999999"/>
    <n v="23.026001350000001"/>
    <x v="16"/>
  </r>
  <r>
    <n v="711"/>
    <n v="113.3012131"/>
    <n v="23.02635287"/>
    <x v="16"/>
  </r>
  <r>
    <n v="712"/>
    <n v="113.2971469"/>
    <n v="23.023937830000001"/>
    <x v="16"/>
  </r>
  <r>
    <n v="713"/>
    <n v="113.2994874"/>
    <n v="23.026321849999999"/>
    <x v="16"/>
  </r>
  <r>
    <n v="714"/>
    <n v="113.2970574"/>
    <n v="23.03364079"/>
    <x v="16"/>
  </r>
  <r>
    <n v="715"/>
    <n v="113.2975861"/>
    <n v="23.023880120000001"/>
    <x v="16"/>
  </r>
  <r>
    <n v="716"/>
    <n v="113.2977975"/>
    <n v="23.026902459999999"/>
    <x v="16"/>
  </r>
  <r>
    <n v="717"/>
    <n v="113.2977975"/>
    <n v="23.026894469999998"/>
    <x v="16"/>
  </r>
  <r>
    <n v="718"/>
    <n v="113.301627"/>
    <n v="23.031954729999999"/>
    <x v="16"/>
  </r>
  <r>
    <n v="719"/>
    <n v="113.3004732"/>
    <n v="23.03134799"/>
    <x v="16"/>
  </r>
  <r>
    <n v="720"/>
    <n v="113.3010316"/>
    <n v="23.024709900000001"/>
    <x v="16"/>
  </r>
  <r>
    <n v="721"/>
    <n v="113.2984498"/>
    <n v="23.033662450000001"/>
    <x v="16"/>
  </r>
  <r>
    <n v="722"/>
    <n v="113.29527280000001"/>
    <n v="23.031016860000001"/>
    <x v="16"/>
  </r>
  <r>
    <n v="723"/>
    <n v="113.3009148"/>
    <n v="23.02482805"/>
    <x v="16"/>
  </r>
  <r>
    <n v="724"/>
    <n v="113.2976862"/>
    <n v="23.03365973"/>
    <x v="16"/>
  </r>
  <r>
    <n v="725"/>
    <n v="113.2988311"/>
    <n v="23.033367930000001"/>
    <x v="16"/>
  </r>
  <r>
    <n v="726"/>
    <n v="113.30087159999999"/>
    <n v="23.029595059999998"/>
    <x v="16"/>
  </r>
  <r>
    <n v="727"/>
    <n v="113.2985716"/>
    <n v="23.033492320000001"/>
    <x v="16"/>
  </r>
  <r>
    <n v="728"/>
    <n v="113.2988311"/>
    <n v="23.033367930000001"/>
    <x v="16"/>
  </r>
  <r>
    <n v="729"/>
    <n v="113.30631990000001"/>
    <n v="23.03136465"/>
    <x v="16"/>
  </r>
  <r>
    <n v="730"/>
    <n v="113.30496979999999"/>
    <n v="23.027559719999999"/>
    <x v="16"/>
  </r>
  <r>
    <n v="731"/>
    <n v="113.30520540000001"/>
    <n v="23.026920579999999"/>
    <x v="16"/>
  </r>
  <r>
    <n v="732"/>
    <n v="113.30638500000001"/>
    <n v="23.028462780000002"/>
    <x v="16"/>
  </r>
  <r>
    <n v="733"/>
    <n v="113.3072483"/>
    <n v="23.0285042"/>
    <x v="16"/>
  </r>
  <r>
    <n v="734"/>
    <n v="113.3098061"/>
    <n v="23.02907626"/>
    <x v="1"/>
  </r>
  <r>
    <n v="735"/>
    <n v="113.3064858"/>
    <n v="23.028646519999999"/>
    <x v="16"/>
  </r>
  <r>
    <n v="736"/>
    <n v="113.30594979999999"/>
    <n v="23.029311199999999"/>
    <x v="16"/>
  </r>
  <r>
    <n v="737"/>
    <n v="113.30589190000001"/>
    <n v="23.029262330000002"/>
    <x v="16"/>
  </r>
  <r>
    <n v="738"/>
    <n v="113.30731520000001"/>
    <n v="23.028377129999999"/>
    <x v="16"/>
  </r>
  <r>
    <n v="739"/>
    <n v="113.30594480000001"/>
    <n v="23.029289219999999"/>
    <x v="16"/>
  </r>
  <r>
    <n v="740"/>
    <n v="113.30592179999999"/>
    <n v="23.029721080000002"/>
    <x v="16"/>
  </r>
  <r>
    <n v="741"/>
    <n v="113.3044787"/>
    <n v="23.02807138"/>
    <x v="16"/>
  </r>
  <r>
    <n v="742"/>
    <n v="113.3056175"/>
    <n v="23.02894796"/>
    <x v="16"/>
  </r>
  <r>
    <n v="743"/>
    <n v="113.3084738"/>
    <n v="23.028465969999999"/>
    <x v="1"/>
  </r>
  <r>
    <n v="744"/>
    <n v="113.30566330000001"/>
    <n v="23.0300574"/>
    <x v="16"/>
  </r>
  <r>
    <n v="745"/>
    <n v="113.308412"/>
    <n v="23.02872897"/>
    <x v="1"/>
  </r>
  <r>
    <n v="746"/>
    <n v="113.305786"/>
    <n v="23.0309308"/>
    <x v="16"/>
  </r>
  <r>
    <n v="747"/>
    <n v="113.30362239999999"/>
    <n v="23.028497720000001"/>
    <x v="16"/>
  </r>
  <r>
    <n v="748"/>
    <n v="113.3087951"/>
    <n v="23.029479949999999"/>
    <x v="16"/>
  </r>
  <r>
    <n v="749"/>
    <n v="113.3060488"/>
    <n v="23.026977030000001"/>
    <x v="16"/>
  </r>
  <r>
    <n v="750"/>
    <n v="113.308851"/>
    <n v="23.029978629999999"/>
    <x v="16"/>
  </r>
  <r>
    <n v="751"/>
    <n v="113.3049109"/>
    <n v="23.02827752"/>
    <x v="16"/>
  </r>
  <r>
    <n v="752"/>
    <n v="113.3056314"/>
    <n v="23.029147850000001"/>
    <x v="16"/>
  </r>
  <r>
    <n v="753"/>
    <n v="113.3105467"/>
    <n v="23.027681489999999"/>
    <x v="1"/>
  </r>
  <r>
    <n v="754"/>
    <n v="113.3092893"/>
    <n v="23.027348960000001"/>
    <x v="1"/>
  </r>
  <r>
    <n v="755"/>
    <n v="113.3090497"/>
    <n v="23.028912720000001"/>
    <x v="1"/>
  </r>
  <r>
    <n v="756"/>
    <n v="113.30351659999999"/>
    <n v="23.027777220000001"/>
    <x v="16"/>
  </r>
  <r>
    <n v="757"/>
    <n v="113.30530829999999"/>
    <n v="23.02594581"/>
    <x v="16"/>
  </r>
  <r>
    <n v="758"/>
    <n v="113.30675599999999"/>
    <n v="23.031845650000001"/>
    <x v="16"/>
  </r>
  <r>
    <n v="759"/>
    <n v="113.3096805"/>
    <n v="23.027316249999998"/>
    <x v="1"/>
  </r>
  <r>
    <n v="760"/>
    <n v="113.3041472"/>
    <n v="23.03140153"/>
    <x v="16"/>
  </r>
  <r>
    <n v="761"/>
    <n v="113.30884229999999"/>
    <n v="23.02617729"/>
    <x v="1"/>
  </r>
  <r>
    <n v="762"/>
    <n v="113.3094909"/>
    <n v="23.027634460000002"/>
    <x v="1"/>
  </r>
  <r>
    <n v="763"/>
    <n v="113.3078299"/>
    <n v="23.031999630000001"/>
    <x v="16"/>
  </r>
  <r>
    <n v="764"/>
    <n v="113.3073394"/>
    <n v="23.024461779999999"/>
    <x v="1"/>
  </r>
  <r>
    <n v="765"/>
    <n v="113.3105767"/>
    <n v="23.027298600000002"/>
    <x v="1"/>
  </r>
  <r>
    <n v="766"/>
    <n v="113.3093294"/>
    <n v="23.024726019999999"/>
    <x v="1"/>
  </r>
  <r>
    <n v="767"/>
    <n v="113.30640320000001"/>
    <n v="23.025108199999998"/>
    <x v="1"/>
  </r>
  <r>
    <n v="768"/>
    <n v="113.3032262"/>
    <n v="23.027274949999999"/>
    <x v="16"/>
  </r>
  <r>
    <n v="769"/>
    <n v="113.30678140000001"/>
    <n v="23.025068529999999"/>
    <x v="1"/>
  </r>
  <r>
    <n v="770"/>
    <n v="113.30678140000001"/>
    <n v="23.025068529999999"/>
    <x v="1"/>
  </r>
  <r>
    <n v="771"/>
    <n v="113.31064739999999"/>
    <n v="23.030402129999999"/>
    <x v="1"/>
  </r>
  <r>
    <n v="772"/>
    <n v="113.3105576"/>
    <n v="23.029539660000001"/>
    <x v="1"/>
  </r>
  <r>
    <n v="773"/>
    <n v="113.3101066"/>
    <n v="23.02780525"/>
    <x v="1"/>
  </r>
  <r>
    <n v="774"/>
    <n v="113.31056959999999"/>
    <n v="23.029584620000001"/>
    <x v="1"/>
  </r>
  <r>
    <n v="775"/>
    <n v="113.3103143"/>
    <n v="23.026825290000001"/>
    <x v="1"/>
  </r>
  <r>
    <n v="776"/>
    <n v="113.3103322"/>
    <n v="23.027453980000001"/>
    <x v="1"/>
  </r>
  <r>
    <n v="777"/>
    <n v="113.3035137"/>
    <n v="23.02746136"/>
    <x v="16"/>
  </r>
  <r>
    <n v="778"/>
    <n v="113.3021541"/>
    <n v="23.029738770000002"/>
    <x v="16"/>
  </r>
  <r>
    <n v="779"/>
    <n v="113.3089222"/>
    <n v="23.024653799999999"/>
    <x v="1"/>
  </r>
  <r>
    <n v="780"/>
    <n v="113.3048727"/>
    <n v="23.032397809999999"/>
    <x v="16"/>
  </r>
  <r>
    <n v="781"/>
    <n v="113.31064139999999"/>
    <n v="23.0302592"/>
    <x v="1"/>
  </r>
  <r>
    <n v="782"/>
    <n v="113.3091148"/>
    <n v="23.02492033"/>
    <x v="1"/>
  </r>
  <r>
    <n v="783"/>
    <n v="113.30844020000001"/>
    <n v="23.024525740000001"/>
    <x v="1"/>
  </r>
  <r>
    <n v="784"/>
    <n v="113.3071897"/>
    <n v="23.02406822"/>
    <x v="1"/>
  </r>
  <r>
    <n v="785"/>
    <n v="113.3104021"/>
    <n v="23.027079019999999"/>
    <x v="1"/>
  </r>
  <r>
    <n v="786"/>
    <n v="113.3086318"/>
    <n v="23.02480327"/>
    <x v="1"/>
  </r>
  <r>
    <n v="787"/>
    <n v="113.3100019"/>
    <n v="23.026111180000001"/>
    <x v="1"/>
  </r>
  <r>
    <n v="788"/>
    <n v="113.3104369"/>
    <n v="23.028646269999999"/>
    <x v="1"/>
  </r>
  <r>
    <n v="789"/>
    <n v="113.3019967"/>
    <n v="23.024935119999999"/>
    <x v="16"/>
  </r>
  <r>
    <n v="790"/>
    <n v="113.3045303"/>
    <n v="23.032695289999999"/>
    <x v="16"/>
  </r>
  <r>
    <n v="791"/>
    <n v="113.3030851"/>
    <n v="23.03252093"/>
    <x v="16"/>
  </r>
  <r>
    <n v="792"/>
    <n v="113.3103393"/>
    <n v="23.025590780000002"/>
    <x v="1"/>
  </r>
  <r>
    <n v="793"/>
    <n v="113.3021044"/>
    <n v="23.026930069999999"/>
    <x v="16"/>
  </r>
  <r>
    <n v="794"/>
    <n v="113.3066747"/>
    <n v="23.023932219999999"/>
    <x v="1"/>
  </r>
  <r>
    <n v="795"/>
    <n v="113.3075487"/>
    <n v="23.028270750000001"/>
    <x v="16"/>
  </r>
  <r>
    <n v="796"/>
    <n v="113.3021839"/>
    <n v="23.03179883"/>
    <x v="16"/>
  </r>
  <r>
    <n v="797"/>
    <n v="113.30206750000001"/>
    <n v="23.026548300000002"/>
    <x v="16"/>
  </r>
  <r>
    <n v="798"/>
    <n v="113.3034588"/>
    <n v="23.027023639999999"/>
    <x v="16"/>
  </r>
  <r>
    <n v="799"/>
    <n v="113.30872960000001"/>
    <n v="23.024113379999999"/>
    <x v="1"/>
  </r>
  <r>
    <n v="800"/>
    <n v="113.3112185"/>
    <n v="23.026173889999999"/>
    <x v="1"/>
  </r>
  <r>
    <n v="801"/>
    <n v="113.3032977"/>
    <n v="23.03245059"/>
    <x v="16"/>
  </r>
  <r>
    <n v="802"/>
    <n v="113.30987829999999"/>
    <n v="23.024246210000001"/>
    <x v="1"/>
  </r>
  <r>
    <n v="803"/>
    <n v="113.30541100000001"/>
    <n v="23.027620899999999"/>
    <x v="16"/>
  </r>
  <r>
    <n v="804"/>
    <n v="113.3045765"/>
    <n v="23.028537"/>
    <x v="16"/>
  </r>
  <r>
    <n v="805"/>
    <n v="113.3030462"/>
    <n v="23.03282587"/>
    <x v="16"/>
  </r>
  <r>
    <n v="806"/>
    <n v="113.3110507"/>
    <n v="23.027765509999998"/>
    <x v="1"/>
  </r>
  <r>
    <n v="807"/>
    <n v="113.3108951"/>
    <n v="23.026735250000002"/>
    <x v="1"/>
  </r>
  <r>
    <n v="808"/>
    <n v="113.30191790000001"/>
    <n v="23.025013220000002"/>
    <x v="16"/>
  </r>
  <r>
    <n v="809"/>
    <n v="113.3046116"/>
    <n v="23.027040589999999"/>
    <x v="16"/>
  </r>
  <r>
    <n v="810"/>
    <n v="113.3100159"/>
    <n v="23.02703975"/>
    <x v="1"/>
  </r>
  <r>
    <n v="811"/>
    <n v="113.3044586"/>
    <n v="23.030211489999999"/>
    <x v="16"/>
  </r>
  <r>
    <n v="812"/>
    <n v="113.3056246"/>
    <n v="23.02656498"/>
    <x v="16"/>
  </r>
  <r>
    <n v="813"/>
    <n v="113.3058899"/>
    <n v="23.029724130000002"/>
    <x v="16"/>
  </r>
  <r>
    <n v="814"/>
    <n v="113.3115"/>
    <n v="23.024935899999999"/>
    <x v="1"/>
  </r>
  <r>
    <n v="815"/>
    <n v="113.31147900000001"/>
    <n v="23.025851540000001"/>
    <x v="1"/>
  </r>
  <r>
    <n v="816"/>
    <n v="113.3102315"/>
    <n v="23.026107750000001"/>
    <x v="1"/>
  </r>
  <r>
    <n v="817"/>
    <n v="113.3077885"/>
    <n v="23.02393219"/>
    <x v="1"/>
  </r>
  <r>
    <n v="818"/>
    <n v="113.3104051"/>
    <n v="23.02589652"/>
    <x v="1"/>
  </r>
  <r>
    <n v="819"/>
    <n v="113.3056316"/>
    <n v="23.026534980000001"/>
    <x v="16"/>
  </r>
  <r>
    <n v="820"/>
    <n v="113.3092733"/>
    <n v="23.027430949999999"/>
    <x v="1"/>
  </r>
  <r>
    <n v="821"/>
    <n v="113.3045067"/>
    <n v="23.027997360000001"/>
    <x v="16"/>
  </r>
  <r>
    <n v="822"/>
    <n v="113.3035452"/>
    <n v="23.032788"/>
    <x v="16"/>
  </r>
  <r>
    <n v="823"/>
    <n v="113.3090426"/>
    <n v="23.030538029999999"/>
    <x v="16"/>
  </r>
  <r>
    <n v="824"/>
    <n v="113.30314439999999"/>
    <n v="23.027355060000001"/>
    <x v="16"/>
  </r>
  <r>
    <n v="825"/>
    <n v="113.3059011"/>
    <n v="23.0260447"/>
    <x v="16"/>
  </r>
  <r>
    <n v="826"/>
    <n v="113.3088362"/>
    <n v="23.027470739999998"/>
    <x v="1"/>
  </r>
  <r>
    <n v="827"/>
    <n v="113.30354149999999"/>
    <n v="23.029794299999999"/>
    <x v="16"/>
  </r>
  <r>
    <n v="828"/>
    <n v="113.31101889999999"/>
    <n v="23.02548256"/>
    <x v="1"/>
  </r>
  <r>
    <n v="829"/>
    <n v="113.31040110000001"/>
    <n v="23.027028040000001"/>
    <x v="1"/>
  </r>
  <r>
    <n v="830"/>
    <n v="113.3111995"/>
    <n v="23.026196909999999"/>
    <x v="1"/>
  </r>
  <r>
    <n v="831"/>
    <n v="113.30476520000001"/>
    <n v="23.028542659999999"/>
    <x v="16"/>
  </r>
  <r>
    <n v="832"/>
    <n v="113.30365810000001"/>
    <n v="23.03199515"/>
    <x v="16"/>
  </r>
  <r>
    <n v="833"/>
    <n v="113.30879950000001"/>
    <n v="23.024682009999999"/>
    <x v="1"/>
  </r>
  <r>
    <n v="834"/>
    <n v="113.30601969999999"/>
    <n v="23.029010209999999"/>
    <x v="16"/>
  </r>
  <r>
    <n v="835"/>
    <n v="113.3067715"/>
    <n v="23.023950030000002"/>
    <x v="1"/>
  </r>
  <r>
    <n v="836"/>
    <n v="113.3059847"/>
    <n v="23.029157210000001"/>
    <x v="16"/>
  </r>
  <r>
    <n v="837"/>
    <n v="113.3034894"/>
    <n v="23.032170369999999"/>
    <x v="16"/>
  </r>
  <r>
    <n v="838"/>
    <n v="113.30974449999999"/>
    <n v="23.025504909999999"/>
    <x v="1"/>
  </r>
  <r>
    <n v="839"/>
    <n v="113.3026035"/>
    <n v="23.02693519"/>
    <x v="16"/>
  </r>
  <r>
    <n v="840"/>
    <n v="113.3086986"/>
    <n v="23.024854120000001"/>
    <x v="1"/>
  </r>
  <r>
    <n v="841"/>
    <n v="113.30318490000001"/>
    <n v="23.03291759"/>
    <x v="16"/>
  </r>
  <r>
    <n v="842"/>
    <n v="113.309009"/>
    <n v="23.025113439999998"/>
    <x v="1"/>
  </r>
  <r>
    <n v="843"/>
    <n v="113.30320589999999"/>
    <n v="23.032768610000002"/>
    <x v="16"/>
  </r>
  <r>
    <n v="844"/>
    <n v="113.30974449999999"/>
    <n v="23.025504909999999"/>
    <x v="1"/>
  </r>
  <r>
    <n v="845"/>
    <n v="113.3034464"/>
    <n v="23.032853150000001"/>
    <x v="16"/>
  </r>
  <r>
    <n v="846"/>
    <n v="113.3093142"/>
    <n v="23.027400889999999"/>
    <x v="1"/>
  </r>
  <r>
    <n v="847"/>
    <n v="113.3138089"/>
    <n v="23.030431199999999"/>
    <x v="1"/>
  </r>
  <r>
    <n v="848"/>
    <n v="113.31394"/>
    <n v="23.025499079999999"/>
    <x v="1"/>
  </r>
  <r>
    <n v="849"/>
    <n v="113.3188517"/>
    <n v="23.028502459999999"/>
    <x v="2"/>
  </r>
  <r>
    <n v="850"/>
    <n v="113.31694659999999"/>
    <n v="23.029824519999998"/>
    <x v="1"/>
  </r>
  <r>
    <n v="851"/>
    <n v="113.3145605"/>
    <n v="23.02979406"/>
    <x v="1"/>
  </r>
  <r>
    <n v="852"/>
    <n v="113.31851829999999"/>
    <n v="23.029604620000001"/>
    <x v="2"/>
  </r>
  <r>
    <n v="853"/>
    <n v="113.3144896"/>
    <n v="23.029570289999999"/>
    <x v="1"/>
  </r>
  <r>
    <n v="854"/>
    <n v="113.3141373"/>
    <n v="23.02956395"/>
    <x v="1"/>
  </r>
  <r>
    <n v="855"/>
    <n v="113.3169135"/>
    <n v="23.031218979999998"/>
    <x v="1"/>
  </r>
  <r>
    <n v="856"/>
    <n v="113.3184796"/>
    <n v="23.02675893"/>
    <x v="2"/>
  </r>
  <r>
    <n v="857"/>
    <n v="113.31288790000001"/>
    <n v="23.029422369999999"/>
    <x v="1"/>
  </r>
  <r>
    <n v="858"/>
    <n v="113.3160932"/>
    <n v="23.031146570000001"/>
    <x v="1"/>
  </r>
  <r>
    <n v="859"/>
    <n v="113.3121963"/>
    <n v="23.028631000000001"/>
    <x v="1"/>
  </r>
  <r>
    <n v="860"/>
    <n v="113.3124789"/>
    <n v="23.026627340000001"/>
    <x v="1"/>
  </r>
  <r>
    <n v="861"/>
    <n v="113.3156103"/>
    <n v="23.02960315"/>
    <x v="1"/>
  </r>
  <r>
    <n v="862"/>
    <n v="113.31230119999999"/>
    <n v="23.02820299"/>
    <x v="1"/>
  </r>
  <r>
    <n v="863"/>
    <n v="113.3128729"/>
    <n v="23.029204490000001"/>
    <x v="1"/>
  </r>
  <r>
    <n v="864"/>
    <n v="113.31584410000001"/>
    <n v="23.025128639999998"/>
    <x v="1"/>
  </r>
  <r>
    <n v="865"/>
    <n v="113.31693660000001"/>
    <n v="23.0296956"/>
    <x v="1"/>
  </r>
  <r>
    <n v="866"/>
    <n v="113.3126676"/>
    <n v="23.025591429999999"/>
    <x v="1"/>
  </r>
  <r>
    <n v="867"/>
    <n v="113.31252670000001"/>
    <n v="23.028439469999999"/>
    <x v="1"/>
  </r>
  <r>
    <n v="868"/>
    <n v="113.3199675"/>
    <n v="23.027073949999998"/>
    <x v="2"/>
  </r>
  <r>
    <n v="869"/>
    <n v="113.3147603"/>
    <n v="23.02571244"/>
    <x v="1"/>
  </r>
  <r>
    <n v="870"/>
    <n v="113.3119598"/>
    <n v="23.028624449999999"/>
    <x v="1"/>
  </r>
  <r>
    <n v="871"/>
    <n v="113.3117742"/>
    <n v="23.028834700000001"/>
    <x v="1"/>
  </r>
  <r>
    <n v="872"/>
    <n v="113.315765"/>
    <n v="23.029449929999998"/>
    <x v="1"/>
  </r>
  <r>
    <n v="873"/>
    <n v="113.3123152"/>
    <n v="23.027441289999999"/>
    <x v="1"/>
  </r>
  <r>
    <n v="874"/>
    <n v="113.31983390000001"/>
    <n v="23.026101629999999"/>
    <x v="2"/>
  </r>
  <r>
    <n v="875"/>
    <n v="113.31242709999999"/>
    <n v="23.025936730000002"/>
    <x v="1"/>
  </r>
  <r>
    <n v="876"/>
    <n v="113.3132621"/>
    <n v="23.029450650000001"/>
    <x v="1"/>
  </r>
  <r>
    <n v="877"/>
    <n v="113.313445"/>
    <n v="23.025171159999999"/>
    <x v="1"/>
  </r>
  <r>
    <n v="878"/>
    <n v="113.31207449999999"/>
    <n v="23.029252960000001"/>
    <x v="1"/>
  </r>
  <r>
    <n v="879"/>
    <n v="113.3119172"/>
    <n v="23.024759199999998"/>
    <x v="1"/>
  </r>
  <r>
    <n v="880"/>
    <n v="113.3130902"/>
    <n v="23.032796529999999"/>
    <x v="13"/>
  </r>
  <r>
    <n v="881"/>
    <n v="113.31218149999999"/>
    <n v="23.02732859"/>
    <x v="1"/>
  </r>
  <r>
    <n v="882"/>
    <n v="113.3121637"/>
    <n v="23.024676769999999"/>
    <x v="1"/>
  </r>
  <r>
    <n v="883"/>
    <n v="113.3117226"/>
    <n v="23.024252780000001"/>
    <x v="1"/>
  </r>
  <r>
    <n v="884"/>
    <n v="113.314455"/>
    <n v="23.025488119999999"/>
    <x v="1"/>
  </r>
  <r>
    <n v="885"/>
    <n v="113.3160932"/>
    <n v="23.031146570000001"/>
    <x v="1"/>
  </r>
  <r>
    <n v="886"/>
    <n v="113.31532869999999"/>
    <n v="23.032201570000002"/>
    <x v="13"/>
  </r>
  <r>
    <n v="887"/>
    <n v="113.3212987"/>
    <n v="23.028362850000001"/>
    <x v="2"/>
  </r>
  <r>
    <n v="888"/>
    <n v="113.3123014"/>
    <n v="23.02465252"/>
    <x v="1"/>
  </r>
  <r>
    <n v="889"/>
    <n v="113.3148367"/>
    <n v="23.032235480000001"/>
    <x v="13"/>
  </r>
  <r>
    <n v="890"/>
    <n v="113.3213605"/>
    <n v="23.028874510000001"/>
    <x v="2"/>
  </r>
  <r>
    <n v="891"/>
    <n v="113.32477950000001"/>
    <n v="23.029339759999999"/>
    <x v="2"/>
  </r>
  <r>
    <n v="892"/>
    <n v="113.3272068"/>
    <n v="23.025058980000001"/>
    <x v="2"/>
  </r>
  <r>
    <n v="893"/>
    <n v="113.3275388"/>
    <n v="23.029440449999999"/>
    <x v="2"/>
  </r>
  <r>
    <n v="894"/>
    <n v="113.33155259999999"/>
    <n v="23.029515809999999"/>
    <x v="2"/>
  </r>
  <r>
    <n v="895"/>
    <n v="113.32764349999999"/>
    <n v="23.030259900000001"/>
    <x v="2"/>
  </r>
  <r>
    <n v="896"/>
    <n v="113.32445420000001"/>
    <n v="23.028560720000002"/>
    <x v="2"/>
  </r>
  <r>
    <n v="897"/>
    <n v="113.324952"/>
    <n v="23.03084978"/>
    <x v="2"/>
  </r>
  <r>
    <n v="898"/>
    <n v="113.32575060000001"/>
    <n v="23.027036899999999"/>
    <x v="2"/>
  </r>
  <r>
    <n v="899"/>
    <n v="113.32471169999999"/>
    <n v="23.027721589999999"/>
    <x v="2"/>
  </r>
  <r>
    <n v="900"/>
    <n v="113.3249263"/>
    <n v="23.02727737"/>
    <x v="2"/>
  </r>
  <r>
    <n v="901"/>
    <n v="113.3273015"/>
    <n v="23.02584646"/>
    <x v="2"/>
  </r>
  <r>
    <n v="902"/>
    <n v="113.32558299999999"/>
    <n v="23.02599567"/>
    <x v="2"/>
  </r>
  <r>
    <n v="903"/>
    <n v="113.32444030000001"/>
    <n v="23.02718934"/>
    <x v="2"/>
  </r>
  <r>
    <n v="904"/>
    <n v="113.3236477"/>
    <n v="23.030043630000002"/>
    <x v="2"/>
  </r>
  <r>
    <n v="905"/>
    <n v="113.3289281"/>
    <n v="23.027816510000001"/>
    <x v="2"/>
  </r>
  <r>
    <n v="906"/>
    <n v="113.32491229999999"/>
    <n v="23.02740335"/>
    <x v="2"/>
  </r>
  <r>
    <n v="907"/>
    <n v="113.32402190000001"/>
    <n v="23.030717620000001"/>
    <x v="2"/>
  </r>
  <r>
    <n v="908"/>
    <n v="113.3279891"/>
    <n v="23.02529139"/>
    <x v="2"/>
  </r>
  <r>
    <n v="909"/>
    <n v="113.3290488"/>
    <n v="23.028256089999999"/>
    <x v="2"/>
  </r>
  <r>
    <n v="910"/>
    <n v="113.3296787"/>
    <n v="23.02609283"/>
    <x v="2"/>
  </r>
  <r>
    <n v="911"/>
    <n v="113.3302703"/>
    <n v="23.027700020000001"/>
    <x v="2"/>
  </r>
  <r>
    <n v="912"/>
    <n v="113.3250559"/>
    <n v="23.028985389999999"/>
    <x v="2"/>
  </r>
  <r>
    <n v="913"/>
    <n v="113.3294779"/>
    <n v="23.028940980000002"/>
    <x v="2"/>
  </r>
  <r>
    <n v="914"/>
    <n v="113.3315276"/>
    <n v="23.030114600000001"/>
    <x v="2"/>
  </r>
  <r>
    <n v="915"/>
    <n v="113.3241809"/>
    <n v="23.026212260000001"/>
    <x v="2"/>
  </r>
  <r>
    <n v="916"/>
    <n v="113.3254663"/>
    <n v="23.02543614"/>
    <x v="2"/>
  </r>
  <r>
    <n v="917"/>
    <n v="113.32481420000001"/>
    <n v="23.031652699999999"/>
    <x v="2"/>
  </r>
  <r>
    <n v="918"/>
    <n v="113.3267187"/>
    <n v="23.02578759"/>
    <x v="2"/>
  </r>
  <r>
    <n v="919"/>
    <n v="113.32729860000001"/>
    <n v="23.024516040000002"/>
    <x v="2"/>
  </r>
  <r>
    <n v="920"/>
    <n v="113.32891789999999"/>
    <n v="23.030072560000001"/>
    <x v="2"/>
  </r>
  <r>
    <n v="921"/>
    <n v="113.32546840000001"/>
    <n v="23.024047729999999"/>
    <x v="2"/>
  </r>
  <r>
    <n v="922"/>
    <n v="113.3249742"/>
    <n v="23.027278280000001"/>
    <x v="2"/>
  </r>
  <r>
    <n v="923"/>
    <n v="113.3227275"/>
    <n v="23.03198755"/>
    <x v="14"/>
  </r>
  <r>
    <n v="924"/>
    <n v="113.329561"/>
    <n v="23.024507740000001"/>
    <x v="2"/>
  </r>
  <r>
    <n v="925"/>
    <n v="113.32195539999999"/>
    <n v="23.027976760000001"/>
    <x v="2"/>
  </r>
  <r>
    <n v="926"/>
    <n v="113.3217689"/>
    <n v="23.026388799999999"/>
    <x v="2"/>
  </r>
  <r>
    <n v="927"/>
    <n v="113.3298392"/>
    <n v="23.028252599999998"/>
    <x v="2"/>
  </r>
  <r>
    <n v="928"/>
    <n v="113.3243354"/>
    <n v="23.029036739999999"/>
    <x v="2"/>
  </r>
  <r>
    <n v="929"/>
    <n v="113.3299739"/>
    <n v="23.029008009999998"/>
    <x v="2"/>
  </r>
  <r>
    <n v="930"/>
    <n v="113.32534440000001"/>
    <n v="23.027542459999999"/>
    <x v="2"/>
  </r>
  <r>
    <n v="931"/>
    <n v="113.32173880000001"/>
    <n v="23.028105119999999"/>
    <x v="2"/>
  </r>
  <r>
    <n v="932"/>
    <n v="113.329874"/>
    <n v="23.029955789999999"/>
    <x v="2"/>
  </r>
  <r>
    <n v="933"/>
    <n v="113.3294653"/>
    <n v="23.023659290000001"/>
    <x v="2"/>
  </r>
  <r>
    <n v="934"/>
    <n v="113.32840539999999"/>
    <n v="23.023711280000001"/>
    <x v="2"/>
  </r>
  <r>
    <n v="935"/>
    <n v="113.3248924"/>
    <n v="23.026957580000001"/>
    <x v="2"/>
  </r>
  <r>
    <n v="936"/>
    <n v="113.3256927"/>
    <n v="23.026996029999999"/>
    <x v="2"/>
  </r>
  <r>
    <n v="937"/>
    <n v="113.32666879999999"/>
    <n v="23.025758700000001"/>
    <x v="2"/>
  </r>
  <r>
    <n v="938"/>
    <n v="113.3247576"/>
    <n v="23.0277265"/>
    <x v="2"/>
  </r>
  <r>
    <n v="939"/>
    <n v="113.329087"/>
    <n v="23.023739970000001"/>
    <x v="2"/>
  </r>
  <r>
    <n v="940"/>
    <n v="113.3253945"/>
    <n v="23.02545027"/>
    <x v="2"/>
  </r>
  <r>
    <n v="941"/>
    <n v="113.3298411"/>
    <n v="23.029988840000001"/>
    <x v="2"/>
  </r>
  <r>
    <n v="942"/>
    <n v="113.32460210000001"/>
    <n v="23.025107930000001"/>
    <x v="2"/>
  </r>
  <r>
    <n v="943"/>
    <n v="113.32460810000001"/>
    <n v="23.025536729999999"/>
    <x v="2"/>
  </r>
  <r>
    <n v="944"/>
    <n v="113.32641529999999"/>
    <n v="23.02565723"/>
    <x v="2"/>
  </r>
  <r>
    <n v="945"/>
    <n v="113.3219084"/>
    <n v="23.029340260000001"/>
    <x v="2"/>
  </r>
  <r>
    <n v="946"/>
    <n v="113.3276535"/>
    <n v="23.0302209"/>
    <x v="2"/>
  </r>
  <r>
    <n v="947"/>
    <n v="113.3306468"/>
    <n v="23.024122850000001"/>
    <x v="2"/>
  </r>
  <r>
    <n v="948"/>
    <n v="113.3302803"/>
    <n v="23.028213780000002"/>
    <x v="2"/>
  </r>
  <r>
    <n v="949"/>
    <n v="113.330423"/>
    <n v="23.028869220000001"/>
    <x v="2"/>
  </r>
  <r>
    <n v="950"/>
    <n v="113.3300067"/>
    <n v="23.030541289999999"/>
    <x v="2"/>
  </r>
  <r>
    <n v="951"/>
    <n v="113.3344888"/>
    <n v="23.028190890000001"/>
    <x v="2"/>
  </r>
  <r>
    <n v="952"/>
    <n v="113.3365328"/>
    <n v="23.028036180000001"/>
    <x v="17"/>
  </r>
  <r>
    <n v="953"/>
    <n v="113.3376087"/>
    <n v="23.027960239999999"/>
    <x v="17"/>
  </r>
  <r>
    <n v="954"/>
    <n v="113.3364031"/>
    <n v="23.027155799999999"/>
    <x v="17"/>
  </r>
  <r>
    <n v="955"/>
    <n v="113.33884930000001"/>
    <n v="23.02890558"/>
    <x v="17"/>
  </r>
  <r>
    <n v="956"/>
    <n v="113.3391946"/>
    <n v="23.02928979"/>
    <x v="17"/>
  </r>
  <r>
    <n v="957"/>
    <n v="113.3346514"/>
    <n v="23.029902849999999"/>
    <x v="2"/>
  </r>
  <r>
    <n v="958"/>
    <n v="113.3333461"/>
    <n v="23.02838294"/>
    <x v="2"/>
  </r>
  <r>
    <n v="959"/>
    <n v="113.33291"/>
    <n v="23.028291790000001"/>
    <x v="2"/>
  </r>
  <r>
    <n v="960"/>
    <n v="113.3411967"/>
    <n v="23.029695019999998"/>
    <x v="17"/>
  </r>
  <r>
    <n v="961"/>
    <n v="113.33203260000001"/>
    <n v="23.030236599999999"/>
    <x v="2"/>
  </r>
  <r>
    <n v="962"/>
    <n v="113.3377244"/>
    <n v="23.030034130000001"/>
    <x v="17"/>
  </r>
  <r>
    <n v="963"/>
    <n v="113.3397253"/>
    <n v="23.03343104"/>
    <x v="17"/>
  </r>
  <r>
    <n v="964"/>
    <n v="113.33466079999999"/>
    <n v="23.024210289999999"/>
    <x v="2"/>
  </r>
  <r>
    <n v="965"/>
    <n v="113.3386098"/>
    <n v="23.027034820000001"/>
    <x v="17"/>
  </r>
  <r>
    <n v="966"/>
    <n v="113.3410181"/>
    <n v="23.029811290000001"/>
    <x v="17"/>
  </r>
  <r>
    <n v="967"/>
    <n v="113.3318281"/>
    <n v="23.02894654"/>
    <x v="2"/>
  </r>
  <r>
    <n v="968"/>
    <n v="113.3480593"/>
    <n v="23.028766610000002"/>
    <x v="17"/>
  </r>
  <r>
    <n v="969"/>
    <n v="113.3451934"/>
    <n v="23.028207680000001"/>
    <x v="17"/>
  </r>
  <r>
    <n v="970"/>
    <n v="113.3459367"/>
    <n v="23.033506129999999"/>
    <x v="17"/>
  </r>
  <r>
    <n v="971"/>
    <n v="113.348022"/>
    <n v="23.033568599999999"/>
    <x v="17"/>
  </r>
  <r>
    <n v="972"/>
    <n v="113.3467706"/>
    <n v="23.027835159999999"/>
    <x v="17"/>
  </r>
  <r>
    <n v="973"/>
    <n v="113.3441634"/>
    <n v="23.02679307"/>
    <x v="17"/>
  </r>
  <r>
    <n v="974"/>
    <n v="113.3601559"/>
    <n v="23.029512860000001"/>
    <x v="17"/>
  </r>
  <r>
    <n v="975"/>
    <n v="113.3530799"/>
    <n v="23.026674440000001"/>
    <x v="17"/>
  </r>
  <r>
    <n v="976"/>
    <n v="113.3767323"/>
    <n v="23.02941354"/>
    <x v="15"/>
  </r>
  <r>
    <n v="977"/>
    <n v="113.37838240000001"/>
    <n v="23.02415251"/>
    <x v="4"/>
  </r>
  <r>
    <n v="978"/>
    <n v="113.3786472"/>
    <n v="23.024090340000001"/>
    <x v="4"/>
  </r>
  <r>
    <n v="979"/>
    <n v="113.3781096"/>
    <n v="23.02386285"/>
    <x v="4"/>
  </r>
  <r>
    <n v="980"/>
    <n v="113.37909860000001"/>
    <n v="23.027233649999999"/>
    <x v="4"/>
  </r>
  <r>
    <n v="981"/>
    <n v="113.3812252"/>
    <n v="23.027074249999998"/>
    <x v="4"/>
  </r>
  <r>
    <n v="982"/>
    <n v="113.3812382"/>
    <n v="23.02706624"/>
    <x v="4"/>
  </r>
  <r>
    <n v="983"/>
    <n v="113.4094997"/>
    <n v="23.027641540000001"/>
    <x v="3"/>
  </r>
  <r>
    <n v="984"/>
    <n v="113.40937630000001"/>
    <n v="23.0315248"/>
    <x v="3"/>
  </r>
  <r>
    <n v="985"/>
    <n v="113.4230534"/>
    <n v="23.028422079999999"/>
    <x v="3"/>
  </r>
  <r>
    <n v="986"/>
    <n v="113.4221719"/>
    <n v="23.031747630000002"/>
    <x v="3"/>
  </r>
  <r>
    <n v="987"/>
    <n v="113.42751490000001"/>
    <n v="23.032095179999999"/>
    <x v="3"/>
  </r>
  <r>
    <n v="988"/>
    <n v="113.4578298"/>
    <n v="23.026129040000001"/>
    <x v="0"/>
  </r>
  <r>
    <n v="989"/>
    <n v="113.4581012"/>
    <n v="23.031869230000002"/>
    <x v="0"/>
  </r>
  <r>
    <n v="990"/>
    <n v="113.4567316"/>
    <n v="23.026916"/>
    <x v="0"/>
  </r>
  <r>
    <n v="991"/>
    <n v="113.45337790000001"/>
    <n v="23.032106760000001"/>
    <x v="0"/>
  </r>
  <r>
    <n v="992"/>
    <n v="113.2782705"/>
    <n v="23.017736809999999"/>
    <x v="18"/>
  </r>
  <r>
    <n v="993"/>
    <n v="113.28073500000001"/>
    <n v="23.020036780000002"/>
    <x v="18"/>
  </r>
  <r>
    <n v="994"/>
    <n v="113.2781475"/>
    <n v="23.020484769999999"/>
    <x v="18"/>
  </r>
  <r>
    <n v="995"/>
    <n v="113.2814193"/>
    <n v="23.015424899999999"/>
    <x v="18"/>
  </r>
  <r>
    <n v="996"/>
    <n v="113.2888837"/>
    <n v="23.016441100000002"/>
    <x v="18"/>
  </r>
  <r>
    <n v="997"/>
    <n v="113.2871866"/>
    <n v="23.01471733"/>
    <x v="18"/>
  </r>
  <r>
    <n v="998"/>
    <n v="113.2837219"/>
    <n v="23.015787710000001"/>
    <x v="18"/>
  </r>
  <r>
    <n v="999"/>
    <n v="113.28269040000001"/>
    <n v="23.016559749999999"/>
    <x v="18"/>
  </r>
  <r>
    <n v="1000"/>
    <n v="113.2823989"/>
    <n v="23.01515874"/>
    <x v="18"/>
  </r>
  <r>
    <n v="1001"/>
    <n v="113.2903963"/>
    <n v="23.015335310000001"/>
    <x v="18"/>
  </r>
  <r>
    <n v="1002"/>
    <n v="113.2889656"/>
    <n v="23.01578027"/>
    <x v="18"/>
  </r>
  <r>
    <n v="1003"/>
    <n v="113.2915395"/>
    <n v="23.013774229999999"/>
    <x v="18"/>
  </r>
  <r>
    <n v="1004"/>
    <n v="113.2892293"/>
    <n v="23.014732330000001"/>
    <x v="18"/>
  </r>
  <r>
    <n v="1005"/>
    <n v="113.2818487"/>
    <n v="23.01548932"/>
    <x v="18"/>
  </r>
  <r>
    <n v="1006"/>
    <n v="113.2819166"/>
    <n v="23.015401270000002"/>
    <x v="18"/>
  </r>
  <r>
    <n v="1007"/>
    <n v="113.29701849999999"/>
    <n v="23.01774172"/>
    <x v="19"/>
  </r>
  <r>
    <n v="1008"/>
    <n v="113.2997762"/>
    <n v="23.021161589999998"/>
    <x v="16"/>
  </r>
  <r>
    <n v="1009"/>
    <n v="113.2977412"/>
    <n v="23.018215309999999"/>
    <x v="19"/>
  </r>
  <r>
    <n v="1010"/>
    <n v="113.29787469999999"/>
    <n v="23.02130975"/>
    <x v="16"/>
  </r>
  <r>
    <n v="1011"/>
    <n v="113.29319839999999"/>
    <n v="23.017237139999999"/>
    <x v="18"/>
  </r>
  <r>
    <n v="1012"/>
    <n v="113.2983748"/>
    <n v="23.021211950000001"/>
    <x v="16"/>
  </r>
  <r>
    <n v="1013"/>
    <n v="113.3017098"/>
    <n v="23.018003620000002"/>
    <x v="1"/>
  </r>
  <r>
    <n v="1014"/>
    <n v="113.3014044"/>
    <n v="23.017484369999998"/>
    <x v="19"/>
  </r>
  <r>
    <n v="1015"/>
    <n v="113.30091849999999"/>
    <n v="23.014013720000001"/>
    <x v="19"/>
  </r>
  <r>
    <n v="1016"/>
    <n v="113.2983079"/>
    <n v="23.02125904"/>
    <x v="16"/>
  </r>
  <r>
    <n v="1017"/>
    <n v="113.2964691"/>
    <n v="23.02360809"/>
    <x v="16"/>
  </r>
  <r>
    <n v="1018"/>
    <n v="113.3014044"/>
    <n v="23.017484369999998"/>
    <x v="19"/>
  </r>
  <r>
    <n v="1019"/>
    <n v="113.2964691"/>
    <n v="23.02360809"/>
    <x v="16"/>
  </r>
  <r>
    <n v="1020"/>
    <n v="113.2996952"/>
    <n v="23.022860000000001"/>
    <x v="16"/>
  </r>
  <r>
    <n v="1021"/>
    <n v="113.2996952"/>
    <n v="23.022860000000001"/>
    <x v="16"/>
  </r>
  <r>
    <n v="1022"/>
    <n v="113.3064933"/>
    <n v="23.02097582"/>
    <x v="1"/>
  </r>
  <r>
    <n v="1023"/>
    <n v="113.3067929"/>
    <n v="23.018548330000002"/>
    <x v="1"/>
  </r>
  <r>
    <n v="1024"/>
    <n v="113.3058846"/>
    <n v="23.018849840000001"/>
    <x v="1"/>
  </r>
  <r>
    <n v="1025"/>
    <n v="113.306702"/>
    <n v="23.019682"/>
    <x v="1"/>
  </r>
  <r>
    <n v="1026"/>
    <n v="113.30711719999999"/>
    <n v="23.01904652"/>
    <x v="1"/>
  </r>
  <r>
    <n v="1027"/>
    <n v="113.3057939"/>
    <n v="23.017967389999999"/>
    <x v="1"/>
  </r>
  <r>
    <n v="1028"/>
    <n v="113.30558910000001"/>
    <n v="23.019638029999999"/>
    <x v="1"/>
  </r>
  <r>
    <n v="1029"/>
    <n v="113.30859529999999"/>
    <n v="23.017641430000001"/>
    <x v="1"/>
  </r>
  <r>
    <n v="1030"/>
    <n v="113.3075175"/>
    <n v="23.017222579999999"/>
    <x v="1"/>
  </r>
  <r>
    <n v="1031"/>
    <n v="113.3055153"/>
    <n v="23.019037430000001"/>
    <x v="1"/>
  </r>
  <r>
    <n v="1032"/>
    <n v="113.3079525"/>
    <n v="23.019650739999999"/>
    <x v="1"/>
  </r>
  <r>
    <n v="1033"/>
    <n v="113.3083338"/>
    <n v="23.019003319999999"/>
    <x v="1"/>
  </r>
  <r>
    <n v="1034"/>
    <n v="113.30581669999999"/>
    <n v="23.02021337"/>
    <x v="1"/>
  </r>
  <r>
    <n v="1035"/>
    <n v="113.30723089999999"/>
    <n v="23.020181829999999"/>
    <x v="1"/>
  </r>
  <r>
    <n v="1036"/>
    <n v="113.30819200000001"/>
    <n v="23.019693279999998"/>
    <x v="1"/>
  </r>
  <r>
    <n v="1037"/>
    <n v="113.3087599"/>
    <n v="23.018608709999999"/>
    <x v="1"/>
  </r>
  <r>
    <n v="1038"/>
    <n v="113.3079644"/>
    <n v="23.020875190000002"/>
    <x v="1"/>
  </r>
  <r>
    <n v="1039"/>
    <n v="113.3074307"/>
    <n v="23.016979849999998"/>
    <x v="1"/>
  </r>
  <r>
    <n v="1040"/>
    <n v="113.309262"/>
    <n v="23.016981489999999"/>
    <x v="1"/>
  </r>
  <r>
    <n v="1041"/>
    <n v="113.30928780000001"/>
    <n v="23.020073100000001"/>
    <x v="1"/>
  </r>
  <r>
    <n v="1042"/>
    <n v="113.3077847"/>
    <n v="23.020611630000001"/>
    <x v="1"/>
  </r>
  <r>
    <n v="1043"/>
    <n v="113.3095922"/>
    <n v="23.019728690000001"/>
    <x v="1"/>
  </r>
  <r>
    <n v="1044"/>
    <n v="113.306557"/>
    <n v="23.023137770000002"/>
    <x v="1"/>
  </r>
  <r>
    <n v="1045"/>
    <n v="113.3083219"/>
    <n v="23.01715914"/>
    <x v="1"/>
  </r>
  <r>
    <n v="1046"/>
    <n v="113.3097369"/>
    <n v="23.01995732"/>
    <x v="1"/>
  </r>
  <r>
    <n v="1047"/>
    <n v="113.30880759999999"/>
    <n v="23.02162032"/>
    <x v="1"/>
  </r>
  <r>
    <n v="1048"/>
    <n v="113.30969899999999"/>
    <n v="23.019617539999999"/>
    <x v="1"/>
  </r>
  <r>
    <n v="1049"/>
    <n v="113.3097449"/>
    <n v="23.020362129999999"/>
    <x v="1"/>
  </r>
  <r>
    <n v="1050"/>
    <n v="113.30867019999999"/>
    <n v="23.016781659999999"/>
    <x v="1"/>
  </r>
  <r>
    <n v="1051"/>
    <n v="113.3096001"/>
    <n v="23.02052333"/>
    <x v="1"/>
  </r>
  <r>
    <n v="1052"/>
    <n v="113.3038267"/>
    <n v="23.01743913"/>
    <x v="1"/>
  </r>
  <r>
    <n v="1053"/>
    <n v="113.3093097"/>
    <n v="23.020994659999999"/>
    <x v="1"/>
  </r>
  <r>
    <n v="1054"/>
    <n v="113.30602039999999"/>
    <n v="23.01777006"/>
    <x v="1"/>
  </r>
  <r>
    <n v="1055"/>
    <n v="113.30927079999999"/>
    <n v="23.020731850000001"/>
    <x v="1"/>
  </r>
  <r>
    <n v="1056"/>
    <n v="113.3085844"/>
    <n v="23.016613889999999"/>
    <x v="1"/>
  </r>
  <r>
    <n v="1057"/>
    <n v="113.3095392"/>
    <n v="23.021199150000001"/>
    <x v="1"/>
  </r>
  <r>
    <n v="1058"/>
    <n v="113.3086191"/>
    <n v="23.020594110000001"/>
    <x v="1"/>
  </r>
  <r>
    <n v="1059"/>
    <n v="113.3090323"/>
    <n v="23.020768270000001"/>
    <x v="1"/>
  </r>
  <r>
    <n v="1060"/>
    <n v="113.30982160000001"/>
    <n v="23.02105469"/>
    <x v="1"/>
  </r>
  <r>
    <n v="1061"/>
    <n v="113.30975979999999"/>
    <n v="23.020695960000001"/>
    <x v="1"/>
  </r>
  <r>
    <n v="1062"/>
    <n v="113.3091434"/>
    <n v="23.015439369999999"/>
    <x v="1"/>
  </r>
  <r>
    <n v="1063"/>
    <n v="113.3101463"/>
    <n v="23.016485070000002"/>
    <x v="1"/>
  </r>
  <r>
    <n v="1064"/>
    <n v="113.3030392"/>
    <n v="23.018175209999999"/>
    <x v="1"/>
  </r>
  <r>
    <n v="1065"/>
    <n v="113.30889639999999"/>
    <n v="23.0229116"/>
    <x v="1"/>
  </r>
  <r>
    <n v="1066"/>
    <n v="113.30640440000001"/>
    <n v="23.022206449999999"/>
    <x v="1"/>
  </r>
  <r>
    <n v="1067"/>
    <n v="113.3072038"/>
    <n v="23.022644809999999"/>
    <x v="1"/>
  </r>
  <r>
    <n v="1068"/>
    <n v="113.30853209999999"/>
    <n v="23.023079190000001"/>
    <x v="1"/>
  </r>
  <r>
    <n v="1069"/>
    <n v="113.3098406"/>
    <n v="23.02130155"/>
    <x v="1"/>
  </r>
  <r>
    <n v="1070"/>
    <n v="113.3100831"/>
    <n v="23.020859290000001"/>
    <x v="1"/>
  </r>
  <r>
    <n v="1071"/>
    <n v="113.31053420000001"/>
    <n v="23.02118432"/>
    <x v="1"/>
  </r>
  <r>
    <n v="1072"/>
    <n v="113.3082647"/>
    <n v="23.021987159999998"/>
    <x v="1"/>
  </r>
  <r>
    <n v="1073"/>
    <n v="113.3095871"/>
    <n v="23.021692850000001"/>
    <x v="1"/>
  </r>
  <r>
    <n v="1074"/>
    <n v="113.3069567"/>
    <n v="23.015675269999999"/>
    <x v="1"/>
  </r>
  <r>
    <n v="1075"/>
    <n v="113.3108656"/>
    <n v="23.020849850000001"/>
    <x v="1"/>
  </r>
  <r>
    <n v="1076"/>
    <n v="113.30381149999999"/>
    <n v="23.02115555"/>
    <x v="1"/>
  </r>
  <r>
    <n v="1077"/>
    <n v="113.3098964"/>
    <n v="23.02213609"/>
    <x v="1"/>
  </r>
  <r>
    <n v="1078"/>
    <n v="113.3096709"/>
    <n v="23.022340419999999"/>
    <x v="1"/>
  </r>
  <r>
    <n v="1079"/>
    <n v="113.309315"/>
    <n v="23.015911849999998"/>
    <x v="1"/>
  </r>
  <r>
    <n v="1080"/>
    <n v="113.30876859999999"/>
    <n v="23.023634520000002"/>
    <x v="1"/>
  </r>
  <r>
    <n v="1081"/>
    <n v="113.3070525"/>
    <n v="23.015552150000001"/>
    <x v="1"/>
  </r>
  <r>
    <n v="1082"/>
    <n v="113.3085191"/>
    <n v="23.022778349999999"/>
    <x v="1"/>
  </r>
  <r>
    <n v="1083"/>
    <n v="113.3086429"/>
    <n v="23.022154390000001"/>
    <x v="1"/>
  </r>
  <r>
    <n v="1084"/>
    <n v="113.3114923"/>
    <n v="23.020847679999999"/>
    <x v="1"/>
  </r>
  <r>
    <n v="1085"/>
    <n v="113.30307209999999"/>
    <n v="23.01825212"/>
    <x v="1"/>
  </r>
  <r>
    <n v="1086"/>
    <n v="113.3072966"/>
    <n v="23.022463720000001"/>
    <x v="1"/>
  </r>
  <r>
    <n v="1087"/>
    <n v="113.3090266"/>
    <n v="23.0156375"/>
    <x v="1"/>
  </r>
  <r>
    <n v="1088"/>
    <n v="113.3019662"/>
    <n v="23.018638889999998"/>
    <x v="1"/>
  </r>
  <r>
    <n v="1089"/>
    <n v="113.3076234"/>
    <n v="23.01498436"/>
    <x v="1"/>
  </r>
  <r>
    <n v="1090"/>
    <n v="113.3078869"/>
    <n v="23.016063410000001"/>
    <x v="1"/>
  </r>
  <r>
    <n v="1091"/>
    <n v="113.3096998"/>
    <n v="23.022741190000001"/>
    <x v="1"/>
  </r>
  <r>
    <n v="1092"/>
    <n v="113.30829369999999"/>
    <n v="23.021157460000001"/>
    <x v="1"/>
  </r>
  <r>
    <n v="1093"/>
    <n v="113.3069253"/>
    <n v="23.02218452"/>
    <x v="1"/>
  </r>
  <r>
    <n v="1094"/>
    <n v="113.309051"/>
    <n v="23.023320139999999"/>
    <x v="1"/>
  </r>
  <r>
    <n v="1095"/>
    <n v="113.3109066"/>
    <n v="23.0196173"/>
    <x v="1"/>
  </r>
  <r>
    <n v="1096"/>
    <n v="113.307597"/>
    <n v="23.022880990000001"/>
    <x v="1"/>
  </r>
  <r>
    <n v="1097"/>
    <n v="113.3109078"/>
    <n v="23.015971879999999"/>
    <x v="1"/>
  </r>
  <r>
    <n v="1098"/>
    <n v="113.30642039999999"/>
    <n v="23.020948969999999"/>
    <x v="1"/>
  </r>
  <r>
    <n v="1099"/>
    <n v="113.3085875"/>
    <n v="23.014781679999999"/>
    <x v="1"/>
  </r>
  <r>
    <n v="1100"/>
    <n v="113.30947020000001"/>
    <n v="23.02303349"/>
    <x v="1"/>
  </r>
  <r>
    <n v="1101"/>
    <n v="113.3081119"/>
    <n v="23.02344081"/>
    <x v="1"/>
  </r>
  <r>
    <n v="1102"/>
    <n v="113.3098988"/>
    <n v="23.01680039"/>
    <x v="1"/>
  </r>
  <r>
    <n v="1103"/>
    <n v="113.3094153"/>
    <n v="23.0234804"/>
    <x v="1"/>
  </r>
  <r>
    <n v="1104"/>
    <n v="113.3114693"/>
    <n v="23.021076619999999"/>
    <x v="1"/>
  </r>
  <r>
    <n v="1105"/>
    <n v="113.31080799999999"/>
    <n v="23.016443859999999"/>
    <x v="1"/>
  </r>
  <r>
    <n v="1106"/>
    <n v="113.3097676"/>
    <n v="23.022991959999999"/>
    <x v="1"/>
  </r>
  <r>
    <n v="1107"/>
    <n v="113.31027659999999"/>
    <n v="23.023108959999998"/>
    <x v="1"/>
  </r>
  <r>
    <n v="1108"/>
    <n v="113.3093724"/>
    <n v="23.023608419999999"/>
    <x v="1"/>
  </r>
  <r>
    <n v="1109"/>
    <n v="113.3017098"/>
    <n v="23.018003620000002"/>
    <x v="1"/>
  </r>
  <r>
    <n v="1110"/>
    <n v="113.3078685"/>
    <n v="23.022391710000001"/>
    <x v="1"/>
  </r>
  <r>
    <n v="1111"/>
    <n v="113.3097906"/>
    <n v="23.023338760000001"/>
    <x v="1"/>
  </r>
  <r>
    <n v="1112"/>
    <n v="113.3081392"/>
    <n v="23.018822749999998"/>
    <x v="1"/>
  </r>
  <r>
    <n v="1113"/>
    <n v="113.3084806"/>
    <n v="23.017625649999999"/>
    <x v="1"/>
  </r>
  <r>
    <n v="1114"/>
    <n v="113.30926599999999"/>
    <n v="23.016931499999998"/>
    <x v="1"/>
  </r>
  <r>
    <n v="1115"/>
    <n v="113.30948619999999"/>
    <n v="23.023167399999998"/>
    <x v="1"/>
  </r>
  <r>
    <n v="1116"/>
    <n v="113.3115225"/>
    <n v="23.016431529999998"/>
    <x v="1"/>
  </r>
  <r>
    <n v="1117"/>
    <n v="113.30894739999999"/>
    <n v="23.02125822"/>
    <x v="1"/>
  </r>
  <r>
    <n v="1118"/>
    <n v="113.308656"/>
    <n v="23.020725980000002"/>
    <x v="1"/>
  </r>
  <r>
    <n v="1119"/>
    <n v="113.3079793"/>
    <n v="23.020885159999999"/>
    <x v="1"/>
  </r>
  <r>
    <n v="1120"/>
    <n v="113.3044443"/>
    <n v="23.020599669999999"/>
    <x v="1"/>
  </r>
  <r>
    <n v="1121"/>
    <n v="113.30590549999999"/>
    <n v="23.020428119999998"/>
    <x v="1"/>
  </r>
  <r>
    <n v="1122"/>
    <n v="113.30825400000001"/>
    <n v="23.018326760000001"/>
    <x v="1"/>
  </r>
  <r>
    <n v="1123"/>
    <n v="113.30796960000001"/>
    <n v="23.016935879999998"/>
    <x v="1"/>
  </r>
  <r>
    <n v="1124"/>
    <n v="113.3110104"/>
    <n v="23.019162309999999"/>
    <x v="1"/>
  </r>
  <r>
    <n v="1125"/>
    <n v="113.3063185"/>
    <n v="23.02310722"/>
    <x v="1"/>
  </r>
  <r>
    <n v="1126"/>
    <n v="113.31005070000001"/>
    <n v="23.013729439999999"/>
    <x v="1"/>
  </r>
  <r>
    <n v="1127"/>
    <n v="113.30745159999999"/>
    <n v="23.01719172"/>
    <x v="1"/>
  </r>
  <r>
    <n v="1128"/>
    <n v="113.31089660000001"/>
    <n v="23.019595330000001"/>
    <x v="1"/>
  </r>
  <r>
    <n v="1129"/>
    <n v="113.3089078"/>
    <n v="23.016605299999998"/>
    <x v="1"/>
  </r>
  <r>
    <n v="1130"/>
    <n v="113.3100503"/>
    <n v="23.020084690000001"/>
    <x v="1"/>
  </r>
  <r>
    <n v="1131"/>
    <n v="113.3109777"/>
    <n v="23.015970750000001"/>
    <x v="1"/>
  </r>
  <r>
    <n v="1132"/>
    <n v="113.3092432"/>
    <n v="23.015586129999999"/>
    <x v="1"/>
  </r>
  <r>
    <n v="1133"/>
    <n v="113.30721870000001"/>
    <n v="23.022460859999999"/>
    <x v="1"/>
  </r>
  <r>
    <n v="1134"/>
    <n v="113.3072726"/>
    <n v="23.02265268"/>
    <x v="1"/>
  </r>
  <r>
    <n v="1135"/>
    <n v="113.3095062"/>
    <n v="23.021865930000001"/>
    <x v="1"/>
  </r>
  <r>
    <n v="1136"/>
    <n v="113.3044427"/>
    <n v="23.0143004"/>
    <x v="19"/>
  </r>
  <r>
    <n v="1137"/>
    <n v="113.31097250000001"/>
    <n v="23.01913639"/>
    <x v="1"/>
  </r>
  <r>
    <n v="1138"/>
    <n v="113.3056474"/>
    <n v="23.01394239"/>
    <x v="19"/>
  </r>
  <r>
    <n v="1139"/>
    <n v="113.30862430000001"/>
    <n v="23.017690349999999"/>
    <x v="1"/>
  </r>
  <r>
    <n v="1140"/>
    <n v="113.30456049999999"/>
    <n v="23.01389936"/>
    <x v="19"/>
  </r>
  <r>
    <n v="1141"/>
    <n v="113.3103864"/>
    <n v="23.022766910000001"/>
    <x v="1"/>
  </r>
  <r>
    <n v="1142"/>
    <n v="113.3064243"/>
    <n v="23.023112019999999"/>
    <x v="1"/>
  </r>
  <r>
    <n v="1143"/>
    <n v="113.3022684"/>
    <n v="23.023034460000002"/>
    <x v="16"/>
  </r>
  <r>
    <n v="1144"/>
    <n v="113.30731950000001"/>
    <n v="23.022535649999998"/>
    <x v="1"/>
  </r>
  <r>
    <n v="1145"/>
    <n v="113.3026097"/>
    <n v="23.023019869999999"/>
    <x v="16"/>
  </r>
  <r>
    <n v="1146"/>
    <n v="113.30262569999999"/>
    <n v="23.023072819999999"/>
    <x v="16"/>
  </r>
  <r>
    <n v="1147"/>
    <n v="113.3044443"/>
    <n v="23.020599669999999"/>
    <x v="1"/>
  </r>
  <r>
    <n v="1148"/>
    <n v="113.3064404"/>
    <n v="23.020986910000001"/>
    <x v="1"/>
  </r>
  <r>
    <n v="1149"/>
    <n v="113.3156697"/>
    <n v="23.021458559999999"/>
    <x v="1"/>
  </r>
  <r>
    <n v="1150"/>
    <n v="113.3149504"/>
    <n v="23.0180294"/>
    <x v="1"/>
  </r>
  <r>
    <n v="1151"/>
    <n v="113.31571580000001"/>
    <n v="23.018949559999999"/>
    <x v="1"/>
  </r>
  <r>
    <n v="1152"/>
    <n v="113.3168057"/>
    <n v="23.01792493"/>
    <x v="1"/>
  </r>
  <r>
    <n v="1153"/>
    <n v="113.3155831"/>
    <n v="23.018279100000001"/>
    <x v="1"/>
  </r>
  <r>
    <n v="1154"/>
    <n v="113.317139"/>
    <n v="23.017091659999998"/>
    <x v="20"/>
  </r>
  <r>
    <n v="1155"/>
    <n v="113.3155283"/>
    <n v="23.01785838"/>
    <x v="1"/>
  </r>
  <r>
    <n v="1156"/>
    <n v="113.3157169"/>
    <n v="23.017163329999999"/>
    <x v="1"/>
  </r>
  <r>
    <n v="1157"/>
    <n v="113.31465110000001"/>
    <n v="23.017475210000001"/>
    <x v="1"/>
  </r>
  <r>
    <n v="1158"/>
    <n v="113.3130941"/>
    <n v="23.01946628"/>
    <x v="1"/>
  </r>
  <r>
    <n v="1159"/>
    <n v="113.315201"/>
    <n v="23.016938400000001"/>
    <x v="1"/>
  </r>
  <r>
    <n v="1160"/>
    <n v="113.31397149999999"/>
    <n v="23.01667883"/>
    <x v="1"/>
  </r>
  <r>
    <n v="1161"/>
    <n v="113.31475500000001"/>
    <n v="23.016458449999998"/>
    <x v="1"/>
  </r>
  <r>
    <n v="1162"/>
    <n v="113.313733"/>
    <n v="23.017465940000001"/>
    <x v="1"/>
  </r>
  <r>
    <n v="1163"/>
    <n v="113.31452710000001"/>
    <n v="23.020945940000001"/>
    <x v="1"/>
  </r>
  <r>
    <n v="1164"/>
    <n v="113.31322179999999"/>
    <n v="23.020337659999999"/>
    <x v="1"/>
  </r>
  <r>
    <n v="1165"/>
    <n v="113.31895129999999"/>
    <n v="23.01693027"/>
    <x v="20"/>
  </r>
  <r>
    <n v="1166"/>
    <n v="113.31259230000001"/>
    <n v="23.017987860000002"/>
    <x v="1"/>
  </r>
  <r>
    <n v="1167"/>
    <n v="113.3174386"/>
    <n v="23.014784089999999"/>
    <x v="20"/>
  </r>
  <r>
    <n v="1168"/>
    <n v="113.31400549999999"/>
    <n v="23.016901669999999"/>
    <x v="1"/>
  </r>
  <r>
    <n v="1169"/>
    <n v="113.31316510000001"/>
    <n v="23.01730508"/>
    <x v="1"/>
  </r>
  <r>
    <n v="1170"/>
    <n v="113.3119157"/>
    <n v="23.016666699999998"/>
    <x v="1"/>
  </r>
  <r>
    <n v="1171"/>
    <n v="113.312636"/>
    <n v="23.021027459999999"/>
    <x v="1"/>
  </r>
  <r>
    <n v="1172"/>
    <n v="113.3130893"/>
    <n v="23.017916960000001"/>
    <x v="1"/>
  </r>
  <r>
    <n v="1173"/>
    <n v="113.3129294"/>
    <n v="23.020893969999999"/>
    <x v="1"/>
  </r>
  <r>
    <n v="1174"/>
    <n v="113.3126391"/>
    <n v="23.018764440000002"/>
    <x v="1"/>
  </r>
  <r>
    <n v="1175"/>
    <n v="113.3137886"/>
    <n v="23.0210233"/>
    <x v="1"/>
  </r>
  <r>
    <n v="1176"/>
    <n v="113.3123605"/>
    <n v="23.021274869999999"/>
    <x v="1"/>
  </r>
  <r>
    <n v="1177"/>
    <n v="113.3132071"/>
    <n v="23.01670026"/>
    <x v="1"/>
  </r>
  <r>
    <n v="1178"/>
    <n v="113.313748"/>
    <n v="23.017132060000002"/>
    <x v="1"/>
  </r>
  <r>
    <n v="1179"/>
    <n v="113.3118047"/>
    <n v="23.020920069999999"/>
    <x v="1"/>
  </r>
  <r>
    <n v="1180"/>
    <n v="113.3130823"/>
    <n v="23.016804449999999"/>
    <x v="1"/>
  </r>
  <r>
    <n v="1181"/>
    <n v="113.3142929"/>
    <n v="23.016752199999999"/>
    <x v="1"/>
  </r>
  <r>
    <n v="1182"/>
    <n v="113.31815810000001"/>
    <n v="23.014276930000001"/>
    <x v="20"/>
  </r>
  <r>
    <n v="1183"/>
    <n v="113.3127339"/>
    <n v="23.01895618"/>
    <x v="1"/>
  </r>
  <r>
    <n v="1184"/>
    <n v="113.3192988"/>
    <n v="23.013762979999999"/>
    <x v="20"/>
  </r>
  <r>
    <n v="1185"/>
    <n v="113.3123449"/>
    <n v="23.016596929999999"/>
    <x v="1"/>
  </r>
  <r>
    <n v="1186"/>
    <n v="113.3209907"/>
    <n v="23.022566940000001"/>
    <x v="2"/>
  </r>
  <r>
    <n v="1187"/>
    <n v="113.3117139"/>
    <n v="23.019404890000001"/>
    <x v="1"/>
  </r>
  <r>
    <n v="1188"/>
    <n v="113.3258379"/>
    <n v="23.020704469999998"/>
    <x v="2"/>
  </r>
  <r>
    <n v="1189"/>
    <n v="113.3277779"/>
    <n v="23.02029795"/>
    <x v="2"/>
  </r>
  <r>
    <n v="1190"/>
    <n v="113.326292"/>
    <n v="23.020414729999999"/>
    <x v="2"/>
  </r>
  <r>
    <n v="1191"/>
    <n v="113.327726"/>
    <n v="23.0206439"/>
    <x v="2"/>
  </r>
  <r>
    <n v="1192"/>
    <n v="113.32912519999999"/>
    <n v="23.020050489999999"/>
    <x v="2"/>
  </r>
  <r>
    <n v="1193"/>
    <n v="113.3261316"/>
    <n v="23.015611109999998"/>
    <x v="20"/>
  </r>
  <r>
    <n v="1194"/>
    <n v="113.32938969999999"/>
    <n v="23.019672150000002"/>
    <x v="2"/>
  </r>
  <r>
    <n v="1195"/>
    <n v="113.33009629999999"/>
    <n v="23.01840636"/>
    <x v="2"/>
  </r>
  <r>
    <n v="1196"/>
    <n v="113.32983"/>
    <n v="23.016804560000001"/>
    <x v="21"/>
  </r>
  <r>
    <n v="1197"/>
    <n v="113.328677"/>
    <n v="23.020984940000002"/>
    <x v="2"/>
  </r>
  <r>
    <n v="1198"/>
    <n v="113.327208"/>
    <n v="23.022069269999999"/>
    <x v="2"/>
  </r>
  <r>
    <n v="1199"/>
    <n v="113.32615509999999"/>
    <n v="23.02165845"/>
    <x v="2"/>
  </r>
  <r>
    <n v="1200"/>
    <n v="113.3236416"/>
    <n v="23.017444080000001"/>
    <x v="20"/>
  </r>
  <r>
    <n v="1201"/>
    <n v="113.3284968"/>
    <n v="23.015543640000001"/>
    <x v="20"/>
  </r>
  <r>
    <n v="1202"/>
    <n v="113.3300157"/>
    <n v="23.01487204"/>
    <x v="21"/>
  </r>
  <r>
    <n v="1203"/>
    <n v="113.32663410000001"/>
    <n v="23.02222429"/>
    <x v="2"/>
  </r>
  <r>
    <n v="1204"/>
    <n v="113.3268147"/>
    <n v="23.022459850000001"/>
    <x v="2"/>
  </r>
  <r>
    <n v="1205"/>
    <n v="113.3304887"/>
    <n v="23.016073630000001"/>
    <x v="21"/>
  </r>
  <r>
    <n v="1206"/>
    <n v="113.32885109999999"/>
    <n v="23.015461999999999"/>
    <x v="20"/>
  </r>
  <r>
    <n v="1207"/>
    <n v="113.33005369999999"/>
    <n v="23.014357199999999"/>
    <x v="21"/>
  </r>
  <r>
    <n v="1208"/>
    <n v="113.3308698"/>
    <n v="23.01741333"/>
    <x v="21"/>
  </r>
  <r>
    <n v="1209"/>
    <n v="113.3272139"/>
    <n v="23.02279394"/>
    <x v="2"/>
  </r>
  <r>
    <n v="1210"/>
    <n v="113.3293535"/>
    <n v="23.023376620000001"/>
    <x v="2"/>
  </r>
  <r>
    <n v="1211"/>
    <n v="113.3306874"/>
    <n v="23.014561910000001"/>
    <x v="21"/>
  </r>
  <r>
    <n v="1212"/>
    <n v="113.32953670000001"/>
    <n v="23.01451711"/>
    <x v="20"/>
  </r>
  <r>
    <n v="1213"/>
    <n v="113.3281935"/>
    <n v="23.013873929999999"/>
    <x v="20"/>
  </r>
  <r>
    <n v="1214"/>
    <n v="113.3286466"/>
    <n v="23.013993020000001"/>
    <x v="20"/>
  </r>
  <r>
    <n v="1215"/>
    <n v="113.33127899999999"/>
    <n v="23.01680782"/>
    <x v="21"/>
  </r>
  <r>
    <n v="1216"/>
    <n v="113.32944089999999"/>
    <n v="23.014179429999999"/>
    <x v="20"/>
  </r>
  <r>
    <n v="1217"/>
    <n v="113.3303112"/>
    <n v="23.013971869999999"/>
    <x v="21"/>
  </r>
  <r>
    <n v="1218"/>
    <n v="113.3311264"/>
    <n v="23.016593199999999"/>
    <x v="21"/>
  </r>
  <r>
    <n v="1219"/>
    <n v="113.32642559999999"/>
    <n v="23.021537989999999"/>
    <x v="2"/>
  </r>
  <r>
    <n v="1220"/>
    <n v="113.3314878"/>
    <n v="23.014353490000001"/>
    <x v="21"/>
  </r>
  <r>
    <n v="1221"/>
    <n v="113.32569410000001"/>
    <n v="23.021946209999999"/>
    <x v="2"/>
  </r>
  <r>
    <n v="1222"/>
    <n v="113.33147630000001"/>
    <n v="23.022309069999999"/>
    <x v="2"/>
  </r>
  <r>
    <n v="1223"/>
    <n v="113.3236745"/>
    <n v="23.017331070000001"/>
    <x v="20"/>
  </r>
  <r>
    <n v="1224"/>
    <n v="113.32912"/>
    <n v="23.02343304"/>
    <x v="2"/>
  </r>
  <r>
    <n v="1225"/>
    <n v="113.3262739"/>
    <n v="23.021919109999999"/>
    <x v="2"/>
  </r>
  <r>
    <n v="1226"/>
    <n v="113.3284695"/>
    <n v="23.020831399999999"/>
    <x v="2"/>
  </r>
  <r>
    <n v="1227"/>
    <n v="113.3293585"/>
    <n v="23.0231767"/>
    <x v="2"/>
  </r>
  <r>
    <n v="1228"/>
    <n v="113.3315983"/>
    <n v="23.01817063"/>
    <x v="21"/>
  </r>
  <r>
    <n v="1229"/>
    <n v="113.3309276"/>
    <n v="23.018687669999998"/>
    <x v="21"/>
  </r>
  <r>
    <n v="1230"/>
    <n v="113.3313917"/>
    <n v="23.01815203"/>
    <x v="21"/>
  </r>
  <r>
    <n v="1231"/>
    <n v="113.3295607"/>
    <n v="23.014479080000001"/>
    <x v="20"/>
  </r>
  <r>
    <n v="1232"/>
    <n v="113.3282614"/>
    <n v="23.01369888"/>
    <x v="20"/>
  </r>
  <r>
    <n v="1233"/>
    <n v="113.3309429"/>
    <n v="23.01412062"/>
    <x v="21"/>
  </r>
  <r>
    <n v="1234"/>
    <n v="113.327172"/>
    <n v="23.023335790000001"/>
    <x v="2"/>
  </r>
  <r>
    <n v="1235"/>
    <n v="113.3295102"/>
    <n v="23.023270369999999"/>
    <x v="2"/>
  </r>
  <r>
    <n v="1236"/>
    <n v="113.33142170000001"/>
    <n v="23.018028019999999"/>
    <x v="21"/>
  </r>
  <r>
    <n v="1237"/>
    <n v="113.3307746"/>
    <n v="23.0234509"/>
    <x v="2"/>
  </r>
  <r>
    <n v="1238"/>
    <n v="113.33275709999999"/>
    <n v="23.016911"/>
    <x v="21"/>
  </r>
  <r>
    <n v="1239"/>
    <n v="113.33768019999999"/>
    <n v="23.018303280000001"/>
    <x v="21"/>
  </r>
  <r>
    <n v="1240"/>
    <n v="113.3365675"/>
    <n v="23.017311750000001"/>
    <x v="21"/>
  </r>
  <r>
    <n v="1241"/>
    <n v="113.3376872"/>
    <n v="23.01876807"/>
    <x v="21"/>
  </r>
  <r>
    <n v="1242"/>
    <n v="113.3351724"/>
    <n v="23.014355599999998"/>
    <x v="21"/>
  </r>
  <r>
    <n v="1243"/>
    <n v="113.3374785"/>
    <n v="23.02012586"/>
    <x v="21"/>
  </r>
  <r>
    <n v="1244"/>
    <n v="113.33872820000001"/>
    <n v="23.018293379999999"/>
    <x v="21"/>
  </r>
  <r>
    <n v="1245"/>
    <n v="113.33461610000001"/>
    <n v="23.02049598"/>
    <x v="21"/>
  </r>
  <r>
    <n v="1246"/>
    <n v="113.33401449999999"/>
    <n v="23.017541380000001"/>
    <x v="21"/>
  </r>
  <r>
    <n v="1247"/>
    <n v="113.3333768"/>
    <n v="23.017205709999999"/>
    <x v="21"/>
  </r>
  <r>
    <n v="1248"/>
    <n v="113.33852570000001"/>
    <n v="23.016554500000002"/>
    <x v="21"/>
  </r>
  <r>
    <n v="1249"/>
    <n v="113.34020940000001"/>
    <n v="23.018045820000001"/>
    <x v="21"/>
  </r>
  <r>
    <n v="1250"/>
    <n v="113.3359219"/>
    <n v="23.01513388"/>
    <x v="21"/>
  </r>
  <r>
    <n v="1251"/>
    <n v="113.3337981"/>
    <n v="23.015737560000002"/>
    <x v="21"/>
  </r>
  <r>
    <n v="1252"/>
    <n v="113.3377131"/>
    <n v="23.018760029999999"/>
    <x v="21"/>
  </r>
  <r>
    <n v="1253"/>
    <n v="113.33614350000001"/>
    <n v="23.01451574"/>
    <x v="21"/>
  </r>
  <r>
    <n v="1254"/>
    <n v="113.33392569999999"/>
    <n v="23.01679386"/>
    <x v="21"/>
  </r>
  <r>
    <n v="1255"/>
    <n v="113.33295870000001"/>
    <n v="23.016187930000001"/>
    <x v="21"/>
  </r>
  <r>
    <n v="1256"/>
    <n v="113.3336123"/>
    <n v="23.017462160000001"/>
    <x v="21"/>
  </r>
  <r>
    <n v="1257"/>
    <n v="113.3351704"/>
    <n v="23.014354610000002"/>
    <x v="21"/>
  </r>
  <r>
    <n v="1258"/>
    <n v="113.3328909"/>
    <n v="23.015809220000001"/>
    <x v="21"/>
  </r>
  <r>
    <n v="1259"/>
    <n v="113.3348989"/>
    <n v="23.014892880000001"/>
    <x v="21"/>
  </r>
  <r>
    <n v="1260"/>
    <n v="113.33451669999999"/>
    <n v="23.014225880000001"/>
    <x v="21"/>
  </r>
  <r>
    <n v="1261"/>
    <n v="113.33991109999999"/>
    <n v="23.016339089999999"/>
    <x v="21"/>
  </r>
  <r>
    <n v="1262"/>
    <n v="113.3338838"/>
    <n v="23.016642010000002"/>
    <x v="21"/>
  </r>
  <r>
    <n v="1263"/>
    <n v="113.332296"/>
    <n v="23.01702182"/>
    <x v="21"/>
  </r>
  <r>
    <n v="1264"/>
    <n v="113.3347014"/>
    <n v="23.014404450000001"/>
    <x v="21"/>
  </r>
  <r>
    <n v="1265"/>
    <n v="113.33214030000001"/>
    <n v="23.01686917"/>
    <x v="21"/>
  </r>
  <r>
    <n v="1266"/>
    <n v="113.3325316"/>
    <n v="23.01629969"/>
    <x v="21"/>
  </r>
  <r>
    <n v="1267"/>
    <n v="113.33242970000001"/>
    <n v="23.017016569999999"/>
    <x v="21"/>
  </r>
  <r>
    <n v="1268"/>
    <n v="113.3390946"/>
    <n v="23.017022269999998"/>
    <x v="21"/>
  </r>
  <r>
    <n v="1269"/>
    <n v="113.3337652"/>
    <n v="23.014880990000002"/>
    <x v="21"/>
  </r>
  <r>
    <n v="1270"/>
    <n v="113.3393252"/>
    <n v="23.016513069999998"/>
    <x v="21"/>
  </r>
  <r>
    <n v="1271"/>
    <n v="113.3346478"/>
    <n v="23.02360358"/>
    <x v="2"/>
  </r>
  <r>
    <n v="1272"/>
    <n v="113.3374975"/>
    <n v="23.020107840000001"/>
    <x v="21"/>
  </r>
  <r>
    <n v="1273"/>
    <n v="113.3394461"/>
    <n v="23.014666649999999"/>
    <x v="21"/>
  </r>
  <r>
    <n v="1274"/>
    <n v="113.33568529999999"/>
    <n v="23.015858999999999"/>
    <x v="21"/>
  </r>
  <r>
    <n v="1275"/>
    <n v="113.33338980000001"/>
    <n v="23.016876830000001"/>
    <x v="21"/>
  </r>
  <r>
    <n v="1276"/>
    <n v="113.3319328"/>
    <n v="23.01501537"/>
    <x v="21"/>
  </r>
  <r>
    <n v="1277"/>
    <n v="113.33267789999999"/>
    <n v="23.021391210000001"/>
    <x v="2"/>
  </r>
  <r>
    <n v="1278"/>
    <n v="113.33363749999999"/>
    <n v="23.0142515"/>
    <x v="21"/>
  </r>
  <r>
    <n v="1279"/>
    <n v="113.3337363"/>
    <n v="23.01447722"/>
    <x v="21"/>
  </r>
  <r>
    <n v="1280"/>
    <n v="113.34120369999999"/>
    <n v="23.01460453"/>
    <x v="21"/>
  </r>
  <r>
    <n v="1281"/>
    <n v="113.3317139"/>
    <n v="23.021003189999998"/>
    <x v="2"/>
  </r>
  <r>
    <n v="1282"/>
    <n v="113.3326343"/>
    <n v="23.01657337"/>
    <x v="21"/>
  </r>
  <r>
    <n v="1283"/>
    <n v="113.3323455"/>
    <n v="23.022295440000001"/>
    <x v="2"/>
  </r>
  <r>
    <n v="1284"/>
    <n v="113.34129059999999"/>
    <n v="23.013885689999999"/>
    <x v="21"/>
  </r>
  <r>
    <n v="1285"/>
    <n v="113.3363452"/>
    <n v="23.013859650000001"/>
    <x v="21"/>
  </r>
  <r>
    <n v="1286"/>
    <n v="113.33241080000001"/>
    <n v="23.016868670000001"/>
    <x v="21"/>
  </r>
  <r>
    <n v="1287"/>
    <n v="113.33938019999999"/>
    <n v="23.015467430000001"/>
    <x v="21"/>
  </r>
  <r>
    <n v="1288"/>
    <n v="113.3336594"/>
    <n v="23.014144510000001"/>
    <x v="21"/>
  </r>
  <r>
    <n v="1289"/>
    <n v="113.3392934"/>
    <n v="23.014567970000002"/>
    <x v="21"/>
  </r>
  <r>
    <n v="1290"/>
    <n v="113.33288779999999"/>
    <n v="23.017273599999999"/>
    <x v="21"/>
  </r>
  <r>
    <n v="1291"/>
    <n v="113.3421197"/>
    <n v="23.01977467"/>
    <x v="21"/>
  </r>
  <r>
    <n v="1292"/>
    <n v="113.3446213"/>
    <n v="23.015635100000001"/>
    <x v="21"/>
  </r>
  <r>
    <n v="1293"/>
    <n v="113.3454868"/>
    <n v="23.015013880000001"/>
    <x v="21"/>
  </r>
  <r>
    <n v="1294"/>
    <n v="113.3447741"/>
    <n v="23.015233009999999"/>
    <x v="21"/>
  </r>
  <r>
    <n v="1295"/>
    <n v="113.3441353"/>
    <n v="23.01443446"/>
    <x v="21"/>
  </r>
  <r>
    <n v="1296"/>
    <n v="113.3455817"/>
    <n v="23.014197079999999"/>
    <x v="21"/>
  </r>
  <r>
    <n v="1297"/>
    <n v="113.3436042"/>
    <n v="23.014933169999999"/>
    <x v="21"/>
  </r>
  <r>
    <n v="1298"/>
    <n v="113.35051300000001"/>
    <n v="23.015490329999999"/>
    <x v="21"/>
  </r>
  <r>
    <n v="1299"/>
    <n v="113.3417627"/>
    <n v="23.014541569999999"/>
    <x v="21"/>
  </r>
  <r>
    <n v="1300"/>
    <n v="113.34965149999999"/>
    <n v="23.015054920000001"/>
    <x v="21"/>
  </r>
  <r>
    <n v="1301"/>
    <n v="113.3443709"/>
    <n v="23.014422060000001"/>
    <x v="21"/>
  </r>
  <r>
    <n v="1302"/>
    <n v="113.3496853"/>
    <n v="23.016625179999998"/>
    <x v="21"/>
  </r>
  <r>
    <n v="1303"/>
    <n v="113.35764810000001"/>
    <n v="23.02163779"/>
    <x v="17"/>
  </r>
  <r>
    <n v="1304"/>
    <n v="113.3537295"/>
    <n v="23.017867240000001"/>
    <x v="21"/>
  </r>
  <r>
    <n v="1305"/>
    <n v="113.3610065"/>
    <n v="23.018224589999999"/>
    <x v="22"/>
  </r>
  <r>
    <n v="1306"/>
    <n v="113.35512850000001"/>
    <n v="23.013799880000001"/>
    <x v="22"/>
  </r>
  <r>
    <n v="1307"/>
    <n v="113.3563126"/>
    <n v="23.014472829999999"/>
    <x v="22"/>
  </r>
  <r>
    <n v="1308"/>
    <n v="113.3556188"/>
    <n v="23.01393109"/>
    <x v="22"/>
  </r>
  <r>
    <n v="1309"/>
    <n v="113.3525416"/>
    <n v="23.015632050000001"/>
    <x v="21"/>
  </r>
  <r>
    <n v="1310"/>
    <n v="113.3589587"/>
    <n v="23.014378059999999"/>
    <x v="22"/>
  </r>
  <r>
    <n v="1311"/>
    <n v="113.3637717"/>
    <n v="23.019369489999999"/>
    <x v="22"/>
  </r>
  <r>
    <n v="1312"/>
    <n v="113.3679858"/>
    <n v="23.015356180000001"/>
    <x v="22"/>
  </r>
  <r>
    <n v="1313"/>
    <n v="113.367024"/>
    <n v="23.014698559999999"/>
    <x v="22"/>
  </r>
  <r>
    <n v="1314"/>
    <n v="113.36780299999999"/>
    <n v="23.014952560000001"/>
    <x v="22"/>
  </r>
  <r>
    <n v="1315"/>
    <n v="113.3630857"/>
    <n v="23.018345799999999"/>
    <x v="22"/>
  </r>
  <r>
    <n v="1316"/>
    <n v="113.3680159"/>
    <n v="23.013941750000001"/>
    <x v="22"/>
  </r>
  <r>
    <n v="1317"/>
    <n v="113.3841705"/>
    <n v="23.014950750000001"/>
    <x v="4"/>
  </r>
  <r>
    <n v="1318"/>
    <n v="113.3861515"/>
    <n v="23.016177249999998"/>
    <x v="4"/>
  </r>
  <r>
    <n v="1319"/>
    <n v="113.38662530000001"/>
    <n v="23.016864739999999"/>
    <x v="4"/>
  </r>
  <r>
    <n v="1320"/>
    <n v="113.3905961"/>
    <n v="23.018830510000001"/>
    <x v="4"/>
  </r>
  <r>
    <n v="1321"/>
    <n v="113.3841735"/>
    <n v="23.014658870000002"/>
    <x v="4"/>
  </r>
  <r>
    <n v="1322"/>
    <n v="113.382328"/>
    <n v="23.02079827"/>
    <x v="4"/>
  </r>
  <r>
    <n v="1323"/>
    <n v="113.38852079999999"/>
    <n v="23.014991810000001"/>
    <x v="4"/>
  </r>
  <r>
    <n v="1324"/>
    <n v="113.3904114"/>
    <n v="23.014898259999999"/>
    <x v="4"/>
  </r>
  <r>
    <n v="1325"/>
    <n v="113.3837501"/>
    <n v="23.022924530000001"/>
    <x v="4"/>
  </r>
  <r>
    <n v="1326"/>
    <n v="113.3907164"/>
    <n v="23.013723689999999"/>
    <x v="4"/>
  </r>
  <r>
    <n v="1327"/>
    <n v="113.38627750000001"/>
    <n v="23.01629114"/>
    <x v="4"/>
  </r>
  <r>
    <n v="1328"/>
    <n v="113.3840355"/>
    <n v="23.014797890000001"/>
    <x v="4"/>
  </r>
  <r>
    <n v="1329"/>
    <n v="113.3825488"/>
    <n v="23.022328470000001"/>
    <x v="4"/>
  </r>
  <r>
    <n v="1330"/>
    <n v="113.38621550000001"/>
    <n v="23.01634215"/>
    <x v="4"/>
  </r>
  <r>
    <n v="1331"/>
    <n v="113.392135"/>
    <n v="23.016724060000001"/>
    <x v="4"/>
  </r>
  <r>
    <n v="1332"/>
    <n v="113.39209870000001"/>
    <n v="23.020409480000001"/>
    <x v="4"/>
  </r>
  <r>
    <n v="1333"/>
    <n v="113.392066"/>
    <n v="23.016329249999998"/>
    <x v="4"/>
  </r>
  <r>
    <n v="1334"/>
    <n v="113.39631850000001"/>
    <n v="23.022853959999999"/>
    <x v="4"/>
  </r>
  <r>
    <n v="1335"/>
    <n v="113.4096806"/>
    <n v="23.01615361"/>
    <x v="4"/>
  </r>
  <r>
    <n v="1336"/>
    <n v="113.2557237"/>
    <n v="23.009061119999998"/>
    <x v="23"/>
  </r>
  <r>
    <n v="1337"/>
    <n v="113.2609695"/>
    <n v="23.006437519999999"/>
    <x v="23"/>
  </r>
  <r>
    <n v="1338"/>
    <n v="113.2532052"/>
    <n v="23.004315120000001"/>
    <x v="23"/>
  </r>
  <r>
    <n v="1339"/>
    <n v="113.2556416"/>
    <n v="23.00984781"/>
    <x v="23"/>
  </r>
  <r>
    <n v="1340"/>
    <n v="113.26311579999999"/>
    <n v="23.006756970000001"/>
    <x v="23"/>
  </r>
  <r>
    <n v="1341"/>
    <n v="113.2747734"/>
    <n v="23.01152948"/>
    <x v="18"/>
  </r>
  <r>
    <n v="1342"/>
    <n v="113.2737166"/>
    <n v="23.012840050000001"/>
    <x v="18"/>
  </r>
  <r>
    <n v="1343"/>
    <n v="113.27424999999999"/>
    <n v="23.013585160000002"/>
    <x v="18"/>
  </r>
  <r>
    <n v="1344"/>
    <n v="113.2865079"/>
    <n v="23.010745020000002"/>
    <x v="18"/>
  </r>
  <r>
    <n v="1345"/>
    <n v="113.2887063"/>
    <n v="23.012494069999999"/>
    <x v="18"/>
  </r>
  <r>
    <n v="1346"/>
    <n v="113.2892284"/>
    <n v="23.012708199999999"/>
    <x v="18"/>
  </r>
  <r>
    <n v="1347"/>
    <n v="113.2871138"/>
    <n v="23.01332704"/>
    <x v="18"/>
  </r>
  <r>
    <n v="1348"/>
    <n v="113.2819379"/>
    <n v="23.010474370000001"/>
    <x v="18"/>
  </r>
  <r>
    <n v="1349"/>
    <n v="113.29067619999999"/>
    <n v="23.009634349999999"/>
    <x v="18"/>
  </r>
  <r>
    <n v="1350"/>
    <n v="113.2916554"/>
    <n v="23.01166396"/>
    <x v="18"/>
  </r>
  <r>
    <n v="1351"/>
    <n v="113.29851530000001"/>
    <n v="23.01049635"/>
    <x v="19"/>
  </r>
  <r>
    <n v="1352"/>
    <n v="113.2981679"/>
    <n v="23.01122462"/>
    <x v="19"/>
  </r>
  <r>
    <n v="1353"/>
    <n v="113.2992629"/>
    <n v="23.010158229999998"/>
    <x v="19"/>
  </r>
  <r>
    <n v="1354"/>
    <n v="113.2939085"/>
    <n v="23.0110037"/>
    <x v="19"/>
  </r>
  <r>
    <n v="1355"/>
    <n v="113.2982177"/>
    <n v="23.01248399"/>
    <x v="19"/>
  </r>
  <r>
    <n v="1356"/>
    <n v="113.2972565"/>
    <n v="23.012311669999999"/>
    <x v="19"/>
  </r>
  <r>
    <n v="1357"/>
    <n v="113.29293730000001"/>
    <n v="23.010759350000001"/>
    <x v="19"/>
  </r>
  <r>
    <n v="1358"/>
    <n v="113.3007262"/>
    <n v="23.00960495"/>
    <x v="19"/>
  </r>
  <r>
    <n v="1359"/>
    <n v="113.3004938"/>
    <n v="23.006971490000002"/>
    <x v="19"/>
  </r>
  <r>
    <n v="1360"/>
    <n v="113.2970598"/>
    <n v="23.012197050000001"/>
    <x v="19"/>
  </r>
  <r>
    <n v="1361"/>
    <n v="113.2940842"/>
    <n v="23.011279300000002"/>
    <x v="19"/>
  </r>
  <r>
    <n v="1362"/>
    <n v="113.298543"/>
    <n v="23.01298122"/>
    <x v="19"/>
  </r>
  <r>
    <n v="1363"/>
    <n v="113.2929252"/>
    <n v="23.011422079999999"/>
    <x v="19"/>
  </r>
  <r>
    <n v="1364"/>
    <n v="113.2980809"/>
    <n v="23.01273011"/>
    <x v="19"/>
  </r>
  <r>
    <n v="1365"/>
    <n v="113.298597"/>
    <n v="23.012623290000001"/>
    <x v="19"/>
  </r>
  <r>
    <n v="1366"/>
    <n v="113.2997249"/>
    <n v="23.012797299999999"/>
    <x v="19"/>
  </r>
  <r>
    <n v="1367"/>
    <n v="113.2927164"/>
    <n v="23.013684430000001"/>
    <x v="18"/>
  </r>
  <r>
    <n v="1368"/>
    <n v="113.29214450000001"/>
    <n v="23.01276073"/>
    <x v="18"/>
  </r>
  <r>
    <n v="1369"/>
    <n v="113.30167640000001"/>
    <n v="23.00977323"/>
    <x v="19"/>
  </r>
  <r>
    <n v="1370"/>
    <n v="113.3012576"/>
    <n v="23.00388551"/>
    <x v="19"/>
  </r>
  <r>
    <n v="1371"/>
    <n v="113.2970558"/>
    <n v="23.01224204"/>
    <x v="19"/>
  </r>
  <r>
    <n v="1372"/>
    <n v="113.298598"/>
    <n v="23.012656270000001"/>
    <x v="19"/>
  </r>
  <r>
    <n v="1373"/>
    <n v="113.3017083"/>
    <n v="23.01030295"/>
    <x v="19"/>
  </r>
  <r>
    <n v="1374"/>
    <n v="113.3014711"/>
    <n v="23.004189010000001"/>
    <x v="19"/>
  </r>
  <r>
    <n v="1375"/>
    <n v="113.3013873"/>
    <n v="23.00442005"/>
    <x v="19"/>
  </r>
  <r>
    <n v="1376"/>
    <n v="113.30703029999999"/>
    <n v="23.00527464"/>
    <x v="19"/>
  </r>
  <r>
    <n v="1377"/>
    <n v="113.3063033"/>
    <n v="23.011633209999999"/>
    <x v="19"/>
  </r>
  <r>
    <n v="1378"/>
    <n v="113.3092056"/>
    <n v="23.010819260000002"/>
    <x v="19"/>
  </r>
  <r>
    <n v="1379"/>
    <n v="113.3106397"/>
    <n v="23.01057471"/>
    <x v="19"/>
  </r>
  <r>
    <n v="1380"/>
    <n v="113.3037712"/>
    <n v="23.011770680000001"/>
    <x v="19"/>
  </r>
  <r>
    <n v="1381"/>
    <n v="113.30432209999999"/>
    <n v="23.01235745"/>
    <x v="19"/>
  </r>
  <r>
    <n v="1382"/>
    <n v="113.3019597"/>
    <n v="23.011154139999999"/>
    <x v="19"/>
  </r>
  <r>
    <n v="1383"/>
    <n v="113.3020975"/>
    <n v="23.011378799999999"/>
    <x v="19"/>
  </r>
  <r>
    <n v="1384"/>
    <n v="113.3017783"/>
    <n v="23.007670959999999"/>
    <x v="19"/>
  </r>
  <r>
    <n v="1385"/>
    <n v="113.30185"/>
    <n v="23.0103027"/>
    <x v="19"/>
  </r>
  <r>
    <n v="1386"/>
    <n v="113.3046095"/>
    <n v="23.012724779999999"/>
    <x v="19"/>
  </r>
  <r>
    <n v="1387"/>
    <n v="113.30596679999999"/>
    <n v="23.013693920000001"/>
    <x v="19"/>
  </r>
  <r>
    <n v="1388"/>
    <n v="113.3081734"/>
    <n v="23.01361494"/>
    <x v="1"/>
  </r>
  <r>
    <n v="1389"/>
    <n v="113.30400469999999"/>
    <n v="23.013120690000001"/>
    <x v="19"/>
  </r>
  <r>
    <n v="1390"/>
    <n v="113.3030567"/>
    <n v="23.011011280000002"/>
    <x v="19"/>
  </r>
  <r>
    <n v="1391"/>
    <n v="113.3020356"/>
    <n v="23.011705769999999"/>
    <x v="19"/>
  </r>
  <r>
    <n v="1392"/>
    <n v="113.3018794"/>
    <n v="23.004307239999999"/>
    <x v="19"/>
  </r>
  <r>
    <n v="1393"/>
    <n v="113.3019413"/>
    <n v="23.003774369999999"/>
    <x v="19"/>
  </r>
  <r>
    <n v="1394"/>
    <n v="113.30548779999999"/>
    <n v="23.01278018"/>
    <x v="19"/>
  </r>
  <r>
    <n v="1395"/>
    <n v="113.3035766"/>
    <n v="23.01140019"/>
    <x v="19"/>
  </r>
  <r>
    <n v="1396"/>
    <n v="113.30276619999999"/>
    <n v="23.010464030000001"/>
    <x v="19"/>
  </r>
  <r>
    <n v="1397"/>
    <n v="113.3051165"/>
    <n v="23.01307972"/>
    <x v="19"/>
  </r>
  <r>
    <n v="1398"/>
    <n v="113.3017083"/>
    <n v="23.01030295"/>
    <x v="19"/>
  </r>
  <r>
    <n v="1399"/>
    <n v="113.30400469999999"/>
    <n v="23.013120690000001"/>
    <x v="19"/>
  </r>
  <r>
    <n v="1400"/>
    <n v="113.3187411"/>
    <n v="23.011441049999998"/>
    <x v="20"/>
  </r>
  <r>
    <n v="1401"/>
    <n v="113.3191085"/>
    <n v="23.00927029"/>
    <x v="20"/>
  </r>
  <r>
    <n v="1402"/>
    <n v="113.31456180000001"/>
    <n v="23.010158539999999"/>
    <x v="20"/>
  </r>
  <r>
    <n v="1403"/>
    <n v="113.318338"/>
    <n v="23.010744119999998"/>
    <x v="20"/>
  </r>
  <r>
    <n v="1404"/>
    <n v="113.3125909"/>
    <n v="23.00914169"/>
    <x v="20"/>
  </r>
  <r>
    <n v="1405"/>
    <n v="113.31912130000001"/>
    <n v="23.011135459999998"/>
    <x v="20"/>
  </r>
  <r>
    <n v="1406"/>
    <n v="113.319309"/>
    <n v="23.009908630000002"/>
    <x v="20"/>
  </r>
  <r>
    <n v="1407"/>
    <n v="113.32109629999999"/>
    <n v="23.010116119999999"/>
    <x v="20"/>
  </r>
  <r>
    <n v="1408"/>
    <n v="113.31968209999999"/>
    <n v="23.01245381"/>
    <x v="20"/>
  </r>
  <r>
    <n v="1409"/>
    <n v="113.3158569"/>
    <n v="23.013051839999999"/>
    <x v="20"/>
  </r>
  <r>
    <n v="1410"/>
    <n v="113.3199735"/>
    <n v="23.011935480000002"/>
    <x v="20"/>
  </r>
  <r>
    <n v="1411"/>
    <n v="113.3193697"/>
    <n v="23.013038160000001"/>
    <x v="20"/>
  </r>
  <r>
    <n v="1412"/>
    <n v="113.3216362"/>
    <n v="23.009866200000001"/>
    <x v="20"/>
  </r>
  <r>
    <n v="1413"/>
    <n v="113.32058619999999"/>
    <n v="23.012431100000001"/>
    <x v="20"/>
  </r>
  <r>
    <n v="1414"/>
    <n v="113.319227"/>
    <n v="23.01348024"/>
    <x v="20"/>
  </r>
  <r>
    <n v="1415"/>
    <n v="113.32107329999999"/>
    <n v="23.011099739999999"/>
    <x v="20"/>
  </r>
  <r>
    <n v="1416"/>
    <n v="113.3213057"/>
    <n v="23.013284349999999"/>
    <x v="20"/>
  </r>
  <r>
    <n v="1417"/>
    <n v="113.32794939999999"/>
    <n v="23.008525710000001"/>
    <x v="20"/>
  </r>
  <r>
    <n v="1418"/>
    <n v="113.3243777"/>
    <n v="23.00776986"/>
    <x v="20"/>
  </r>
  <r>
    <n v="1419"/>
    <n v="113.32399719999999"/>
    <n v="23.011857819999999"/>
    <x v="20"/>
  </r>
  <r>
    <n v="1420"/>
    <n v="113.3244109"/>
    <n v="23.004886039999999"/>
    <x v="20"/>
  </r>
  <r>
    <n v="1421"/>
    <n v="113.32391749999999"/>
    <n v="23.011043319999999"/>
    <x v="20"/>
  </r>
  <r>
    <n v="1422"/>
    <n v="113.3285125"/>
    <n v="23.004767269999999"/>
    <x v="20"/>
  </r>
  <r>
    <n v="1423"/>
    <n v="113.3231061"/>
    <n v="23.011498679999999"/>
    <x v="20"/>
  </r>
  <r>
    <n v="1424"/>
    <n v="113.3229224"/>
    <n v="23.012786470000002"/>
    <x v="20"/>
  </r>
  <r>
    <n v="1425"/>
    <n v="113.3233017"/>
    <n v="23.011579269999999"/>
    <x v="20"/>
  </r>
  <r>
    <n v="1426"/>
    <n v="113.3229872"/>
    <n v="23.013261140000001"/>
    <x v="20"/>
  </r>
  <r>
    <n v="1427"/>
    <n v="113.32687420000001"/>
    <n v="23.01319174"/>
    <x v="20"/>
  </r>
  <r>
    <n v="1428"/>
    <n v="113.3228221"/>
    <n v="23.00504501"/>
    <x v="20"/>
  </r>
  <r>
    <n v="1429"/>
    <n v="113.3261787"/>
    <n v="23.013317019999999"/>
    <x v="20"/>
  </r>
  <r>
    <n v="1430"/>
    <n v="113.3230002"/>
    <n v="23.012984240000002"/>
    <x v="20"/>
  </r>
  <r>
    <n v="1431"/>
    <n v="113.32533239999999"/>
    <n v="23.013359609999998"/>
    <x v="20"/>
  </r>
  <r>
    <n v="1432"/>
    <n v="113.32787519999999"/>
    <n v="23.01341674"/>
    <x v="20"/>
  </r>
  <r>
    <n v="1433"/>
    <n v="113.3230721"/>
    <n v="23.012263409999999"/>
    <x v="20"/>
  </r>
  <r>
    <n v="1434"/>
    <n v="113.3267565"/>
    <n v="23.013550810000002"/>
    <x v="20"/>
  </r>
  <r>
    <n v="1435"/>
    <n v="113.3219713"/>
    <n v="23.012979210000001"/>
    <x v="20"/>
  </r>
  <r>
    <n v="1436"/>
    <n v="113.33121149999999"/>
    <n v="23.011584209999999"/>
    <x v="21"/>
  </r>
  <r>
    <n v="1437"/>
    <n v="113.3286506"/>
    <n v="23.013630169999999"/>
    <x v="20"/>
  </r>
  <r>
    <n v="1438"/>
    <n v="113.3256118"/>
    <n v="23.013388070000001"/>
    <x v="20"/>
  </r>
  <r>
    <n v="1439"/>
    <n v="113.3220403"/>
    <n v="23.012038480000001"/>
    <x v="20"/>
  </r>
  <r>
    <n v="1440"/>
    <n v="113.3219045"/>
    <n v="23.012515539999999"/>
    <x v="20"/>
  </r>
  <r>
    <n v="1441"/>
    <n v="113.3296811"/>
    <n v="23.00428526"/>
    <x v="20"/>
  </r>
  <r>
    <n v="1442"/>
    <n v="113.3225812"/>
    <n v="23.011616629999999"/>
    <x v="20"/>
  </r>
  <r>
    <n v="1443"/>
    <n v="113.33088309999999"/>
    <n v="23.013648929999999"/>
    <x v="21"/>
  </r>
  <r>
    <n v="1444"/>
    <n v="113.3283338"/>
    <n v="23.00563223"/>
    <x v="20"/>
  </r>
  <r>
    <n v="1445"/>
    <n v="113.3231834"/>
    <n v="23.00553811"/>
    <x v="20"/>
  </r>
  <r>
    <n v="1446"/>
    <n v="113.33817000000001"/>
    <n v="23.007764949999999"/>
    <x v="21"/>
  </r>
  <r>
    <n v="1447"/>
    <n v="113.3370912"/>
    <n v="23.006984259999999"/>
    <x v="21"/>
  </r>
  <r>
    <n v="1448"/>
    <n v="113.3371429"/>
    <n v="23.009285169999998"/>
    <x v="21"/>
  </r>
  <r>
    <n v="1449"/>
    <n v="113.3352416"/>
    <n v="23.009261680000002"/>
    <x v="21"/>
  </r>
  <r>
    <n v="1450"/>
    <n v="113.3345132"/>
    <n v="23.008027559999999"/>
    <x v="21"/>
  </r>
  <r>
    <n v="1451"/>
    <n v="113.33909319999999"/>
    <n v="23.008553930000001"/>
    <x v="21"/>
  </r>
  <r>
    <n v="1452"/>
    <n v="113.3351637"/>
    <n v="23.010176430000001"/>
    <x v="21"/>
  </r>
  <r>
    <n v="1453"/>
    <n v="113.3383985"/>
    <n v="23.0080654"/>
    <x v="21"/>
  </r>
  <r>
    <n v="1454"/>
    <n v="113.3346098"/>
    <n v="23.010100489999999"/>
    <x v="21"/>
  </r>
  <r>
    <n v="1455"/>
    <n v="113.3349072"/>
    <n v="23.010531749999998"/>
    <x v="21"/>
  </r>
  <r>
    <n v="1456"/>
    <n v="113.3343773"/>
    <n v="23.010042940000002"/>
    <x v="21"/>
  </r>
  <r>
    <n v="1457"/>
    <n v="113.33828459999999"/>
    <n v="23.011257229999998"/>
    <x v="21"/>
  </r>
  <r>
    <n v="1458"/>
    <n v="113.33791720000001"/>
    <n v="23.011771679999999"/>
    <x v="21"/>
  </r>
  <r>
    <n v="1459"/>
    <n v="113.3376188"/>
    <n v="23.012446929999999"/>
    <x v="21"/>
  </r>
  <r>
    <n v="1460"/>
    <n v="113.33833970000001"/>
    <n v="23.008158470000001"/>
    <x v="21"/>
  </r>
  <r>
    <n v="1461"/>
    <n v="113.3360538"/>
    <n v="23.012849630000002"/>
    <x v="21"/>
  </r>
  <r>
    <n v="1462"/>
    <n v="113.3390703"/>
    <n v="23.006918679999998"/>
    <x v="21"/>
  </r>
  <r>
    <n v="1463"/>
    <n v="113.3335209"/>
    <n v="23.011097079999999"/>
    <x v="21"/>
  </r>
  <r>
    <n v="1464"/>
    <n v="113.3350999"/>
    <n v="23.010257509999999"/>
    <x v="21"/>
  </r>
  <r>
    <n v="1465"/>
    <n v="113.3361855"/>
    <n v="23.013560080000001"/>
    <x v="21"/>
  </r>
  <r>
    <n v="1466"/>
    <n v="113.3389128"/>
    <n v="23.004597969999999"/>
    <x v="24"/>
  </r>
  <r>
    <n v="1467"/>
    <n v="113.33291699999999"/>
    <n v="23.013325250000001"/>
    <x v="21"/>
  </r>
  <r>
    <n v="1468"/>
    <n v="113.3413595"/>
    <n v="23.013294819999999"/>
    <x v="21"/>
  </r>
  <r>
    <n v="1469"/>
    <n v="113.3354102"/>
    <n v="23.011274490000002"/>
    <x v="21"/>
  </r>
  <r>
    <n v="1470"/>
    <n v="113.3347693"/>
    <n v="23.013047920000002"/>
    <x v="21"/>
  </r>
  <r>
    <n v="1471"/>
    <n v="113.3348302"/>
    <n v="23.012860880000002"/>
    <x v="21"/>
  </r>
  <r>
    <n v="1472"/>
    <n v="113.336446"/>
    <n v="23.013478630000002"/>
    <x v="21"/>
  </r>
  <r>
    <n v="1473"/>
    <n v="113.3345948"/>
    <n v="23.010934150000001"/>
    <x v="21"/>
  </r>
  <r>
    <n v="1474"/>
    <n v="113.3362843"/>
    <n v="23.01357089"/>
    <x v="21"/>
  </r>
  <r>
    <n v="1475"/>
    <n v="113.3335687"/>
    <n v="23.012571359999999"/>
    <x v="21"/>
  </r>
  <r>
    <n v="1476"/>
    <n v="113.3479047"/>
    <n v="23.01254587"/>
    <x v="21"/>
  </r>
  <r>
    <n v="1477"/>
    <n v="113.344977"/>
    <n v="23.0105127"/>
    <x v="21"/>
  </r>
  <r>
    <n v="1478"/>
    <n v="113.34452690000001"/>
    <n v="23.010131640000001"/>
    <x v="21"/>
  </r>
  <r>
    <n v="1479"/>
    <n v="113.34365440000001"/>
    <n v="23.01124068"/>
    <x v="21"/>
  </r>
  <r>
    <n v="1480"/>
    <n v="113.34311150000001"/>
    <n v="23.009923189999999"/>
    <x v="21"/>
  </r>
  <r>
    <n v="1481"/>
    <n v="113.34326419999999"/>
    <n v="23.009674029999999"/>
    <x v="21"/>
  </r>
  <r>
    <n v="1482"/>
    <n v="113.343351"/>
    <n v="23.010881359999999"/>
    <x v="21"/>
  </r>
  <r>
    <n v="1483"/>
    <n v="113.343317"/>
    <n v="23.01110332"/>
    <x v="21"/>
  </r>
  <r>
    <n v="1484"/>
    <n v="113.34207739999999"/>
    <n v="23.010407799999999"/>
    <x v="21"/>
  </r>
  <r>
    <n v="1485"/>
    <n v="113.3420186"/>
    <n v="23.00956527"/>
    <x v="21"/>
  </r>
  <r>
    <n v="1486"/>
    <n v="113.3458648"/>
    <n v="23.004261889999999"/>
    <x v="24"/>
  </r>
  <r>
    <n v="1487"/>
    <n v="113.34760009999999"/>
    <n v="23.013517960000001"/>
    <x v="21"/>
  </r>
  <r>
    <n v="1488"/>
    <n v="113.345474"/>
    <n v="23.013030759999999"/>
    <x v="21"/>
  </r>
  <r>
    <n v="1489"/>
    <n v="113.3444494"/>
    <n v="23.003885480000001"/>
    <x v="24"/>
  </r>
  <r>
    <n v="1490"/>
    <n v="113.3420783"/>
    <n v="23.011795200000002"/>
    <x v="21"/>
  </r>
  <r>
    <n v="1491"/>
    <n v="113.34511019999999"/>
    <n v="23.003685430000001"/>
    <x v="24"/>
  </r>
  <r>
    <n v="1492"/>
    <n v="113.3455538"/>
    <n v="23.013469440000001"/>
    <x v="21"/>
  </r>
  <r>
    <n v="1493"/>
    <n v="113.3556907"/>
    <n v="23.01332124"/>
    <x v="22"/>
  </r>
  <r>
    <n v="1494"/>
    <n v="113.3570647"/>
    <n v="23.011642949999999"/>
    <x v="22"/>
  </r>
  <r>
    <n v="1495"/>
    <n v="113.3585515"/>
    <n v="23.011933689999999"/>
    <x v="22"/>
  </r>
  <r>
    <n v="1496"/>
    <n v="113.3530839"/>
    <n v="23.0124216"/>
    <x v="22"/>
  </r>
  <r>
    <n v="1497"/>
    <n v="113.3576029"/>
    <n v="23.011779109999999"/>
    <x v="22"/>
  </r>
  <r>
    <n v="1498"/>
    <n v="113.3602599"/>
    <n v="23.012956880000001"/>
    <x v="22"/>
  </r>
  <r>
    <n v="1499"/>
    <n v="113.35930430000001"/>
    <n v="23.013387009999999"/>
    <x v="22"/>
  </r>
  <r>
    <n v="1500"/>
    <n v="113.3602599"/>
    <n v="23.012956880000001"/>
    <x v="22"/>
  </r>
  <r>
    <n v="1501"/>
    <n v="113.3654441"/>
    <n v="23.01238944"/>
    <x v="22"/>
  </r>
  <r>
    <n v="1502"/>
    <n v="113.3650169"/>
    <n v="23.00741511"/>
    <x v="22"/>
  </r>
  <r>
    <n v="1503"/>
    <n v="113.3703325"/>
    <n v="23.010675639999999"/>
    <x v="4"/>
  </r>
  <r>
    <n v="1504"/>
    <n v="113.3632399"/>
    <n v="23.01223925"/>
    <x v="22"/>
  </r>
  <r>
    <n v="1505"/>
    <n v="113.37339849999999"/>
    <n v="23.009643029999999"/>
    <x v="4"/>
  </r>
  <r>
    <n v="1506"/>
    <n v="113.3760472"/>
    <n v="23.008866000000001"/>
    <x v="4"/>
  </r>
  <r>
    <n v="1507"/>
    <n v="113.3812056"/>
    <n v="23.007954529999999"/>
    <x v="4"/>
  </r>
  <r>
    <n v="1508"/>
    <n v="113.38092349999999"/>
    <n v="23.01106137"/>
    <x v="4"/>
  </r>
  <r>
    <n v="1509"/>
    <n v="113.3787071"/>
    <n v="23.009625549999999"/>
    <x v="4"/>
  </r>
  <r>
    <n v="1510"/>
    <n v="113.3786552"/>
    <n v="23.009284730000001"/>
    <x v="4"/>
  </r>
  <r>
    <n v="1511"/>
    <n v="113.3795006"/>
    <n v="23.00944505"/>
    <x v="4"/>
  </r>
  <r>
    <n v="1512"/>
    <n v="113.3782045"/>
    <n v="23.0099178"/>
    <x v="4"/>
  </r>
  <r>
    <n v="1513"/>
    <n v="113.3773051"/>
    <n v="23.010997039999999"/>
    <x v="4"/>
  </r>
  <r>
    <n v="1514"/>
    <n v="113.3788083"/>
    <n v="23.006549799999998"/>
    <x v="4"/>
  </r>
  <r>
    <n v="1515"/>
    <n v="113.3754759"/>
    <n v="23.006199639999998"/>
    <x v="4"/>
  </r>
  <r>
    <n v="1516"/>
    <n v="113.3796505"/>
    <n v="23.009639849999999"/>
    <x v="4"/>
  </r>
  <r>
    <n v="1517"/>
    <n v="113.37750130000001"/>
    <n v="23.006120989999999"/>
    <x v="4"/>
  </r>
  <r>
    <n v="1518"/>
    <n v="113.3777438"/>
    <n v="23.010190040000001"/>
    <x v="4"/>
  </r>
  <r>
    <n v="1519"/>
    <n v="113.3737933"/>
    <n v="23.007159739999999"/>
    <x v="4"/>
  </r>
  <r>
    <n v="1520"/>
    <n v="113.3766845"/>
    <n v="23.01153931"/>
    <x v="4"/>
  </r>
  <r>
    <n v="1521"/>
    <n v="113.37688180000001"/>
    <n v="23.005506759999999"/>
    <x v="4"/>
  </r>
  <r>
    <n v="1522"/>
    <n v="113.3785625"/>
    <n v="23.00542647"/>
    <x v="4"/>
  </r>
  <r>
    <n v="1523"/>
    <n v="113.37978529999999"/>
    <n v="23.010814249999999"/>
    <x v="4"/>
  </r>
  <r>
    <n v="1524"/>
    <n v="113.3736495"/>
    <n v="23.006391199999999"/>
    <x v="4"/>
  </r>
  <r>
    <n v="1525"/>
    <n v="113.37598149999999"/>
    <n v="23.005056700000001"/>
    <x v="4"/>
  </r>
  <r>
    <n v="1526"/>
    <n v="113.380472"/>
    <n v="23.008937589999999"/>
    <x v="4"/>
  </r>
  <r>
    <n v="1527"/>
    <n v="113.37826870000001"/>
    <n v="23.005452680000001"/>
    <x v="4"/>
  </r>
  <r>
    <n v="1528"/>
    <n v="113.3801861"/>
    <n v="23.009491539999999"/>
    <x v="4"/>
  </r>
  <r>
    <n v="1529"/>
    <n v="113.3733088"/>
    <n v="23.00748205"/>
    <x v="4"/>
  </r>
  <r>
    <n v="1530"/>
    <n v="113.38064989999999"/>
    <n v="23.007598049999999"/>
    <x v="4"/>
  </r>
  <r>
    <n v="1531"/>
    <n v="113.37608640000001"/>
    <n v="23.005600380000001"/>
    <x v="4"/>
  </r>
  <r>
    <n v="1532"/>
    <n v="113.3811225"/>
    <n v="23.0097618"/>
    <x v="4"/>
  </r>
  <r>
    <n v="1533"/>
    <n v="113.3797307"/>
    <n v="23.005735489999999"/>
    <x v="4"/>
  </r>
  <r>
    <n v="1534"/>
    <n v="113.3784636"/>
    <n v="23.00539156"/>
    <x v="4"/>
  </r>
  <r>
    <n v="1535"/>
    <n v="113.37949690000001"/>
    <n v="23.005262859999998"/>
    <x v="4"/>
  </r>
  <r>
    <n v="1536"/>
    <n v="113.3784297"/>
    <n v="23.004293059999998"/>
    <x v="4"/>
  </r>
  <r>
    <n v="1537"/>
    <n v="113.38101279999999"/>
    <n v="23.006902109999999"/>
    <x v="4"/>
  </r>
  <r>
    <n v="1538"/>
    <n v="113.37932189999999"/>
    <n v="23.005711789999999"/>
    <x v="4"/>
  </r>
  <r>
    <n v="1539"/>
    <n v="113.3758002"/>
    <n v="23.012411669999999"/>
    <x v="4"/>
  </r>
  <r>
    <n v="1540"/>
    <n v="113.3812755"/>
    <n v="23.007875510000002"/>
    <x v="4"/>
  </r>
  <r>
    <n v="1541"/>
    <n v="113.3814083"/>
    <n v="23.009533709999999"/>
    <x v="4"/>
  </r>
  <r>
    <n v="1542"/>
    <n v="113.38023389999999"/>
    <n v="23.011672570000002"/>
    <x v="4"/>
  </r>
  <r>
    <n v="1543"/>
    <n v="113.3749375"/>
    <n v="23.00441189"/>
    <x v="4"/>
  </r>
  <r>
    <n v="1544"/>
    <n v="113.3791801"/>
    <n v="23.005245089999999"/>
    <x v="4"/>
  </r>
  <r>
    <n v="1545"/>
    <n v="113.374303"/>
    <n v="23.005852829999998"/>
    <x v="4"/>
  </r>
  <r>
    <n v="1546"/>
    <n v="113.376571"/>
    <n v="23.00526412"/>
    <x v="4"/>
  </r>
  <r>
    <n v="1547"/>
    <n v="113.37454580000001"/>
    <n v="23.004319280000001"/>
    <x v="4"/>
  </r>
  <r>
    <n v="1548"/>
    <n v="113.3810916"/>
    <n v="23.008981160000001"/>
    <x v="4"/>
  </r>
  <r>
    <n v="1549"/>
    <n v="113.37670199999999"/>
    <n v="23.004005549999999"/>
    <x v="4"/>
  </r>
  <r>
    <n v="1550"/>
    <n v="113.380627"/>
    <n v="23.006178680000001"/>
    <x v="4"/>
  </r>
  <r>
    <n v="1551"/>
    <n v="113.38123830000001"/>
    <n v="23.0118978"/>
    <x v="4"/>
  </r>
  <r>
    <n v="1552"/>
    <n v="113.3803947"/>
    <n v="23.01316581"/>
    <x v="4"/>
  </r>
  <r>
    <n v="1553"/>
    <n v="113.37312590000001"/>
    <n v="23.00876667"/>
    <x v="4"/>
  </r>
  <r>
    <n v="1554"/>
    <n v="113.378518"/>
    <n v="23.012977240000001"/>
    <x v="4"/>
  </r>
  <r>
    <n v="1555"/>
    <n v="113.3813007"/>
    <n v="23.004675880000001"/>
    <x v="4"/>
  </r>
  <r>
    <n v="1556"/>
    <n v="113.3812667"/>
    <n v="23.005294639999999"/>
    <x v="4"/>
  </r>
  <r>
    <n v="1557"/>
    <n v="113.37880130000001"/>
    <n v="23.005659189999999"/>
    <x v="4"/>
  </r>
  <r>
    <n v="1558"/>
    <n v="113.37881779999999"/>
    <n v="23.012974020000001"/>
    <x v="4"/>
  </r>
  <r>
    <n v="1559"/>
    <n v="113.3750318"/>
    <n v="23.012754189999999"/>
    <x v="4"/>
  </r>
  <r>
    <n v="1560"/>
    <n v="113.3812212"/>
    <n v="23.012887379999999"/>
    <x v="4"/>
  </r>
  <r>
    <n v="1561"/>
    <n v="113.38676169999999"/>
    <n v="23.009603819999999"/>
    <x v="4"/>
  </r>
  <r>
    <n v="1562"/>
    <n v="113.3871776"/>
    <n v="23.008680049999999"/>
    <x v="4"/>
  </r>
  <r>
    <n v="1563"/>
    <n v="113.3873346"/>
    <n v="23.008143220000001"/>
    <x v="4"/>
  </r>
  <r>
    <n v="1564"/>
    <n v="113.3887864"/>
    <n v="23.005539800000001"/>
    <x v="4"/>
  </r>
  <r>
    <n v="1565"/>
    <n v="113.3863259"/>
    <n v="23.00950405"/>
    <x v="4"/>
  </r>
  <r>
    <n v="1566"/>
    <n v="113.38562810000001"/>
    <n v="23.009932190000001"/>
    <x v="4"/>
  </r>
  <r>
    <n v="1567"/>
    <n v="113.3875716"/>
    <n v="23.007721310000001"/>
    <x v="4"/>
  </r>
  <r>
    <n v="1568"/>
    <n v="113.3858843"/>
    <n v="23.006836409999998"/>
    <x v="4"/>
  </r>
  <r>
    <n v="1569"/>
    <n v="113.3888864"/>
    <n v="23.004486230000001"/>
    <x v="4"/>
  </r>
  <r>
    <n v="1570"/>
    <n v="113.3861862"/>
    <n v="23.00641645"/>
    <x v="4"/>
  </r>
  <r>
    <n v="1571"/>
    <n v="113.38786349999999"/>
    <n v="23.007310369999999"/>
    <x v="4"/>
  </r>
  <r>
    <n v="1572"/>
    <n v="113.3839919"/>
    <n v="23.009232319999999"/>
    <x v="4"/>
  </r>
  <r>
    <n v="1573"/>
    <n v="113.3832053"/>
    <n v="23.00990346"/>
    <x v="4"/>
  </r>
  <r>
    <n v="1574"/>
    <n v="113.38221660000001"/>
    <n v="23.012748819999999"/>
    <x v="4"/>
  </r>
  <r>
    <n v="1575"/>
    <n v="113.385845"/>
    <n v="23.010731740000001"/>
    <x v="4"/>
  </r>
  <r>
    <n v="1576"/>
    <n v="113.38761359999999"/>
    <n v="23.007183520000002"/>
    <x v="4"/>
  </r>
  <r>
    <n v="1577"/>
    <n v="113.3838351"/>
    <n v="23.007392200000002"/>
    <x v="4"/>
  </r>
  <r>
    <n v="1578"/>
    <n v="113.3835643"/>
    <n v="23.007700209999999"/>
    <x v="4"/>
  </r>
  <r>
    <n v="1579"/>
    <n v="113.3862542"/>
    <n v="23.005968620000001"/>
    <x v="4"/>
  </r>
  <r>
    <n v="1580"/>
    <n v="113.3858753"/>
    <n v="23.00604375"/>
    <x v="4"/>
  </r>
  <r>
    <n v="1581"/>
    <n v="113.38270060000001"/>
    <n v="23.008677290000001"/>
    <x v="4"/>
  </r>
  <r>
    <n v="1582"/>
    <n v="113.38787840000001"/>
    <n v="23.008303940000001"/>
    <x v="4"/>
  </r>
  <r>
    <n v="1583"/>
    <n v="113.3826036"/>
    <n v="23.009635930000002"/>
    <x v="4"/>
  </r>
  <r>
    <n v="1584"/>
    <n v="113.3848198"/>
    <n v="23.006053260000002"/>
    <x v="4"/>
  </r>
  <r>
    <n v="1585"/>
    <n v="113.3843857"/>
    <n v="23.01010973"/>
    <x v="4"/>
  </r>
  <r>
    <n v="1586"/>
    <n v="113.38225679999999"/>
    <n v="23.00981006"/>
    <x v="4"/>
  </r>
  <r>
    <n v="1587"/>
    <n v="113.3849033"/>
    <n v="23.012473440000001"/>
    <x v="4"/>
  </r>
  <r>
    <n v="1588"/>
    <n v="113.3824348"/>
    <n v="23.00810869"/>
    <x v="4"/>
  </r>
  <r>
    <n v="1589"/>
    <n v="113.3817621"/>
    <n v="23.010180210000001"/>
    <x v="4"/>
  </r>
  <r>
    <n v="1590"/>
    <n v="113.381973"/>
    <n v="23.009483379999999"/>
    <x v="4"/>
  </r>
  <r>
    <n v="1591"/>
    <n v="113.381987"/>
    <n v="23.008781670000001"/>
    <x v="4"/>
  </r>
  <r>
    <n v="1592"/>
    <n v="113.38523720000001"/>
    <n v="23.011936510000002"/>
    <x v="4"/>
  </r>
  <r>
    <n v="1593"/>
    <n v="113.3854371"/>
    <n v="23.012068360000001"/>
    <x v="4"/>
  </r>
  <r>
    <n v="1594"/>
    <n v="113.3842746"/>
    <n v="23.01233083"/>
    <x v="4"/>
  </r>
  <r>
    <n v="1595"/>
    <n v="113.38181609999999"/>
    <n v="23.009505470000001"/>
    <x v="4"/>
  </r>
  <r>
    <n v="1596"/>
    <n v="113.3820851"/>
    <n v="23.007184299999999"/>
    <x v="4"/>
  </r>
  <r>
    <n v="1597"/>
    <n v="113.38161409999999"/>
    <n v="23.01070507"/>
    <x v="4"/>
  </r>
  <r>
    <n v="1598"/>
    <n v="113.38188630000001"/>
    <n v="23.006013930000002"/>
    <x v="4"/>
  </r>
  <r>
    <n v="1599"/>
    <n v="113.383388"/>
    <n v="23.012522229999998"/>
    <x v="4"/>
  </r>
  <r>
    <n v="1600"/>
    <n v="113.381609"/>
    <n v="23.012706210000001"/>
    <x v="4"/>
  </r>
  <r>
    <n v="1601"/>
    <n v="113.3817705"/>
    <n v="23.00411583"/>
    <x v="4"/>
  </r>
  <r>
    <n v="1602"/>
    <n v="113.3827458"/>
    <n v="23.00664914"/>
    <x v="4"/>
  </r>
  <r>
    <n v="1603"/>
    <n v="113.3821559"/>
    <n v="23.00904246"/>
    <x v="4"/>
  </r>
  <r>
    <n v="1604"/>
    <n v="113.39504119999999"/>
    <n v="23.011036130000001"/>
    <x v="4"/>
  </r>
  <r>
    <n v="1605"/>
    <n v="113.4009815"/>
    <n v="23.007431029999999"/>
    <x v="4"/>
  </r>
  <r>
    <n v="1606"/>
    <n v="113.3924306"/>
    <n v="23.00717714"/>
    <x v="4"/>
  </r>
  <r>
    <n v="1607"/>
    <n v="113.4014797"/>
    <n v="23.006930350000001"/>
    <x v="4"/>
  </r>
  <r>
    <n v="1608"/>
    <n v="113.4224"/>
    <n v="23.006365859999999"/>
    <x v="4"/>
  </r>
  <r>
    <n v="1609"/>
    <n v="113.4969421"/>
    <n v="23.003904599999998"/>
    <x v="6"/>
  </r>
  <r>
    <n v="1610"/>
    <n v="113.2656111"/>
    <n v="22.999798139999999"/>
    <x v="23"/>
  </r>
  <r>
    <n v="1611"/>
    <n v="113.2705699"/>
    <n v="23.002348739999999"/>
    <x v="23"/>
  </r>
  <r>
    <n v="1612"/>
    <n v="113.26562319999999"/>
    <n v="22.998164840000001"/>
    <x v="23"/>
  </r>
  <r>
    <n v="1613"/>
    <n v="113.2651237"/>
    <n v="22.997797380000002"/>
    <x v="23"/>
  </r>
  <r>
    <n v="1614"/>
    <n v="113.2656319"/>
    <n v="23.002807820000001"/>
    <x v="23"/>
  </r>
  <r>
    <n v="1615"/>
    <n v="113.2707777"/>
    <n v="23.00191173"/>
    <x v="23"/>
  </r>
  <r>
    <n v="1616"/>
    <n v="113.2633864"/>
    <n v="22.994754969999999"/>
    <x v="23"/>
  </r>
  <r>
    <n v="1617"/>
    <n v="113.26496710000001"/>
    <n v="22.99388119"/>
    <x v="23"/>
  </r>
  <r>
    <n v="1618"/>
    <n v="113.2634403"/>
    <n v="22.99480591"/>
    <x v="23"/>
  </r>
  <r>
    <n v="1619"/>
    <n v="113.2778354"/>
    <n v="22.999045410000001"/>
    <x v="23"/>
  </r>
  <r>
    <n v="1620"/>
    <n v="113.2778354"/>
    <n v="22.999045410000001"/>
    <x v="23"/>
  </r>
  <r>
    <n v="1621"/>
    <n v="113.2774617"/>
    <n v="23.000760100000001"/>
    <x v="23"/>
  </r>
  <r>
    <n v="1622"/>
    <n v="113.2852096"/>
    <n v="23.001191980000002"/>
    <x v="18"/>
  </r>
  <r>
    <n v="1623"/>
    <n v="113.2834417"/>
    <n v="22.994849139999999"/>
    <x v="23"/>
  </r>
  <r>
    <n v="1624"/>
    <n v="113.2969192"/>
    <n v="22.99618121"/>
    <x v="19"/>
  </r>
  <r>
    <n v="1625"/>
    <n v="113.2962823"/>
    <n v="22.996158269999999"/>
    <x v="19"/>
  </r>
  <r>
    <n v="1626"/>
    <n v="113.2981389"/>
    <n v="22.996024240000001"/>
    <x v="19"/>
  </r>
  <r>
    <n v="1627"/>
    <n v="113.2998228"/>
    <n v="22.996414210000001"/>
    <x v="19"/>
  </r>
  <r>
    <n v="1628"/>
    <n v="113.2959175"/>
    <n v="23.002619079999999"/>
    <x v="19"/>
  </r>
  <r>
    <n v="1629"/>
    <n v="113.3007111"/>
    <n v="22.99590091"/>
    <x v="19"/>
  </r>
  <r>
    <n v="1630"/>
    <n v="113.2967225"/>
    <n v="22.996345460000001"/>
    <x v="19"/>
  </r>
  <r>
    <n v="1631"/>
    <n v="113.3004901"/>
    <n v="23.003319080000001"/>
    <x v="19"/>
  </r>
  <r>
    <n v="1632"/>
    <n v="113.3020478"/>
    <n v="22.993721529999998"/>
    <x v="19"/>
  </r>
  <r>
    <n v="1633"/>
    <n v="113.30283009999999"/>
    <n v="22.996591909999999"/>
    <x v="19"/>
  </r>
  <r>
    <n v="1634"/>
    <n v="113.31805919999999"/>
    <n v="23.00100686"/>
    <x v="25"/>
  </r>
  <r>
    <n v="1635"/>
    <n v="113.31765300000001"/>
    <n v="23.002535980000001"/>
    <x v="20"/>
  </r>
  <r>
    <n v="1636"/>
    <n v="113.3171909"/>
    <n v="23.002460889999998"/>
    <x v="20"/>
  </r>
  <r>
    <n v="1637"/>
    <n v="113.3184534"/>
    <n v="23.000832190000001"/>
    <x v="25"/>
  </r>
  <r>
    <n v="1638"/>
    <n v="113.3180672"/>
    <n v="23.001008850000002"/>
    <x v="25"/>
  </r>
  <r>
    <n v="1639"/>
    <n v="113.3181659"/>
    <n v="23.002253119999999"/>
    <x v="20"/>
  </r>
  <r>
    <n v="1640"/>
    <n v="113.31794840000001"/>
    <n v="23.001663789999998"/>
    <x v="25"/>
  </r>
  <r>
    <n v="1641"/>
    <n v="113.3281796"/>
    <n v="22.997949850000001"/>
    <x v="25"/>
  </r>
  <r>
    <n v="1642"/>
    <n v="113.3295538"/>
    <n v="22.998384049999999"/>
    <x v="25"/>
  </r>
  <r>
    <n v="1643"/>
    <n v="113.3253455"/>
    <n v="22.996056070000002"/>
    <x v="25"/>
  </r>
  <r>
    <n v="1644"/>
    <n v="113.3278574"/>
    <n v="22.996014299999999"/>
    <x v="25"/>
  </r>
  <r>
    <n v="1645"/>
    <n v="113.32977440000001"/>
    <n v="22.997047210000002"/>
    <x v="25"/>
  </r>
  <r>
    <n v="1646"/>
    <n v="113.3258055"/>
    <n v="22.99685985"/>
    <x v="25"/>
  </r>
  <r>
    <n v="1647"/>
    <n v="113.33009079999999"/>
    <n v="22.996927660000001"/>
    <x v="25"/>
  </r>
  <r>
    <n v="1648"/>
    <n v="113.3301357"/>
    <n v="22.99651776"/>
    <x v="25"/>
  </r>
  <r>
    <n v="1649"/>
    <n v="113.3255312"/>
    <n v="22.995457980000001"/>
    <x v="25"/>
  </r>
  <r>
    <n v="1650"/>
    <n v="113.32186350000001"/>
    <n v="22.998827540000001"/>
    <x v="25"/>
  </r>
  <r>
    <n v="1651"/>
    <n v="113.3280322"/>
    <n v="22.994405660000002"/>
    <x v="25"/>
  </r>
  <r>
    <n v="1652"/>
    <n v="113.32993"/>
    <n v="22.999050050000001"/>
    <x v="25"/>
  </r>
  <r>
    <n v="1653"/>
    <n v="113.3285171"/>
    <n v="22.995375320000001"/>
    <x v="25"/>
  </r>
  <r>
    <n v="1654"/>
    <n v="113.32903810000001"/>
    <n v="22.994094879999999"/>
    <x v="25"/>
  </r>
  <r>
    <n v="1655"/>
    <n v="113.32983350000001"/>
    <n v="22.994008409999999"/>
    <x v="25"/>
  </r>
  <r>
    <n v="1656"/>
    <n v="113.3304011"/>
    <n v="22.997828689999999"/>
    <x v="25"/>
  </r>
  <r>
    <n v="1657"/>
    <n v="113.3298585"/>
    <n v="22.994044349999999"/>
    <x v="25"/>
  </r>
  <r>
    <n v="1658"/>
    <n v="113.32459299999999"/>
    <n v="22.997410930000001"/>
    <x v="25"/>
  </r>
  <r>
    <n v="1659"/>
    <n v="113.3289034"/>
    <n v="22.994709870000001"/>
    <x v="25"/>
  </r>
  <r>
    <n v="1660"/>
    <n v="113.3237434"/>
    <n v="23.002851199999998"/>
    <x v="20"/>
  </r>
  <r>
    <n v="1661"/>
    <n v="113.3300251"/>
    <n v="22.993974059999999"/>
    <x v="25"/>
  </r>
  <r>
    <n v="1662"/>
    <n v="113.336502"/>
    <n v="22.99727953"/>
    <x v="24"/>
  </r>
  <r>
    <n v="1663"/>
    <n v="113.33664570000001"/>
    <n v="22.996565579999999"/>
    <x v="24"/>
  </r>
  <r>
    <n v="1664"/>
    <n v="113.3374591"/>
    <n v="22.996741010000001"/>
    <x v="24"/>
  </r>
  <r>
    <n v="1665"/>
    <n v="113.3380648"/>
    <n v="22.998798019999999"/>
    <x v="24"/>
  </r>
  <r>
    <n v="1666"/>
    <n v="113.337521"/>
    <n v="22.996650939999999"/>
    <x v="24"/>
  </r>
  <r>
    <n v="1667"/>
    <n v="113.33838009999999"/>
    <n v="22.99993795"/>
    <x v="24"/>
  </r>
  <r>
    <n v="1668"/>
    <n v="113.3331486"/>
    <n v="22.997696579999999"/>
    <x v="24"/>
  </r>
  <r>
    <n v="1669"/>
    <n v="113.34006189999999"/>
    <n v="23.000189809999998"/>
    <x v="24"/>
  </r>
  <r>
    <n v="1670"/>
    <n v="113.3353554"/>
    <n v="22.99443188"/>
    <x v="24"/>
  </r>
  <r>
    <n v="1671"/>
    <n v="113.3333743"/>
    <n v="22.995887939999999"/>
    <x v="24"/>
  </r>
  <r>
    <n v="1672"/>
    <n v="113.33354199999999"/>
    <n v="22.995035990000002"/>
    <x v="24"/>
  </r>
  <r>
    <n v="1673"/>
    <n v="113.3399005"/>
    <n v="22.99511429"/>
    <x v="24"/>
  </r>
  <r>
    <n v="1674"/>
    <n v="113.3324738"/>
    <n v="22.999641"/>
    <x v="24"/>
  </r>
  <r>
    <n v="1675"/>
    <n v="113.3408756"/>
    <n v="22.996961750000001"/>
    <x v="24"/>
  </r>
  <r>
    <n v="1676"/>
    <n v="113.3407101"/>
    <n v="22.99433818"/>
    <x v="24"/>
  </r>
  <r>
    <n v="1677"/>
    <n v="113.3382199"/>
    <n v="22.993705940000002"/>
    <x v="24"/>
  </r>
  <r>
    <n v="1678"/>
    <n v="113.34093660000001"/>
    <n v="22.99437176"/>
    <x v="24"/>
  </r>
  <r>
    <n v="1679"/>
    <n v="113.3327082"/>
    <n v="23.001281850000002"/>
    <x v="24"/>
  </r>
  <r>
    <n v="1680"/>
    <n v="113.33302260000001"/>
    <n v="23.000753490000001"/>
    <x v="24"/>
  </r>
  <r>
    <n v="1681"/>
    <n v="113.3453951"/>
    <n v="22.997605570000001"/>
    <x v="24"/>
  </r>
  <r>
    <n v="1682"/>
    <n v="113.34581540000001"/>
    <n v="22.99730598"/>
    <x v="24"/>
  </r>
  <r>
    <n v="1683"/>
    <n v="113.3445555"/>
    <n v="23.000274860000001"/>
    <x v="24"/>
  </r>
  <r>
    <n v="1684"/>
    <n v="113.3435475"/>
    <n v="22.99857634"/>
    <x v="24"/>
  </r>
  <r>
    <n v="1685"/>
    <n v="113.3441931"/>
    <n v="23.001093130000001"/>
    <x v="24"/>
  </r>
  <r>
    <n v="1686"/>
    <n v="113.34455749999999"/>
    <n v="23.000371810000001"/>
    <x v="24"/>
  </r>
  <r>
    <n v="1687"/>
    <n v="113.3424725"/>
    <n v="22.997327760000001"/>
    <x v="24"/>
  </r>
  <r>
    <n v="1688"/>
    <n v="113.3419574"/>
    <n v="22.998355220000001"/>
    <x v="24"/>
  </r>
  <r>
    <n v="1689"/>
    <n v="113.3433666"/>
    <n v="23.001180529999999"/>
    <x v="24"/>
  </r>
  <r>
    <n v="1690"/>
    <n v="113.3428976"/>
    <n v="22.999166219999999"/>
    <x v="24"/>
  </r>
  <r>
    <n v="1691"/>
    <n v="113.3432799"/>
    <n v="22.99908958"/>
    <x v="24"/>
  </r>
  <r>
    <n v="1692"/>
    <n v="113.3429435"/>
    <n v="22.999680919999999"/>
    <x v="24"/>
  </r>
  <r>
    <n v="1693"/>
    <n v="113.34251740000001"/>
    <n v="22.998452199999999"/>
    <x v="24"/>
  </r>
  <r>
    <n v="1694"/>
    <n v="113.34250040000001"/>
    <n v="22.99883006"/>
    <x v="24"/>
  </r>
  <r>
    <n v="1695"/>
    <n v="113.34320510000001"/>
    <n v="22.997735299999999"/>
    <x v="24"/>
  </r>
  <r>
    <n v="1696"/>
    <n v="113.3435573"/>
    <n v="23.00018962"/>
    <x v="24"/>
  </r>
  <r>
    <n v="1697"/>
    <n v="113.3422419"/>
    <n v="22.9981738"/>
    <x v="24"/>
  </r>
  <r>
    <n v="1698"/>
    <n v="113.3491547"/>
    <n v="22.995264290000001"/>
    <x v="24"/>
  </r>
  <r>
    <n v="1699"/>
    <n v="113.3428825"/>
    <n v="23.001873079999999"/>
    <x v="24"/>
  </r>
  <r>
    <n v="1700"/>
    <n v="113.34952509999999"/>
    <n v="22.994681929999999"/>
    <x v="24"/>
  </r>
  <r>
    <n v="1701"/>
    <n v="113.3480357"/>
    <n v="22.993730790000001"/>
    <x v="24"/>
  </r>
  <r>
    <n v="1702"/>
    <n v="113.34269690000001"/>
    <n v="23.000060189999999"/>
    <x v="24"/>
  </r>
  <r>
    <n v="1703"/>
    <n v="113.3452886"/>
    <n v="22.994266199999998"/>
    <x v="24"/>
  </r>
  <r>
    <n v="1704"/>
    <n v="113.34325870000001"/>
    <n v="23.00302692"/>
    <x v="24"/>
  </r>
  <r>
    <n v="1705"/>
    <n v="113.34444860000001"/>
    <n v="23.001551490000001"/>
    <x v="24"/>
  </r>
  <r>
    <n v="1706"/>
    <n v="113.3483212"/>
    <n v="22.993777300000001"/>
    <x v="24"/>
  </r>
  <r>
    <n v="1707"/>
    <n v="113.35073800000001"/>
    <n v="22.995002830000001"/>
    <x v="24"/>
  </r>
  <r>
    <n v="1708"/>
    <n v="113.3428724"/>
    <n v="23.003197520000001"/>
    <x v="24"/>
  </r>
  <r>
    <n v="1709"/>
    <n v="113.3500123"/>
    <n v="22.994202349999998"/>
    <x v="24"/>
  </r>
  <r>
    <n v="1710"/>
    <n v="113.35108529999999"/>
    <n v="22.995589020000001"/>
    <x v="24"/>
  </r>
  <r>
    <n v="1711"/>
    <n v="113.34444860000001"/>
    <n v="23.001551490000001"/>
    <x v="24"/>
  </r>
  <r>
    <n v="1712"/>
    <n v="113.3488582"/>
    <n v="22.99471801"/>
    <x v="24"/>
  </r>
  <r>
    <n v="1713"/>
    <n v="113.34299230000001"/>
    <n v="23.0018429"/>
    <x v="24"/>
  </r>
  <r>
    <n v="1714"/>
    <n v="113.34329289999999"/>
    <n v="22.99896562"/>
    <x v="24"/>
  </r>
  <r>
    <n v="1715"/>
    <n v="113.34444860000001"/>
    <n v="23.001551490000001"/>
    <x v="24"/>
  </r>
  <r>
    <n v="1716"/>
    <n v="113.34551399999999"/>
    <n v="22.997150560000001"/>
    <x v="24"/>
  </r>
  <r>
    <n v="1717"/>
    <n v="113.3436882"/>
    <n v="22.997856410000001"/>
    <x v="24"/>
  </r>
  <r>
    <n v="1718"/>
    <n v="113.3488582"/>
    <n v="22.99471801"/>
    <x v="24"/>
  </r>
  <r>
    <n v="1719"/>
    <n v="113.3491078"/>
    <n v="22.99479457"/>
    <x v="24"/>
  </r>
  <r>
    <n v="1720"/>
    <n v="113.34250040000001"/>
    <n v="22.99883006"/>
    <x v="24"/>
  </r>
  <r>
    <n v="1721"/>
    <n v="113.34576559999999"/>
    <n v="22.995291940000001"/>
    <x v="24"/>
  </r>
  <r>
    <n v="1722"/>
    <n v="113.3474128"/>
    <n v="22.994097669999999"/>
    <x v="24"/>
  </r>
  <r>
    <n v="1723"/>
    <n v="113.343673"/>
    <n v="23.001361920000001"/>
    <x v="24"/>
  </r>
  <r>
    <n v="1724"/>
    <n v="113.3595672"/>
    <n v="22.99400503"/>
    <x v="22"/>
  </r>
  <r>
    <n v="1725"/>
    <n v="113.35696780000001"/>
    <n v="22.99685749"/>
    <x v="22"/>
  </r>
  <r>
    <n v="1726"/>
    <n v="113.3553854"/>
    <n v="22.995290499999999"/>
    <x v="22"/>
  </r>
  <r>
    <n v="1727"/>
    <n v="113.3562969"/>
    <n v="22.996102789999998"/>
    <x v="22"/>
  </r>
  <r>
    <n v="1728"/>
    <n v="113.3565545"/>
    <n v="22.995814540000001"/>
    <x v="22"/>
  </r>
  <r>
    <n v="1729"/>
    <n v="113.36070340000001"/>
    <n v="22.99719709"/>
    <x v="22"/>
  </r>
  <r>
    <n v="1730"/>
    <n v="113.35244779999999"/>
    <n v="22.999982970000001"/>
    <x v="22"/>
  </r>
  <r>
    <n v="1731"/>
    <n v="113.3590298"/>
    <n v="22.996291790000001"/>
    <x v="22"/>
  </r>
  <r>
    <n v="1732"/>
    <n v="113.3551657"/>
    <n v="22.995361800000001"/>
    <x v="22"/>
  </r>
  <r>
    <n v="1733"/>
    <n v="113.35998739999999"/>
    <n v="22.996868209999999"/>
    <x v="22"/>
  </r>
  <r>
    <n v="1734"/>
    <n v="113.36158399999999"/>
    <n v="22.998667269999999"/>
    <x v="22"/>
  </r>
  <r>
    <n v="1735"/>
    <n v="113.3607873"/>
    <n v="22.997164990000002"/>
    <x v="22"/>
  </r>
  <r>
    <n v="1736"/>
    <n v="113.3546855"/>
    <n v="22.99454287"/>
    <x v="22"/>
  </r>
  <r>
    <n v="1737"/>
    <n v="113.353773"/>
    <n v="22.994894110000001"/>
    <x v="22"/>
  </r>
  <r>
    <n v="1738"/>
    <n v="113.36134749999999"/>
    <n v="22.997184229999998"/>
    <x v="22"/>
  </r>
  <r>
    <n v="1739"/>
    <n v="113.35216149999999"/>
    <n v="22.995819220000001"/>
    <x v="24"/>
  </r>
  <r>
    <n v="1740"/>
    <n v="113.3529284"/>
    <n v="22.994741479999998"/>
    <x v="24"/>
  </r>
  <r>
    <n v="1741"/>
    <n v="113.3614804"/>
    <n v="22.99518492"/>
    <x v="22"/>
  </r>
  <r>
    <n v="1742"/>
    <n v="113.360905"/>
    <n v="22.997693600000002"/>
    <x v="22"/>
  </r>
  <r>
    <n v="1743"/>
    <n v="113.3612917"/>
    <n v="22.99428056"/>
    <x v="22"/>
  </r>
  <r>
    <n v="1744"/>
    <n v="113.3557378"/>
    <n v="22.995840730000001"/>
    <x v="22"/>
  </r>
  <r>
    <n v="1745"/>
    <n v="113.3569669"/>
    <n v="22.99641368"/>
    <x v="22"/>
  </r>
  <r>
    <n v="1746"/>
    <n v="113.3660893"/>
    <n v="22.99735716"/>
    <x v="22"/>
  </r>
  <r>
    <n v="1747"/>
    <n v="113.36538830000001"/>
    <n v="22.99445626"/>
    <x v="22"/>
  </r>
  <r>
    <n v="1748"/>
    <n v="113.3651254"/>
    <n v="22.998681749999999"/>
    <x v="22"/>
  </r>
  <r>
    <n v="1749"/>
    <n v="113.36474800000001"/>
    <n v="22.99726982"/>
    <x v="22"/>
  </r>
  <r>
    <n v="1750"/>
    <n v="113.36921169999999"/>
    <n v="22.99695578"/>
    <x v="22"/>
  </r>
  <r>
    <n v="1751"/>
    <n v="113.3669184"/>
    <n v="22.995313070000002"/>
    <x v="22"/>
  </r>
  <r>
    <n v="1752"/>
    <n v="113.3626567"/>
    <n v="22.99741341"/>
    <x v="22"/>
  </r>
  <r>
    <n v="1753"/>
    <n v="113.36592469999999"/>
    <n v="22.99457456"/>
    <x v="22"/>
  </r>
  <r>
    <n v="1754"/>
    <n v="113.36242"/>
    <n v="22.996880950000001"/>
    <x v="22"/>
  </r>
  <r>
    <n v="1755"/>
    <n v="113.3669934"/>
    <n v="22.99435939"/>
    <x v="22"/>
  </r>
  <r>
    <n v="1756"/>
    <n v="113.36473719999999"/>
    <n v="22.994331110000001"/>
    <x v="22"/>
  </r>
  <r>
    <n v="1757"/>
    <n v="113.3636276"/>
    <n v="22.99467435"/>
    <x v="22"/>
  </r>
  <r>
    <n v="1758"/>
    <n v="113.3646104"/>
    <n v="22.994092370000001"/>
    <x v="22"/>
  </r>
  <r>
    <n v="1759"/>
    <n v="113.37083010000001"/>
    <n v="22.994733020000002"/>
    <x v="22"/>
  </r>
  <r>
    <n v="1760"/>
    <n v="113.3715313"/>
    <n v="22.99515512"/>
    <x v="22"/>
  </r>
  <r>
    <n v="1761"/>
    <n v="113.3623401"/>
    <n v="22.997521769999999"/>
    <x v="22"/>
  </r>
  <r>
    <n v="1762"/>
    <n v="113.36596059999999"/>
    <n v="22.99452454"/>
    <x v="22"/>
  </r>
  <r>
    <n v="1763"/>
    <n v="113.362414"/>
    <n v="22.996834969999998"/>
    <x v="22"/>
  </r>
  <r>
    <n v="1764"/>
    <n v="113.361604"/>
    <n v="22.998594279999999"/>
    <x v="22"/>
  </r>
  <r>
    <n v="1765"/>
    <n v="113.3782033"/>
    <n v="22.997736069999998"/>
    <x v="5"/>
  </r>
  <r>
    <n v="1766"/>
    <n v="113.38112219999999"/>
    <n v="22.99908941"/>
    <x v="4"/>
  </r>
  <r>
    <n v="1767"/>
    <n v="113.3757928"/>
    <n v="23.003534519999999"/>
    <x v="4"/>
  </r>
  <r>
    <n v="1768"/>
    <n v="113.3837508"/>
    <n v="22.998858930000001"/>
    <x v="4"/>
  </r>
  <r>
    <n v="1769"/>
    <n v="113.38384790000001"/>
    <n v="22.99595514"/>
    <x v="5"/>
  </r>
  <r>
    <n v="1770"/>
    <n v="113.3851205"/>
    <n v="22.993724440000001"/>
    <x v="5"/>
  </r>
  <r>
    <n v="1771"/>
    <n v="113.38187360000001"/>
    <n v="23.001566860000001"/>
    <x v="4"/>
  </r>
  <r>
    <n v="1772"/>
    <n v="113.38892300000001"/>
    <n v="22.995108269999999"/>
    <x v="5"/>
  </r>
  <r>
    <n v="1773"/>
    <n v="113.3909786"/>
    <n v="22.99463287"/>
    <x v="5"/>
  </r>
  <r>
    <n v="1774"/>
    <n v="113.38404679999999"/>
    <n v="22.995894060000001"/>
    <x v="5"/>
  </r>
  <r>
    <n v="1775"/>
    <n v="113.4449396"/>
    <n v="22.997337219999999"/>
    <x v="7"/>
  </r>
  <r>
    <n v="1776"/>
    <n v="113.4949696"/>
    <n v="22.996970659999999"/>
    <x v="6"/>
  </r>
  <r>
    <n v="1777"/>
    <n v="113.4979312"/>
    <n v="22.99427073"/>
    <x v="6"/>
  </r>
  <r>
    <n v="1778"/>
    <n v="113.2601344"/>
    <n v="22.98701441"/>
    <x v="23"/>
  </r>
  <r>
    <n v="1779"/>
    <n v="113.26172889999999"/>
    <n v="22.992066250000001"/>
    <x v="23"/>
  </r>
  <r>
    <n v="1780"/>
    <n v="113.26172680000001"/>
    <n v="22.992293149999998"/>
    <x v="23"/>
  </r>
  <r>
    <n v="1781"/>
    <n v="113.2614051"/>
    <n v="22.992293360000001"/>
    <x v="23"/>
  </r>
  <r>
    <n v="1782"/>
    <n v="113.26553010000001"/>
    <n v="22.98489064"/>
    <x v="23"/>
  </r>
  <r>
    <n v="1783"/>
    <n v="113.27128519999999"/>
    <n v="22.986282989999999"/>
    <x v="23"/>
  </r>
  <r>
    <n v="1784"/>
    <n v="113.2700304"/>
    <n v="22.989555769999999"/>
    <x v="23"/>
  </r>
  <r>
    <n v="1785"/>
    <n v="113.2657226"/>
    <n v="22.990959870000001"/>
    <x v="23"/>
  </r>
  <r>
    <n v="1786"/>
    <n v="113.2706866"/>
    <n v="22.990234860000001"/>
    <x v="23"/>
  </r>
  <r>
    <n v="1787"/>
    <n v="113.2700394"/>
    <n v="22.98959675"/>
    <x v="23"/>
  </r>
  <r>
    <n v="1788"/>
    <n v="113.269289"/>
    <n v="22.992519179999999"/>
    <x v="23"/>
  </r>
  <r>
    <n v="1789"/>
    <n v="113.2703449"/>
    <n v="22.990992859999999"/>
    <x v="23"/>
  </r>
  <r>
    <n v="1790"/>
    <n v="113.2721264"/>
    <n v="22.984839780000001"/>
    <x v="23"/>
  </r>
  <r>
    <n v="1791"/>
    <n v="113.27269920000001"/>
    <n v="22.992023100000001"/>
    <x v="23"/>
  </r>
  <r>
    <n v="1792"/>
    <n v="113.2718812"/>
    <n v="22.991436180000001"/>
    <x v="23"/>
  </r>
  <r>
    <n v="1793"/>
    <n v="113.30161200000001"/>
    <n v="22.9876699"/>
    <x v="26"/>
  </r>
  <r>
    <n v="1794"/>
    <n v="113.2973276"/>
    <n v="22.993416719999999"/>
    <x v="19"/>
  </r>
  <r>
    <n v="1795"/>
    <n v="113.3012627"/>
    <n v="22.98686885"/>
    <x v="26"/>
  </r>
  <r>
    <n v="1796"/>
    <n v="113.3006749"/>
    <n v="22.985369519999999"/>
    <x v="26"/>
  </r>
  <r>
    <n v="1797"/>
    <n v="113.2920649"/>
    <n v="22.99320831"/>
    <x v="19"/>
  </r>
  <r>
    <n v="1798"/>
    <n v="113.3003171"/>
    <n v="22.993442649999999"/>
    <x v="19"/>
  </r>
  <r>
    <n v="1799"/>
    <n v="113.3066472"/>
    <n v="22.988383630000001"/>
    <x v="26"/>
  </r>
  <r>
    <n v="1800"/>
    <n v="113.3049668"/>
    <n v="22.984276439999999"/>
    <x v="26"/>
  </r>
  <r>
    <n v="1801"/>
    <n v="113.30885309999999"/>
    <n v="22.983844560000001"/>
    <x v="26"/>
  </r>
  <r>
    <n v="1802"/>
    <n v="113.3055552"/>
    <n v="22.990033889999999"/>
    <x v="26"/>
  </r>
  <r>
    <n v="1803"/>
    <n v="113.30809240000001"/>
    <n v="22.98717452"/>
    <x v="26"/>
  </r>
  <r>
    <n v="1804"/>
    <n v="113.3042377"/>
    <n v="22.990946860000001"/>
    <x v="26"/>
  </r>
  <r>
    <n v="1805"/>
    <n v="113.30763949999999"/>
    <n v="22.984098679999999"/>
    <x v="26"/>
  </r>
  <r>
    <n v="1806"/>
    <n v="113.3090905"/>
    <n v="22.985245519999999"/>
    <x v="26"/>
  </r>
  <r>
    <n v="1807"/>
    <n v="113.3047706"/>
    <n v="22.992753130000001"/>
    <x v="26"/>
  </r>
  <r>
    <n v="1808"/>
    <n v="113.31113740000001"/>
    <n v="22.984904879999998"/>
    <x v="26"/>
  </r>
  <r>
    <n v="1809"/>
    <n v="113.3020478"/>
    <n v="22.993721529999998"/>
    <x v="19"/>
  </r>
  <r>
    <n v="1810"/>
    <n v="113.30888590000001"/>
    <n v="22.98517193"/>
    <x v="26"/>
  </r>
  <r>
    <n v="1811"/>
    <n v="113.3041928"/>
    <n v="22.990686050000001"/>
    <x v="26"/>
  </r>
  <r>
    <n v="1812"/>
    <n v="113.3137481"/>
    <n v="22.98559569"/>
    <x v="26"/>
  </r>
  <r>
    <n v="1813"/>
    <n v="113.3170135"/>
    <n v="22.984271079999999"/>
    <x v="25"/>
  </r>
  <r>
    <n v="1814"/>
    <n v="113.31989009999999"/>
    <n v="22.991853330000001"/>
    <x v="25"/>
  </r>
  <r>
    <n v="1815"/>
    <n v="113.31225019999999"/>
    <n v="22.98482284"/>
    <x v="26"/>
  </r>
  <r>
    <n v="1816"/>
    <n v="113.3148408"/>
    <n v="22.98598746"/>
    <x v="25"/>
  </r>
  <r>
    <n v="1817"/>
    <n v="113.3167229"/>
    <n v="22.986991459999999"/>
    <x v="25"/>
  </r>
  <r>
    <n v="1818"/>
    <n v="113.317485"/>
    <n v="22.992253739999999"/>
    <x v="25"/>
  </r>
  <r>
    <n v="1819"/>
    <n v="113.3177594"/>
    <n v="22.992249220000001"/>
    <x v="25"/>
  </r>
  <r>
    <n v="1820"/>
    <n v="113.3174784"/>
    <n v="22.987041999999999"/>
    <x v="25"/>
  </r>
  <r>
    <n v="1821"/>
    <n v="113.3145962"/>
    <n v="22.987676199999999"/>
    <x v="25"/>
  </r>
  <r>
    <n v="1822"/>
    <n v="113.31830530000001"/>
    <n v="22.992667000000001"/>
    <x v="25"/>
  </r>
  <r>
    <n v="1823"/>
    <n v="113.31528590000001"/>
    <n v="22.986493400000001"/>
    <x v="25"/>
  </r>
  <r>
    <n v="1824"/>
    <n v="113.3171737"/>
    <n v="22.991906480000001"/>
    <x v="25"/>
  </r>
  <r>
    <n v="1825"/>
    <n v="113.3171597"/>
    <n v="22.991757570000001"/>
    <x v="25"/>
  </r>
  <r>
    <n v="1826"/>
    <n v="113.3163538"/>
    <n v="22.985177950000001"/>
    <x v="25"/>
  </r>
  <r>
    <n v="1827"/>
    <n v="113.3160151"/>
    <n v="22.990816150000001"/>
    <x v="25"/>
  </r>
  <r>
    <n v="1828"/>
    <n v="113.31849389999999"/>
    <n v="22.99268863"/>
    <x v="25"/>
  </r>
  <r>
    <n v="1829"/>
    <n v="113.3190402"/>
    <n v="22.98694807"/>
    <x v="25"/>
  </r>
  <r>
    <n v="1830"/>
    <n v="113.3197916"/>
    <n v="22.98639687"/>
    <x v="25"/>
  </r>
  <r>
    <n v="1831"/>
    <n v="113.3182894"/>
    <n v="22.991757419999999"/>
    <x v="25"/>
  </r>
  <r>
    <n v="1832"/>
    <n v="113.3195432"/>
    <n v="22.98565666"/>
    <x v="25"/>
  </r>
  <r>
    <n v="1833"/>
    <n v="113.3166308"/>
    <n v="22.991278789999999"/>
    <x v="25"/>
  </r>
  <r>
    <n v="1834"/>
    <n v="113.31539770000001"/>
    <n v="22.98627428"/>
    <x v="25"/>
  </r>
  <r>
    <n v="1835"/>
    <n v="113.313665"/>
    <n v="22.989406200000001"/>
    <x v="25"/>
  </r>
  <r>
    <n v="1836"/>
    <n v="113.3169975"/>
    <n v="22.984303100000002"/>
    <x v="25"/>
  </r>
  <r>
    <n v="1837"/>
    <n v="113.31422790000001"/>
    <n v="22.989440129999998"/>
    <x v="25"/>
  </r>
  <r>
    <n v="1838"/>
    <n v="113.3208892"/>
    <n v="22.98941147"/>
    <x v="25"/>
  </r>
  <r>
    <n v="1839"/>
    <n v="113.3238661"/>
    <n v="22.988683089999999"/>
    <x v="25"/>
  </r>
  <r>
    <n v="1840"/>
    <n v="113.3284288"/>
    <n v="22.987035089999999"/>
    <x v="25"/>
  </r>
  <r>
    <n v="1841"/>
    <n v="113.32439290000001"/>
    <n v="22.990613249999999"/>
    <x v="25"/>
  </r>
  <r>
    <n v="1842"/>
    <n v="113.3248651"/>
    <n v="22.98706288"/>
    <x v="25"/>
  </r>
  <r>
    <n v="1843"/>
    <n v="113.32349960000001"/>
    <n v="22.992201269999999"/>
    <x v="25"/>
  </r>
  <r>
    <n v="1844"/>
    <n v="113.3239097"/>
    <n v="22.993014129999999"/>
    <x v="25"/>
  </r>
  <r>
    <n v="1845"/>
    <n v="113.3303281"/>
    <n v="22.985805020000001"/>
    <x v="25"/>
  </r>
  <r>
    <n v="1846"/>
    <n v="113.3220996"/>
    <n v="22.990297770000002"/>
    <x v="25"/>
  </r>
  <r>
    <n v="1847"/>
    <n v="113.3240704"/>
    <n v="22.992917869999999"/>
    <x v="25"/>
  </r>
  <r>
    <n v="1848"/>
    <n v="113.3313225"/>
    <n v="22.99361077"/>
    <x v="25"/>
  </r>
  <r>
    <n v="1849"/>
    <n v="113.33879690000001"/>
    <n v="22.99181171"/>
    <x v="24"/>
  </r>
  <r>
    <n v="1850"/>
    <n v="113.3383776"/>
    <n v="22.99271808"/>
    <x v="24"/>
  </r>
  <r>
    <n v="1851"/>
    <n v="113.3389138"/>
    <n v="22.989518489999998"/>
    <x v="24"/>
  </r>
  <r>
    <n v="1852"/>
    <n v="113.339778"/>
    <n v="22.991150220000002"/>
    <x v="24"/>
  </r>
  <r>
    <n v="1853"/>
    <n v="113.3408101"/>
    <n v="22.9915652"/>
    <x v="24"/>
  </r>
  <r>
    <n v="1854"/>
    <n v="113.3379654"/>
    <n v="22.9930047"/>
    <x v="24"/>
  </r>
  <r>
    <n v="1855"/>
    <n v="113.3385194"/>
    <n v="22.991515339999999"/>
    <x v="24"/>
  </r>
  <r>
    <n v="1856"/>
    <n v="113.3386462"/>
    <n v="22.991645049999999"/>
    <x v="24"/>
  </r>
  <r>
    <n v="1857"/>
    <n v="113.33283110000001"/>
    <n v="22.98515059"/>
    <x v="25"/>
  </r>
  <r>
    <n v="1858"/>
    <n v="113.33909130000001"/>
    <n v="22.991807179999999"/>
    <x v="24"/>
  </r>
  <r>
    <n v="1859"/>
    <n v="113.3380812"/>
    <n v="22.992719619999999"/>
    <x v="24"/>
  </r>
  <r>
    <n v="1860"/>
    <n v="113.33901849999999"/>
    <n v="22.991842290000001"/>
    <x v="24"/>
  </r>
  <r>
    <n v="1861"/>
    <n v="113.3367279"/>
    <n v="22.992508180000002"/>
    <x v="24"/>
  </r>
  <r>
    <n v="1862"/>
    <n v="113.3355232"/>
    <n v="22.99325108"/>
    <x v="24"/>
  </r>
  <r>
    <n v="1863"/>
    <n v="113.34657079999999"/>
    <n v="22.985962600000001"/>
    <x v="27"/>
  </r>
  <r>
    <n v="1864"/>
    <n v="113.34765590000001"/>
    <n v="22.985626929999999"/>
    <x v="27"/>
  </r>
  <r>
    <n v="1865"/>
    <n v="113.345377"/>
    <n v="22.985836679999998"/>
    <x v="27"/>
  </r>
  <r>
    <n v="1866"/>
    <n v="113.3449183"/>
    <n v="22.9931813"/>
    <x v="24"/>
  </r>
  <r>
    <n v="1867"/>
    <n v="113.34438969999999"/>
    <n v="22.98621322"/>
    <x v="27"/>
  </r>
  <r>
    <n v="1868"/>
    <n v="113.34473610000001"/>
    <n v="22.985767809999999"/>
    <x v="27"/>
  </r>
  <r>
    <n v="1869"/>
    <n v="113.3441897"/>
    <n v="22.99239889"/>
    <x v="24"/>
  </r>
  <r>
    <n v="1870"/>
    <n v="113.34574189999999"/>
    <n v="22.991886449999999"/>
    <x v="24"/>
  </r>
  <r>
    <n v="1871"/>
    <n v="113.3461911"/>
    <n v="22.992126580000001"/>
    <x v="24"/>
  </r>
  <r>
    <n v="1872"/>
    <n v="113.3430718"/>
    <n v="22.991960030000001"/>
    <x v="24"/>
  </r>
  <r>
    <n v="1873"/>
    <n v="113.3479086"/>
    <n v="22.984091169999999"/>
    <x v="27"/>
  </r>
  <r>
    <n v="1874"/>
    <n v="113.3447017"/>
    <n v="22.99308971"/>
    <x v="24"/>
  </r>
  <r>
    <n v="1875"/>
    <n v="113.3467486"/>
    <n v="22.98412609"/>
    <x v="27"/>
  </r>
  <r>
    <n v="1876"/>
    <n v="113.3433981"/>
    <n v="22.992512219999998"/>
    <x v="24"/>
  </r>
  <r>
    <n v="1877"/>
    <n v="113.3440155"/>
    <n v="22.985561149999999"/>
    <x v="27"/>
  </r>
  <r>
    <n v="1878"/>
    <n v="113.34421519999999"/>
    <n v="22.984977050000001"/>
    <x v="27"/>
  </r>
  <r>
    <n v="1879"/>
    <n v="113.3438348"/>
    <n v="22.98513964"/>
    <x v="27"/>
  </r>
  <r>
    <n v="1880"/>
    <n v="113.34702350000001"/>
    <n v="22.99309976"/>
    <x v="24"/>
  </r>
  <r>
    <n v="1881"/>
    <n v="113.3417632"/>
    <n v="22.991920350000001"/>
    <x v="24"/>
  </r>
  <r>
    <n v="1882"/>
    <n v="113.34419819999999"/>
    <n v="22.984657219999999"/>
    <x v="27"/>
  </r>
  <r>
    <n v="1883"/>
    <n v="113.349958"/>
    <n v="22.985126350000002"/>
    <x v="27"/>
  </r>
  <r>
    <n v="1884"/>
    <n v="113.3432889"/>
    <n v="22.985048630000001"/>
    <x v="27"/>
  </r>
  <r>
    <n v="1885"/>
    <n v="113.3424289"/>
    <n v="22.992460940000001"/>
    <x v="24"/>
  </r>
  <r>
    <n v="1886"/>
    <n v="113.3424898"/>
    <n v="22.99241885"/>
    <x v="24"/>
  </r>
  <r>
    <n v="1887"/>
    <n v="113.351136"/>
    <n v="22.984193860000001"/>
    <x v="27"/>
  </r>
  <r>
    <n v="1888"/>
    <n v="113.3439601"/>
    <n v="22.992797119999999"/>
    <x v="24"/>
  </r>
  <r>
    <n v="1889"/>
    <n v="113.34384230000001"/>
    <n v="22.992826310000002"/>
    <x v="24"/>
  </r>
  <r>
    <n v="1890"/>
    <n v="113.34449309999999"/>
    <n v="22.993531879999999"/>
    <x v="24"/>
  </r>
  <r>
    <n v="1891"/>
    <n v="113.3500937"/>
    <n v="22.985279070000001"/>
    <x v="27"/>
  </r>
  <r>
    <n v="1892"/>
    <n v="113.34449309999999"/>
    <n v="22.993531879999999"/>
    <x v="24"/>
  </r>
  <r>
    <n v="1893"/>
    <n v="113.35070570000001"/>
    <n v="22.984921239999998"/>
    <x v="27"/>
  </r>
  <r>
    <n v="1894"/>
    <n v="113.3546238"/>
    <n v="22.992317929999999"/>
    <x v="22"/>
  </r>
  <r>
    <n v="1895"/>
    <n v="113.3528639"/>
    <n v="22.987781590000001"/>
    <x v="27"/>
  </r>
  <r>
    <n v="1896"/>
    <n v="113.3538885"/>
    <n v="22.98414958"/>
    <x v="27"/>
  </r>
  <r>
    <n v="1897"/>
    <n v="113.3522602"/>
    <n v="22.983706290000001"/>
    <x v="27"/>
  </r>
  <r>
    <n v="1898"/>
    <n v="113.3521404"/>
    <n v="22.983640510000001"/>
    <x v="27"/>
  </r>
  <r>
    <n v="1899"/>
    <n v="113.35235160000001"/>
    <n v="22.989674569999998"/>
    <x v="24"/>
  </r>
  <r>
    <n v="1900"/>
    <n v="113.3671403"/>
    <n v="22.99295283"/>
    <x v="22"/>
  </r>
  <r>
    <n v="1901"/>
    <n v="113.36662990000001"/>
    <n v="22.992779500000001"/>
    <x v="22"/>
  </r>
  <r>
    <n v="1902"/>
    <n v="113.3633251"/>
    <n v="22.992256780000002"/>
    <x v="22"/>
  </r>
  <r>
    <n v="1903"/>
    <n v="113.363856"/>
    <n v="22.984336519999999"/>
    <x v="28"/>
  </r>
  <r>
    <n v="1904"/>
    <n v="113.36217619999999"/>
    <n v="22.98411578"/>
    <x v="28"/>
  </r>
  <r>
    <n v="1905"/>
    <n v="113.36688030000001"/>
    <n v="22.983717120000001"/>
    <x v="28"/>
  </r>
  <r>
    <n v="1906"/>
    <n v="113.3616979"/>
    <n v="22.984148390000001"/>
    <x v="28"/>
  </r>
  <r>
    <n v="1907"/>
    <n v="113.36664589999999"/>
    <n v="22.992918419999999"/>
    <x v="22"/>
  </r>
  <r>
    <n v="1908"/>
    <n v="113.363395"/>
    <n v="22.992278679999998"/>
    <x v="22"/>
  </r>
  <r>
    <n v="1909"/>
    <n v="113.3763603"/>
    <n v="22.989120270000001"/>
    <x v="5"/>
  </r>
  <r>
    <n v="1910"/>
    <n v="113.37630249999999"/>
    <n v="22.987461029999999"/>
    <x v="5"/>
  </r>
  <r>
    <n v="1911"/>
    <n v="113.3768371"/>
    <n v="22.986226120000001"/>
    <x v="5"/>
  </r>
  <r>
    <n v="1912"/>
    <n v="113.37659600000001"/>
    <n v="22.990976270000001"/>
    <x v="5"/>
  </r>
  <r>
    <n v="1913"/>
    <n v="113.375421"/>
    <n v="22.99087231"/>
    <x v="5"/>
  </r>
  <r>
    <n v="1914"/>
    <n v="113.3730972"/>
    <n v="22.989125189999999"/>
    <x v="5"/>
  </r>
  <r>
    <n v="1915"/>
    <n v="113.375669"/>
    <n v="22.988078300000002"/>
    <x v="5"/>
  </r>
  <r>
    <n v="1916"/>
    <n v="113.3800067"/>
    <n v="22.987462189999999"/>
    <x v="5"/>
  </r>
  <r>
    <n v="1917"/>
    <n v="113.3796681"/>
    <n v="22.986024050000001"/>
    <x v="5"/>
  </r>
  <r>
    <n v="1918"/>
    <n v="113.37677480000001"/>
    <n v="22.991783779999999"/>
    <x v="5"/>
  </r>
  <r>
    <n v="1919"/>
    <n v="113.3737399"/>
    <n v="22.9856041"/>
    <x v="5"/>
  </r>
  <r>
    <n v="1920"/>
    <n v="113.3796871"/>
    <n v="22.985753150000001"/>
    <x v="5"/>
  </r>
  <r>
    <n v="1921"/>
    <n v="113.3756367"/>
    <n v="22.992301510000001"/>
    <x v="5"/>
  </r>
  <r>
    <n v="1922"/>
    <n v="113.3752066"/>
    <n v="22.984577219999998"/>
    <x v="5"/>
  </r>
  <r>
    <n v="1923"/>
    <n v="113.3725597"/>
    <n v="22.990080290000002"/>
    <x v="5"/>
  </r>
  <r>
    <n v="1924"/>
    <n v="113.3766849"/>
    <n v="22.991056159999999"/>
    <x v="5"/>
  </r>
  <r>
    <n v="1925"/>
    <n v="113.3727683"/>
    <n v="22.99266897"/>
    <x v="5"/>
  </r>
  <r>
    <n v="1926"/>
    <n v="113.3738243"/>
    <n v="22.992304130000001"/>
    <x v="5"/>
  </r>
  <r>
    <n v="1927"/>
    <n v="113.3779323"/>
    <n v="22.986476140000001"/>
    <x v="5"/>
  </r>
  <r>
    <n v="1928"/>
    <n v="113.3752496"/>
    <n v="22.984573180000002"/>
    <x v="5"/>
  </r>
  <r>
    <n v="1929"/>
    <n v="113.37374440000001"/>
    <n v="22.99218226"/>
    <x v="5"/>
  </r>
  <r>
    <n v="1930"/>
    <n v="113.39009729999999"/>
    <n v="22.98760614"/>
    <x v="5"/>
  </r>
  <r>
    <n v="1931"/>
    <n v="113.3884314"/>
    <n v="22.992015769999998"/>
    <x v="5"/>
  </r>
  <r>
    <n v="1932"/>
    <n v="113.3898944"/>
    <n v="22.986400719999999"/>
    <x v="5"/>
  </r>
  <r>
    <n v="1933"/>
    <n v="113.3878855"/>
    <n v="22.992436789999999"/>
    <x v="5"/>
  </r>
  <r>
    <n v="1934"/>
    <n v="113.39028039999999"/>
    <n v="22.985331070000001"/>
    <x v="5"/>
  </r>
  <r>
    <n v="1935"/>
    <n v="113.39077229999999"/>
    <n v="22.985960670000001"/>
    <x v="5"/>
  </r>
  <r>
    <n v="1936"/>
    <n v="113.38859530000001"/>
    <n v="22.9925225"/>
    <x v="5"/>
  </r>
  <r>
    <n v="1937"/>
    <n v="113.38788649999999"/>
    <n v="22.992467779999998"/>
    <x v="5"/>
  </r>
  <r>
    <n v="1938"/>
    <n v="113.3886163"/>
    <n v="22.992509500000001"/>
    <x v="5"/>
  </r>
  <r>
    <n v="1939"/>
    <n v="113.39091620000001"/>
    <n v="22.98610957"/>
    <x v="5"/>
  </r>
  <r>
    <n v="1940"/>
    <n v="113.3932861"/>
    <n v="22.984821650000001"/>
    <x v="5"/>
  </r>
  <r>
    <n v="1941"/>
    <n v="113.3937511"/>
    <n v="22.984201859999999"/>
    <x v="5"/>
  </r>
  <r>
    <n v="1942"/>
    <n v="113.4520421"/>
    <n v="22.990888470000002"/>
    <x v="7"/>
  </r>
  <r>
    <n v="1943"/>
    <n v="113.4531631"/>
    <n v="22.991527789999999"/>
    <x v="7"/>
  </r>
  <r>
    <n v="1944"/>
    <n v="113.4555431"/>
    <n v="22.984395500000002"/>
    <x v="7"/>
  </r>
  <r>
    <n v="1945"/>
    <n v="113.4722336"/>
    <n v="22.987847729999999"/>
    <x v="6"/>
  </r>
  <r>
    <n v="1946"/>
    <n v="113.4897639"/>
    <n v="22.98883953"/>
    <x v="6"/>
  </r>
  <r>
    <n v="1947"/>
    <n v="113.48915289999999"/>
    <n v="22.987823129999999"/>
    <x v="6"/>
  </r>
  <r>
    <n v="1948"/>
    <n v="113.4962063"/>
    <n v="22.990819040000002"/>
    <x v="6"/>
  </r>
  <r>
    <n v="1949"/>
    <n v="113.4982444"/>
    <n v="22.992254549999998"/>
    <x v="6"/>
  </r>
  <r>
    <n v="1950"/>
    <n v="113.49383330000001"/>
    <n v="22.98647777"/>
    <x v="6"/>
  </r>
  <r>
    <n v="1951"/>
    <n v="113.4961965"/>
    <n v="22.988326090000001"/>
    <x v="6"/>
  </r>
  <r>
    <n v="1952"/>
    <n v="113.4999395"/>
    <n v="22.989305909999999"/>
    <x v="6"/>
  </r>
  <r>
    <n v="1953"/>
    <n v="113.4997742"/>
    <n v="22.985163199999999"/>
    <x v="6"/>
  </r>
  <r>
    <n v="1954"/>
    <n v="113.2608417"/>
    <n v="22.974032579999999"/>
    <x v="29"/>
  </r>
  <r>
    <n v="1955"/>
    <n v="113.2688304"/>
    <n v="22.9785866"/>
    <x v="29"/>
  </r>
  <r>
    <n v="1956"/>
    <n v="113.2676154"/>
    <n v="22.981932220000001"/>
    <x v="23"/>
  </r>
  <r>
    <n v="1957"/>
    <n v="113.2996424"/>
    <n v="22.978005469999999"/>
    <x v="26"/>
  </r>
  <r>
    <n v="1958"/>
    <n v="113.2984665"/>
    <n v="22.97840429"/>
    <x v="26"/>
  </r>
  <r>
    <n v="1959"/>
    <n v="113.2987341"/>
    <n v="22.976985450000001"/>
    <x v="26"/>
  </r>
  <r>
    <n v="1960"/>
    <n v="113.2980554"/>
    <n v="22.976956609999998"/>
    <x v="26"/>
  </r>
  <r>
    <n v="1961"/>
    <n v="113.29920129999999"/>
    <n v="22.97624897"/>
    <x v="26"/>
  </r>
  <r>
    <n v="1962"/>
    <n v="113.3011037"/>
    <n v="22.975906850000001"/>
    <x v="26"/>
  </r>
  <r>
    <n v="1963"/>
    <n v="113.3006436"/>
    <n v="22.975672750000001"/>
    <x v="26"/>
  </r>
  <r>
    <n v="1964"/>
    <n v="113.2987641"/>
    <n v="22.976479619999999"/>
    <x v="26"/>
  </r>
  <r>
    <n v="1965"/>
    <n v="113.3008299"/>
    <n v="22.980645289999998"/>
    <x v="26"/>
  </r>
  <r>
    <n v="1966"/>
    <n v="113.2974002"/>
    <n v="22.983239000000001"/>
    <x v="26"/>
  </r>
  <r>
    <n v="1967"/>
    <n v="113.30829249999999"/>
    <n v="22.9789657"/>
    <x v="26"/>
  </r>
  <r>
    <n v="1968"/>
    <n v="113.3082376"/>
    <n v="22.979842420000001"/>
    <x v="26"/>
  </r>
  <r>
    <n v="1969"/>
    <n v="113.3101309"/>
    <n v="22.97923119"/>
    <x v="26"/>
  </r>
  <r>
    <n v="1970"/>
    <n v="113.31054210000001"/>
    <n v="22.97792699"/>
    <x v="26"/>
  </r>
  <r>
    <n v="1971"/>
    <n v="113.3111459"/>
    <n v="22.978588590000001"/>
    <x v="26"/>
  </r>
  <r>
    <n v="1972"/>
    <n v="113.3101616"/>
    <n v="22.981333230000001"/>
    <x v="26"/>
  </r>
  <r>
    <n v="1973"/>
    <n v="113.3086119"/>
    <n v="22.979230999999999"/>
    <x v="26"/>
  </r>
  <r>
    <n v="1974"/>
    <n v="113.306586"/>
    <n v="22.97796924"/>
    <x v="26"/>
  </r>
  <r>
    <n v="1975"/>
    <n v="113.31134350000001"/>
    <n v="22.977438710000001"/>
    <x v="26"/>
  </r>
  <r>
    <n v="1976"/>
    <n v="113.30777860000001"/>
    <n v="22.979080589999999"/>
    <x v="26"/>
  </r>
  <r>
    <n v="1977"/>
    <n v="113.31051909999999"/>
    <n v="22.979247470000001"/>
    <x v="26"/>
  </r>
  <r>
    <n v="1978"/>
    <n v="113.30742720000001"/>
    <n v="22.980577579999999"/>
    <x v="26"/>
  </r>
  <r>
    <n v="1979"/>
    <n v="113.30635940000001"/>
    <n v="22.978963220000001"/>
    <x v="26"/>
  </r>
  <r>
    <n v="1980"/>
    <n v="113.3094751"/>
    <n v="22.980406899999998"/>
    <x v="26"/>
  </r>
  <r>
    <n v="1981"/>
    <n v="113.3076257"/>
    <n v="22.980898079999999"/>
    <x v="26"/>
  </r>
  <r>
    <n v="1982"/>
    <n v="113.3067975"/>
    <n v="22.97887046"/>
    <x v="26"/>
  </r>
  <r>
    <n v="1983"/>
    <n v="113.3076337"/>
    <n v="22.981546789999999"/>
    <x v="26"/>
  </r>
  <r>
    <n v="1984"/>
    <n v="113.30539450000001"/>
    <n v="22.97581731"/>
    <x v="26"/>
  </r>
  <r>
    <n v="1985"/>
    <n v="113.31024549999999"/>
    <n v="22.980689349999999"/>
    <x v="26"/>
  </r>
  <r>
    <n v="1986"/>
    <n v="113.30725889999999"/>
    <n v="22.974483509999999"/>
    <x v="26"/>
  </r>
  <r>
    <n v="1987"/>
    <n v="113.30314250000001"/>
    <n v="22.980850159999999"/>
    <x v="26"/>
  </r>
  <r>
    <n v="1988"/>
    <n v="113.30525969999999"/>
    <n v="22.97653025"/>
    <x v="26"/>
  </r>
  <r>
    <n v="1989"/>
    <n v="113.3087585"/>
    <n v="22.980965980000001"/>
    <x v="26"/>
  </r>
  <r>
    <n v="1990"/>
    <n v="113.30364179999999"/>
    <n v="22.97788255"/>
    <x v="26"/>
  </r>
  <r>
    <n v="1991"/>
    <n v="113.3046775"/>
    <n v="22.981696070000002"/>
    <x v="26"/>
  </r>
  <r>
    <n v="1992"/>
    <n v="113.30919059999999"/>
    <n v="22.98118509"/>
    <x v="26"/>
  </r>
  <r>
    <n v="1993"/>
    <n v="113.309408"/>
    <n v="22.98303589"/>
    <x v="26"/>
  </r>
  <r>
    <n v="1994"/>
    <n v="113.30289999999999"/>
    <n v="22.980813600000001"/>
    <x v="26"/>
  </r>
  <r>
    <n v="1995"/>
    <n v="113.30218549999999"/>
    <n v="22.978229970000001"/>
    <x v="26"/>
  </r>
  <r>
    <n v="1996"/>
    <n v="113.3027215"/>
    <n v="22.977768229999999"/>
    <x v="26"/>
  </r>
  <r>
    <n v="1997"/>
    <n v="113.3107258"/>
    <n v="22.976628210000001"/>
    <x v="26"/>
  </r>
  <r>
    <n v="1998"/>
    <n v="113.31015789999999"/>
    <n v="22.977281980000001"/>
    <x v="26"/>
  </r>
  <r>
    <n v="1999"/>
    <n v="113.311029"/>
    <n v="22.979874250000002"/>
    <x v="26"/>
  </r>
  <r>
    <n v="2000"/>
    <n v="113.30638449999999"/>
    <n v="22.976834090000001"/>
    <x v="26"/>
  </r>
  <r>
    <n v="2001"/>
    <n v="113.304123"/>
    <n v="22.975915539999999"/>
    <x v="26"/>
  </r>
  <r>
    <n v="2002"/>
    <n v="113.3035093"/>
    <n v="22.974203370000001"/>
    <x v="26"/>
  </r>
  <r>
    <n v="2003"/>
    <n v="113.30334449999999"/>
    <n v="22.97579198"/>
    <x v="26"/>
  </r>
  <r>
    <n v="2004"/>
    <n v="113.3064005"/>
    <n v="22.97623432"/>
    <x v="26"/>
  </r>
  <r>
    <n v="2005"/>
    <n v="113.3094803"/>
    <n v="22.977032340000001"/>
    <x v="26"/>
  </r>
  <r>
    <n v="2006"/>
    <n v="113.31066370000001"/>
    <n v="22.98077254"/>
    <x v="26"/>
  </r>
  <r>
    <n v="2007"/>
    <n v="113.30304870000001"/>
    <n v="22.980811339999999"/>
    <x v="26"/>
  </r>
  <r>
    <n v="2008"/>
    <n v="113.31068190000001"/>
    <n v="22.976660280000001"/>
    <x v="26"/>
  </r>
  <r>
    <n v="2009"/>
    <n v="113.31092409999999"/>
    <n v="22.980992959999998"/>
    <x v="26"/>
  </r>
  <r>
    <n v="2010"/>
    <n v="113.3109812"/>
    <n v="22.978753820000001"/>
    <x v="26"/>
  </r>
  <r>
    <n v="2011"/>
    <n v="113.3109102"/>
    <n v="22.981137929999999"/>
    <x v="26"/>
  </r>
  <r>
    <n v="2012"/>
    <n v="113.30820559999999"/>
    <n v="22.98109694"/>
    <x v="26"/>
  </r>
  <r>
    <n v="2013"/>
    <n v="113.3145348"/>
    <n v="22.981059170000002"/>
    <x v="26"/>
  </r>
  <r>
    <n v="2014"/>
    <n v="113.31399690000001"/>
    <n v="22.981152139999999"/>
    <x v="26"/>
  </r>
  <r>
    <n v="2015"/>
    <n v="113.3151895"/>
    <n v="22.980746060000001"/>
    <x v="26"/>
  </r>
  <r>
    <n v="2016"/>
    <n v="113.3190408"/>
    <n v="22.97716428"/>
    <x v="30"/>
  </r>
  <r>
    <n v="2017"/>
    <n v="113.31917350000001"/>
    <n v="22.97764282"/>
    <x v="30"/>
  </r>
  <r>
    <n v="2018"/>
    <n v="113.31911770000001"/>
    <n v="22.977203119999999"/>
    <x v="30"/>
  </r>
  <r>
    <n v="2019"/>
    <n v="113.316869"/>
    <n v="22.980861829999998"/>
    <x v="26"/>
  </r>
  <r>
    <n v="2020"/>
    <n v="113.3129691"/>
    <n v="22.979771670000002"/>
    <x v="26"/>
  </r>
  <r>
    <n v="2021"/>
    <n v="113.31224659999999"/>
    <n v="22.978857420000001"/>
    <x v="26"/>
  </r>
  <r>
    <n v="2022"/>
    <n v="113.32030020000001"/>
    <n v="22.977693649999999"/>
    <x v="30"/>
  </r>
  <r>
    <n v="2023"/>
    <n v="113.3120152"/>
    <n v="22.977130590000002"/>
    <x v="26"/>
  </r>
  <r>
    <n v="2024"/>
    <n v="113.3122547"/>
    <n v="22.976844270000001"/>
    <x v="26"/>
  </r>
  <r>
    <n v="2025"/>
    <n v="113.3206646"/>
    <n v="22.97500711"/>
    <x v="30"/>
  </r>
  <r>
    <n v="2026"/>
    <n v="113.3119112"/>
    <n v="22.9803514"/>
    <x v="26"/>
  </r>
  <r>
    <n v="2027"/>
    <n v="113.3202802"/>
    <n v="22.977667700000001"/>
    <x v="30"/>
  </r>
  <r>
    <n v="2028"/>
    <n v="113.32140010000001"/>
    <n v="22.974906749999999"/>
    <x v="30"/>
  </r>
  <r>
    <n v="2029"/>
    <n v="113.319846"/>
    <n v="22.98010648"/>
    <x v="30"/>
  </r>
  <r>
    <n v="2030"/>
    <n v="113.3192171"/>
    <n v="22.982545630000001"/>
    <x v="25"/>
  </r>
  <r>
    <n v="2031"/>
    <n v="113.3200966"/>
    <n v="22.978287779999999"/>
    <x v="30"/>
  </r>
  <r>
    <n v="2032"/>
    <n v="113.3198639"/>
    <n v="22.98011644"/>
    <x v="30"/>
  </r>
  <r>
    <n v="2033"/>
    <n v="113.3121879"/>
    <n v="22.976939349999999"/>
    <x v="26"/>
  </r>
  <r>
    <n v="2034"/>
    <n v="113.3120598"/>
    <n v="22.980868900000001"/>
    <x v="26"/>
  </r>
  <r>
    <n v="2035"/>
    <n v="113.3219539"/>
    <n v="22.975316509999999"/>
    <x v="30"/>
  </r>
  <r>
    <n v="2036"/>
    <n v="113.3251952"/>
    <n v="22.97570314"/>
    <x v="30"/>
  </r>
  <r>
    <n v="2037"/>
    <n v="113.3292589"/>
    <n v="22.975773369999999"/>
    <x v="30"/>
  </r>
  <r>
    <n v="2038"/>
    <n v="113.32530800000001"/>
    <n v="22.975929829999998"/>
    <x v="30"/>
  </r>
  <r>
    <n v="2039"/>
    <n v="113.3247362"/>
    <n v="22.97463548"/>
    <x v="30"/>
  </r>
  <r>
    <n v="2040"/>
    <n v="113.3221724"/>
    <n v="22.976985370000001"/>
    <x v="30"/>
  </r>
  <r>
    <n v="2041"/>
    <n v="113.3305604"/>
    <n v="22.973895710000001"/>
    <x v="30"/>
  </r>
  <r>
    <n v="2042"/>
    <n v="113.3255005"/>
    <n v="22.976766099999999"/>
    <x v="30"/>
  </r>
  <r>
    <n v="2043"/>
    <n v="113.3308218"/>
    <n v="22.974789829999999"/>
    <x v="30"/>
  </r>
  <r>
    <n v="2044"/>
    <n v="113.3314235"/>
    <n v="22.975644330000002"/>
    <x v="30"/>
  </r>
  <r>
    <n v="2045"/>
    <n v="113.33834950000001"/>
    <n v="22.98002761"/>
    <x v="27"/>
  </r>
  <r>
    <n v="2046"/>
    <n v="113.3409698"/>
    <n v="22.97684126"/>
    <x v="27"/>
  </r>
  <r>
    <n v="2047"/>
    <n v="113.340407"/>
    <n v="22.97439232"/>
    <x v="27"/>
  </r>
  <r>
    <n v="2048"/>
    <n v="113.3330294"/>
    <n v="22.974036009999999"/>
    <x v="30"/>
  </r>
  <r>
    <n v="2049"/>
    <n v="113.34093799999999"/>
    <n v="22.974336399999999"/>
    <x v="27"/>
  </r>
  <r>
    <n v="2050"/>
    <n v="113.33834950000001"/>
    <n v="22.98002761"/>
    <x v="27"/>
  </r>
  <r>
    <n v="2051"/>
    <n v="113.34094090000001"/>
    <n v="22.975761779999999"/>
    <x v="27"/>
  </r>
  <r>
    <n v="2052"/>
    <n v="113.34022229999999"/>
    <n v="22.974308690000001"/>
    <x v="27"/>
  </r>
  <r>
    <n v="2053"/>
    <n v="113.3383675"/>
    <n v="22.979599759999999"/>
    <x v="27"/>
  </r>
  <r>
    <n v="2054"/>
    <n v="113.3377601"/>
    <n v="22.974602010000002"/>
    <x v="27"/>
  </r>
  <r>
    <n v="2055"/>
    <n v="113.34093799999999"/>
    <n v="22.974336399999999"/>
    <x v="27"/>
  </r>
  <r>
    <n v="2056"/>
    <n v="113.34846090000001"/>
    <n v="22.979775109999999"/>
    <x v="27"/>
  </r>
  <r>
    <n v="2057"/>
    <n v="113.34756160000001"/>
    <n v="22.977825450000001"/>
    <x v="27"/>
  </r>
  <r>
    <n v="2058"/>
    <n v="113.34697749999999"/>
    <n v="22.980087449999999"/>
    <x v="27"/>
  </r>
  <r>
    <n v="2059"/>
    <n v="113.3468575"/>
    <n v="22.983262280000002"/>
    <x v="27"/>
  </r>
  <r>
    <n v="2060"/>
    <n v="113.34716349999999"/>
    <n v="22.975953919999998"/>
    <x v="27"/>
  </r>
  <r>
    <n v="2061"/>
    <n v="113.344537"/>
    <n v="22.978115460000001"/>
    <x v="27"/>
  </r>
  <r>
    <n v="2062"/>
    <n v="113.3485238"/>
    <n v="22.980469710000001"/>
    <x v="27"/>
  </r>
  <r>
    <n v="2063"/>
    <n v="113.348386"/>
    <n v="22.981013699999998"/>
    <x v="27"/>
  </r>
  <r>
    <n v="2064"/>
    <n v="113.34811550000001"/>
    <n v="22.979373859999999"/>
    <x v="27"/>
  </r>
  <r>
    <n v="2065"/>
    <n v="113.3496748"/>
    <n v="22.979982029999999"/>
    <x v="27"/>
  </r>
  <r>
    <n v="2066"/>
    <n v="113.34976760000001"/>
    <n v="22.980407700000001"/>
    <x v="27"/>
  </r>
  <r>
    <n v="2067"/>
    <n v="113.3421026"/>
    <n v="22.977348039999999"/>
    <x v="27"/>
  </r>
  <r>
    <n v="2068"/>
    <n v="113.3487403"/>
    <n v="22.981833760000001"/>
    <x v="27"/>
  </r>
  <r>
    <n v="2069"/>
    <n v="113.350663"/>
    <n v="22.98115293"/>
    <x v="27"/>
  </r>
  <r>
    <n v="2070"/>
    <n v="113.3438544"/>
    <n v="22.977014109999999"/>
    <x v="27"/>
  </r>
  <r>
    <n v="2071"/>
    <n v="113.34945039999999"/>
    <n v="22.976228020000001"/>
    <x v="27"/>
  </r>
  <r>
    <n v="2072"/>
    <n v="113.3484018"/>
    <n v="22.982968830000001"/>
    <x v="27"/>
  </r>
  <r>
    <n v="2073"/>
    <n v="113.3509476"/>
    <n v="22.980450780000002"/>
    <x v="27"/>
  </r>
  <r>
    <n v="2074"/>
    <n v="113.3439721"/>
    <n v="22.978143419999999"/>
    <x v="27"/>
  </r>
  <r>
    <n v="2075"/>
    <n v="113.3422182"/>
    <n v="22.98005766"/>
    <x v="27"/>
  </r>
  <r>
    <n v="2076"/>
    <n v="113.349822"/>
    <n v="22.974089330000002"/>
    <x v="27"/>
  </r>
  <r>
    <n v="2077"/>
    <n v="113.3434441"/>
    <n v="22.976956850000001"/>
    <x v="27"/>
  </r>
  <r>
    <n v="2078"/>
    <n v="113.351319"/>
    <n v="22.9799504"/>
    <x v="27"/>
  </r>
  <r>
    <n v="2079"/>
    <n v="113.3439034"/>
    <n v="22.97477099"/>
    <x v="27"/>
  </r>
  <r>
    <n v="2080"/>
    <n v="113.3438925"/>
    <n v="22.974170269999998"/>
    <x v="27"/>
  </r>
  <r>
    <n v="2081"/>
    <n v="113.35784959999999"/>
    <n v="22.98047429"/>
    <x v="28"/>
  </r>
  <r>
    <n v="2082"/>
    <n v="113.3578646"/>
    <n v="22.981052009999999"/>
    <x v="28"/>
  </r>
  <r>
    <n v="2083"/>
    <n v="113.3573174"/>
    <n v="22.981251719999999"/>
    <x v="28"/>
  </r>
  <r>
    <n v="2084"/>
    <n v="113.3533496"/>
    <n v="22.981491550000001"/>
    <x v="27"/>
  </r>
  <r>
    <n v="2085"/>
    <n v="113.3559427"/>
    <n v="22.978091089999999"/>
    <x v="27"/>
  </r>
  <r>
    <n v="2086"/>
    <n v="113.35210170000001"/>
    <n v="22.980527909999999"/>
    <x v="27"/>
  </r>
  <r>
    <n v="2087"/>
    <n v="113.3520158"/>
    <n v="22.980212179999999"/>
    <x v="27"/>
  </r>
  <r>
    <n v="2088"/>
    <n v="113.3602873"/>
    <n v="22.977708069999998"/>
    <x v="28"/>
  </r>
  <r>
    <n v="2089"/>
    <n v="113.3557938"/>
    <n v="22.980330349999999"/>
    <x v="27"/>
  </r>
  <r>
    <n v="2090"/>
    <n v="113.36043290000001"/>
    <n v="22.979985889999998"/>
    <x v="28"/>
  </r>
  <r>
    <n v="2091"/>
    <n v="113.3587632"/>
    <n v="22.982033319999999"/>
    <x v="28"/>
  </r>
  <r>
    <n v="2092"/>
    <n v="113.3610523"/>
    <n v="22.976366609999999"/>
    <x v="28"/>
  </r>
  <r>
    <n v="2093"/>
    <n v="113.3589848"/>
    <n v="22.982809670000002"/>
    <x v="28"/>
  </r>
  <r>
    <n v="2094"/>
    <n v="113.35968389999999"/>
    <n v="22.980927510000001"/>
    <x v="28"/>
  </r>
  <r>
    <n v="2095"/>
    <n v="113.3604898"/>
    <n v="22.98072049"/>
    <x v="28"/>
  </r>
  <r>
    <n v="2096"/>
    <n v="113.3606915"/>
    <n v="22.980781189999998"/>
    <x v="28"/>
  </r>
  <r>
    <n v="2097"/>
    <n v="113.36096809999999"/>
    <n v="22.98173341"/>
    <x v="28"/>
  </r>
  <r>
    <n v="2098"/>
    <n v="113.3612007"/>
    <n v="22.981706110000001"/>
    <x v="28"/>
  </r>
  <r>
    <n v="2099"/>
    <n v="113.3559427"/>
    <n v="22.978091089999999"/>
    <x v="27"/>
  </r>
  <r>
    <n v="2100"/>
    <n v="113.3557938"/>
    <n v="22.980330349999999"/>
    <x v="27"/>
  </r>
  <r>
    <n v="2101"/>
    <n v="113.35865250000001"/>
    <n v="22.980381179999998"/>
    <x v="28"/>
  </r>
  <r>
    <n v="2102"/>
    <n v="113.3579864"/>
    <n v="22.98119878"/>
    <x v="28"/>
  </r>
  <r>
    <n v="2103"/>
    <n v="113.36663110000001"/>
    <n v="22.975809819999998"/>
    <x v="28"/>
  </r>
  <r>
    <n v="2104"/>
    <n v="113.3674638"/>
    <n v="22.98038888"/>
    <x v="28"/>
  </r>
  <r>
    <n v="2105"/>
    <n v="113.3645607"/>
    <n v="22.97544847"/>
    <x v="28"/>
  </r>
  <r>
    <n v="2106"/>
    <n v="113.3674022"/>
    <n v="22.97491531"/>
    <x v="28"/>
  </r>
  <r>
    <n v="2107"/>
    <n v="113.36617819999999"/>
    <n v="22.981809770000002"/>
    <x v="28"/>
  </r>
  <r>
    <n v="2108"/>
    <n v="113.3642371"/>
    <n v="22.974779160000001"/>
    <x v="28"/>
  </r>
  <r>
    <n v="2109"/>
    <n v="113.3678515"/>
    <n v="22.97800647"/>
    <x v="28"/>
  </r>
  <r>
    <n v="2110"/>
    <n v="113.36225640000001"/>
    <n v="22.97977654"/>
    <x v="28"/>
  </r>
  <r>
    <n v="2111"/>
    <n v="113.3673938"/>
    <n v="22.981662409999998"/>
    <x v="28"/>
  </r>
  <r>
    <n v="2112"/>
    <n v="113.36382070000001"/>
    <n v="22.97516852"/>
    <x v="28"/>
  </r>
  <r>
    <n v="2113"/>
    <n v="113.3645837"/>
    <n v="22.974126009999999"/>
    <x v="28"/>
  </r>
  <r>
    <n v="2114"/>
    <n v="113.3690829"/>
    <n v="22.981026790000001"/>
    <x v="28"/>
  </r>
  <r>
    <n v="2115"/>
    <n v="113.3691778"/>
    <n v="22.98092673"/>
    <x v="28"/>
  </r>
  <r>
    <n v="2116"/>
    <n v="113.36467709999999"/>
    <n v="22.98169764"/>
    <x v="28"/>
  </r>
  <r>
    <n v="2117"/>
    <n v="113.363978"/>
    <n v="22.981900419999999"/>
    <x v="28"/>
  </r>
  <r>
    <n v="2118"/>
    <n v="113.3626582"/>
    <n v="22.974687209999999"/>
    <x v="28"/>
  </r>
  <r>
    <n v="2119"/>
    <n v="113.3654191"/>
    <n v="22.983485959999999"/>
    <x v="28"/>
  </r>
  <r>
    <n v="2120"/>
    <n v="113.362797"/>
    <n v="22.975036880000001"/>
    <x v="28"/>
  </r>
  <r>
    <n v="2121"/>
    <n v="113.3633634"/>
    <n v="22.973683739999998"/>
    <x v="28"/>
  </r>
  <r>
    <n v="2122"/>
    <n v="113.36873319999999"/>
    <n v="22.982167690000001"/>
    <x v="28"/>
  </r>
  <r>
    <n v="2123"/>
    <n v="113.3674268"/>
    <n v="22.981328520000002"/>
    <x v="28"/>
  </r>
  <r>
    <n v="2124"/>
    <n v="113.36948099999999"/>
    <n v="22.974006379999999"/>
    <x v="28"/>
  </r>
  <r>
    <n v="2125"/>
    <n v="113.3646111"/>
    <n v="22.982891200000001"/>
    <x v="28"/>
  </r>
  <r>
    <n v="2126"/>
    <n v="113.3616506"/>
    <n v="22.974742509999999"/>
    <x v="28"/>
  </r>
  <r>
    <n v="2127"/>
    <n v="113.36663059999999"/>
    <n v="22.983503500000001"/>
    <x v="28"/>
  </r>
  <r>
    <n v="2128"/>
    <n v="113.3629502"/>
    <n v="22.983368089999999"/>
    <x v="28"/>
  </r>
  <r>
    <n v="2129"/>
    <n v="113.3635405"/>
    <n v="22.983243389999998"/>
    <x v="28"/>
  </r>
  <r>
    <n v="2130"/>
    <n v="113.3624081"/>
    <n v="22.981852450000002"/>
    <x v="28"/>
  </r>
  <r>
    <n v="2131"/>
    <n v="113.3692056"/>
    <n v="22.983421629999999"/>
    <x v="28"/>
  </r>
  <r>
    <n v="2132"/>
    <n v="113.3625358"/>
    <n v="22.98290283"/>
    <x v="28"/>
  </r>
  <r>
    <n v="2133"/>
    <n v="113.36864129999999"/>
    <n v="22.982794519999999"/>
    <x v="28"/>
  </r>
  <r>
    <n v="2134"/>
    <n v="113.36964620000001"/>
    <n v="22.982378600000001"/>
    <x v="28"/>
  </r>
  <r>
    <n v="2135"/>
    <n v="113.3673908"/>
    <n v="22.98202826"/>
    <x v="28"/>
  </r>
  <r>
    <n v="2136"/>
    <n v="113.36868029999999"/>
    <n v="22.981579"/>
    <x v="28"/>
  </r>
  <r>
    <n v="2137"/>
    <n v="113.3756605"/>
    <n v="22.980670509999999"/>
    <x v="5"/>
  </r>
  <r>
    <n v="2138"/>
    <n v="113.3731332"/>
    <n v="22.974072639999999"/>
    <x v="28"/>
  </r>
  <r>
    <n v="2139"/>
    <n v="113.3810309"/>
    <n v="22.975880490000002"/>
    <x v="5"/>
  </r>
  <r>
    <n v="2140"/>
    <n v="113.38893520000001"/>
    <n v="22.978465450000002"/>
    <x v="5"/>
  </r>
  <r>
    <n v="2141"/>
    <n v="113.3833563"/>
    <n v="22.979423539999999"/>
    <x v="5"/>
  </r>
  <r>
    <n v="2142"/>
    <n v="113.3842858"/>
    <n v="22.98045359"/>
    <x v="5"/>
  </r>
  <r>
    <n v="2143"/>
    <n v="113.3834523"/>
    <n v="22.979111620000001"/>
    <x v="5"/>
  </r>
  <r>
    <n v="2144"/>
    <n v="113.38413970000001"/>
    <n v="22.98184307"/>
    <x v="5"/>
  </r>
  <r>
    <n v="2145"/>
    <n v="113.38262659999999"/>
    <n v="22.980031700000001"/>
    <x v="5"/>
  </r>
  <r>
    <n v="2146"/>
    <n v="113.3906315"/>
    <n v="22.982738099999999"/>
    <x v="5"/>
  </r>
  <r>
    <n v="2147"/>
    <n v="113.3902681"/>
    <n v="22.974419780000002"/>
    <x v="5"/>
  </r>
  <r>
    <n v="2148"/>
    <n v="113.44460719999999"/>
    <n v="22.978024869999999"/>
    <x v="7"/>
  </r>
  <r>
    <n v="2149"/>
    <n v="113.4541385"/>
    <n v="22.980461850000001"/>
    <x v="7"/>
  </r>
  <r>
    <n v="2150"/>
    <n v="113.4540664"/>
    <n v="22.979117259999999"/>
    <x v="7"/>
  </r>
  <r>
    <n v="2151"/>
    <n v="113.469596"/>
    <n v="22.974878990000001"/>
    <x v="6"/>
  </r>
  <r>
    <n v="2152"/>
    <n v="113.46980259999999"/>
    <n v="22.97492454"/>
    <x v="6"/>
  </r>
  <r>
    <n v="2153"/>
    <n v="113.4767152"/>
    <n v="22.97564573"/>
    <x v="6"/>
  </r>
  <r>
    <n v="2154"/>
    <n v="113.47546180000001"/>
    <n v="22.978280999999999"/>
    <x v="6"/>
  </r>
  <r>
    <n v="2155"/>
    <n v="113.47559320000001"/>
    <n v="22.979309929999999"/>
    <x v="6"/>
  </r>
  <r>
    <n v="2156"/>
    <n v="113.4772991"/>
    <n v="22.97514962"/>
    <x v="6"/>
  </r>
  <r>
    <n v="2157"/>
    <n v="113.47504549999999"/>
    <n v="22.976735470000001"/>
    <x v="6"/>
  </r>
  <r>
    <n v="2158"/>
    <n v="113.4751497"/>
    <n v="22.979420619999999"/>
    <x v="6"/>
  </r>
  <r>
    <n v="2159"/>
    <n v="113.4797605"/>
    <n v="22.974346109999999"/>
    <x v="6"/>
  </r>
  <r>
    <n v="2160"/>
    <n v="113.4810688"/>
    <n v="22.975698359999999"/>
    <x v="6"/>
  </r>
  <r>
    <n v="2161"/>
    <n v="113.4753164"/>
    <n v="22.97679922"/>
    <x v="6"/>
  </r>
  <r>
    <n v="2162"/>
    <n v="113.4808601"/>
    <n v="22.975618780000001"/>
    <x v="6"/>
  </r>
  <r>
    <n v="2163"/>
    <n v="113.48369769999999"/>
    <n v="22.977891159999999"/>
    <x v="6"/>
  </r>
  <r>
    <n v="2164"/>
    <n v="113.4824083"/>
    <n v="22.97771942"/>
    <x v="6"/>
  </r>
  <r>
    <n v="2165"/>
    <n v="113.4846258"/>
    <n v="22.97858961"/>
    <x v="6"/>
  </r>
  <r>
    <n v="2166"/>
    <n v="113.49073629999999"/>
    <n v="22.974683540000001"/>
    <x v="6"/>
  </r>
  <r>
    <n v="2167"/>
    <n v="113.48470709999999"/>
    <n v="22.978830739999999"/>
    <x v="6"/>
  </r>
  <r>
    <n v="2168"/>
    <n v="113.4972769"/>
    <n v="22.978659499999999"/>
    <x v="6"/>
  </r>
  <r>
    <n v="2169"/>
    <n v="113.49610680000001"/>
    <n v="22.97906781"/>
    <x v="6"/>
  </r>
  <r>
    <n v="2170"/>
    <n v="113.4972077"/>
    <n v="22.977887630000001"/>
    <x v="6"/>
  </r>
  <r>
    <n v="2171"/>
    <n v="113.4977536"/>
    <n v="22.978315080000002"/>
    <x v="6"/>
  </r>
  <r>
    <n v="2172"/>
    <n v="113.4969016"/>
    <n v="22.97784073"/>
    <x v="6"/>
  </r>
  <r>
    <n v="2173"/>
    <n v="113.50114240000001"/>
    <n v="22.979959539999999"/>
    <x v="6"/>
  </r>
  <r>
    <n v="2174"/>
    <n v="113.4959051"/>
    <n v="22.978650380000001"/>
    <x v="6"/>
  </r>
  <r>
    <n v="2175"/>
    <n v="113.4958017"/>
    <n v="22.978962939999999"/>
    <x v="6"/>
  </r>
  <r>
    <n v="2176"/>
    <n v="113.4988795"/>
    <n v="22.97855036"/>
    <x v="6"/>
  </r>
  <r>
    <n v="2177"/>
    <n v="113.49907709999999"/>
    <n v="22.979648480000002"/>
    <x v="6"/>
  </r>
  <r>
    <n v="2178"/>
    <n v="113.4989386"/>
    <n v="22.979918949999998"/>
    <x v="6"/>
  </r>
  <r>
    <n v="2179"/>
    <n v="113.4968787"/>
    <n v="22.976516230000001"/>
    <x v="6"/>
  </r>
  <r>
    <n v="2180"/>
    <n v="113.49718369999999"/>
    <n v="22.976280249999999"/>
    <x v="6"/>
  </r>
  <r>
    <n v="2181"/>
    <n v="113.4933712"/>
    <n v="22.978780700000002"/>
    <x v="6"/>
  </r>
  <r>
    <n v="2182"/>
    <n v="113.4934535"/>
    <n v="22.97949564"/>
    <x v="6"/>
  </r>
  <r>
    <n v="2183"/>
    <n v="113.4968815"/>
    <n v="22.979336020000002"/>
    <x v="6"/>
  </r>
  <r>
    <n v="2184"/>
    <n v="113.49717080000001"/>
    <n v="22.975252650000002"/>
    <x v="6"/>
  </r>
  <r>
    <n v="2185"/>
    <n v="113.49266369999999"/>
    <n v="22.97938431"/>
    <x v="6"/>
  </r>
  <r>
    <n v="2186"/>
    <n v="113.49712270000001"/>
    <n v="22.973873099999999"/>
    <x v="6"/>
  </r>
  <r>
    <n v="2187"/>
    <n v="113.49681560000001"/>
    <n v="22.973931149999999"/>
    <x v="6"/>
  </r>
  <r>
    <n v="2188"/>
    <n v="113.5037073"/>
    <n v="22.97929448"/>
    <x v="6"/>
  </r>
  <r>
    <n v="2189"/>
    <n v="113.5034448"/>
    <n v="22.974192890000001"/>
    <x v="6"/>
  </r>
  <r>
    <n v="2190"/>
    <n v="113.5032126"/>
    <n v="22.979951719999999"/>
    <x v="6"/>
  </r>
  <r>
    <n v="2191"/>
    <n v="113.5058013"/>
    <n v="22.983603840000001"/>
    <x v="6"/>
  </r>
  <r>
    <n v="2192"/>
    <n v="113.5058495"/>
    <n v="22.98368894"/>
    <x v="6"/>
  </r>
  <r>
    <n v="2193"/>
    <n v="113.51612059999999"/>
    <n v="22.981409679999999"/>
    <x v="6"/>
  </r>
  <r>
    <n v="2194"/>
    <n v="113.5193888"/>
    <n v="22.97598314"/>
    <x v="6"/>
  </r>
  <r>
    <n v="2195"/>
    <n v="113.5194079"/>
    <n v="22.975307489999999"/>
    <x v="6"/>
  </r>
  <r>
    <n v="2196"/>
    <n v="113.52071119999999"/>
    <n v="22.975305070000001"/>
    <x v="6"/>
  </r>
  <r>
    <n v="2197"/>
    <n v="113.2611186"/>
    <n v="22.972956870000001"/>
    <x v="29"/>
  </r>
  <r>
    <n v="2198"/>
    <n v="113.2810092"/>
    <n v="22.965882799999999"/>
    <x v="29"/>
  </r>
  <r>
    <n v="2199"/>
    <n v="113.2838988"/>
    <n v="22.968447900000001"/>
    <x v="29"/>
  </r>
  <r>
    <n v="2200"/>
    <n v="113.2966205"/>
    <n v="22.969352270000002"/>
    <x v="26"/>
  </r>
  <r>
    <n v="2201"/>
    <n v="113.2956722"/>
    <n v="22.969174899999999"/>
    <x v="26"/>
  </r>
  <r>
    <n v="2202"/>
    <n v="113.2977475"/>
    <n v="22.96802696"/>
    <x v="26"/>
  </r>
  <r>
    <n v="2203"/>
    <n v="113.2967134"/>
    <n v="22.968006689999999"/>
    <x v="26"/>
  </r>
  <r>
    <n v="2204"/>
    <n v="113.2951173"/>
    <n v="22.96864703"/>
    <x v="26"/>
  </r>
  <r>
    <n v="2205"/>
    <n v="113.2982614"/>
    <n v="22.971573580000001"/>
    <x v="26"/>
  </r>
  <r>
    <n v="2206"/>
    <n v="113.300517"/>
    <n v="22.973201029999998"/>
    <x v="26"/>
  </r>
  <r>
    <n v="2207"/>
    <n v="113.2964705"/>
    <n v="22.97276505"/>
    <x v="26"/>
  </r>
  <r>
    <n v="2208"/>
    <n v="113.30634310000001"/>
    <n v="22.968971539999998"/>
    <x v="26"/>
  </r>
  <r>
    <n v="2209"/>
    <n v="113.3030145"/>
    <n v="22.969258369999999"/>
    <x v="26"/>
  </r>
  <r>
    <n v="2210"/>
    <n v="113.3097003"/>
    <n v="22.970739640000001"/>
    <x v="26"/>
  </r>
  <r>
    <n v="2211"/>
    <n v="113.303709"/>
    <n v="22.972073930000001"/>
    <x v="26"/>
  </r>
  <r>
    <n v="2212"/>
    <n v="113.30490880000001"/>
    <n v="22.971034240000002"/>
    <x v="26"/>
  </r>
  <r>
    <n v="2213"/>
    <n v="113.3070385"/>
    <n v="22.971704110000001"/>
    <x v="26"/>
  </r>
  <r>
    <n v="2214"/>
    <n v="113.3043019"/>
    <n v="22.971528110000001"/>
    <x v="26"/>
  </r>
  <r>
    <n v="2215"/>
    <n v="113.30823119999999"/>
    <n v="22.970474459999998"/>
    <x v="26"/>
  </r>
  <r>
    <n v="2216"/>
    <n v="113.3066712"/>
    <n v="22.9725714"/>
    <x v="26"/>
  </r>
  <r>
    <n v="2217"/>
    <n v="113.30910540000001"/>
    <n v="22.971744309999998"/>
    <x v="26"/>
  </r>
  <r>
    <n v="2218"/>
    <n v="113.3109278"/>
    <n v="22.971037240000001"/>
    <x v="26"/>
  </r>
  <r>
    <n v="2219"/>
    <n v="113.3033616"/>
    <n v="22.973637879999998"/>
    <x v="26"/>
  </r>
  <r>
    <n v="2220"/>
    <n v="113.3099296"/>
    <n v="22.973621980000001"/>
    <x v="26"/>
  </r>
  <r>
    <n v="2221"/>
    <n v="113.3020624"/>
    <n v="22.96923305"/>
    <x v="26"/>
  </r>
  <r>
    <n v="2222"/>
    <n v="113.311331"/>
    <n v="22.97137734"/>
    <x v="26"/>
  </r>
  <r>
    <n v="2223"/>
    <n v="113.3181723"/>
    <n v="22.966219639999998"/>
    <x v="30"/>
  </r>
  <r>
    <n v="2224"/>
    <n v="113.3186151"/>
    <n v="22.971272630000001"/>
    <x v="30"/>
  </r>
  <r>
    <n v="2225"/>
    <n v="113.3176959"/>
    <n v="22.971989069999999"/>
    <x v="30"/>
  </r>
  <r>
    <n v="2226"/>
    <n v="113.31727600000001"/>
    <n v="22.969527930000002"/>
    <x v="30"/>
  </r>
  <r>
    <n v="2227"/>
    <n v="113.3179825"/>
    <n v="22.97009534"/>
    <x v="30"/>
  </r>
  <r>
    <n v="2228"/>
    <n v="113.31771999999999"/>
    <n v="22.970541650000001"/>
    <x v="30"/>
  </r>
  <r>
    <n v="2229"/>
    <n v="113.31699740000001"/>
    <n v="22.97162556"/>
    <x v="30"/>
  </r>
  <r>
    <n v="2230"/>
    <n v="113.3143548"/>
    <n v="22.971773500000001"/>
    <x v="30"/>
  </r>
  <r>
    <n v="2231"/>
    <n v="113.3177917"/>
    <n v="22.972633609999999"/>
    <x v="30"/>
  </r>
  <r>
    <n v="2232"/>
    <n v="113.3196779"/>
    <n v="22.970819800000001"/>
    <x v="30"/>
  </r>
  <r>
    <n v="2233"/>
    <n v="113.3128419"/>
    <n v="22.97147348"/>
    <x v="30"/>
  </r>
  <r>
    <n v="2234"/>
    <n v="113.3128778"/>
    <n v="22.971845250000001"/>
    <x v="30"/>
  </r>
  <r>
    <n v="2235"/>
    <n v="113.3194803"/>
    <n v="22.971170019999999"/>
    <x v="30"/>
  </r>
  <r>
    <n v="2236"/>
    <n v="113.3191161"/>
    <n v="22.971234689999999"/>
    <x v="30"/>
  </r>
  <r>
    <n v="2237"/>
    <n v="113.3122685"/>
    <n v="22.96474744"/>
    <x v="30"/>
  </r>
  <r>
    <n v="2238"/>
    <n v="113.320081"/>
    <n v="22.972269399999998"/>
    <x v="30"/>
  </r>
  <r>
    <n v="2239"/>
    <n v="113.3208364"/>
    <n v="22.97341746"/>
    <x v="30"/>
  </r>
  <r>
    <n v="2240"/>
    <n v="113.3216267"/>
    <n v="22.973571889999999"/>
    <x v="30"/>
  </r>
  <r>
    <n v="2241"/>
    <n v="113.3195063"/>
    <n v="22.971015040000001"/>
    <x v="30"/>
  </r>
  <r>
    <n v="2242"/>
    <n v="113.3211537"/>
    <n v="22.97346284"/>
    <x v="30"/>
  </r>
  <r>
    <n v="2243"/>
    <n v="113.3194962"/>
    <n v="22.972674349999998"/>
    <x v="30"/>
  </r>
  <r>
    <n v="2244"/>
    <n v="113.32018170000001"/>
    <n v="22.97347869"/>
    <x v="30"/>
  </r>
  <r>
    <n v="2245"/>
    <n v="113.3207535"/>
    <n v="22.973663519999999"/>
    <x v="30"/>
  </r>
  <r>
    <n v="2246"/>
    <n v="113.3167967"/>
    <n v="22.972561540000001"/>
    <x v="30"/>
  </r>
  <r>
    <n v="2247"/>
    <n v="113.31986550000001"/>
    <n v="22.971726050000001"/>
    <x v="30"/>
  </r>
  <r>
    <n v="2248"/>
    <n v="113.312777"/>
    <n v="22.971909409999999"/>
    <x v="30"/>
  </r>
  <r>
    <n v="2249"/>
    <n v="113.32609720000001"/>
    <n v="22.964263330000001"/>
    <x v="30"/>
  </r>
  <r>
    <n v="2250"/>
    <n v="113.3286425"/>
    <n v="22.970785679999999"/>
    <x v="30"/>
  </r>
  <r>
    <n v="2251"/>
    <n v="113.3234356"/>
    <n v="22.964289409999999"/>
    <x v="30"/>
  </r>
  <r>
    <n v="2252"/>
    <n v="113.3255362"/>
    <n v="22.965736769999999"/>
    <x v="30"/>
  </r>
  <r>
    <n v="2253"/>
    <n v="113.3261929"/>
    <n v="22.964597009999999"/>
    <x v="30"/>
  </r>
  <r>
    <n v="2254"/>
    <n v="113.33110259999999"/>
    <n v="22.970366200000001"/>
    <x v="30"/>
  </r>
  <r>
    <n v="2255"/>
    <n v="113.3304448"/>
    <n v="22.971542939999999"/>
    <x v="30"/>
  </r>
  <r>
    <n v="2256"/>
    <n v="113.3307391"/>
    <n v="22.973164690000001"/>
    <x v="30"/>
  </r>
  <r>
    <n v="2257"/>
    <n v="113.3293539"/>
    <n v="22.973551140000001"/>
    <x v="30"/>
  </r>
  <r>
    <n v="2258"/>
    <n v="113.3314527"/>
    <n v="22.97201484"/>
    <x v="30"/>
  </r>
  <r>
    <n v="2259"/>
    <n v="113.3308229"/>
    <n v="22.973551359999998"/>
    <x v="30"/>
  </r>
  <r>
    <n v="2260"/>
    <n v="113.33692600000001"/>
    <n v="22.969234849999999"/>
    <x v="31"/>
  </r>
  <r>
    <n v="2261"/>
    <n v="113.3369429"/>
    <n v="22.970363330000001"/>
    <x v="31"/>
  </r>
  <r>
    <n v="2262"/>
    <n v="113.3388874"/>
    <n v="22.967320099999998"/>
    <x v="31"/>
  </r>
  <r>
    <n v="2263"/>
    <n v="113.3365927"/>
    <n v="22.969385389999999"/>
    <x v="31"/>
  </r>
  <r>
    <n v="2264"/>
    <n v="113.3390189"/>
    <n v="22.970414529999999"/>
    <x v="31"/>
  </r>
  <r>
    <n v="2265"/>
    <n v="113.3402708"/>
    <n v="22.966731859999999"/>
    <x v="31"/>
  </r>
  <r>
    <n v="2266"/>
    <n v="113.3379439"/>
    <n v="22.97211875"/>
    <x v="27"/>
  </r>
  <r>
    <n v="2267"/>
    <n v="113.3411512"/>
    <n v="22.965565789999999"/>
    <x v="31"/>
  </r>
  <r>
    <n v="2268"/>
    <n v="113.340127"/>
    <n v="22.96784963"/>
    <x v="31"/>
  </r>
  <r>
    <n v="2269"/>
    <n v="113.34077739999999"/>
    <n v="22.972719380000001"/>
    <x v="27"/>
  </r>
  <r>
    <n v="2270"/>
    <n v="113.3400458"/>
    <n v="22.972188920000001"/>
    <x v="27"/>
  </r>
  <r>
    <n v="2271"/>
    <n v="113.3407115"/>
    <n v="22.972723500000001"/>
    <x v="27"/>
  </r>
  <r>
    <n v="2272"/>
    <n v="113.3436133"/>
    <n v="22.969543739999999"/>
    <x v="31"/>
  </r>
  <r>
    <n v="2273"/>
    <n v="113.34252650000001"/>
    <n v="22.96703072"/>
    <x v="31"/>
  </r>
  <r>
    <n v="2274"/>
    <n v="113.34715009999999"/>
    <n v="22.9662711"/>
    <x v="31"/>
  </r>
  <r>
    <n v="2275"/>
    <n v="113.3467898"/>
    <n v="22.966003820000001"/>
    <x v="31"/>
  </r>
  <r>
    <n v="2276"/>
    <n v="113.349861"/>
    <n v="22.97272585"/>
    <x v="27"/>
  </r>
  <r>
    <n v="2277"/>
    <n v="113.3439168"/>
    <n v="22.969127400000001"/>
    <x v="31"/>
  </r>
  <r>
    <n v="2278"/>
    <n v="113.34256430000001"/>
    <n v="22.968519019999999"/>
    <x v="31"/>
  </r>
  <r>
    <n v="2279"/>
    <n v="113.3442744"/>
    <n v="22.96473666"/>
    <x v="31"/>
  </r>
  <r>
    <n v="2280"/>
    <n v="113.34268590000001"/>
    <n v="22.971706439999998"/>
    <x v="27"/>
  </r>
  <r>
    <n v="2281"/>
    <n v="113.3492626"/>
    <n v="22.9644184"/>
    <x v="31"/>
  </r>
  <r>
    <n v="2282"/>
    <n v="113.34194840000001"/>
    <n v="22.9692218"/>
    <x v="31"/>
  </r>
  <r>
    <n v="2283"/>
    <n v="113.3418774"/>
    <n v="22.97180882"/>
    <x v="27"/>
  </r>
  <r>
    <n v="2284"/>
    <n v="113.3482583"/>
    <n v="22.964171149999999"/>
    <x v="31"/>
  </r>
  <r>
    <n v="2285"/>
    <n v="113.3428595"/>
    <n v="22.9731785"/>
    <x v="27"/>
  </r>
  <r>
    <n v="2286"/>
    <n v="113.3486307"/>
    <n v="22.964199529999998"/>
    <x v="31"/>
  </r>
  <r>
    <n v="2287"/>
    <n v="113.34906789999999"/>
    <n v="22.963794979999999"/>
    <x v="31"/>
  </r>
  <r>
    <n v="2288"/>
    <n v="113.34185340000001"/>
    <n v="22.972691480000002"/>
    <x v="27"/>
  </r>
  <r>
    <n v="2289"/>
    <n v="113.350223"/>
    <n v="22.963854080000001"/>
    <x v="31"/>
  </r>
  <r>
    <n v="2290"/>
    <n v="113.3418643"/>
    <n v="22.973527099999998"/>
    <x v="27"/>
  </r>
  <r>
    <n v="2291"/>
    <n v="113.34618690000001"/>
    <n v="22.965454080000001"/>
    <x v="31"/>
  </r>
  <r>
    <n v="2292"/>
    <n v="113.35081889999999"/>
    <n v="22.964319920000001"/>
    <x v="31"/>
  </r>
  <r>
    <n v="2293"/>
    <n v="113.3491428"/>
    <n v="22.96380585"/>
    <x v="31"/>
  </r>
  <r>
    <n v="2294"/>
    <n v="113.349834"/>
    <n v="22.9727289"/>
    <x v="27"/>
  </r>
  <r>
    <n v="2295"/>
    <n v="113.3430082"/>
    <n v="22.972425560000001"/>
    <x v="27"/>
  </r>
  <r>
    <n v="2296"/>
    <n v="113.3580261"/>
    <n v="22.970161470000001"/>
    <x v="28"/>
  </r>
  <r>
    <n v="2297"/>
    <n v="113.3573602"/>
    <n v="22.967764460000001"/>
    <x v="32"/>
  </r>
  <r>
    <n v="2298"/>
    <n v="113.35527329999999"/>
    <n v="22.969384829999999"/>
    <x v="28"/>
  </r>
  <r>
    <n v="2299"/>
    <n v="113.3582318"/>
    <n v="22.96990929"/>
    <x v="28"/>
  </r>
  <r>
    <n v="2300"/>
    <n v="113.35451260000001"/>
    <n v="22.968631299999998"/>
    <x v="31"/>
  </r>
  <r>
    <n v="2301"/>
    <n v="113.35965969999999"/>
    <n v="22.969523450000001"/>
    <x v="28"/>
  </r>
  <r>
    <n v="2302"/>
    <n v="113.3584354"/>
    <n v="22.9710745"/>
    <x v="28"/>
  </r>
  <r>
    <n v="2303"/>
    <n v="113.35872500000001"/>
    <n v="22.97125501"/>
    <x v="28"/>
  </r>
  <r>
    <n v="2304"/>
    <n v="113.360254"/>
    <n v="22.96756547"/>
    <x v="28"/>
  </r>
  <r>
    <n v="2305"/>
    <n v="113.35698979999999"/>
    <n v="22.96761806"/>
    <x v="32"/>
  </r>
  <r>
    <n v="2306"/>
    <n v="113.3577014"/>
    <n v="22.972672859999999"/>
    <x v="28"/>
  </r>
  <r>
    <n v="2307"/>
    <n v="113.3578445"/>
    <n v="22.967818739999998"/>
    <x v="32"/>
  </r>
  <r>
    <n v="2308"/>
    <n v="113.3539627"/>
    <n v="22.965519480000001"/>
    <x v="32"/>
  </r>
  <r>
    <n v="2309"/>
    <n v="113.35634709999999"/>
    <n v="22.96372667"/>
    <x v="32"/>
  </r>
  <r>
    <n v="2310"/>
    <n v="113.3539468"/>
    <n v="22.96421106"/>
    <x v="32"/>
  </r>
  <r>
    <n v="2311"/>
    <n v="113.35392179999999"/>
    <n v="22.964237090000001"/>
    <x v="32"/>
  </r>
  <r>
    <n v="2312"/>
    <n v="113.3577549"/>
    <n v="22.964644230000001"/>
    <x v="32"/>
  </r>
  <r>
    <n v="2313"/>
    <n v="113.360282"/>
    <n v="22.967541449999999"/>
    <x v="28"/>
  </r>
  <r>
    <n v="2314"/>
    <n v="113.3674699"/>
    <n v="22.96413386"/>
    <x v="28"/>
  </r>
  <r>
    <n v="2315"/>
    <n v="113.362628"/>
    <n v="22.964466640000001"/>
    <x v="32"/>
  </r>
  <r>
    <n v="2316"/>
    <n v="113.36786410000001"/>
    <n v="22.96967703"/>
    <x v="28"/>
  </r>
  <r>
    <n v="2317"/>
    <n v="113.3621905"/>
    <n v="22.964635139999999"/>
    <x v="32"/>
  </r>
  <r>
    <n v="2318"/>
    <n v="113.36448230000001"/>
    <n v="22.967402029999999"/>
    <x v="28"/>
  </r>
  <r>
    <n v="2319"/>
    <n v="113.3656526"/>
    <n v="22.97160779"/>
    <x v="28"/>
  </r>
  <r>
    <n v="2320"/>
    <n v="113.3670899"/>
    <n v="22.97125024"/>
    <x v="28"/>
  </r>
  <r>
    <n v="2321"/>
    <n v="113.36750240000001"/>
    <n v="22.97124977"/>
    <x v="28"/>
  </r>
  <r>
    <n v="2322"/>
    <n v="113.3655986"/>
    <n v="22.971743799999999"/>
    <x v="28"/>
  </r>
  <r>
    <n v="2323"/>
    <n v="113.36789330000001"/>
    <n v="22.966096539999999"/>
    <x v="28"/>
  </r>
  <r>
    <n v="2324"/>
    <n v="113.3666424"/>
    <n v="22.971144809999998"/>
    <x v="28"/>
  </r>
  <r>
    <n v="2325"/>
    <n v="113.365612"/>
    <n v="22.966167169999999"/>
    <x v="28"/>
  </r>
  <r>
    <n v="2326"/>
    <n v="113.3636652"/>
    <n v="22.970790600000001"/>
    <x v="28"/>
  </r>
  <r>
    <n v="2327"/>
    <n v="113.36691449999999"/>
    <n v="22.965080100000002"/>
    <x v="28"/>
  </r>
  <r>
    <n v="2328"/>
    <n v="113.3643502"/>
    <n v="22.972197130000001"/>
    <x v="28"/>
  </r>
  <r>
    <n v="2329"/>
    <n v="113.3627434"/>
    <n v="22.970476909999999"/>
    <x v="28"/>
  </r>
  <r>
    <n v="2330"/>
    <n v="113.3627936"/>
    <n v="22.96647956"/>
    <x v="28"/>
  </r>
  <r>
    <n v="2331"/>
    <n v="113.3634574"/>
    <n v="22.970575950000001"/>
    <x v="28"/>
  </r>
  <r>
    <n v="2332"/>
    <n v="113.36184280000001"/>
    <n v="22.968421970000001"/>
    <x v="28"/>
  </r>
  <r>
    <n v="2333"/>
    <n v="113.36914539999999"/>
    <n v="22.973053159999999"/>
    <x v="28"/>
  </r>
  <r>
    <n v="2334"/>
    <n v="113.3658602"/>
    <n v="22.973102900000001"/>
    <x v="28"/>
  </r>
  <r>
    <n v="2335"/>
    <n v="113.3688677"/>
    <n v="22.972815560000001"/>
    <x v="28"/>
  </r>
  <r>
    <n v="2336"/>
    <n v="113.36666080000001"/>
    <n v="22.964708550000001"/>
    <x v="28"/>
  </r>
  <r>
    <n v="2337"/>
    <n v="113.3670767"/>
    <n v="22.97338134"/>
    <x v="28"/>
  </r>
  <r>
    <n v="2338"/>
    <n v="113.36712129999999"/>
    <n v="22.964065290000001"/>
    <x v="28"/>
  </r>
  <r>
    <n v="2339"/>
    <n v="113.3654224"/>
    <n v="22.964178260000001"/>
    <x v="32"/>
  </r>
  <r>
    <n v="2340"/>
    <n v="113.36788230000001"/>
    <n v="22.966181509999998"/>
    <x v="28"/>
  </r>
  <r>
    <n v="2341"/>
    <n v="113.3714935"/>
    <n v="22.964545340000001"/>
    <x v="28"/>
  </r>
  <r>
    <n v="2342"/>
    <n v="113.3702552"/>
    <n v="22.972631150000002"/>
    <x v="28"/>
  </r>
  <r>
    <n v="2343"/>
    <n v="113.3701933"/>
    <n v="22.971968499999999"/>
    <x v="28"/>
  </r>
  <r>
    <n v="2344"/>
    <n v="113.36754929999999"/>
    <n v="22.972337249999999"/>
    <x v="28"/>
  </r>
  <r>
    <n v="2345"/>
    <n v="113.3692673"/>
    <n v="22.973060019999998"/>
    <x v="28"/>
  </r>
  <r>
    <n v="2346"/>
    <n v="113.3627642"/>
    <n v="22.973392629999999"/>
    <x v="28"/>
  </r>
  <r>
    <n v="2347"/>
    <n v="113.36937810000001"/>
    <n v="22.973251820000002"/>
    <x v="28"/>
  </r>
  <r>
    <n v="2348"/>
    <n v="113.36181379999999"/>
    <n v="22.96847799"/>
    <x v="28"/>
  </r>
  <r>
    <n v="2349"/>
    <n v="113.37852700000001"/>
    <n v="22.968925250000002"/>
    <x v="28"/>
  </r>
  <r>
    <n v="2350"/>
    <n v="113.3743386"/>
    <n v="22.96710251"/>
    <x v="28"/>
  </r>
  <r>
    <n v="2351"/>
    <n v="113.37667829999999"/>
    <n v="22.971615549999999"/>
    <x v="28"/>
  </r>
  <r>
    <n v="2352"/>
    <n v="113.3736133"/>
    <n v="22.966604400000001"/>
    <x v="28"/>
  </r>
  <r>
    <n v="2353"/>
    <n v="113.3783184"/>
    <n v="22.965232990000001"/>
    <x v="28"/>
  </r>
  <r>
    <n v="2354"/>
    <n v="113.377599"/>
    <n v="22.964884690000002"/>
    <x v="28"/>
  </r>
  <r>
    <n v="2355"/>
    <n v="113.37217440000001"/>
    <n v="22.970473120000001"/>
    <x v="28"/>
  </r>
  <r>
    <n v="2356"/>
    <n v="113.3735623"/>
    <n v="22.966340559999999"/>
    <x v="28"/>
  </r>
  <r>
    <n v="2357"/>
    <n v="113.37757550000001"/>
    <n v="22.972573409999999"/>
    <x v="28"/>
  </r>
  <r>
    <n v="2358"/>
    <n v="113.37206949999999"/>
    <n v="22.970584169999999"/>
    <x v="28"/>
  </r>
  <r>
    <n v="2359"/>
    <n v="113.3719378"/>
    <n v="22.967649569999999"/>
    <x v="28"/>
  </r>
  <r>
    <n v="2360"/>
    <n v="113.3718167"/>
    <n v="22.971430059999999"/>
    <x v="28"/>
  </r>
  <r>
    <n v="2361"/>
    <n v="113.3721443"/>
    <n v="22.972032479999999"/>
    <x v="28"/>
  </r>
  <r>
    <n v="2362"/>
    <n v="113.3815063"/>
    <n v="22.964458090000001"/>
    <x v="33"/>
  </r>
  <r>
    <n v="2363"/>
    <n v="113.3721338"/>
    <n v="22.964767609999999"/>
    <x v="28"/>
  </r>
  <r>
    <n v="2364"/>
    <n v="113.3875652"/>
    <n v="22.968900059999999"/>
    <x v="5"/>
  </r>
  <r>
    <n v="2365"/>
    <n v="113.3898918"/>
    <n v="22.96655926"/>
    <x v="5"/>
  </r>
  <r>
    <n v="2366"/>
    <n v="113.3912363"/>
    <n v="22.969488649999999"/>
    <x v="5"/>
  </r>
  <r>
    <n v="2367"/>
    <n v="113.3910997"/>
    <n v="22.96489365"/>
    <x v="34"/>
  </r>
  <r>
    <n v="2368"/>
    <n v="113.3912126"/>
    <n v="22.964914619999998"/>
    <x v="34"/>
  </r>
  <r>
    <n v="2369"/>
    <n v="113.39833179999999"/>
    <n v="22.9638025"/>
    <x v="34"/>
  </r>
  <r>
    <n v="2370"/>
    <n v="113.4289737"/>
    <n v="22.968063860000001"/>
    <x v="7"/>
  </r>
  <r>
    <n v="2371"/>
    <n v="113.4272771"/>
    <n v="22.964588979999998"/>
    <x v="7"/>
  </r>
  <r>
    <n v="2372"/>
    <n v="113.4512826"/>
    <n v="22.968558349999999"/>
    <x v="7"/>
  </r>
  <r>
    <n v="2373"/>
    <n v="113.4530815"/>
    <n v="22.967977739999998"/>
    <x v="7"/>
  </r>
  <r>
    <n v="2374"/>
    <n v="113.4637354"/>
    <n v="22.964669600000001"/>
    <x v="6"/>
  </r>
  <r>
    <n v="2375"/>
    <n v="113.46826710000001"/>
    <n v="22.969745549999999"/>
    <x v="6"/>
  </r>
  <r>
    <n v="2376"/>
    <n v="113.4658969"/>
    <n v="22.966059730000001"/>
    <x v="6"/>
  </r>
  <r>
    <n v="2377"/>
    <n v="113.4695674"/>
    <n v="22.966996300000002"/>
    <x v="6"/>
  </r>
  <r>
    <n v="2378"/>
    <n v="113.4683572"/>
    <n v="22.972174760000001"/>
    <x v="6"/>
  </r>
  <r>
    <n v="2379"/>
    <n v="113.4700526"/>
    <n v="22.971569670000001"/>
    <x v="6"/>
  </r>
  <r>
    <n v="2380"/>
    <n v="113.4732131"/>
    <n v="22.967954049999999"/>
    <x v="6"/>
  </r>
  <r>
    <n v="2381"/>
    <n v="113.4803349"/>
    <n v="22.966731060000001"/>
    <x v="6"/>
  </r>
  <r>
    <n v="2382"/>
    <n v="113.4752086"/>
    <n v="22.968542459999998"/>
    <x v="6"/>
  </r>
  <r>
    <n v="2383"/>
    <n v="113.47887179999999"/>
    <n v="22.968965829999998"/>
    <x v="6"/>
  </r>
  <r>
    <n v="2384"/>
    <n v="113.4792953"/>
    <n v="22.968531250000002"/>
    <x v="6"/>
  </r>
  <r>
    <n v="2385"/>
    <n v="113.4797659"/>
    <n v="22.968643579999998"/>
    <x v="6"/>
  </r>
  <r>
    <n v="2386"/>
    <n v="113.47907739999999"/>
    <n v="22.971443369999999"/>
    <x v="6"/>
  </r>
  <r>
    <n v="2387"/>
    <n v="113.479546"/>
    <n v="22.97007232"/>
    <x v="6"/>
  </r>
  <r>
    <n v="2388"/>
    <n v="113.4796024"/>
    <n v="22.967451610000001"/>
    <x v="6"/>
  </r>
  <r>
    <n v="2389"/>
    <n v="113.4743769"/>
    <n v="22.968509109999999"/>
    <x v="6"/>
  </r>
  <r>
    <n v="2390"/>
    <n v="113.4799625"/>
    <n v="22.969863629999999"/>
    <x v="6"/>
  </r>
  <r>
    <n v="2391"/>
    <n v="113.4791225"/>
    <n v="22.97156245"/>
    <x v="6"/>
  </r>
  <r>
    <n v="2392"/>
    <n v="113.4798694"/>
    <n v="22.966608749999999"/>
    <x v="6"/>
  </r>
  <r>
    <n v="2393"/>
    <n v="113.4794857"/>
    <n v="22.971426560000001"/>
    <x v="6"/>
  </r>
  <r>
    <n v="2394"/>
    <n v="113.47909180000001"/>
    <n v="22.965387010000001"/>
    <x v="6"/>
  </r>
  <r>
    <n v="2395"/>
    <n v="113.4795118"/>
    <n v="22.97181947"/>
    <x v="6"/>
  </r>
  <r>
    <n v="2396"/>
    <n v="113.4814757"/>
    <n v="22.968275739999999"/>
    <x v="6"/>
  </r>
  <r>
    <n v="2397"/>
    <n v="113.4794576"/>
    <n v="22.972035219999999"/>
    <x v="6"/>
  </r>
  <r>
    <n v="2398"/>
    <n v="113.48163630000001"/>
    <n v="22.967911369999999"/>
    <x v="6"/>
  </r>
  <r>
    <n v="2399"/>
    <n v="113.4815972"/>
    <n v="22.96761038"/>
    <x v="6"/>
  </r>
  <r>
    <n v="2400"/>
    <n v="113.47905470000001"/>
    <n v="22.964906110000001"/>
    <x v="6"/>
  </r>
  <r>
    <n v="2401"/>
    <n v="113.4812889"/>
    <n v="22.970603189999999"/>
    <x v="6"/>
  </r>
  <r>
    <n v="2402"/>
    <n v="113.47943050000001"/>
    <n v="22.972667869999999"/>
    <x v="6"/>
  </r>
  <r>
    <n v="2403"/>
    <n v="113.48126809999999"/>
    <n v="22.966381940000002"/>
    <x v="6"/>
  </r>
  <r>
    <n v="2404"/>
    <n v="113.4810414"/>
    <n v="22.965793529999999"/>
    <x v="6"/>
  </r>
  <r>
    <n v="2405"/>
    <n v="113.47896489999999"/>
    <n v="22.97331823"/>
    <x v="6"/>
  </r>
  <r>
    <n v="2406"/>
    <n v="113.4803481"/>
    <n v="22.96489888"/>
    <x v="6"/>
  </r>
  <r>
    <n v="2407"/>
    <n v="113.4808046"/>
    <n v="22.965088139999999"/>
    <x v="6"/>
  </r>
  <r>
    <n v="2408"/>
    <n v="113.48003749999999"/>
    <n v="22.97308846"/>
    <x v="6"/>
  </r>
  <r>
    <n v="2409"/>
    <n v="113.47962010000001"/>
    <n v="22.97352205"/>
    <x v="6"/>
  </r>
  <r>
    <n v="2410"/>
    <n v="113.4719978"/>
    <n v="22.972723590000001"/>
    <x v="6"/>
  </r>
  <r>
    <n v="2411"/>
    <n v="113.481168"/>
    <n v="22.96386373"/>
    <x v="6"/>
  </r>
  <r>
    <n v="2412"/>
    <n v="113.4816752"/>
    <n v="22.971240049999999"/>
    <x v="6"/>
  </r>
  <r>
    <n v="2413"/>
    <n v="113.4799424"/>
    <n v="22.969876559999999"/>
    <x v="6"/>
  </r>
  <r>
    <n v="2414"/>
    <n v="113.48054019999999"/>
    <n v="22.972497180000001"/>
    <x v="6"/>
  </r>
  <r>
    <n v="2415"/>
    <n v="113.4789349"/>
    <n v="22.971439950000001"/>
    <x v="6"/>
  </r>
  <r>
    <n v="2416"/>
    <n v="113.48100599999999"/>
    <n v="22.969346900000001"/>
    <x v="6"/>
  </r>
  <r>
    <n v="2417"/>
    <n v="113.478686"/>
    <n v="22.971936020000001"/>
    <x v="6"/>
  </r>
  <r>
    <n v="2418"/>
    <n v="113.4872427"/>
    <n v="22.966217709999999"/>
    <x v="6"/>
  </r>
  <r>
    <n v="2419"/>
    <n v="113.4866856"/>
    <n v="22.96833814"/>
    <x v="6"/>
  </r>
  <r>
    <n v="2420"/>
    <n v="113.4863605"/>
    <n v="22.96798033"/>
    <x v="6"/>
  </r>
  <r>
    <n v="2421"/>
    <n v="113.48732579999999"/>
    <n v="22.968075169999999"/>
    <x v="6"/>
  </r>
  <r>
    <n v="2422"/>
    <n v="113.4839308"/>
    <n v="22.972238279999999"/>
    <x v="6"/>
  </r>
  <r>
    <n v="2423"/>
    <n v="113.491675"/>
    <n v="22.968684939999999"/>
    <x v="6"/>
  </r>
  <r>
    <n v="2424"/>
    <n v="113.4881496"/>
    <n v="22.96938007"/>
    <x v="6"/>
  </r>
  <r>
    <n v="2425"/>
    <n v="113.4859046"/>
    <n v="22.97324171"/>
    <x v="6"/>
  </r>
  <r>
    <n v="2426"/>
    <n v="113.4880974"/>
    <n v="22.969828719999999"/>
    <x v="6"/>
  </r>
  <r>
    <n v="2427"/>
    <n v="113.48557769999999"/>
    <n v="22.97008409"/>
    <x v="6"/>
  </r>
  <r>
    <n v="2428"/>
    <n v="113.4886614"/>
    <n v="22.969306629999998"/>
    <x v="6"/>
  </r>
  <r>
    <n v="2429"/>
    <n v="113.4842323"/>
    <n v="22.965651000000001"/>
    <x v="6"/>
  </r>
  <r>
    <n v="2430"/>
    <n v="113.4916008"/>
    <n v="22.967236339999999"/>
    <x v="6"/>
  </r>
  <r>
    <n v="2431"/>
    <n v="113.4843656"/>
    <n v="22.968361229999999"/>
    <x v="6"/>
  </r>
  <r>
    <n v="2432"/>
    <n v="113.4860383"/>
    <n v="22.970040480000002"/>
    <x v="6"/>
  </r>
  <r>
    <n v="2433"/>
    <n v="113.48468579999999"/>
    <n v="22.967011759999998"/>
    <x v="6"/>
  </r>
  <r>
    <n v="2434"/>
    <n v="113.48563009999999"/>
    <n v="22.966376839999999"/>
    <x v="6"/>
  </r>
  <r>
    <n v="2435"/>
    <n v="113.48212770000001"/>
    <n v="22.971022479999998"/>
    <x v="6"/>
  </r>
  <r>
    <n v="2436"/>
    <n v="113.4866396"/>
    <n v="22.965449240000002"/>
    <x v="6"/>
  </r>
  <r>
    <n v="2437"/>
    <n v="113.4850337"/>
    <n v="22.971381919999999"/>
    <x v="6"/>
  </r>
  <r>
    <n v="2438"/>
    <n v="113.48332600000001"/>
    <n v="22.96937372"/>
    <x v="6"/>
  </r>
  <r>
    <n v="2439"/>
    <n v="113.4854425"/>
    <n v="22.965732559999999"/>
    <x v="6"/>
  </r>
  <r>
    <n v="2440"/>
    <n v="113.485139"/>
    <n v="22.97160813"/>
    <x v="6"/>
  </r>
  <r>
    <n v="2441"/>
    <n v="113.4833259"/>
    <n v="22.970092409999999"/>
    <x v="6"/>
  </r>
  <r>
    <n v="2442"/>
    <n v="113.4866949"/>
    <n v="22.965071569999999"/>
    <x v="6"/>
  </r>
  <r>
    <n v="2443"/>
    <n v="113.48288239999999"/>
    <n v="22.970119090000001"/>
    <x v="6"/>
  </r>
  <r>
    <n v="2444"/>
    <n v="113.48417569999999"/>
    <n v="22.972034090000001"/>
    <x v="6"/>
  </r>
  <r>
    <n v="2445"/>
    <n v="113.4855644"/>
    <n v="22.972739910000001"/>
    <x v="6"/>
  </r>
  <r>
    <n v="2446"/>
    <n v="113.4873968"/>
    <n v="22.972916300000001"/>
    <x v="6"/>
  </r>
  <r>
    <n v="2447"/>
    <n v="113.4828395"/>
    <n v="22.966698430000001"/>
    <x v="6"/>
  </r>
  <r>
    <n v="2448"/>
    <n v="113.4904445"/>
    <n v="22.971637980000001"/>
    <x v="6"/>
  </r>
  <r>
    <n v="2449"/>
    <n v="113.48740340000001"/>
    <n v="22.964310009999998"/>
    <x v="6"/>
  </r>
  <r>
    <n v="2450"/>
    <n v="113.48208889999999"/>
    <n v="22.967454889999999"/>
    <x v="6"/>
  </r>
  <r>
    <n v="2451"/>
    <n v="113.482694"/>
    <n v="22.966150240000001"/>
    <x v="6"/>
  </r>
  <r>
    <n v="2452"/>
    <n v="113.4917682"/>
    <n v="22.969744769999998"/>
    <x v="6"/>
  </r>
  <r>
    <n v="2453"/>
    <n v="113.48781719999999"/>
    <n v="22.973442330000001"/>
    <x v="6"/>
  </r>
  <r>
    <n v="2454"/>
    <n v="113.4825134"/>
    <n v="22.9659178"/>
    <x v="6"/>
  </r>
  <r>
    <n v="2455"/>
    <n v="113.4882417"/>
    <n v="22.97340561"/>
    <x v="6"/>
  </r>
  <r>
    <n v="2456"/>
    <n v="113.4877078"/>
    <n v="22.973022180000001"/>
    <x v="6"/>
  </r>
  <r>
    <n v="2457"/>
    <n v="113.485653"/>
    <n v="22.968616950000001"/>
    <x v="6"/>
  </r>
  <r>
    <n v="2458"/>
    <n v="113.49121340000001"/>
    <n v="22.967537050000001"/>
    <x v="6"/>
  </r>
  <r>
    <n v="2459"/>
    <n v="113.4831738"/>
    <n v="22.96401857"/>
    <x v="6"/>
  </r>
  <r>
    <n v="2460"/>
    <n v="113.48231939999999"/>
    <n v="22.970613220000001"/>
    <x v="6"/>
  </r>
  <r>
    <n v="2461"/>
    <n v="113.4850127"/>
    <n v="22.970355300000001"/>
    <x v="6"/>
  </r>
  <r>
    <n v="2462"/>
    <n v="113.48270460000001"/>
    <n v="22.97290937"/>
    <x v="6"/>
  </r>
  <r>
    <n v="2463"/>
    <n v="113.49085220000001"/>
    <n v="22.966990200000001"/>
    <x v="6"/>
  </r>
  <r>
    <n v="2464"/>
    <n v="113.49597180000001"/>
    <n v="22.971295749999999"/>
    <x v="6"/>
  </r>
  <r>
    <n v="2465"/>
    <n v="113.4945709"/>
    <n v="22.971445469999999"/>
    <x v="6"/>
  </r>
  <r>
    <n v="2466"/>
    <n v="113.4944675"/>
    <n v="22.971462150000001"/>
    <x v="6"/>
  </r>
  <r>
    <n v="2467"/>
    <n v="113.49980530000001"/>
    <n v="22.97126428"/>
    <x v="6"/>
  </r>
  <r>
    <n v="2468"/>
    <n v="113.49709970000001"/>
    <n v="22.973008400000001"/>
    <x v="6"/>
  </r>
  <r>
    <n v="2469"/>
    <n v="113.5007726"/>
    <n v="22.971798939999999"/>
    <x v="6"/>
  </r>
  <r>
    <n v="2470"/>
    <n v="113.5014822"/>
    <n v="22.97047564"/>
    <x v="6"/>
  </r>
  <r>
    <n v="2471"/>
    <n v="113.4919749"/>
    <n v="22.97016021"/>
    <x v="6"/>
  </r>
  <r>
    <n v="2472"/>
    <n v="113.496577"/>
    <n v="22.971067659999999"/>
    <x v="6"/>
  </r>
  <r>
    <n v="2473"/>
    <n v="113.52536569999999"/>
    <n v="22.964337279999999"/>
    <x v="6"/>
  </r>
  <r>
    <n v="2474"/>
    <n v="113.2831875"/>
    <n v="22.959464700000002"/>
    <x v="29"/>
  </r>
  <r>
    <n v="2475"/>
    <n v="113.2883073"/>
    <n v="22.963056980000001"/>
    <x v="29"/>
  </r>
  <r>
    <n v="2476"/>
    <n v="113.3110243"/>
    <n v="22.96061353"/>
    <x v="30"/>
  </r>
  <r>
    <n v="2477"/>
    <n v="113.31169199999999"/>
    <n v="22.95981063"/>
    <x v="30"/>
  </r>
  <r>
    <n v="2478"/>
    <n v="113.30922339999999"/>
    <n v="22.95401768"/>
    <x v="35"/>
  </r>
  <r>
    <n v="2479"/>
    <n v="113.3113256"/>
    <n v="22.961657519999999"/>
    <x v="30"/>
  </r>
  <r>
    <n v="2480"/>
    <n v="113.3113717"/>
    <n v="22.95965829"/>
    <x v="30"/>
  </r>
  <r>
    <n v="2481"/>
    <n v="113.3174574"/>
    <n v="22.957384789999999"/>
    <x v="30"/>
  </r>
  <r>
    <n v="2482"/>
    <n v="113.3176151"/>
    <n v="22.957697360000001"/>
    <x v="30"/>
  </r>
  <r>
    <n v="2483"/>
    <n v="113.3144006"/>
    <n v="22.958410149999999"/>
    <x v="30"/>
  </r>
  <r>
    <n v="2484"/>
    <n v="113.3133747"/>
    <n v="22.958510029999999"/>
    <x v="30"/>
  </r>
  <r>
    <n v="2485"/>
    <n v="113.3128337"/>
    <n v="22.959767509999999"/>
    <x v="30"/>
  </r>
  <r>
    <n v="2486"/>
    <n v="113.3120752"/>
    <n v="22.96087546"/>
    <x v="30"/>
  </r>
  <r>
    <n v="2487"/>
    <n v="113.31174590000001"/>
    <n v="22.959195789999999"/>
    <x v="30"/>
  </r>
  <r>
    <n v="2488"/>
    <n v="113.3122597"/>
    <n v="22.962621370000001"/>
    <x v="30"/>
  </r>
  <r>
    <n v="2489"/>
    <n v="113.3283818"/>
    <n v="22.95944304"/>
    <x v="36"/>
  </r>
  <r>
    <n v="2490"/>
    <n v="113.323995"/>
    <n v="22.95716139"/>
    <x v="36"/>
  </r>
  <r>
    <n v="2491"/>
    <n v="113.3284855"/>
    <n v="22.96113312"/>
    <x v="36"/>
  </r>
  <r>
    <n v="2492"/>
    <n v="113.32738670000001"/>
    <n v="22.961693969999999"/>
    <x v="36"/>
  </r>
  <r>
    <n v="2493"/>
    <n v="113.33023710000001"/>
    <n v="22.95797915"/>
    <x v="36"/>
  </r>
  <r>
    <n v="2494"/>
    <n v="113.32989790000001"/>
    <n v="22.957097170000001"/>
    <x v="36"/>
  </r>
  <r>
    <n v="2495"/>
    <n v="113.32549179999999"/>
    <n v="22.957971180000001"/>
    <x v="36"/>
  </r>
  <r>
    <n v="2496"/>
    <n v="113.32759059999999"/>
    <n v="22.957511369999999"/>
    <x v="36"/>
  </r>
  <r>
    <n v="2497"/>
    <n v="113.3254677"/>
    <n v="22.960282240000002"/>
    <x v="36"/>
  </r>
  <r>
    <n v="2498"/>
    <n v="113.328818"/>
    <n v="22.9580728"/>
    <x v="36"/>
  </r>
  <r>
    <n v="2499"/>
    <n v="113.3281432"/>
    <n v="22.960261150000001"/>
    <x v="36"/>
  </r>
  <r>
    <n v="2500"/>
    <n v="113.324479"/>
    <n v="22.95695855"/>
    <x v="36"/>
  </r>
  <r>
    <n v="2501"/>
    <n v="113.333786"/>
    <n v="22.95745071"/>
    <x v="36"/>
  </r>
  <r>
    <n v="2502"/>
    <n v="113.3378348"/>
    <n v="22.96164344"/>
    <x v="31"/>
  </r>
  <r>
    <n v="2503"/>
    <n v="113.3331702"/>
    <n v="22.957812700000002"/>
    <x v="36"/>
  </r>
  <r>
    <n v="2504"/>
    <n v="113.3386242"/>
    <n v="22.9623597"/>
    <x v="31"/>
  </r>
  <r>
    <n v="2505"/>
    <n v="113.33641609999999"/>
    <n v="22.954350160000001"/>
    <x v="36"/>
  </r>
  <r>
    <n v="2506"/>
    <n v="113.34096289999999"/>
    <n v="22.960400329999999"/>
    <x v="31"/>
  </r>
  <r>
    <n v="2507"/>
    <n v="113.33974619999999"/>
    <n v="22.9599707"/>
    <x v="31"/>
  </r>
  <r>
    <n v="2508"/>
    <n v="113.3414298"/>
    <n v="22.963146330000001"/>
    <x v="31"/>
  </r>
  <r>
    <n v="2509"/>
    <n v="113.33757129999999"/>
    <n v="22.9612181"/>
    <x v="31"/>
  </r>
  <r>
    <n v="2510"/>
    <n v="113.3389047"/>
    <n v="22.961394599999998"/>
    <x v="31"/>
  </r>
  <r>
    <n v="2511"/>
    <n v="113.3404848"/>
    <n v="22.9601373"/>
    <x v="31"/>
  </r>
  <r>
    <n v="2512"/>
    <n v="113.34071230000001"/>
    <n v="22.960756629999999"/>
    <x v="31"/>
  </r>
  <r>
    <n v="2513"/>
    <n v="113.3409729"/>
    <n v="22.959630650000001"/>
    <x v="31"/>
  </r>
  <r>
    <n v="2514"/>
    <n v="113.3319767"/>
    <n v="22.957367130000002"/>
    <x v="36"/>
  </r>
  <r>
    <n v="2515"/>
    <n v="113.3319778"/>
    <n v="22.95616064"/>
    <x v="36"/>
  </r>
  <r>
    <n v="2516"/>
    <n v="113.3352957"/>
    <n v="22.962673670000001"/>
    <x v="36"/>
  </r>
  <r>
    <n v="2517"/>
    <n v="113.3442678"/>
    <n v="22.959911739999999"/>
    <x v="31"/>
  </r>
  <r>
    <n v="2518"/>
    <n v="113.34682429999999"/>
    <n v="22.958077159999998"/>
    <x v="31"/>
  </r>
  <r>
    <n v="2519"/>
    <n v="113.34487369999999"/>
    <n v="22.959860720000002"/>
    <x v="31"/>
  </r>
  <r>
    <n v="2520"/>
    <n v="113.3466365"/>
    <n v="22.960139590000001"/>
    <x v="31"/>
  </r>
  <r>
    <n v="2521"/>
    <n v="113.34181220000001"/>
    <n v="22.962133080000001"/>
    <x v="31"/>
  </r>
  <r>
    <n v="2522"/>
    <n v="113.34479279999999"/>
    <n v="22.960376629999999"/>
    <x v="31"/>
  </r>
  <r>
    <n v="2523"/>
    <n v="113.347976"/>
    <n v="22.960971990000001"/>
    <x v="31"/>
  </r>
  <r>
    <n v="2524"/>
    <n v="113.3469778"/>
    <n v="22.96113059"/>
    <x v="31"/>
  </r>
  <r>
    <n v="2525"/>
    <n v="113.3466483"/>
    <n v="22.96168291"/>
    <x v="31"/>
  </r>
  <r>
    <n v="2526"/>
    <n v="113.343559"/>
    <n v="22.960279809999999"/>
    <x v="31"/>
  </r>
  <r>
    <n v="2527"/>
    <n v="113.3476575"/>
    <n v="22.962100039999999"/>
    <x v="31"/>
  </r>
  <r>
    <n v="2528"/>
    <n v="113.348752"/>
    <n v="22.956122780000001"/>
    <x v="31"/>
  </r>
  <r>
    <n v="2529"/>
    <n v="113.34319170000001"/>
    <n v="22.959946590000001"/>
    <x v="31"/>
  </r>
  <r>
    <n v="2530"/>
    <n v="113.34991599999999"/>
    <n v="22.95615987"/>
    <x v="31"/>
  </r>
  <r>
    <n v="2531"/>
    <n v="113.35006079999999"/>
    <n v="22.955560890000001"/>
    <x v="31"/>
  </r>
  <r>
    <n v="2532"/>
    <n v="113.3489683"/>
    <n v="22.960752450000001"/>
    <x v="31"/>
  </r>
  <r>
    <n v="2533"/>
    <n v="113.3476201"/>
    <n v="22.954576320000001"/>
    <x v="31"/>
  </r>
  <r>
    <n v="2534"/>
    <n v="113.3477403"/>
    <n v="22.962589690000001"/>
    <x v="31"/>
  </r>
  <r>
    <n v="2535"/>
    <n v="113.3494206"/>
    <n v="22.960670740000001"/>
    <x v="31"/>
  </r>
  <r>
    <n v="2536"/>
    <n v="113.3492279"/>
    <n v="22.960084309999999"/>
    <x v="31"/>
  </r>
  <r>
    <n v="2537"/>
    <n v="113.34828349999999"/>
    <n v="22.961676180000001"/>
    <x v="31"/>
  </r>
  <r>
    <n v="2538"/>
    <n v="113.3481292"/>
    <n v="22.955222200000001"/>
    <x v="31"/>
  </r>
  <r>
    <n v="2539"/>
    <n v="113.351083"/>
    <n v="22.95604204"/>
    <x v="32"/>
  </r>
  <r>
    <n v="2540"/>
    <n v="113.3475143"/>
    <n v="22.955056290000002"/>
    <x v="31"/>
  </r>
  <r>
    <n v="2541"/>
    <n v="113.350362"/>
    <n v="22.96015444"/>
    <x v="31"/>
  </r>
  <r>
    <n v="2542"/>
    <n v="113.3474494"/>
    <n v="22.954238749999998"/>
    <x v="37"/>
  </r>
  <r>
    <n v="2543"/>
    <n v="113.3505868"/>
    <n v="22.957462230000001"/>
    <x v="31"/>
  </r>
  <r>
    <n v="2544"/>
    <n v="113.34814110000001"/>
    <n v="22.956414670000001"/>
    <x v="31"/>
  </r>
  <r>
    <n v="2545"/>
    <n v="113.3458164"/>
    <n v="22.953790699999999"/>
    <x v="37"/>
  </r>
  <r>
    <n v="2546"/>
    <n v="113.3484361"/>
    <n v="22.963371200000001"/>
    <x v="31"/>
  </r>
  <r>
    <n v="2547"/>
    <n v="113.34538910000001"/>
    <n v="22.95413928"/>
    <x v="31"/>
  </r>
  <r>
    <n v="2548"/>
    <n v="113.3463539"/>
    <n v="22.960820779999999"/>
    <x v="31"/>
  </r>
  <r>
    <n v="2549"/>
    <n v="113.34667570000001"/>
    <n v="22.955434539999999"/>
    <x v="31"/>
  </r>
  <r>
    <n v="2550"/>
    <n v="113.3515269"/>
    <n v="22.961279090000001"/>
    <x v="31"/>
  </r>
  <r>
    <n v="2551"/>
    <n v="113.3444044"/>
    <n v="22.96113398"/>
    <x v="31"/>
  </r>
  <r>
    <n v="2552"/>
    <n v="113.3453083"/>
    <n v="22.953764570000001"/>
    <x v="37"/>
  </r>
  <r>
    <n v="2553"/>
    <n v="113.3497618"/>
    <n v="22.963443999999999"/>
    <x v="31"/>
  </r>
  <r>
    <n v="2554"/>
    <n v="113.3492597"/>
    <n v="22.962009429999998"/>
    <x v="31"/>
  </r>
  <r>
    <n v="2555"/>
    <n v="113.35160310000001"/>
    <n v="22.95674391"/>
    <x v="32"/>
  </r>
  <r>
    <n v="2556"/>
    <n v="113.3459257"/>
    <n v="22.960495640000001"/>
    <x v="31"/>
  </r>
  <r>
    <n v="2557"/>
    <n v="113.3444763"/>
    <n v="22.961082879999999"/>
    <x v="31"/>
  </r>
  <r>
    <n v="2558"/>
    <n v="113.3486158"/>
    <n v="22.963012060000001"/>
    <x v="31"/>
  </r>
  <r>
    <n v="2559"/>
    <n v="113.34821839999999"/>
    <n v="22.963595470000001"/>
    <x v="31"/>
  </r>
  <r>
    <n v="2560"/>
    <n v="113.34711849999999"/>
    <n v="22.962117930000002"/>
    <x v="31"/>
  </r>
  <r>
    <n v="2561"/>
    <n v="113.34318380000001"/>
    <n v="22.9595038"/>
    <x v="31"/>
  </r>
  <r>
    <n v="2562"/>
    <n v="113.3480244"/>
    <n v="22.953797980000001"/>
    <x v="37"/>
  </r>
  <r>
    <n v="2563"/>
    <n v="113.349739"/>
    <n v="22.961361929999999"/>
    <x v="31"/>
  </r>
  <r>
    <n v="2564"/>
    <n v="113.35683779999999"/>
    <n v="22.956589000000001"/>
    <x v="32"/>
  </r>
  <r>
    <n v="2565"/>
    <n v="113.35471990000001"/>
    <n v="22.959282999999999"/>
    <x v="32"/>
  </r>
  <r>
    <n v="2566"/>
    <n v="113.3564231"/>
    <n v="22.960564909999999"/>
    <x v="32"/>
  </r>
  <r>
    <n v="2567"/>
    <n v="113.3561096"/>
    <n v="22.960409439999999"/>
    <x v="32"/>
  </r>
  <r>
    <n v="2568"/>
    <n v="113.3569026"/>
    <n v="22.957315600000001"/>
    <x v="32"/>
  </r>
  <r>
    <n v="2569"/>
    <n v="113.3581827"/>
    <n v="22.957496670000001"/>
    <x v="32"/>
  </r>
  <r>
    <n v="2570"/>
    <n v="113.3574376"/>
    <n v="22.960396500000002"/>
    <x v="32"/>
  </r>
  <r>
    <n v="2571"/>
    <n v="113.3547538"/>
    <n v="22.960015630000001"/>
    <x v="32"/>
  </r>
  <r>
    <n v="2572"/>
    <n v="113.35698530000001"/>
    <n v="22.960875949999998"/>
    <x v="32"/>
  </r>
  <r>
    <n v="2573"/>
    <n v="113.3559319"/>
    <n v="22.960872500000001"/>
    <x v="32"/>
  </r>
  <r>
    <n v="2574"/>
    <n v="113.3541967"/>
    <n v="22.95931178"/>
    <x v="32"/>
  </r>
  <r>
    <n v="2575"/>
    <n v="113.3580949"/>
    <n v="22.956317299999998"/>
    <x v="32"/>
  </r>
  <r>
    <n v="2576"/>
    <n v="113.3568408"/>
    <n v="22.956254139999999"/>
    <x v="32"/>
  </r>
  <r>
    <n v="2577"/>
    <n v="113.3595356"/>
    <n v="22.95910009"/>
    <x v="32"/>
  </r>
  <r>
    <n v="2578"/>
    <n v="113.3569464"/>
    <n v="22.960585129999998"/>
    <x v="32"/>
  </r>
  <r>
    <n v="2579"/>
    <n v="113.35787329999999"/>
    <n v="22.95626764"/>
    <x v="32"/>
  </r>
  <r>
    <n v="2580"/>
    <n v="113.3538982"/>
    <n v="22.959086330000002"/>
    <x v="32"/>
  </r>
  <r>
    <n v="2581"/>
    <n v="113.3547757"/>
    <n v="22.960356449999999"/>
    <x v="32"/>
  </r>
  <r>
    <n v="2582"/>
    <n v="113.3538983"/>
    <n v="22.958131739999999"/>
    <x v="32"/>
  </r>
  <r>
    <n v="2583"/>
    <n v="113.357192"/>
    <n v="22.960607769999999"/>
    <x v="32"/>
  </r>
  <r>
    <n v="2584"/>
    <n v="113.356454"/>
    <n v="22.961913289999998"/>
    <x v="32"/>
  </r>
  <r>
    <n v="2585"/>
    <n v="113.3587079"/>
    <n v="22.957345"/>
    <x v="32"/>
  </r>
  <r>
    <n v="2586"/>
    <n v="113.3587"/>
    <n v="22.956430399999999"/>
    <x v="32"/>
  </r>
  <r>
    <n v="2587"/>
    <n v="113.359978"/>
    <n v="22.958390779999998"/>
    <x v="32"/>
  </r>
  <r>
    <n v="2588"/>
    <n v="113.35861010000001"/>
    <n v="22.956528479999999"/>
    <x v="32"/>
  </r>
  <r>
    <n v="2589"/>
    <n v="113.36038550000001"/>
    <n v="22.95814433"/>
    <x v="32"/>
  </r>
  <r>
    <n v="2590"/>
    <n v="113.3556772"/>
    <n v="22.96167354"/>
    <x v="32"/>
  </r>
  <r>
    <n v="2591"/>
    <n v="113.3588159"/>
    <n v="22.955942440000001"/>
    <x v="32"/>
  </r>
  <r>
    <n v="2592"/>
    <n v="113.360056"/>
    <n v="22.95726316"/>
    <x v="32"/>
  </r>
  <r>
    <n v="2593"/>
    <n v="113.3585353"/>
    <n v="22.956554579999999"/>
    <x v="32"/>
  </r>
  <r>
    <n v="2594"/>
    <n v="113.3605053"/>
    <n v="22.958413050000001"/>
    <x v="32"/>
  </r>
  <r>
    <n v="2595"/>
    <n v="113.35278510000001"/>
    <n v="22.9582674"/>
    <x v="32"/>
  </r>
  <r>
    <n v="2596"/>
    <n v="113.35402499999999"/>
    <n v="22.959485969999999"/>
    <x v="32"/>
  </r>
  <r>
    <n v="2597"/>
    <n v="113.35693019999999"/>
    <n v="22.962443360000002"/>
    <x v="32"/>
  </r>
  <r>
    <n v="2598"/>
    <n v="113.3559058"/>
    <n v="22.962240950000002"/>
    <x v="32"/>
  </r>
  <r>
    <n v="2599"/>
    <n v="113.3583316"/>
    <n v="22.95518345"/>
    <x v="32"/>
  </r>
  <r>
    <n v="2600"/>
    <n v="113.3595748"/>
    <n v="22.955965370000001"/>
    <x v="32"/>
  </r>
  <r>
    <n v="2601"/>
    <n v="113.3602009"/>
    <n v="22.955967510000001"/>
    <x v="32"/>
  </r>
  <r>
    <n v="2602"/>
    <n v="113.35578839999999"/>
    <n v="22.957153300000002"/>
    <x v="32"/>
  </r>
  <r>
    <n v="2603"/>
    <n v="113.3548287"/>
    <n v="22.95995155"/>
    <x v="32"/>
  </r>
  <r>
    <n v="2604"/>
    <n v="113.3557984"/>
    <n v="22.956865409999999"/>
    <x v="32"/>
  </r>
  <r>
    <n v="2605"/>
    <n v="113.3611563"/>
    <n v="22.958997920000002"/>
    <x v="32"/>
  </r>
  <r>
    <n v="2606"/>
    <n v="113.36084289999999"/>
    <n v="22.956906239999999"/>
    <x v="32"/>
  </r>
  <r>
    <n v="2607"/>
    <n v="113.3548929"/>
    <n v="22.954653709999999"/>
    <x v="32"/>
  </r>
  <r>
    <n v="2608"/>
    <n v="113.3574957"/>
    <n v="22.957779540000001"/>
    <x v="32"/>
  </r>
  <r>
    <n v="2609"/>
    <n v="113.3556701"/>
    <n v="22.963155910000001"/>
    <x v="32"/>
  </r>
  <r>
    <n v="2610"/>
    <n v="113.35682180000001"/>
    <n v="22.957366690000001"/>
    <x v="32"/>
  </r>
  <r>
    <n v="2611"/>
    <n v="113.36139489999999"/>
    <n v="22.95998518"/>
    <x v="32"/>
  </r>
  <r>
    <n v="2612"/>
    <n v="113.3537807"/>
    <n v="22.95493329"/>
    <x v="32"/>
  </r>
  <r>
    <n v="2613"/>
    <n v="113.3581789"/>
    <n v="22.954055149999999"/>
    <x v="32"/>
  </r>
  <r>
    <n v="2614"/>
    <n v="113.357946"/>
    <n v="22.957636950000001"/>
    <x v="32"/>
  </r>
  <r>
    <n v="2615"/>
    <n v="113.35201739999999"/>
    <n v="22.957722839999999"/>
    <x v="32"/>
  </r>
  <r>
    <n v="2616"/>
    <n v="113.355114"/>
    <n v="22.963265700000001"/>
    <x v="32"/>
  </r>
  <r>
    <n v="2617"/>
    <n v="113.3544077"/>
    <n v="22.954233630000001"/>
    <x v="32"/>
  </r>
  <r>
    <n v="2618"/>
    <n v="113.3549573"/>
    <n v="22.962708169999999"/>
    <x v="32"/>
  </r>
  <r>
    <n v="2619"/>
    <n v="113.3557864"/>
    <n v="22.956927400000001"/>
    <x v="32"/>
  </r>
  <r>
    <n v="2620"/>
    <n v="113.3567489"/>
    <n v="22.956893999999998"/>
    <x v="32"/>
  </r>
  <r>
    <n v="2621"/>
    <n v="113.36110170000001"/>
    <n v="22.955466510000001"/>
    <x v="32"/>
  </r>
  <r>
    <n v="2622"/>
    <n v="113.3584075"/>
    <n v="22.954933449999999"/>
    <x v="32"/>
  </r>
  <r>
    <n v="2623"/>
    <n v="113.3609379"/>
    <n v="22.9557526"/>
    <x v="32"/>
  </r>
  <r>
    <n v="2624"/>
    <n v="113.3576577"/>
    <n v="22.95421683"/>
    <x v="32"/>
  </r>
  <r>
    <n v="2625"/>
    <n v="113.3615959"/>
    <n v="22.956015610000001"/>
    <x v="32"/>
  </r>
  <r>
    <n v="2626"/>
    <n v="113.35886000000001"/>
    <n v="22.953645359999999"/>
    <x v="32"/>
  </r>
  <r>
    <n v="2627"/>
    <n v="113.35404200000001"/>
    <n v="22.959288019999999"/>
    <x v="32"/>
  </r>
  <r>
    <n v="2628"/>
    <n v="113.35283699999999"/>
    <n v="22.958382270000001"/>
    <x v="32"/>
  </r>
  <r>
    <n v="2629"/>
    <n v="113.3570132"/>
    <n v="22.960872909999999"/>
    <x v="32"/>
  </r>
  <r>
    <n v="2630"/>
    <n v="113.36126230000001"/>
    <n v="22.95675374"/>
    <x v="32"/>
  </r>
  <r>
    <n v="2631"/>
    <n v="113.351641"/>
    <n v="22.95699274"/>
    <x v="32"/>
  </r>
  <r>
    <n v="2632"/>
    <n v="113.3565928"/>
    <n v="22.961949069999999"/>
    <x v="32"/>
  </r>
  <r>
    <n v="2633"/>
    <n v="113.35421270000001"/>
    <n v="22.958637039999999"/>
    <x v="32"/>
  </r>
  <r>
    <n v="2634"/>
    <n v="113.3603088"/>
    <n v="22.95484884"/>
    <x v="32"/>
  </r>
  <r>
    <n v="2635"/>
    <n v="113.3558433"/>
    <n v="22.95708625"/>
    <x v="32"/>
  </r>
  <r>
    <n v="2636"/>
    <n v="113.3548966"/>
    <n v="22.959936450000001"/>
    <x v="32"/>
  </r>
  <r>
    <n v="2637"/>
    <n v="113.35691370000001"/>
    <n v="22.956659859999998"/>
    <x v="32"/>
  </r>
  <r>
    <n v="2638"/>
    <n v="113.3604607"/>
    <n v="22.953718120000001"/>
    <x v="32"/>
  </r>
  <r>
    <n v="2639"/>
    <n v="113.35270920000001"/>
    <n v="22.95818955"/>
    <x v="32"/>
  </r>
  <r>
    <n v="2640"/>
    <n v="113.3586391"/>
    <n v="22.95656743"/>
    <x v="32"/>
  </r>
  <r>
    <n v="2641"/>
    <n v="113.3583235"/>
    <n v="22.957242579999999"/>
    <x v="32"/>
  </r>
  <r>
    <n v="2642"/>
    <n v="113.35334539999999"/>
    <n v="22.954798010000001"/>
    <x v="32"/>
  </r>
  <r>
    <n v="2643"/>
    <n v="113.3603196"/>
    <n v="22.958161409999999"/>
    <x v="32"/>
  </r>
  <r>
    <n v="2644"/>
    <n v="113.35231090000001"/>
    <n v="22.956884729999999"/>
    <x v="32"/>
  </r>
  <r>
    <n v="2645"/>
    <n v="113.353984"/>
    <n v="22.95946704"/>
    <x v="32"/>
  </r>
  <r>
    <n v="2646"/>
    <n v="113.36065120000001"/>
    <n v="22.9569115"/>
    <x v="32"/>
  </r>
  <r>
    <n v="2647"/>
    <n v="113.3611494"/>
    <n v="22.958966950000001"/>
    <x v="32"/>
  </r>
  <r>
    <n v="2648"/>
    <n v="113.3525125"/>
    <n v="22.958401769999998"/>
    <x v="32"/>
  </r>
  <r>
    <n v="2649"/>
    <n v="113.3548979"/>
    <n v="22.954698690000001"/>
    <x v="32"/>
  </r>
  <r>
    <n v="2650"/>
    <n v="113.35618599999999"/>
    <n v="22.953803149999999"/>
    <x v="32"/>
  </r>
  <r>
    <n v="2651"/>
    <n v="113.35823379999999"/>
    <n v="22.9551716"/>
    <x v="32"/>
  </r>
  <r>
    <n v="2652"/>
    <n v="113.3578105"/>
    <n v="22.95413164"/>
    <x v="32"/>
  </r>
  <r>
    <n v="2653"/>
    <n v="113.361548"/>
    <n v="22.956024670000001"/>
    <x v="32"/>
  </r>
  <r>
    <n v="2654"/>
    <n v="113.3556248"/>
    <n v="22.954409720000001"/>
    <x v="32"/>
  </r>
  <r>
    <n v="2655"/>
    <n v="113.36752130000001"/>
    <n v="22.956741969999999"/>
    <x v="38"/>
  </r>
  <r>
    <n v="2656"/>
    <n v="113.3642952"/>
    <n v="22.957978300000001"/>
    <x v="32"/>
  </r>
  <r>
    <n v="2657"/>
    <n v="113.3674754"/>
    <n v="22.957046890000001"/>
    <x v="38"/>
  </r>
  <r>
    <n v="2658"/>
    <n v="113.3654887"/>
    <n v="22.957637980000001"/>
    <x v="38"/>
  </r>
  <r>
    <n v="2659"/>
    <n v="113.367637"/>
    <n v="22.95949066"/>
    <x v="38"/>
  </r>
  <r>
    <n v="2660"/>
    <n v="113.3647606"/>
    <n v="22.958564469999999"/>
    <x v="32"/>
  </r>
  <r>
    <n v="2661"/>
    <n v="113.3621771"/>
    <n v="22.956056830000001"/>
    <x v="32"/>
  </r>
  <r>
    <n v="2662"/>
    <n v="113.36615310000001"/>
    <n v="22.955239200000001"/>
    <x v="38"/>
  </r>
  <r>
    <n v="2663"/>
    <n v="113.3679028"/>
    <n v="22.958145930000001"/>
    <x v="38"/>
  </r>
  <r>
    <n v="2664"/>
    <n v="113.3644699"/>
    <n v="22.95928352"/>
    <x v="32"/>
  </r>
  <r>
    <n v="2665"/>
    <n v="113.36445089999999"/>
    <n v="22.959871289999999"/>
    <x v="32"/>
  </r>
  <r>
    <n v="2666"/>
    <n v="113.3633684"/>
    <n v="22.958791120000001"/>
    <x v="32"/>
  </r>
  <r>
    <n v="2667"/>
    <n v="113.36330049999999"/>
    <n v="22.957469769999999"/>
    <x v="32"/>
  </r>
  <r>
    <n v="2668"/>
    <n v="113.3631188"/>
    <n v="22.95787683"/>
    <x v="32"/>
  </r>
  <r>
    <n v="2669"/>
    <n v="113.3678671"/>
    <n v="22.955060289999999"/>
    <x v="38"/>
  </r>
  <r>
    <n v="2670"/>
    <n v="113.3632514"/>
    <n v="22.960937349999998"/>
    <x v="32"/>
  </r>
  <r>
    <n v="2671"/>
    <n v="113.365449"/>
    <n v="22.955011150000001"/>
    <x v="38"/>
  </r>
  <r>
    <n v="2672"/>
    <n v="113.36302999999999"/>
    <n v="22.956285619999999"/>
    <x v="32"/>
  </r>
  <r>
    <n v="2673"/>
    <n v="113.36412319999999"/>
    <n v="22.961538990000001"/>
    <x v="32"/>
  </r>
  <r>
    <n v="2674"/>
    <n v="113.36343530000001"/>
    <n v="22.958671079999998"/>
    <x v="32"/>
  </r>
  <r>
    <n v="2675"/>
    <n v="113.36460700000001"/>
    <n v="22.95503317"/>
    <x v="38"/>
  </r>
  <r>
    <n v="2676"/>
    <n v="113.3624684"/>
    <n v="22.960457559999998"/>
    <x v="32"/>
  </r>
  <r>
    <n v="2677"/>
    <n v="113.3621229"/>
    <n v="22.96025011"/>
    <x v="32"/>
  </r>
  <r>
    <n v="2678"/>
    <n v="113.3665117"/>
    <n v="22.953783399999999"/>
    <x v="38"/>
  </r>
  <r>
    <n v="2679"/>
    <n v="113.3676124"/>
    <n v="22.954738720000002"/>
    <x v="38"/>
  </r>
  <r>
    <n v="2680"/>
    <n v="113.3619635"/>
    <n v="22.95547436"/>
    <x v="32"/>
  </r>
  <r>
    <n v="2681"/>
    <n v="113.37044520000001"/>
    <n v="22.955660219999999"/>
    <x v="38"/>
  </r>
  <r>
    <n v="2682"/>
    <n v="113.3620093"/>
    <n v="22.95656383"/>
    <x v="32"/>
  </r>
  <r>
    <n v="2683"/>
    <n v="113.3618196"/>
    <n v="22.956291199999999"/>
    <x v="32"/>
  </r>
  <r>
    <n v="2684"/>
    <n v="113.36695020000001"/>
    <n v="22.954264680000001"/>
    <x v="38"/>
  </r>
  <r>
    <n v="2685"/>
    <n v="113.36646279999999"/>
    <n v="22.954236269999999"/>
    <x v="38"/>
  </r>
  <r>
    <n v="2686"/>
    <n v="113.3636253"/>
    <n v="22.954317700000001"/>
    <x v="38"/>
  </r>
  <r>
    <n v="2687"/>
    <n v="113.3699708"/>
    <n v="22.95450821"/>
    <x v="38"/>
  </r>
  <r>
    <n v="2688"/>
    <n v="113.36647480000001"/>
    <n v="22.954108309999999"/>
    <x v="38"/>
  </r>
  <r>
    <n v="2689"/>
    <n v="113.3615959"/>
    <n v="22.956015610000001"/>
    <x v="32"/>
  </r>
  <r>
    <n v="2690"/>
    <n v="113.3618566"/>
    <n v="22.95515863"/>
    <x v="32"/>
  </r>
  <r>
    <n v="2691"/>
    <n v="113.3620473"/>
    <n v="22.955957040000001"/>
    <x v="32"/>
  </r>
  <r>
    <n v="2692"/>
    <n v="113.3616509"/>
    <n v="22.954877020000001"/>
    <x v="32"/>
  </r>
  <r>
    <n v="2693"/>
    <n v="113.36702099999999"/>
    <n v="22.95518221"/>
    <x v="38"/>
  </r>
  <r>
    <n v="2694"/>
    <n v="113.36161300000001"/>
    <n v="22.954433259999998"/>
    <x v="32"/>
  </r>
  <r>
    <n v="2695"/>
    <n v="113.36723379999999"/>
    <n v="22.954553229999998"/>
    <x v="38"/>
  </r>
  <r>
    <n v="2696"/>
    <n v="113.3622709"/>
    <n v="22.95745011"/>
    <x v="32"/>
  </r>
  <r>
    <n v="2697"/>
    <n v="113.36177069999999"/>
    <n v="22.956128329999999"/>
    <x v="32"/>
  </r>
  <r>
    <n v="2698"/>
    <n v="113.36413520000001"/>
    <n v="22.961505989999999"/>
    <x v="32"/>
  </r>
  <r>
    <n v="2699"/>
    <n v="113.3622862"/>
    <n v="22.953725680000002"/>
    <x v="32"/>
  </r>
  <r>
    <n v="2700"/>
    <n v="113.3668492"/>
    <n v="22.955180410000001"/>
    <x v="38"/>
  </r>
  <r>
    <n v="2701"/>
    <n v="113.36737170000001"/>
    <n v="22.954393140000001"/>
    <x v="38"/>
  </r>
  <r>
    <n v="2702"/>
    <n v="113.36656069999999"/>
    <n v="22.954102209999999"/>
    <x v="38"/>
  </r>
  <r>
    <n v="2703"/>
    <n v="113.36680339999999"/>
    <n v="22.95396998"/>
    <x v="38"/>
  </r>
  <r>
    <n v="2704"/>
    <n v="113.36638189999999"/>
    <n v="22.95363862"/>
    <x v="38"/>
  </r>
  <r>
    <n v="2705"/>
    <n v="113.376786"/>
    <n v="22.96018136"/>
    <x v="38"/>
  </r>
  <r>
    <n v="2706"/>
    <n v="113.3727797"/>
    <n v="22.957147240000001"/>
    <x v="38"/>
  </r>
  <r>
    <n v="2707"/>
    <n v="113.3745038"/>
    <n v="22.961938580000002"/>
    <x v="38"/>
  </r>
  <r>
    <n v="2708"/>
    <n v="113.3761635"/>
    <n v="22.960307830000001"/>
    <x v="38"/>
  </r>
  <r>
    <n v="2709"/>
    <n v="113.3724299"/>
    <n v="22.959936389999999"/>
    <x v="38"/>
  </r>
  <r>
    <n v="2710"/>
    <n v="113.3724308"/>
    <n v="22.961351780000001"/>
    <x v="38"/>
  </r>
  <r>
    <n v="2711"/>
    <n v="113.374234"/>
    <n v="22.96280745"/>
    <x v="38"/>
  </r>
  <r>
    <n v="2712"/>
    <n v="113.37350720000001"/>
    <n v="22.95422679"/>
    <x v="38"/>
  </r>
  <r>
    <n v="2713"/>
    <n v="113.3727548"/>
    <n v="22.95624565"/>
    <x v="38"/>
  </r>
  <r>
    <n v="2714"/>
    <n v="113.37677100000001"/>
    <n v="22.960163380000001"/>
    <x v="38"/>
  </r>
  <r>
    <n v="2715"/>
    <n v="113.3808774"/>
    <n v="22.95402696"/>
    <x v="33"/>
  </r>
  <r>
    <n v="2716"/>
    <n v="113.3869689"/>
    <n v="22.962632989999999"/>
    <x v="33"/>
  </r>
  <r>
    <n v="2717"/>
    <n v="113.3874287"/>
    <n v="22.96316157"/>
    <x v="33"/>
  </r>
  <r>
    <n v="2718"/>
    <n v="113.38276879999999"/>
    <n v="22.961936399999999"/>
    <x v="33"/>
  </r>
  <r>
    <n v="2719"/>
    <n v="113.3904215"/>
    <n v="22.954537259999999"/>
    <x v="34"/>
  </r>
  <r>
    <n v="2720"/>
    <n v="113.3888687"/>
    <n v="22.95612405"/>
    <x v="33"/>
  </r>
  <r>
    <n v="2721"/>
    <n v="113.3979351"/>
    <n v="22.95852773"/>
    <x v="34"/>
  </r>
  <r>
    <n v="2722"/>
    <n v="113.4000485"/>
    <n v="22.959684450000001"/>
    <x v="34"/>
  </r>
  <r>
    <n v="2723"/>
    <n v="113.3934615"/>
    <n v="22.962949030000001"/>
    <x v="34"/>
  </r>
  <r>
    <n v="2724"/>
    <n v="113.3943106"/>
    <n v="22.96180442"/>
    <x v="34"/>
  </r>
  <r>
    <n v="2725"/>
    <n v="113.3927176"/>
    <n v="22.96332099"/>
    <x v="34"/>
  </r>
  <r>
    <n v="2726"/>
    <n v="113.39240460000001"/>
    <n v="22.963299060000001"/>
    <x v="34"/>
  </r>
  <r>
    <n v="2727"/>
    <n v="113.3980523"/>
    <n v="22.956224720000002"/>
    <x v="34"/>
  </r>
  <r>
    <n v="2728"/>
    <n v="113.3936437"/>
    <n v="22.960693970000001"/>
    <x v="34"/>
  </r>
  <r>
    <n v="2729"/>
    <n v="113.3926116"/>
    <n v="22.963504929999999"/>
    <x v="34"/>
  </r>
  <r>
    <n v="2730"/>
    <n v="113.3940626"/>
    <n v="22.961529559999999"/>
    <x v="34"/>
  </r>
  <r>
    <n v="2731"/>
    <n v="113.3930005"/>
    <n v="22.96329295"/>
    <x v="34"/>
  </r>
  <r>
    <n v="2732"/>
    <n v="113.4070038"/>
    <n v="22.956517909999999"/>
    <x v="34"/>
  </r>
  <r>
    <n v="2733"/>
    <n v="113.40928940000001"/>
    <n v="22.95635815"/>
    <x v="34"/>
  </r>
  <r>
    <n v="2734"/>
    <n v="113.419059"/>
    <n v="22.955824020000001"/>
    <x v="7"/>
  </r>
  <r>
    <n v="2735"/>
    <n v="113.41559820000001"/>
    <n v="22.954896219999998"/>
    <x v="34"/>
  </r>
  <r>
    <n v="2736"/>
    <n v="113.4164991"/>
    <n v="22.95476506"/>
    <x v="7"/>
  </r>
  <r>
    <n v="2737"/>
    <n v="113.420615"/>
    <n v="22.955956579999999"/>
    <x v="7"/>
  </r>
  <r>
    <n v="2738"/>
    <n v="113.4150236"/>
    <n v="22.95426801"/>
    <x v="34"/>
  </r>
  <r>
    <n v="2739"/>
    <n v="113.4136262"/>
    <n v="22.954221929999999"/>
    <x v="34"/>
  </r>
  <r>
    <n v="2740"/>
    <n v="113.41384050000001"/>
    <n v="22.953865239999999"/>
    <x v="34"/>
  </r>
  <r>
    <n v="2741"/>
    <n v="113.4130967"/>
    <n v="22.953949649999998"/>
    <x v="34"/>
  </r>
  <r>
    <n v="2742"/>
    <n v="113.42808479999999"/>
    <n v="22.959316350000002"/>
    <x v="7"/>
  </r>
  <r>
    <n v="2743"/>
    <n v="113.426967"/>
    <n v="22.958869010000001"/>
    <x v="7"/>
  </r>
  <r>
    <n v="2744"/>
    <n v="113.4281579"/>
    <n v="22.959597330000001"/>
    <x v="7"/>
  </r>
  <r>
    <n v="2745"/>
    <n v="113.4284475"/>
    <n v="22.958294299999999"/>
    <x v="7"/>
  </r>
  <r>
    <n v="2746"/>
    <n v="113.4313167"/>
    <n v="22.956111440000001"/>
    <x v="7"/>
  </r>
  <r>
    <n v="2747"/>
    <n v="113.42691600000001"/>
    <n v="22.957394570000002"/>
    <x v="7"/>
  </r>
  <r>
    <n v="2748"/>
    <n v="113.4266547"/>
    <n v="22.956346669999999"/>
    <x v="7"/>
  </r>
  <r>
    <n v="2749"/>
    <n v="113.4293119"/>
    <n v="22.958759329999999"/>
    <x v="7"/>
  </r>
  <r>
    <n v="2750"/>
    <n v="113.4272955"/>
    <n v="22.959832039999998"/>
    <x v="7"/>
  </r>
  <r>
    <n v="2751"/>
    <n v="113.4290965"/>
    <n v="22.959319780000001"/>
    <x v="7"/>
  </r>
  <r>
    <n v="2752"/>
    <n v="113.42814009999999"/>
    <n v="22.955946869999998"/>
    <x v="7"/>
  </r>
  <r>
    <n v="2753"/>
    <n v="113.42910670000001"/>
    <n v="22.956339069999999"/>
    <x v="7"/>
  </r>
  <r>
    <n v="2754"/>
    <n v="113.42902359999999"/>
    <n v="22.956073060000001"/>
    <x v="7"/>
  </r>
  <r>
    <n v="2755"/>
    <n v="113.42982670000001"/>
    <n v="22.96073024"/>
    <x v="7"/>
  </r>
  <r>
    <n v="2756"/>
    <n v="113.4237182"/>
    <n v="22.956334949999999"/>
    <x v="7"/>
  </r>
  <r>
    <n v="2757"/>
    <n v="113.42567819999999"/>
    <n v="22.955472759999999"/>
    <x v="7"/>
  </r>
  <r>
    <n v="2758"/>
    <n v="113.42519950000001"/>
    <n v="22.955099310000001"/>
    <x v="7"/>
  </r>
  <r>
    <n v="2759"/>
    <n v="113.43083369999999"/>
    <n v="22.958061879999999"/>
    <x v="7"/>
  </r>
  <r>
    <n v="2760"/>
    <n v="113.4300234"/>
    <n v="22.956095510000001"/>
    <x v="7"/>
  </r>
  <r>
    <n v="2761"/>
    <n v="113.4279597"/>
    <n v="22.958758419999999"/>
    <x v="7"/>
  </r>
  <r>
    <n v="2762"/>
    <n v="113.43062810000001"/>
    <n v="22.961067280000002"/>
    <x v="7"/>
  </r>
  <r>
    <n v="2763"/>
    <n v="113.4305863"/>
    <n v="22.956110339999999"/>
    <x v="7"/>
  </r>
  <r>
    <n v="2764"/>
    <n v="113.43147879999999"/>
    <n v="22.958634610000001"/>
    <x v="7"/>
  </r>
  <r>
    <n v="2765"/>
    <n v="113.4290428"/>
    <n v="22.954697679999999"/>
    <x v="7"/>
  </r>
  <r>
    <n v="2766"/>
    <n v="113.4224344"/>
    <n v="22.956018570000001"/>
    <x v="7"/>
  </r>
  <r>
    <n v="2767"/>
    <n v="113.4290498"/>
    <n v="22.95430386"/>
    <x v="7"/>
  </r>
  <r>
    <n v="2768"/>
    <n v="113.42703539999999"/>
    <n v="22.955205670000002"/>
    <x v="7"/>
  </r>
  <r>
    <n v="2769"/>
    <n v="113.422119"/>
    <n v="22.955620379999999"/>
    <x v="7"/>
  </r>
  <r>
    <n v="2770"/>
    <n v="113.43000240000001"/>
    <n v="22.95519986"/>
    <x v="7"/>
  </r>
  <r>
    <n v="2771"/>
    <n v="113.4313077"/>
    <n v="22.955763579999999"/>
    <x v="7"/>
  </r>
  <r>
    <n v="2772"/>
    <n v="113.4314347"/>
    <n v="22.958843460000001"/>
    <x v="7"/>
  </r>
  <r>
    <n v="2773"/>
    <n v="113.43155179999999"/>
    <n v="22.960637869999999"/>
    <x v="7"/>
  </r>
  <r>
    <n v="2774"/>
    <n v="113.4307197"/>
    <n v="22.95370956"/>
    <x v="7"/>
  </r>
  <r>
    <n v="2775"/>
    <n v="113.4302919"/>
    <n v="22.955079340000001"/>
    <x v="7"/>
  </r>
  <r>
    <n v="2776"/>
    <n v="113.4302106"/>
    <n v="22.956866460000001"/>
    <x v="7"/>
  </r>
  <r>
    <n v="2777"/>
    <n v="113.4313708"/>
    <n v="22.9554638"/>
    <x v="7"/>
  </r>
  <r>
    <n v="2778"/>
    <n v="113.4310353"/>
    <n v="22.954010910000001"/>
    <x v="7"/>
  </r>
  <r>
    <n v="2779"/>
    <n v="113.43105509999999"/>
    <n v="22.957541429999999"/>
    <x v="7"/>
  </r>
  <r>
    <n v="2780"/>
    <n v="113.4236923"/>
    <n v="22.95526937"/>
    <x v="7"/>
  </r>
  <r>
    <n v="2781"/>
    <n v="113.4336078"/>
    <n v="22.95848204"/>
    <x v="7"/>
  </r>
  <r>
    <n v="2782"/>
    <n v="113.4336988"/>
    <n v="22.960042519999998"/>
    <x v="7"/>
  </r>
  <r>
    <n v="2783"/>
    <n v="113.43406950000001"/>
    <n v="22.960021139999998"/>
    <x v="7"/>
  </r>
  <r>
    <n v="2784"/>
    <n v="113.43707569999999"/>
    <n v="22.958440929999998"/>
    <x v="7"/>
  </r>
  <r>
    <n v="2785"/>
    <n v="113.43316"/>
    <n v="22.957104910000002"/>
    <x v="7"/>
  </r>
  <r>
    <n v="2786"/>
    <n v="113.43489219999999"/>
    <n v="22.9590839"/>
    <x v="7"/>
  </r>
  <r>
    <n v="2787"/>
    <n v="113.4355597"/>
    <n v="22.95707788"/>
    <x v="7"/>
  </r>
  <r>
    <n v="2788"/>
    <n v="113.43420089999999"/>
    <n v="22.958865849999999"/>
    <x v="7"/>
  </r>
  <r>
    <n v="2789"/>
    <n v="113.4343834"/>
    <n v="22.956527149999999"/>
    <x v="7"/>
  </r>
  <r>
    <n v="2790"/>
    <n v="113.4389515"/>
    <n v="22.960927229999999"/>
    <x v="7"/>
  </r>
  <r>
    <n v="2791"/>
    <n v="113.43443619999999"/>
    <n v="22.96109328"/>
    <x v="7"/>
  </r>
  <r>
    <n v="2792"/>
    <n v="113.4345754"/>
    <n v="22.9615993"/>
    <x v="7"/>
  </r>
  <r>
    <n v="2793"/>
    <n v="113.4336096"/>
    <n v="22.960574149999999"/>
    <x v="7"/>
  </r>
  <r>
    <n v="2794"/>
    <n v="113.4338164"/>
    <n v="22.95474398"/>
    <x v="7"/>
  </r>
  <r>
    <n v="2795"/>
    <n v="113.44106410000001"/>
    <n v="22.96054036"/>
    <x v="7"/>
  </r>
  <r>
    <n v="2796"/>
    <n v="113.432581"/>
    <n v="22.95528676"/>
    <x v="7"/>
  </r>
  <r>
    <n v="2797"/>
    <n v="113.43289540000001"/>
    <n v="22.958299969999999"/>
    <x v="7"/>
  </r>
  <r>
    <n v="2798"/>
    <n v="113.43513280000001"/>
    <n v="22.9569832"/>
    <x v="7"/>
  </r>
  <r>
    <n v="2799"/>
    <n v="113.43223450000001"/>
    <n v="22.954017759999999"/>
    <x v="7"/>
  </r>
  <r>
    <n v="2800"/>
    <n v="113.43887119999999"/>
    <n v="22.962866259999998"/>
    <x v="7"/>
  </r>
  <r>
    <n v="2801"/>
    <n v="113.43774620000001"/>
    <n v="22.957012729999999"/>
    <x v="7"/>
  </r>
  <r>
    <n v="2802"/>
    <n v="113.4502438"/>
    <n v="22.95557857"/>
    <x v="7"/>
  </r>
  <r>
    <n v="2803"/>
    <n v="113.45515279999999"/>
    <n v="22.958137839999999"/>
    <x v="7"/>
  </r>
  <r>
    <n v="2804"/>
    <n v="113.4594438"/>
    <n v="22.961206059999999"/>
    <x v="7"/>
  </r>
  <r>
    <n v="2805"/>
    <n v="113.4536389"/>
    <n v="22.95484866"/>
    <x v="7"/>
  </r>
  <r>
    <n v="2806"/>
    <n v="113.46082680000001"/>
    <n v="22.962398050000001"/>
    <x v="6"/>
  </r>
  <r>
    <n v="2807"/>
    <n v="113.4615901"/>
    <n v="22.962395010000002"/>
    <x v="6"/>
  </r>
  <r>
    <n v="2808"/>
    <n v="113.4599695"/>
    <n v="22.959355169999998"/>
    <x v="7"/>
  </r>
  <r>
    <n v="2809"/>
    <n v="113.462586"/>
    <n v="22.963677029999999"/>
    <x v="6"/>
  </r>
  <r>
    <n v="2810"/>
    <n v="113.4710647"/>
    <n v="22.96015937"/>
    <x v="6"/>
  </r>
  <r>
    <n v="2811"/>
    <n v="113.4715934"/>
    <n v="22.960032900000002"/>
    <x v="6"/>
  </r>
  <r>
    <n v="2812"/>
    <n v="113.47070429999999"/>
    <n v="22.962443390000001"/>
    <x v="6"/>
  </r>
  <r>
    <n v="2813"/>
    <n v="113.4624747"/>
    <n v="22.963076999999998"/>
    <x v="6"/>
  </r>
  <r>
    <n v="2814"/>
    <n v="113.46646699999999"/>
    <n v="22.960779519999999"/>
    <x v="6"/>
  </r>
  <r>
    <n v="2815"/>
    <n v="113.4620484"/>
    <n v="22.962576110000001"/>
    <x v="6"/>
  </r>
  <r>
    <n v="2816"/>
    <n v="113.4727403"/>
    <n v="22.957437219999999"/>
    <x v="6"/>
  </r>
  <r>
    <n v="2817"/>
    <n v="113.478101"/>
    <n v="22.958415120000002"/>
    <x v="6"/>
  </r>
  <r>
    <n v="2818"/>
    <n v="113.4815856"/>
    <n v="22.960540380000001"/>
    <x v="6"/>
  </r>
  <r>
    <n v="2819"/>
    <n v="113.4732952"/>
    <n v="22.95591044"/>
    <x v="6"/>
  </r>
  <r>
    <n v="2820"/>
    <n v="113.4730113"/>
    <n v="22.955294899999998"/>
    <x v="6"/>
  </r>
  <r>
    <n v="2821"/>
    <n v="113.4736865"/>
    <n v="22.954977939999999"/>
    <x v="6"/>
  </r>
  <r>
    <n v="2822"/>
    <n v="113.48139089999999"/>
    <n v="22.961160540000002"/>
    <x v="6"/>
  </r>
  <r>
    <n v="2823"/>
    <n v="113.4819901"/>
    <n v="22.959126170000001"/>
    <x v="6"/>
  </r>
  <r>
    <n v="2824"/>
    <n v="113.4830498"/>
    <n v="22.957236099999999"/>
    <x v="6"/>
  </r>
  <r>
    <n v="2825"/>
    <n v="113.4914429"/>
    <n v="22.957386079999999"/>
    <x v="6"/>
  </r>
  <r>
    <n v="2826"/>
    <n v="113.4903992"/>
    <n v="22.958480479999999"/>
    <x v="6"/>
  </r>
  <r>
    <n v="2827"/>
    <n v="113.4838044"/>
    <n v="22.956692570000001"/>
    <x v="6"/>
  </r>
  <r>
    <n v="2828"/>
    <n v="113.4823854"/>
    <n v="22.95961213"/>
    <x v="6"/>
  </r>
  <r>
    <n v="2829"/>
    <n v="113.4917379"/>
    <n v="22.957401959999999"/>
    <x v="6"/>
  </r>
  <r>
    <n v="2830"/>
    <n v="113.482512"/>
    <n v="22.9572605"/>
    <x v="6"/>
  </r>
  <r>
    <n v="2831"/>
    <n v="113.48257479999999"/>
    <n v="22.963586979999999"/>
    <x v="6"/>
  </r>
  <r>
    <n v="2832"/>
    <n v="113.48184929999999"/>
    <n v="22.963467900000001"/>
    <x v="6"/>
  </r>
  <r>
    <n v="2833"/>
    <n v="113.4925435"/>
    <n v="22.96083192"/>
    <x v="6"/>
  </r>
  <r>
    <n v="2834"/>
    <n v="113.4922164"/>
    <n v="22.960814939999999"/>
    <x v="6"/>
  </r>
  <r>
    <n v="2835"/>
    <n v="113.30843160000001"/>
    <n v="22.94422531"/>
    <x v="35"/>
  </r>
  <r>
    <n v="2836"/>
    <n v="113.321465"/>
    <n v="22.944525609999999"/>
    <x v="35"/>
  </r>
  <r>
    <n v="2837"/>
    <n v="113.33039960000001"/>
    <n v="22.946709640000002"/>
    <x v="36"/>
  </r>
  <r>
    <n v="2838"/>
    <n v="113.32980790000001"/>
    <n v="22.94430079"/>
    <x v="36"/>
  </r>
  <r>
    <n v="2839"/>
    <n v="113.327254"/>
    <n v="22.94631279"/>
    <x v="36"/>
  </r>
  <r>
    <n v="2840"/>
    <n v="113.3236424"/>
    <n v="22.946805479999998"/>
    <x v="35"/>
  </r>
  <r>
    <n v="2841"/>
    <n v="113.3231693"/>
    <n v="22.946975309999999"/>
    <x v="35"/>
  </r>
  <r>
    <n v="2842"/>
    <n v="113.32380019999999"/>
    <n v="22.945320809999998"/>
    <x v="35"/>
  </r>
  <r>
    <n v="2843"/>
    <n v="113.3314192"/>
    <n v="22.9514687"/>
    <x v="36"/>
  </r>
  <r>
    <n v="2844"/>
    <n v="113.3311906"/>
    <n v="22.952064870000001"/>
    <x v="36"/>
  </r>
  <r>
    <n v="2845"/>
    <n v="113.3236855"/>
    <n v="22.943967600000001"/>
    <x v="35"/>
  </r>
  <r>
    <n v="2846"/>
    <n v="113.3273688"/>
    <n v="22.946218609999999"/>
    <x v="36"/>
  </r>
  <r>
    <n v="2847"/>
    <n v="113.3342225"/>
    <n v="22.952297089999998"/>
    <x v="36"/>
  </r>
  <r>
    <n v="2848"/>
    <n v="113.3356228"/>
    <n v="22.950895089999999"/>
    <x v="36"/>
  </r>
  <r>
    <n v="2849"/>
    <n v="113.3363774"/>
    <n v="22.950778750000001"/>
    <x v="36"/>
  </r>
  <r>
    <n v="2850"/>
    <n v="113.3342267"/>
    <n v="22.949131430000001"/>
    <x v="36"/>
  </r>
  <r>
    <n v="2851"/>
    <n v="113.3361048"/>
    <n v="22.95187778"/>
    <x v="36"/>
  </r>
  <r>
    <n v="2852"/>
    <n v="113.33890940000001"/>
    <n v="22.950842099999999"/>
    <x v="36"/>
  </r>
  <r>
    <n v="2853"/>
    <n v="113.33412180000001"/>
    <n v="22.951715530000001"/>
    <x v="36"/>
  </r>
  <r>
    <n v="2854"/>
    <n v="113.3329183"/>
    <n v="22.949496719999999"/>
    <x v="36"/>
  </r>
  <r>
    <n v="2855"/>
    <n v="113.3342765"/>
    <n v="22.951615279999999"/>
    <x v="36"/>
  </r>
  <r>
    <n v="2856"/>
    <n v="113.3402033"/>
    <n v="22.945885879999999"/>
    <x v="37"/>
  </r>
  <r>
    <n v="2857"/>
    <n v="113.3359062"/>
    <n v="22.952975680000002"/>
    <x v="36"/>
  </r>
  <r>
    <n v="2858"/>
    <n v="113.3411672"/>
    <n v="22.95047521"/>
    <x v="37"/>
  </r>
  <r>
    <n v="2859"/>
    <n v="113.3352245"/>
    <n v="22.953043910000002"/>
    <x v="36"/>
  </r>
  <r>
    <n v="2860"/>
    <n v="113.3323824"/>
    <n v="22.949574689999999"/>
    <x v="36"/>
  </r>
  <r>
    <n v="2861"/>
    <n v="113.3361357"/>
    <n v="22.95351303"/>
    <x v="36"/>
  </r>
  <r>
    <n v="2862"/>
    <n v="113.3354641"/>
    <n v="22.952363760000001"/>
    <x v="36"/>
  </r>
  <r>
    <n v="2863"/>
    <n v="113.3352684"/>
    <n v="22.953619589999999"/>
    <x v="36"/>
  </r>
  <r>
    <n v="2864"/>
    <n v="113.3356797"/>
    <n v="22.951639669999999"/>
    <x v="36"/>
  </r>
  <r>
    <n v="2865"/>
    <n v="113.33638639999999"/>
    <n v="22.95083271"/>
    <x v="36"/>
  </r>
  <r>
    <n v="2866"/>
    <n v="113.341491"/>
    <n v="22.944246280000002"/>
    <x v="37"/>
  </r>
  <r>
    <n v="2867"/>
    <n v="113.335511"/>
    <n v="22.952296700000002"/>
    <x v="36"/>
  </r>
  <r>
    <n v="2868"/>
    <n v="113.3412574"/>
    <n v="22.944345649999999"/>
    <x v="37"/>
  </r>
  <r>
    <n v="2869"/>
    <n v="113.3358533"/>
    <n v="22.951697320000001"/>
    <x v="36"/>
  </r>
  <r>
    <n v="2870"/>
    <n v="113.3357676"/>
    <n v="22.950879830000002"/>
    <x v="36"/>
  </r>
  <r>
    <n v="2871"/>
    <n v="113.3351687"/>
    <n v="22.952272350000001"/>
    <x v="36"/>
  </r>
  <r>
    <n v="2872"/>
    <n v="113.3459245"/>
    <n v="22.948675690000002"/>
    <x v="37"/>
  </r>
  <r>
    <n v="2873"/>
    <n v="113.3482212"/>
    <n v="22.952113369999999"/>
    <x v="37"/>
  </r>
  <r>
    <n v="2874"/>
    <n v="113.3476537"/>
    <n v="22.94498535"/>
    <x v="37"/>
  </r>
  <r>
    <n v="2875"/>
    <n v="113.3477393"/>
    <n v="22.94859567"/>
    <x v="37"/>
  </r>
  <r>
    <n v="2876"/>
    <n v="113.3480588"/>
    <n v="22.947202730000001"/>
    <x v="37"/>
  </r>
  <r>
    <n v="2877"/>
    <n v="113.3458756"/>
    <n v="22.948352910000001"/>
    <x v="37"/>
  </r>
  <r>
    <n v="2878"/>
    <n v="113.34761760000001"/>
    <n v="22.947479349999998"/>
    <x v="37"/>
  </r>
  <r>
    <n v="2879"/>
    <n v="113.34711950000001"/>
    <n v="22.947296260000002"/>
    <x v="37"/>
  </r>
  <r>
    <n v="2880"/>
    <n v="113.3486656"/>
    <n v="22.949028949999999"/>
    <x v="37"/>
  </r>
  <r>
    <n v="2881"/>
    <n v="113.34474969999999"/>
    <n v="22.947834060000002"/>
    <x v="37"/>
  </r>
  <r>
    <n v="2882"/>
    <n v="113.3485111"/>
    <n v="22.94650828"/>
    <x v="37"/>
  </r>
  <r>
    <n v="2883"/>
    <n v="113.3493366"/>
    <n v="22.947137649999998"/>
    <x v="37"/>
  </r>
  <r>
    <n v="2884"/>
    <n v="113.3451299"/>
    <n v="22.950008480000001"/>
    <x v="37"/>
  </r>
  <r>
    <n v="2885"/>
    <n v="113.3489052"/>
    <n v="22.94905954"/>
    <x v="37"/>
  </r>
  <r>
    <n v="2886"/>
    <n v="113.34446010000001"/>
    <n v="22.949024049999998"/>
    <x v="37"/>
  </r>
  <r>
    <n v="2887"/>
    <n v="113.34439329999999"/>
    <n v="22.947846670000001"/>
    <x v="37"/>
  </r>
  <r>
    <n v="2888"/>
    <n v="113.3487576"/>
    <n v="22.947877290000001"/>
    <x v="37"/>
  </r>
  <r>
    <n v="2889"/>
    <n v="113.3492438"/>
    <n v="22.9473947"/>
    <x v="37"/>
  </r>
  <r>
    <n v="2890"/>
    <n v="113.3447178"/>
    <n v="22.946688600000002"/>
    <x v="37"/>
  </r>
  <r>
    <n v="2891"/>
    <n v="113.34872470000001"/>
    <n v="22.946676849999999"/>
    <x v="37"/>
  </r>
  <r>
    <n v="2892"/>
    <n v="113.35033489999999"/>
    <n v="22.947067059999998"/>
    <x v="37"/>
  </r>
  <r>
    <n v="2893"/>
    <n v="113.3445359"/>
    <n v="22.950035490000001"/>
    <x v="37"/>
  </r>
  <r>
    <n v="2894"/>
    <n v="113.3496241"/>
    <n v="22.948131759999999"/>
    <x v="37"/>
  </r>
  <r>
    <n v="2895"/>
    <n v="113.345201"/>
    <n v="22.945891110000002"/>
    <x v="37"/>
  </r>
  <r>
    <n v="2896"/>
    <n v="113.34330420000001"/>
    <n v="22.950508429999999"/>
    <x v="37"/>
  </r>
  <r>
    <n v="2897"/>
    <n v="113.3471267"/>
    <n v="22.944296520000002"/>
    <x v="37"/>
  </r>
  <r>
    <n v="2898"/>
    <n v="113.3491447"/>
    <n v="22.951489120000002"/>
    <x v="37"/>
  </r>
  <r>
    <n v="2899"/>
    <n v="113.3464858"/>
    <n v="22.944877349999999"/>
    <x v="37"/>
  </r>
  <r>
    <n v="2900"/>
    <n v="113.3469619"/>
    <n v="22.945178420000001"/>
    <x v="37"/>
  </r>
  <r>
    <n v="2901"/>
    <n v="113.345215"/>
    <n v="22.945121409999999"/>
    <x v="37"/>
  </r>
  <r>
    <n v="2902"/>
    <n v="113.34834909999999"/>
    <n v="22.951032619999999"/>
    <x v="37"/>
  </r>
  <r>
    <n v="2903"/>
    <n v="113.3501103"/>
    <n v="22.9473603"/>
    <x v="37"/>
  </r>
  <r>
    <n v="2904"/>
    <n v="113.3465178"/>
    <n v="22.944119619999999"/>
    <x v="37"/>
  </r>
  <r>
    <n v="2905"/>
    <n v="113.3479901"/>
    <n v="22.94514672"/>
    <x v="37"/>
  </r>
  <r>
    <n v="2906"/>
    <n v="113.3503058"/>
    <n v="22.949683"/>
    <x v="37"/>
  </r>
  <r>
    <n v="2907"/>
    <n v="113.3502079"/>
    <n v="22.950080979999999"/>
    <x v="37"/>
  </r>
  <r>
    <n v="2908"/>
    <n v="113.350155"/>
    <n v="22.950301979999999"/>
    <x v="37"/>
  </r>
  <r>
    <n v="2909"/>
    <n v="113.3472508"/>
    <n v="22.953593359999999"/>
    <x v="37"/>
  </r>
  <r>
    <n v="2910"/>
    <n v="113.3493962"/>
    <n v="22.951355759999998"/>
    <x v="37"/>
  </r>
  <r>
    <n v="2911"/>
    <n v="113.3490982"/>
    <n v="22.945115900000001"/>
    <x v="37"/>
  </r>
  <r>
    <n v="2912"/>
    <n v="113.3504076"/>
    <n v="22.949268010000001"/>
    <x v="37"/>
  </r>
  <r>
    <n v="2913"/>
    <n v="113.34749100000001"/>
    <n v="22.944333889999999"/>
    <x v="37"/>
  </r>
  <r>
    <n v="2914"/>
    <n v="113.34683819999999"/>
    <n v="22.943746239999999"/>
    <x v="37"/>
  </r>
  <r>
    <n v="2915"/>
    <n v="113.3425336"/>
    <n v="22.950665709999999"/>
    <x v="37"/>
  </r>
  <r>
    <n v="2916"/>
    <n v="113.3488885"/>
    <n v="22.94492133"/>
    <x v="37"/>
  </r>
  <r>
    <n v="2917"/>
    <n v="113.3503027"/>
    <n v="22.951555200000001"/>
    <x v="37"/>
  </r>
  <r>
    <n v="2918"/>
    <n v="113.3497799"/>
    <n v="22.946018410000001"/>
    <x v="37"/>
  </r>
  <r>
    <n v="2919"/>
    <n v="113.34850280000001"/>
    <n v="22.95039564"/>
    <x v="37"/>
  </r>
  <r>
    <n v="2920"/>
    <n v="113.3496462"/>
    <n v="22.944862109999999"/>
    <x v="37"/>
  </r>
  <r>
    <n v="2921"/>
    <n v="113.3499048"/>
    <n v="22.945044620000001"/>
    <x v="37"/>
  </r>
  <r>
    <n v="2922"/>
    <n v="113.3486825"/>
    <n v="22.950602249999999"/>
    <x v="37"/>
  </r>
  <r>
    <n v="2923"/>
    <n v="113.3487938"/>
    <n v="22.944209789999999"/>
    <x v="37"/>
  </r>
  <r>
    <n v="2924"/>
    <n v="113.3448987"/>
    <n v="22.94438027"/>
    <x v="37"/>
  </r>
  <r>
    <n v="2925"/>
    <n v="113.3495272"/>
    <n v="22.947736089999999"/>
    <x v="37"/>
  </r>
  <r>
    <n v="2926"/>
    <n v="113.3491449"/>
    <n v="22.94835445"/>
    <x v="37"/>
  </r>
  <r>
    <n v="2927"/>
    <n v="113.35064749999999"/>
    <n v="22.944793520000001"/>
    <x v="37"/>
  </r>
  <r>
    <n v="2928"/>
    <n v="113.34631709999999"/>
    <n v="22.943734119999998"/>
    <x v="37"/>
  </r>
  <r>
    <n v="2929"/>
    <n v="113.3515046"/>
    <n v="22.951668229999999"/>
    <x v="37"/>
  </r>
  <r>
    <n v="2930"/>
    <n v="113.3476892"/>
    <n v="22.951864359999998"/>
    <x v="37"/>
  </r>
  <r>
    <n v="2931"/>
    <n v="113.3480375"/>
    <n v="22.952144659999998"/>
    <x v="37"/>
  </r>
  <r>
    <n v="2932"/>
    <n v="113.3482885"/>
    <n v="22.945981870000001"/>
    <x v="37"/>
  </r>
  <r>
    <n v="2933"/>
    <n v="113.34649880000001"/>
    <n v="22.944420520000001"/>
    <x v="37"/>
  </r>
  <r>
    <n v="2934"/>
    <n v="113.34752140000001"/>
    <n v="22.952306449999998"/>
    <x v="37"/>
  </r>
  <r>
    <n v="2935"/>
    <n v="113.34927690000001"/>
    <n v="22.944893700000002"/>
    <x v="37"/>
  </r>
  <r>
    <n v="2936"/>
    <n v="113.34378049999999"/>
    <n v="22.94747989"/>
    <x v="37"/>
  </r>
  <r>
    <n v="2937"/>
    <n v="113.3477649"/>
    <n v="22.9533646"/>
    <x v="37"/>
  </r>
  <r>
    <n v="2938"/>
    <n v="113.35390599999999"/>
    <n v="22.947975060000001"/>
    <x v="39"/>
  </r>
  <r>
    <n v="2939"/>
    <n v="113.35561939999999"/>
    <n v="22.94618723"/>
    <x v="39"/>
  </r>
  <r>
    <n v="2940"/>
    <n v="113.3595952"/>
    <n v="22.949375159999999"/>
    <x v="39"/>
  </r>
  <r>
    <n v="2941"/>
    <n v="113.3553838"/>
    <n v="22.945707779999999"/>
    <x v="39"/>
  </r>
  <r>
    <n v="2942"/>
    <n v="113.3533669"/>
    <n v="22.94742312"/>
    <x v="39"/>
  </r>
  <r>
    <n v="2943"/>
    <n v="113.3567953"/>
    <n v="22.94988992"/>
    <x v="39"/>
  </r>
  <r>
    <n v="2944"/>
    <n v="113.35550929999999"/>
    <n v="22.949708900000001"/>
    <x v="39"/>
  </r>
  <r>
    <n v="2945"/>
    <n v="113.36064469999999"/>
    <n v="22.950000450000001"/>
    <x v="39"/>
  </r>
  <r>
    <n v="2946"/>
    <n v="113.35791469999999"/>
    <n v="22.94932154"/>
    <x v="39"/>
  </r>
  <r>
    <n v="2947"/>
    <n v="113.356358"/>
    <n v="22.94999851"/>
    <x v="39"/>
  </r>
  <r>
    <n v="2948"/>
    <n v="113.3579096"/>
    <n v="22.950041240000001"/>
    <x v="39"/>
  </r>
  <r>
    <n v="2949"/>
    <n v="113.35520099999999"/>
    <n v="22.947114460000002"/>
    <x v="39"/>
  </r>
  <r>
    <n v="2950"/>
    <n v="113.3547597"/>
    <n v="22.94628548"/>
    <x v="39"/>
  </r>
  <r>
    <n v="2951"/>
    <n v="113.35886929999999"/>
    <n v="22.948712449999999"/>
    <x v="39"/>
  </r>
  <r>
    <n v="2952"/>
    <n v="113.35254740000001"/>
    <n v="22.944713549999999"/>
    <x v="37"/>
  </r>
  <r>
    <n v="2953"/>
    <n v="113.35827999999999"/>
    <n v="22.950375569999999"/>
    <x v="39"/>
  </r>
  <r>
    <n v="2954"/>
    <n v="113.35521300000001"/>
    <n v="22.945700039999998"/>
    <x v="39"/>
  </r>
  <r>
    <n v="2955"/>
    <n v="113.35425619999999"/>
    <n v="22.950290540000001"/>
    <x v="39"/>
  </r>
  <r>
    <n v="2956"/>
    <n v="113.354597"/>
    <n v="22.94536411"/>
    <x v="39"/>
  </r>
  <r>
    <n v="2957"/>
    <n v="113.3587974"/>
    <n v="22.948592600000001"/>
    <x v="39"/>
  </r>
  <r>
    <n v="2958"/>
    <n v="113.3578806"/>
    <n v="22.950985880000001"/>
    <x v="39"/>
  </r>
  <r>
    <n v="2959"/>
    <n v="113.35580469999999"/>
    <n v="22.951105859999998"/>
    <x v="39"/>
  </r>
  <r>
    <n v="2960"/>
    <n v="113.355678"/>
    <n v="22.95057727"/>
    <x v="39"/>
  </r>
  <r>
    <n v="2961"/>
    <n v="113.3568212"/>
    <n v="22.951476209999999"/>
    <x v="32"/>
  </r>
  <r>
    <n v="2962"/>
    <n v="113.35672049999999"/>
    <n v="22.949175329999999"/>
    <x v="39"/>
  </r>
  <r>
    <n v="2963"/>
    <n v="113.35997159999999"/>
    <n v="22.950057350000002"/>
    <x v="39"/>
  </r>
  <r>
    <n v="2964"/>
    <n v="113.3596443"/>
    <n v="22.94716803"/>
    <x v="39"/>
  </r>
  <r>
    <n v="2965"/>
    <n v="113.360438"/>
    <n v="22.949434969999999"/>
    <x v="39"/>
  </r>
  <r>
    <n v="2966"/>
    <n v="113.3563602"/>
    <n v="22.94710474"/>
    <x v="39"/>
  </r>
  <r>
    <n v="2967"/>
    <n v="113.3563602"/>
    <n v="22.94710474"/>
    <x v="39"/>
  </r>
  <r>
    <n v="2968"/>
    <n v="113.3533879"/>
    <n v="22.946902309999999"/>
    <x v="39"/>
  </r>
  <r>
    <n v="2969"/>
    <n v="113.3567774"/>
    <n v="22.94913927"/>
    <x v="39"/>
  </r>
  <r>
    <n v="2970"/>
    <n v="113.3550663"/>
    <n v="22.945170489999999"/>
    <x v="39"/>
  </r>
  <r>
    <n v="2971"/>
    <n v="113.35718009999999"/>
    <n v="22.944843500000001"/>
    <x v="39"/>
  </r>
  <r>
    <n v="2972"/>
    <n v="113.3580754"/>
    <n v="22.950053"/>
    <x v="39"/>
  </r>
  <r>
    <n v="2973"/>
    <n v="113.3571099"/>
    <n v="22.949132779999999"/>
    <x v="39"/>
  </r>
  <r>
    <n v="2974"/>
    <n v="113.35977099999999"/>
    <n v="22.949223979999999"/>
    <x v="39"/>
  </r>
  <r>
    <n v="2975"/>
    <n v="113.3538562"/>
    <n v="22.94591501"/>
    <x v="39"/>
  </r>
  <r>
    <n v="2976"/>
    <n v="113.3566806"/>
    <n v="22.948343749999999"/>
    <x v="39"/>
  </r>
  <r>
    <n v="2977"/>
    <n v="113.35699289999999"/>
    <n v="22.951555920000001"/>
    <x v="32"/>
  </r>
  <r>
    <n v="2978"/>
    <n v="113.354624"/>
    <n v="22.945579980000002"/>
    <x v="39"/>
  </r>
  <r>
    <n v="2979"/>
    <n v="113.35925469999999"/>
    <n v="22.949309660000001"/>
    <x v="39"/>
  </r>
  <r>
    <n v="2980"/>
    <n v="113.3551702"/>
    <n v="22.944496619999999"/>
    <x v="39"/>
  </r>
  <r>
    <n v="2981"/>
    <n v="113.3606307"/>
    <n v="22.950182389999998"/>
    <x v="39"/>
  </r>
  <r>
    <n v="2982"/>
    <n v="113.3571128"/>
    <n v="22.95050719"/>
    <x v="39"/>
  </r>
  <r>
    <n v="2983"/>
    <n v="113.36124890000001"/>
    <n v="22.949267949999999"/>
    <x v="39"/>
  </r>
  <r>
    <n v="2984"/>
    <n v="113.3599897"/>
    <n v="22.949093730000001"/>
    <x v="39"/>
  </r>
  <r>
    <n v="2985"/>
    <n v="113.35777160000001"/>
    <n v="22.952944209999998"/>
    <x v="32"/>
  </r>
  <r>
    <n v="2986"/>
    <n v="113.3614316"/>
    <n v="22.949997400000001"/>
    <x v="39"/>
  </r>
  <r>
    <n v="2987"/>
    <n v="113.35872879999999"/>
    <n v="22.94418057"/>
    <x v="39"/>
  </r>
  <r>
    <n v="2988"/>
    <n v="113.3555506"/>
    <n v="22.945090799999999"/>
    <x v="39"/>
  </r>
  <r>
    <n v="2989"/>
    <n v="113.361248"/>
    <n v="22.947271799999999"/>
    <x v="39"/>
  </r>
  <r>
    <n v="2990"/>
    <n v="113.35400850000001"/>
    <n v="22.95277686"/>
    <x v="32"/>
  </r>
  <r>
    <n v="2991"/>
    <n v="113.3562044"/>
    <n v="22.947090979999999"/>
    <x v="39"/>
  </r>
  <r>
    <n v="2992"/>
    <n v="113.3526241"/>
    <n v="22.947213359999999"/>
    <x v="37"/>
  </r>
  <r>
    <n v="2993"/>
    <n v="113.3558986"/>
    <n v="22.951173690000001"/>
    <x v="39"/>
  </r>
  <r>
    <n v="2994"/>
    <n v="113.35606180000001"/>
    <n v="22.94392753"/>
    <x v="39"/>
  </r>
  <r>
    <n v="2995"/>
    <n v="113.3537688"/>
    <n v="22.952871179999999"/>
    <x v="32"/>
  </r>
  <r>
    <n v="2996"/>
    <n v="113.3546085"/>
    <n v="22.953179769999998"/>
    <x v="32"/>
  </r>
  <r>
    <n v="2997"/>
    <n v="113.3614316"/>
    <n v="22.949997400000001"/>
    <x v="39"/>
  </r>
  <r>
    <n v="2998"/>
    <n v="113.3537814"/>
    <n v="22.944566699999999"/>
    <x v="39"/>
  </r>
  <r>
    <n v="2999"/>
    <n v="113.3611312"/>
    <n v="22.946284380000002"/>
    <x v="39"/>
  </r>
  <r>
    <n v="3000"/>
    <n v="113.35531690000001"/>
    <n v="22.944693310000002"/>
    <x v="39"/>
  </r>
  <r>
    <n v="3001"/>
    <n v="113.3524101"/>
    <n v="22.952139599999999"/>
    <x v="37"/>
  </r>
  <r>
    <n v="3002"/>
    <n v="113.3532577"/>
    <n v="22.953124859999999"/>
    <x v="32"/>
  </r>
  <r>
    <n v="3003"/>
    <n v="113.35710589999999"/>
    <n v="22.94913979"/>
    <x v="39"/>
  </r>
  <r>
    <n v="3004"/>
    <n v="113.3532392"/>
    <n v="22.94501434"/>
    <x v="39"/>
  </r>
  <r>
    <n v="3005"/>
    <n v="113.3560334"/>
    <n v="22.951090529999998"/>
    <x v="39"/>
  </r>
  <r>
    <n v="3006"/>
    <n v="113.3528627"/>
    <n v="22.946631239999999"/>
    <x v="37"/>
  </r>
  <r>
    <n v="3007"/>
    <n v="113.35897509999999"/>
    <n v="22.949643909999999"/>
    <x v="39"/>
  </r>
  <r>
    <n v="3008"/>
    <n v="113.3606805"/>
    <n v="22.951109930000001"/>
    <x v="39"/>
  </r>
  <r>
    <n v="3009"/>
    <n v="113.3584431"/>
    <n v="22.946419030000001"/>
    <x v="39"/>
  </r>
  <r>
    <n v="3010"/>
    <n v="113.3603459"/>
    <n v="22.953221490000001"/>
    <x v="32"/>
  </r>
  <r>
    <n v="3011"/>
    <n v="113.3611688"/>
    <n v="22.95267261"/>
    <x v="32"/>
  </r>
  <r>
    <n v="3012"/>
    <n v="113.3599494"/>
    <n v="22.95359187"/>
    <x v="32"/>
  </r>
  <r>
    <n v="3013"/>
    <n v="113.3519132"/>
    <n v="22.947738260000001"/>
    <x v="37"/>
  </r>
  <r>
    <n v="3014"/>
    <n v="113.36044870000001"/>
    <n v="22.953609180000001"/>
    <x v="32"/>
  </r>
  <r>
    <n v="3015"/>
    <n v="113.3526028"/>
    <n v="22.95172848"/>
    <x v="37"/>
  </r>
  <r>
    <n v="3016"/>
    <n v="113.36129510000001"/>
    <n v="22.945280579999999"/>
    <x v="39"/>
  </r>
  <r>
    <n v="3017"/>
    <n v="113.3613127"/>
    <n v="22.9498836"/>
    <x v="39"/>
  </r>
  <r>
    <n v="3018"/>
    <n v="113.3528587"/>
    <n v="22.94681817"/>
    <x v="37"/>
  </r>
  <r>
    <n v="3019"/>
    <n v="113.3615582"/>
    <n v="22.953508729999999"/>
    <x v="32"/>
  </r>
  <r>
    <n v="3020"/>
    <n v="113.36104539999999"/>
    <n v="22.946204529999999"/>
    <x v="39"/>
  </r>
  <r>
    <n v="3021"/>
    <n v="113.3587278"/>
    <n v="22.944185569999998"/>
    <x v="39"/>
  </r>
  <r>
    <n v="3022"/>
    <n v="113.3531682"/>
    <n v="22.94760535"/>
    <x v="39"/>
  </r>
  <r>
    <n v="3023"/>
    <n v="113.3613217"/>
    <n v="22.949875590000001"/>
    <x v="39"/>
  </r>
  <r>
    <n v="3024"/>
    <n v="113.3609106"/>
    <n v="22.94498522"/>
    <x v="39"/>
  </r>
  <r>
    <n v="3025"/>
    <n v="113.3537209"/>
    <n v="22.95313414"/>
    <x v="32"/>
  </r>
  <r>
    <n v="3026"/>
    <n v="113.3610544"/>
    <n v="22.94620351"/>
    <x v="39"/>
  </r>
  <r>
    <n v="3027"/>
    <n v="113.35466289999999"/>
    <n v="22.94557992"/>
    <x v="39"/>
  </r>
  <r>
    <n v="3028"/>
    <n v="113.36081280000001"/>
    <n v="22.944550540000002"/>
    <x v="39"/>
  </r>
  <r>
    <n v="3029"/>
    <n v="113.3612692"/>
    <n v="22.94379425"/>
    <x v="39"/>
  </r>
  <r>
    <n v="3030"/>
    <n v="113.3613876"/>
    <n v="22.949933479999999"/>
    <x v="39"/>
  </r>
  <r>
    <n v="3031"/>
    <n v="113.353302"/>
    <n v="22.947423220000001"/>
    <x v="39"/>
  </r>
  <r>
    <n v="3032"/>
    <n v="113.36015140000001"/>
    <n v="22.950046100000002"/>
    <x v="39"/>
  </r>
  <r>
    <n v="3033"/>
    <n v="113.3600405"/>
    <n v="22.949644429999999"/>
    <x v="39"/>
  </r>
  <r>
    <n v="3034"/>
    <n v="113.36043100000001"/>
    <n v="22.94961691"/>
    <x v="39"/>
  </r>
  <r>
    <n v="3035"/>
    <n v="113.35597249999999"/>
    <n v="22.951175580000001"/>
    <x v="39"/>
  </r>
  <r>
    <n v="3036"/>
    <n v="113.3614196"/>
    <n v="22.950023399999999"/>
    <x v="39"/>
  </r>
  <r>
    <n v="3037"/>
    <n v="113.3542716"/>
    <n v="22.945130710000001"/>
    <x v="39"/>
  </r>
  <r>
    <n v="3038"/>
    <n v="113.3533139"/>
    <n v="22.947850020000001"/>
    <x v="39"/>
  </r>
  <r>
    <n v="3039"/>
    <n v="113.35607779999999"/>
    <n v="22.943869530000001"/>
    <x v="39"/>
  </r>
  <r>
    <n v="3040"/>
    <n v="113.3533309"/>
    <n v="22.947600099999999"/>
    <x v="39"/>
  </r>
  <r>
    <n v="3041"/>
    <n v="113.35459400000001"/>
    <n v="22.94568198"/>
    <x v="39"/>
  </r>
  <r>
    <n v="3042"/>
    <n v="113.3611282"/>
    <n v="22.94726696"/>
    <x v="39"/>
  </r>
  <r>
    <n v="3043"/>
    <n v="113.3539439"/>
    <n v="22.947470209999999"/>
    <x v="39"/>
  </r>
  <r>
    <n v="3044"/>
    <n v="113.3575166"/>
    <n v="22.944204289999998"/>
    <x v="39"/>
  </r>
  <r>
    <n v="3045"/>
    <n v="113.3577669"/>
    <n v="22.94970459"/>
    <x v="39"/>
  </r>
  <r>
    <n v="3046"/>
    <n v="113.3607337"/>
    <n v="22.947446419999999"/>
    <x v="39"/>
  </r>
  <r>
    <n v="3047"/>
    <n v="113.356347"/>
    <n v="22.95004351"/>
    <x v="39"/>
  </r>
  <r>
    <n v="3048"/>
    <n v="113.35582410000001"/>
    <n v="22.94610896"/>
    <x v="39"/>
  </r>
  <r>
    <n v="3049"/>
    <n v="113.36108830000001"/>
    <n v="22.946259439999999"/>
    <x v="39"/>
  </r>
  <r>
    <n v="3050"/>
    <n v="113.35558109999999"/>
    <n v="22.951753920000002"/>
    <x v="32"/>
  </r>
  <r>
    <n v="3051"/>
    <n v="113.3607186"/>
    <n v="22.950085319999999"/>
    <x v="39"/>
  </r>
  <r>
    <n v="3052"/>
    <n v="113.3560578"/>
    <n v="22.944003500000001"/>
    <x v="39"/>
  </r>
  <r>
    <n v="3053"/>
    <n v="113.36124220000001"/>
    <n v="22.945285649999999"/>
    <x v="39"/>
  </r>
  <r>
    <n v="3054"/>
    <n v="113.3583448"/>
    <n v="22.952941389999999"/>
    <x v="32"/>
  </r>
  <r>
    <n v="3055"/>
    <n v="113.3561277"/>
    <n v="22.94403239"/>
    <x v="39"/>
  </r>
  <r>
    <n v="3056"/>
    <n v="113.35919010000001"/>
    <n v="22.944251900000001"/>
    <x v="39"/>
  </r>
  <r>
    <n v="3057"/>
    <n v="113.35268809999999"/>
    <n v="22.94490425"/>
    <x v="37"/>
  </r>
  <r>
    <n v="3058"/>
    <n v="113.359973"/>
    <n v="22.94365007"/>
    <x v="39"/>
  </r>
  <r>
    <n v="3059"/>
    <n v="113.35452359999999"/>
    <n v="22.953336830000001"/>
    <x v="32"/>
  </r>
  <r>
    <n v="3060"/>
    <n v="113.35967530000001"/>
    <n v="22.946754160000001"/>
    <x v="39"/>
  </r>
  <r>
    <n v="3061"/>
    <n v="113.3570023"/>
    <n v="22.944808779999999"/>
    <x v="39"/>
  </r>
  <r>
    <n v="3062"/>
    <n v="113.35997500000001"/>
    <n v="22.943731029999999"/>
    <x v="39"/>
  </r>
  <r>
    <n v="3063"/>
    <n v="113.3571128"/>
    <n v="22.95050719"/>
    <x v="39"/>
  </r>
  <r>
    <n v="3064"/>
    <n v="113.3610364"/>
    <n v="22.94619754"/>
    <x v="39"/>
  </r>
  <r>
    <n v="3065"/>
    <n v="113.35705179999999"/>
    <n v="22.951525849999999"/>
    <x v="32"/>
  </r>
  <r>
    <n v="3066"/>
    <n v="113.3574886"/>
    <n v="22.944204330000002"/>
    <x v="39"/>
  </r>
  <r>
    <n v="3067"/>
    <n v="113.3583623"/>
    <n v="22.944707869999998"/>
    <x v="39"/>
  </r>
  <r>
    <n v="3068"/>
    <n v="113.3519292"/>
    <n v="22.94772824"/>
    <x v="37"/>
  </r>
  <r>
    <n v="3069"/>
    <n v="113.36126760000001"/>
    <n v="22.953174260000001"/>
    <x v="32"/>
  </r>
  <r>
    <n v="3070"/>
    <n v="113.35843920000001"/>
    <n v="22.944773730000001"/>
    <x v="39"/>
  </r>
  <r>
    <n v="3071"/>
    <n v="113.3612509"/>
    <n v="22.94931493"/>
    <x v="39"/>
  </r>
  <r>
    <n v="3072"/>
    <n v="113.361178"/>
    <n v="22.94935401"/>
    <x v="39"/>
  </r>
  <r>
    <n v="3073"/>
    <n v="113.3583354"/>
    <n v="22.944707910000002"/>
    <x v="39"/>
  </r>
  <r>
    <n v="3074"/>
    <n v="113.3612632"/>
    <n v="22.943928199999998"/>
    <x v="39"/>
  </r>
  <r>
    <n v="3075"/>
    <n v="113.36516880000001"/>
    <n v="22.947772570000001"/>
    <x v="38"/>
  </r>
  <r>
    <n v="3076"/>
    <n v="113.3710011"/>
    <n v="22.94865763"/>
    <x v="38"/>
  </r>
  <r>
    <n v="3077"/>
    <n v="113.3694955"/>
    <n v="22.951773889999998"/>
    <x v="38"/>
  </r>
  <r>
    <n v="3078"/>
    <n v="113.3702807"/>
    <n v="22.95038864"/>
    <x v="38"/>
  </r>
  <r>
    <n v="3079"/>
    <n v="113.36797540000001"/>
    <n v="22.948730860000001"/>
    <x v="38"/>
  </r>
  <r>
    <n v="3080"/>
    <n v="113.3664469"/>
    <n v="22.952644960000001"/>
    <x v="38"/>
  </r>
  <r>
    <n v="3081"/>
    <n v="113.3662643"/>
    <n v="22.949482530000001"/>
    <x v="38"/>
  </r>
  <r>
    <n v="3082"/>
    <n v="113.3663363"/>
    <n v="22.949225550000001"/>
    <x v="38"/>
  </r>
  <r>
    <n v="3083"/>
    <n v="113.3648561"/>
    <n v="22.949010430000001"/>
    <x v="38"/>
  </r>
  <r>
    <n v="3084"/>
    <n v="113.3639709"/>
    <n v="22.95361157"/>
    <x v="38"/>
  </r>
  <r>
    <n v="3085"/>
    <n v="113.3651457"/>
    <n v="22.94982173"/>
    <x v="38"/>
  </r>
  <r>
    <n v="3086"/>
    <n v="113.3668326"/>
    <n v="22.950229539999999"/>
    <x v="38"/>
  </r>
  <r>
    <n v="3087"/>
    <n v="113.3662953"/>
    <n v="22.94910965"/>
    <x v="38"/>
  </r>
  <r>
    <n v="3088"/>
    <n v="113.3676577"/>
    <n v="22.949420929999999"/>
    <x v="38"/>
  </r>
  <r>
    <n v="3089"/>
    <n v="113.3662403"/>
    <n v="22.950568090000001"/>
    <x v="38"/>
  </r>
  <r>
    <n v="3090"/>
    <n v="113.3644515"/>
    <n v="22.950462309999999"/>
    <x v="38"/>
  </r>
  <r>
    <n v="3091"/>
    <n v="113.3689553"/>
    <n v="22.94811803"/>
    <x v="38"/>
  </r>
  <r>
    <n v="3092"/>
    <n v="113.3686446"/>
    <n v="22.948665139999999"/>
    <x v="38"/>
  </r>
  <r>
    <n v="3093"/>
    <n v="113.36377950000001"/>
    <n v="22.949383610000002"/>
    <x v="38"/>
  </r>
  <r>
    <n v="3094"/>
    <n v="113.3661657"/>
    <n v="22.946180049999999"/>
    <x v="38"/>
  </r>
  <r>
    <n v="3095"/>
    <n v="113.36748369999999"/>
    <n v="22.951582210000002"/>
    <x v="38"/>
  </r>
  <r>
    <n v="3096"/>
    <n v="113.3645144"/>
    <n v="22.95061617"/>
    <x v="38"/>
  </r>
  <r>
    <n v="3097"/>
    <n v="113.36745019999999"/>
    <n v="22.945315910000001"/>
    <x v="38"/>
  </r>
  <r>
    <n v="3098"/>
    <n v="113.3684988"/>
    <n v="22.947977600000002"/>
    <x v="38"/>
  </r>
  <r>
    <n v="3099"/>
    <n v="113.37047459999999"/>
    <n v="22.948947050000001"/>
    <x v="38"/>
  </r>
  <r>
    <n v="3100"/>
    <n v="113.3664553"/>
    <n v="22.946668500000001"/>
    <x v="38"/>
  </r>
  <r>
    <n v="3101"/>
    <n v="113.3698673"/>
    <n v="22.948212009999999"/>
    <x v="38"/>
  </r>
  <r>
    <n v="3102"/>
    <n v="113.3705575"/>
    <n v="22.94938578"/>
    <x v="38"/>
  </r>
  <r>
    <n v="3103"/>
    <n v="113.36971749999999"/>
    <n v="22.94807123"/>
    <x v="38"/>
  </r>
  <r>
    <n v="3104"/>
    <n v="113.36966030000001"/>
    <n v="22.951184959999999"/>
    <x v="38"/>
  </r>
  <r>
    <n v="3105"/>
    <n v="113.3636266"/>
    <n v="22.949822619999999"/>
    <x v="38"/>
  </r>
  <r>
    <n v="3106"/>
    <n v="113.3679302"/>
    <n v="22.951855590000001"/>
    <x v="38"/>
  </r>
  <r>
    <n v="3107"/>
    <n v="113.36993409999999"/>
    <n v="22.950314039999999"/>
    <x v="38"/>
  </r>
  <r>
    <n v="3108"/>
    <n v="113.3705396"/>
    <n v="22.948306259999999"/>
    <x v="38"/>
  </r>
  <r>
    <n v="3109"/>
    <n v="113.3711019"/>
    <n v="22.948912419999999"/>
    <x v="38"/>
  </r>
  <r>
    <n v="3110"/>
    <n v="113.37125279999999"/>
    <n v="22.948082620000001"/>
    <x v="38"/>
  </r>
  <r>
    <n v="3111"/>
    <n v="113.3669804"/>
    <n v="22.950118410000002"/>
    <x v="38"/>
  </r>
  <r>
    <n v="3112"/>
    <n v="113.3660094"/>
    <n v="22.952885380000001"/>
    <x v="38"/>
  </r>
  <r>
    <n v="3113"/>
    <n v="113.369173"/>
    <n v="22.94838068"/>
    <x v="38"/>
  </r>
  <r>
    <n v="3114"/>
    <n v="113.3627448"/>
    <n v="22.949790759999999"/>
    <x v="38"/>
  </r>
  <r>
    <n v="3115"/>
    <n v="113.36833729999999"/>
    <n v="22.944275350000002"/>
    <x v="40"/>
  </r>
  <r>
    <n v="3116"/>
    <n v="113.368066"/>
    <n v="22.952234270000002"/>
    <x v="38"/>
  </r>
  <r>
    <n v="3117"/>
    <n v="113.3641867"/>
    <n v="22.952780650000001"/>
    <x v="38"/>
  </r>
  <r>
    <n v="3118"/>
    <n v="113.3714825"/>
    <n v="22.949136939999999"/>
    <x v="38"/>
  </r>
  <r>
    <n v="3119"/>
    <n v="113.3641867"/>
    <n v="22.952780650000001"/>
    <x v="38"/>
  </r>
  <r>
    <n v="3120"/>
    <n v="113.3714825"/>
    <n v="22.949136939999999"/>
    <x v="38"/>
  </r>
  <r>
    <n v="3121"/>
    <n v="113.3685334"/>
    <n v="22.952900459999999"/>
    <x v="38"/>
  </r>
  <r>
    <n v="3122"/>
    <n v="113.36635819999999"/>
    <n v="22.949282499999999"/>
    <x v="38"/>
  </r>
  <r>
    <n v="3123"/>
    <n v="113.36851249999999"/>
    <n v="22.953086410000001"/>
    <x v="38"/>
  </r>
  <r>
    <n v="3124"/>
    <n v="113.36621510000001"/>
    <n v="22.953498870000001"/>
    <x v="38"/>
  </r>
  <r>
    <n v="3125"/>
    <n v="113.3647071"/>
    <n v="22.952716030000001"/>
    <x v="38"/>
  </r>
  <r>
    <n v="3126"/>
    <n v="113.3626297"/>
    <n v="22.95297755"/>
    <x v="38"/>
  </r>
  <r>
    <n v="3127"/>
    <n v="113.3663093"/>
    <n v="22.94925357"/>
    <x v="38"/>
  </r>
  <r>
    <n v="3128"/>
    <n v="113.3617169"/>
    <n v="22.95341956"/>
    <x v="32"/>
  </r>
  <r>
    <n v="3129"/>
    <n v="113.3638291"/>
    <n v="22.953476800000001"/>
    <x v="38"/>
  </r>
  <r>
    <n v="3130"/>
    <n v="113.3642636"/>
    <n v="22.95312741"/>
    <x v="38"/>
  </r>
  <r>
    <n v="3131"/>
    <n v="113.3654231"/>
    <n v="22.95350882"/>
    <x v="38"/>
  </r>
  <r>
    <n v="3132"/>
    <n v="113.3618728"/>
    <n v="22.952661679999999"/>
    <x v="32"/>
  </r>
  <r>
    <n v="3133"/>
    <n v="113.3666032"/>
    <n v="22.946264490000001"/>
    <x v="38"/>
  </r>
  <r>
    <n v="3134"/>
    <n v="113.3623072"/>
    <n v="22.953219870000002"/>
    <x v="32"/>
  </r>
  <r>
    <n v="3135"/>
    <n v="113.3617419"/>
    <n v="22.953260589999999"/>
    <x v="32"/>
  </r>
  <r>
    <n v="3136"/>
    <n v="113.3674528"/>
    <n v="22.951647220000002"/>
    <x v="38"/>
  </r>
  <r>
    <n v="3137"/>
    <n v="113.36452749999999"/>
    <n v="22.94962357"/>
    <x v="38"/>
  </r>
  <r>
    <n v="3138"/>
    <n v="113.3693279"/>
    <n v="22.94846248"/>
    <x v="38"/>
  </r>
  <r>
    <n v="3139"/>
    <n v="113.36278950000001"/>
    <n v="22.95329821"/>
    <x v="38"/>
  </r>
  <r>
    <n v="3140"/>
    <n v="113.3617469"/>
    <n v="22.953554459999999"/>
    <x v="32"/>
  </r>
  <r>
    <n v="3141"/>
    <n v="113.3630412"/>
    <n v="22.95223833"/>
    <x v="38"/>
  </r>
  <r>
    <n v="3142"/>
    <n v="113.3622932"/>
    <n v="22.953434789999999"/>
    <x v="32"/>
  </r>
  <r>
    <n v="3143"/>
    <n v="113.3616116"/>
    <n v="22.94631072"/>
    <x v="39"/>
  </r>
  <r>
    <n v="3144"/>
    <n v="113.3697942"/>
    <n v="22.95126179"/>
    <x v="38"/>
  </r>
  <r>
    <n v="3145"/>
    <n v="113.3665172"/>
    <n v="22.946542480000002"/>
    <x v="38"/>
  </r>
  <r>
    <n v="3146"/>
    <n v="113.3697734"/>
    <n v="22.94832306"/>
    <x v="38"/>
  </r>
  <r>
    <n v="3147"/>
    <n v="113.3697734"/>
    <n v="22.94832306"/>
    <x v="38"/>
  </r>
  <r>
    <n v="3148"/>
    <n v="113.36402390000001"/>
    <n v="22.95341458"/>
    <x v="38"/>
  </r>
  <r>
    <n v="3149"/>
    <n v="113.3638481"/>
    <n v="22.953063960000001"/>
    <x v="38"/>
  </r>
  <r>
    <n v="3150"/>
    <n v="113.363429"/>
    <n v="22.948822289999999"/>
    <x v="38"/>
  </r>
  <r>
    <n v="3151"/>
    <n v="113.3676299"/>
    <n v="22.946355270000002"/>
    <x v="38"/>
  </r>
  <r>
    <n v="3152"/>
    <n v="113.3637805"/>
    <n v="22.949612510000001"/>
    <x v="38"/>
  </r>
  <r>
    <n v="3153"/>
    <n v="113.37346169999999"/>
    <n v="22.94812044"/>
    <x v="33"/>
  </r>
  <r>
    <n v="3154"/>
    <n v="113.3780458"/>
    <n v="22.948814209999998"/>
    <x v="33"/>
  </r>
  <r>
    <n v="3155"/>
    <n v="113.37443279999999"/>
    <n v="22.948089549999999"/>
    <x v="33"/>
  </r>
  <r>
    <n v="3156"/>
    <n v="113.3747346"/>
    <n v="22.946396"/>
    <x v="33"/>
  </r>
  <r>
    <n v="3157"/>
    <n v="113.3785385"/>
    <n v="22.947878230000001"/>
    <x v="33"/>
  </r>
  <r>
    <n v="3158"/>
    <n v="113.377883"/>
    <n v="22.946861169999998"/>
    <x v="33"/>
  </r>
  <r>
    <n v="3159"/>
    <n v="113.37310530000001"/>
    <n v="22.944103479999999"/>
    <x v="33"/>
  </r>
  <r>
    <n v="3160"/>
    <n v="113.37895810000001"/>
    <n v="22.948327729999999"/>
    <x v="33"/>
  </r>
  <r>
    <n v="3161"/>
    <n v="113.37867420000001"/>
    <n v="22.950308100000001"/>
    <x v="33"/>
  </r>
  <r>
    <n v="3162"/>
    <n v="113.37372240000001"/>
    <n v="22.948950839999998"/>
    <x v="33"/>
  </r>
  <r>
    <n v="3163"/>
    <n v="113.37365440000001"/>
    <n v="22.949359730000001"/>
    <x v="33"/>
  </r>
  <r>
    <n v="3164"/>
    <n v="113.379126"/>
    <n v="22.948103700000001"/>
    <x v="33"/>
  </r>
  <r>
    <n v="3165"/>
    <n v="113.37376140000001"/>
    <n v="22.9482611"/>
    <x v="33"/>
  </r>
  <r>
    <n v="3166"/>
    <n v="113.3769059"/>
    <n v="22.945405560000001"/>
    <x v="33"/>
  </r>
  <r>
    <n v="3167"/>
    <n v="113.3733557"/>
    <n v="22.9496219"/>
    <x v="38"/>
  </r>
  <r>
    <n v="3168"/>
    <n v="113.37320579999999"/>
    <n v="22.949665020000001"/>
    <x v="38"/>
  </r>
  <r>
    <n v="3169"/>
    <n v="113.3804461"/>
    <n v="22.949047369999999"/>
    <x v="33"/>
  </r>
  <r>
    <n v="3170"/>
    <n v="113.374488"/>
    <n v="22.944216149999999"/>
    <x v="33"/>
  </r>
  <r>
    <n v="3171"/>
    <n v="113.3732488"/>
    <n v="22.94898727"/>
    <x v="38"/>
  </r>
  <r>
    <n v="3172"/>
    <n v="113.3721369"/>
    <n v="22.9486165"/>
    <x v="38"/>
  </r>
  <r>
    <n v="3173"/>
    <n v="113.3786072"/>
    <n v="22.950881899999999"/>
    <x v="33"/>
  </r>
  <r>
    <n v="3174"/>
    <n v="113.3731349"/>
    <n v="22.949767040000001"/>
    <x v="38"/>
  </r>
  <r>
    <n v="3175"/>
    <n v="113.3759477"/>
    <n v="22.944724650000001"/>
    <x v="33"/>
  </r>
  <r>
    <n v="3176"/>
    <n v="113.37183020000001"/>
    <n v="22.94855583"/>
    <x v="38"/>
  </r>
  <r>
    <n v="3177"/>
    <n v="113.3717013"/>
    <n v="22.94932064"/>
    <x v="38"/>
  </r>
  <r>
    <n v="3178"/>
    <n v="113.37398039999999"/>
    <n v="22.945422099999998"/>
    <x v="33"/>
  </r>
  <r>
    <n v="3179"/>
    <n v="113.37772870000001"/>
    <n v="22.952679809999999"/>
    <x v="33"/>
  </r>
  <r>
    <n v="3180"/>
    <n v="113.38098170000001"/>
    <n v="22.948650180000001"/>
    <x v="33"/>
  </r>
  <r>
    <n v="3181"/>
    <n v="113.3779019"/>
    <n v="22.948909279999999"/>
    <x v="33"/>
  </r>
  <r>
    <n v="3182"/>
    <n v="113.3729769"/>
    <n v="22.951880299999999"/>
    <x v="38"/>
  </r>
  <r>
    <n v="3183"/>
    <n v="113.37546810000001"/>
    <n v="22.944157300000001"/>
    <x v="33"/>
  </r>
  <r>
    <n v="3184"/>
    <n v="113.3800925"/>
    <n v="22.945964920000002"/>
    <x v="33"/>
  </r>
  <r>
    <n v="3185"/>
    <n v="113.3750965"/>
    <n v="22.944014689999999"/>
    <x v="33"/>
  </r>
  <r>
    <n v="3186"/>
    <n v="113.3717231"/>
    <n v="22.952119419999999"/>
    <x v="38"/>
  </r>
  <r>
    <n v="3187"/>
    <n v="113.38139080000001"/>
    <n v="22.943985900000001"/>
    <x v="33"/>
  </r>
  <r>
    <n v="3188"/>
    <n v="113.3718179"/>
    <n v="22.953230850000001"/>
    <x v="38"/>
  </r>
  <r>
    <n v="3189"/>
    <n v="113.3810527"/>
    <n v="22.948664130000001"/>
    <x v="33"/>
  </r>
  <r>
    <n v="3190"/>
    <n v="113.37182989999999"/>
    <n v="22.95281602"/>
    <x v="38"/>
  </r>
  <r>
    <n v="3191"/>
    <n v="113.3760431"/>
    <n v="22.952254369999999"/>
    <x v="33"/>
  </r>
  <r>
    <n v="3192"/>
    <n v="113.37349759999999"/>
    <n v="22.948287329999999"/>
    <x v="33"/>
  </r>
  <r>
    <n v="3193"/>
    <n v="113.3731107"/>
    <n v="22.95217804"/>
    <x v="38"/>
  </r>
  <r>
    <n v="3194"/>
    <n v="113.3759228"/>
    <n v="22.94412393"/>
    <x v="33"/>
  </r>
  <r>
    <n v="3195"/>
    <n v="113.37785"/>
    <n v="22.946972150000001"/>
    <x v="33"/>
  </r>
  <r>
    <n v="3196"/>
    <n v="113.37736959999999"/>
    <n v="22.944592539999999"/>
    <x v="33"/>
  </r>
  <r>
    <n v="3197"/>
    <n v="113.3773005"/>
    <n v="22.945603160000001"/>
    <x v="33"/>
  </r>
  <r>
    <n v="3198"/>
    <n v="113.37282999999999"/>
    <n v="22.952426200000001"/>
    <x v="38"/>
  </r>
  <r>
    <n v="3199"/>
    <n v="113.3808698"/>
    <n v="22.94912205"/>
    <x v="33"/>
  </r>
  <r>
    <n v="3200"/>
    <n v="113.3802"/>
    <n v="22.952435090000002"/>
    <x v="33"/>
  </r>
  <r>
    <n v="3201"/>
    <n v="113.3855533"/>
    <n v="22.949690140000001"/>
    <x v="33"/>
  </r>
  <r>
    <n v="3202"/>
    <n v="113.38465770000001"/>
    <n v="22.949389709999998"/>
    <x v="33"/>
  </r>
  <r>
    <n v="3203"/>
    <n v="113.38643190000001"/>
    <n v="22.95052639"/>
    <x v="33"/>
  </r>
  <r>
    <n v="3204"/>
    <n v="113.3843708"/>
    <n v="22.949842669999999"/>
    <x v="33"/>
  </r>
  <r>
    <n v="3205"/>
    <n v="113.3839871"/>
    <n v="22.948613399999999"/>
    <x v="33"/>
  </r>
  <r>
    <n v="3206"/>
    <n v="113.3836702"/>
    <n v="22.949149340000002"/>
    <x v="33"/>
  </r>
  <r>
    <n v="3207"/>
    <n v="113.38329640000001"/>
    <n v="22.94945542"/>
    <x v="33"/>
  </r>
  <r>
    <n v="3208"/>
    <n v="113.38335240000001"/>
    <n v="22.949023570000001"/>
    <x v="33"/>
  </r>
  <r>
    <n v="3209"/>
    <n v="113.3832874"/>
    <n v="22.94870075"/>
    <x v="33"/>
  </r>
  <r>
    <n v="3210"/>
    <n v="113.3838308"/>
    <n v="22.95339444"/>
    <x v="33"/>
  </r>
  <r>
    <n v="3211"/>
    <n v="113.38623990000001"/>
    <n v="22.950783359999999"/>
    <x v="33"/>
  </r>
  <r>
    <n v="3212"/>
    <n v="113.3896958"/>
    <n v="22.95206452"/>
    <x v="34"/>
  </r>
  <r>
    <n v="3213"/>
    <n v="113.39110959999999"/>
    <n v="22.95055078"/>
    <x v="34"/>
  </r>
  <r>
    <n v="3214"/>
    <n v="113.3878236"/>
    <n v="22.9472682"/>
    <x v="33"/>
  </r>
  <r>
    <n v="3215"/>
    <n v="113.3818735"/>
    <n v="22.944512370000002"/>
    <x v="33"/>
  </r>
  <r>
    <n v="3216"/>
    <n v="113.3816447"/>
    <n v="22.943873780000001"/>
    <x v="33"/>
  </r>
  <r>
    <n v="3217"/>
    <n v="113.3845287"/>
    <n v="22.95062725"/>
    <x v="33"/>
  </r>
  <r>
    <n v="3218"/>
    <n v="113.3987631"/>
    <n v="22.946192050000001"/>
    <x v="34"/>
  </r>
  <r>
    <n v="3219"/>
    <n v="113.398028"/>
    <n v="22.945561260000002"/>
    <x v="34"/>
  </r>
  <r>
    <n v="3220"/>
    <n v="113.39763170000001"/>
    <n v="22.94913172"/>
    <x v="34"/>
  </r>
  <r>
    <n v="3221"/>
    <n v="113.3969398"/>
    <n v="22.946920639999998"/>
    <x v="34"/>
  </r>
  <r>
    <n v="3222"/>
    <n v="113.39561140000001"/>
    <n v="22.950485149999999"/>
    <x v="34"/>
  </r>
  <r>
    <n v="3223"/>
    <n v="113.3965487"/>
    <n v="22.94695463"/>
    <x v="34"/>
  </r>
  <r>
    <n v="3224"/>
    <n v="113.39360379999999"/>
    <n v="22.94367523"/>
    <x v="34"/>
  </r>
  <r>
    <n v="3225"/>
    <n v="113.39911410000001"/>
    <n v="22.947395570000001"/>
    <x v="34"/>
  </r>
  <r>
    <n v="3226"/>
    <n v="113.3966558"/>
    <n v="22.945392290000001"/>
    <x v="34"/>
  </r>
  <r>
    <n v="3227"/>
    <n v="113.3999244"/>
    <n v="22.946329120000001"/>
    <x v="34"/>
  </r>
  <r>
    <n v="3228"/>
    <n v="113.3953693"/>
    <n v="22.95165867"/>
    <x v="34"/>
  </r>
  <r>
    <n v="3229"/>
    <n v="113.39584480000001"/>
    <n v="22.945315340000001"/>
    <x v="34"/>
  </r>
  <r>
    <n v="3230"/>
    <n v="113.3995333"/>
    <n v="22.946554970000001"/>
    <x v="34"/>
  </r>
  <r>
    <n v="3231"/>
    <n v="113.3966669"/>
    <n v="22.944999459999998"/>
    <x v="34"/>
  </r>
  <r>
    <n v="3232"/>
    <n v="113.3962447"/>
    <n v="22.94668575"/>
    <x v="34"/>
  </r>
  <r>
    <n v="3233"/>
    <n v="113.397622"/>
    <n v="22.944386739999999"/>
    <x v="34"/>
  </r>
  <r>
    <n v="3234"/>
    <n v="113.39730179999999"/>
    <n v="22.947271499999999"/>
    <x v="34"/>
  </r>
  <r>
    <n v="3235"/>
    <n v="113.3943378"/>
    <n v="22.944351860000001"/>
    <x v="34"/>
  </r>
  <r>
    <n v="3236"/>
    <n v="113.4014258"/>
    <n v="22.946856159999999"/>
    <x v="34"/>
  </r>
  <r>
    <n v="3237"/>
    <n v="113.4003735"/>
    <n v="22.946834979999998"/>
    <x v="34"/>
  </r>
  <r>
    <n v="3238"/>
    <n v="113.39433080000001"/>
    <n v="22.944224909999999"/>
    <x v="34"/>
  </r>
  <r>
    <n v="3239"/>
    <n v="113.3992338"/>
    <n v="22.95287725"/>
    <x v="34"/>
  </r>
  <r>
    <n v="3240"/>
    <n v="113.400165"/>
    <n v="22.95236259"/>
    <x v="34"/>
  </r>
  <r>
    <n v="3241"/>
    <n v="113.3954323"/>
    <n v="22.95209947"/>
    <x v="34"/>
  </r>
  <r>
    <n v="3242"/>
    <n v="113.39673759999999"/>
    <n v="22.949181679999999"/>
    <x v="34"/>
  </r>
  <r>
    <n v="3243"/>
    <n v="113.3942918"/>
    <n v="22.943619170000002"/>
    <x v="34"/>
  </r>
  <r>
    <n v="3244"/>
    <n v="113.39218750000001"/>
    <n v="22.950681490000001"/>
    <x v="34"/>
  </r>
  <r>
    <n v="3245"/>
    <n v="113.3931158"/>
    <n v="22.945354590000001"/>
    <x v="34"/>
  </r>
  <r>
    <n v="3246"/>
    <n v="113.39563029999999"/>
    <n v="22.951758609999999"/>
    <x v="34"/>
  </r>
  <r>
    <n v="3247"/>
    <n v="113.3998244"/>
    <n v="22.946174169999999"/>
    <x v="34"/>
  </r>
  <r>
    <n v="3248"/>
    <n v="113.39284790000001"/>
    <n v="22.94379829"/>
    <x v="34"/>
  </r>
  <r>
    <n v="3249"/>
    <n v="113.39218529999999"/>
    <n v="22.953516279999999"/>
    <x v="34"/>
  </r>
  <r>
    <n v="3250"/>
    <n v="113.40649500000001"/>
    <n v="22.949585639999999"/>
    <x v="34"/>
  </r>
  <r>
    <n v="3251"/>
    <n v="113.4059967"/>
    <n v="22.949867309999998"/>
    <x v="34"/>
  </r>
  <r>
    <n v="3252"/>
    <n v="113.4048622"/>
    <n v="22.948527439999999"/>
    <x v="34"/>
  </r>
  <r>
    <n v="3253"/>
    <n v="113.4066961"/>
    <n v="22.95020646"/>
    <x v="34"/>
  </r>
  <r>
    <n v="3254"/>
    <n v="113.4047461"/>
    <n v="22.948963209999999"/>
    <x v="34"/>
  </r>
  <r>
    <n v="3255"/>
    <n v="113.4043489"/>
    <n v="22.949050029999999"/>
    <x v="34"/>
  </r>
  <r>
    <n v="3256"/>
    <n v="113.4043509"/>
    <n v="22.94887211"/>
    <x v="34"/>
  </r>
  <r>
    <n v="3257"/>
    <n v="113.4041838"/>
    <n v="22.94859117"/>
    <x v="34"/>
  </r>
  <r>
    <n v="3258"/>
    <n v="113.4038867"/>
    <n v="22.947903369999999"/>
    <x v="34"/>
  </r>
  <r>
    <n v="3259"/>
    <n v="113.4080369"/>
    <n v="22.951192679999998"/>
    <x v="34"/>
  </r>
  <r>
    <n v="3260"/>
    <n v="113.40870839999999"/>
    <n v="22.95108608"/>
    <x v="34"/>
  </r>
  <r>
    <n v="3261"/>
    <n v="113.4030564"/>
    <n v="22.947888129999999"/>
    <x v="34"/>
  </r>
  <r>
    <n v="3262"/>
    <n v="113.4052433"/>
    <n v="22.949292249999999"/>
    <x v="34"/>
  </r>
  <r>
    <n v="3263"/>
    <n v="113.40277020000001"/>
    <n v="22.94809596"/>
    <x v="34"/>
  </r>
  <r>
    <n v="3264"/>
    <n v="113.40244819999999"/>
    <n v="22.947263230000001"/>
    <x v="34"/>
  </r>
  <r>
    <n v="3265"/>
    <n v="113.402208"/>
    <n v="22.947553039999999"/>
    <x v="34"/>
  </r>
  <r>
    <n v="3266"/>
    <n v="113.40954290000001"/>
    <n v="22.952011150000001"/>
    <x v="34"/>
  </r>
  <r>
    <n v="3267"/>
    <n v="113.4022239"/>
    <n v="22.950058980000001"/>
    <x v="34"/>
  </r>
  <r>
    <n v="3268"/>
    <n v="113.41058870000001"/>
    <n v="22.952195700000001"/>
    <x v="34"/>
  </r>
  <r>
    <n v="3269"/>
    <n v="113.4037367"/>
    <n v="22.947373549999998"/>
    <x v="34"/>
  </r>
  <r>
    <n v="3270"/>
    <n v="113.410991"/>
    <n v="22.952831679999999"/>
    <x v="34"/>
  </r>
  <r>
    <n v="3271"/>
    <n v="113.4037367"/>
    <n v="22.947373549999998"/>
    <x v="34"/>
  </r>
  <r>
    <n v="3272"/>
    <n v="113.40602560000001"/>
    <n v="22.952202329999999"/>
    <x v="34"/>
  </r>
  <r>
    <n v="3273"/>
    <n v="113.404545"/>
    <n v="22.948844189999999"/>
    <x v="34"/>
  </r>
  <r>
    <n v="3274"/>
    <n v="113.4054404"/>
    <n v="22.949335309999999"/>
    <x v="34"/>
  </r>
  <r>
    <n v="3275"/>
    <n v="113.40401490000001"/>
    <n v="22.94670292"/>
    <x v="34"/>
  </r>
  <r>
    <n v="3276"/>
    <n v="113.41330840000001"/>
    <n v="22.947629500000001"/>
    <x v="34"/>
  </r>
  <r>
    <n v="3277"/>
    <n v="113.4126624"/>
    <n v="22.953323600000001"/>
    <x v="34"/>
  </r>
  <r>
    <n v="3278"/>
    <n v="113.4367927"/>
    <n v="22.949488250000002"/>
    <x v="7"/>
  </r>
  <r>
    <n v="3279"/>
    <n v="113.4355741"/>
    <n v="22.950777599999999"/>
    <x v="7"/>
  </r>
  <r>
    <n v="3280"/>
    <n v="113.4344299"/>
    <n v="22.950947599999999"/>
    <x v="7"/>
  </r>
  <r>
    <n v="3281"/>
    <n v="113.4347044"/>
    <n v="22.95145784"/>
    <x v="7"/>
  </r>
  <r>
    <n v="3282"/>
    <n v="113.4404485"/>
    <n v="22.949687820000001"/>
    <x v="7"/>
  </r>
  <r>
    <n v="3283"/>
    <n v="113.4333847"/>
    <n v="22.952403270000001"/>
    <x v="7"/>
  </r>
  <r>
    <n v="3284"/>
    <n v="113.4328087"/>
    <n v="22.952335380000001"/>
    <x v="7"/>
  </r>
  <r>
    <n v="3285"/>
    <n v="113.4316508"/>
    <n v="22.947792499999998"/>
    <x v="7"/>
  </r>
  <r>
    <n v="3286"/>
    <n v="113.4372509"/>
    <n v="22.945071930000001"/>
    <x v="7"/>
  </r>
  <r>
    <n v="3287"/>
    <n v="113.4320372"/>
    <n v="22.95290692"/>
    <x v="7"/>
  </r>
  <r>
    <n v="3288"/>
    <n v="113.4423388"/>
    <n v="22.949571509999998"/>
    <x v="7"/>
  </r>
  <r>
    <n v="3289"/>
    <n v="113.4688726"/>
    <n v="22.945997349999999"/>
    <x v="6"/>
  </r>
  <r>
    <n v="3290"/>
    <n v="113.4705087"/>
    <n v="22.947714130000001"/>
    <x v="6"/>
  </r>
  <r>
    <n v="3291"/>
    <n v="113.4713995"/>
    <n v="22.94814543"/>
    <x v="6"/>
  </r>
  <r>
    <n v="3292"/>
    <n v="113.46735270000001"/>
    <n v="22.947946389999998"/>
    <x v="6"/>
  </r>
  <r>
    <n v="3293"/>
    <n v="113.47145690000001"/>
    <n v="22.94579658"/>
    <x v="6"/>
  </r>
  <r>
    <n v="3294"/>
    <n v="113.4782982"/>
    <n v="22.950016269999999"/>
    <x v="6"/>
  </r>
  <r>
    <n v="3295"/>
    <n v="113.4785121"/>
    <n v="22.94727206"/>
    <x v="6"/>
  </r>
  <r>
    <n v="3296"/>
    <n v="113.4734984"/>
    <n v="22.948256270000002"/>
    <x v="6"/>
  </r>
  <r>
    <n v="3297"/>
    <n v="113.47415530000001"/>
    <n v="22.95101296"/>
    <x v="6"/>
  </r>
  <r>
    <n v="3298"/>
    <n v="113.47723879999999"/>
    <n v="22.947684200000001"/>
    <x v="6"/>
  </r>
  <r>
    <n v="3299"/>
    <n v="113.47428360000001"/>
    <n v="22.95359122"/>
    <x v="6"/>
  </r>
  <r>
    <n v="3300"/>
    <n v="113.47641299999999"/>
    <n v="22.947385950000001"/>
    <x v="6"/>
  </r>
  <r>
    <n v="3301"/>
    <n v="113.4737408"/>
    <n v="22.95359668"/>
    <x v="6"/>
  </r>
  <r>
    <n v="3302"/>
    <n v="113.47530829999999"/>
    <n v="22.94856828"/>
    <x v="6"/>
  </r>
  <r>
    <n v="3303"/>
    <n v="113.47387260000001"/>
    <n v="22.948581189999999"/>
    <x v="6"/>
  </r>
  <r>
    <n v="3304"/>
    <n v="113.48125810000001"/>
    <n v="22.951415310000002"/>
    <x v="6"/>
  </r>
  <r>
    <n v="3305"/>
    <n v="113.47968"/>
    <n v="22.94759432"/>
    <x v="6"/>
  </r>
  <r>
    <n v="3306"/>
    <n v="113.47706100000001"/>
    <n v="22.951086239999999"/>
    <x v="6"/>
  </r>
  <r>
    <n v="3307"/>
    <n v="113.48067330000001"/>
    <n v="22.9488117"/>
    <x v="6"/>
  </r>
  <r>
    <n v="3308"/>
    <n v="113.4881613"/>
    <n v="22.945296389999999"/>
    <x v="6"/>
  </r>
  <r>
    <n v="3309"/>
    <n v="113.482051"/>
    <n v="22.94786715"/>
    <x v="6"/>
  </r>
  <r>
    <n v="3310"/>
    <n v="113.4886711"/>
    <n v="22.944569220000002"/>
    <x v="6"/>
  </r>
  <r>
    <n v="3311"/>
    <n v="113.483469"/>
    <n v="22.94648492"/>
    <x v="6"/>
  </r>
  <r>
    <n v="3312"/>
    <n v="113.48273349999999"/>
    <n v="22.94595297"/>
    <x v="6"/>
  </r>
  <r>
    <n v="3313"/>
    <n v="113.5016832"/>
    <n v="22.95056675"/>
    <x v="6"/>
  </r>
  <r>
    <n v="3314"/>
    <n v="113.5039292"/>
    <n v="22.948580289999999"/>
    <x v="6"/>
  </r>
  <r>
    <n v="3315"/>
    <n v="113.50221620000001"/>
    <n v="22.94870714"/>
    <x v="6"/>
  </r>
  <r>
    <n v="3316"/>
    <n v="113.29915990000001"/>
    <n v="22.938126319999999"/>
    <x v="35"/>
  </r>
  <r>
    <n v="3317"/>
    <n v="113.2997757"/>
    <n v="22.9390149"/>
    <x v="35"/>
  </r>
  <r>
    <n v="3318"/>
    <n v="113.3009205"/>
    <n v="22.939821590000001"/>
    <x v="35"/>
  </r>
  <r>
    <n v="3319"/>
    <n v="113.3041832"/>
    <n v="22.94151514"/>
    <x v="35"/>
  </r>
  <r>
    <n v="3320"/>
    <n v="113.30860199999999"/>
    <n v="22.933910359999999"/>
    <x v="35"/>
  </r>
  <r>
    <n v="3321"/>
    <n v="113.31099210000001"/>
    <n v="22.93534034"/>
    <x v="35"/>
  </r>
  <r>
    <n v="3322"/>
    <n v="113.31168769999999"/>
    <n v="22.93540501"/>
    <x v="35"/>
  </r>
  <r>
    <n v="3323"/>
    <n v="113.3051342"/>
    <n v="22.942868870000002"/>
    <x v="35"/>
  </r>
  <r>
    <n v="3324"/>
    <n v="113.3109781"/>
    <n v="22.935456309999999"/>
    <x v="35"/>
  </r>
  <r>
    <n v="3325"/>
    <n v="113.31330319999999"/>
    <n v="22.938880520000001"/>
    <x v="35"/>
  </r>
  <r>
    <n v="3326"/>
    <n v="113.3154936"/>
    <n v="22.939467140000001"/>
    <x v="35"/>
  </r>
  <r>
    <n v="3327"/>
    <n v="113.3154607"/>
    <n v="22.939266279999998"/>
    <x v="35"/>
  </r>
  <r>
    <n v="3328"/>
    <n v="113.3182351"/>
    <n v="22.93866727"/>
    <x v="35"/>
  </r>
  <r>
    <n v="3329"/>
    <n v="113.31473920000001"/>
    <n v="22.938944790000001"/>
    <x v="35"/>
  </r>
  <r>
    <n v="3330"/>
    <n v="113.3127363"/>
    <n v="22.939492319999999"/>
    <x v="35"/>
  </r>
  <r>
    <n v="3331"/>
    <n v="113.3135066"/>
    <n v="22.94090628"/>
    <x v="35"/>
  </r>
  <r>
    <n v="3332"/>
    <n v="113.3134238"/>
    <n v="22.941098350000001"/>
    <x v="35"/>
  </r>
  <r>
    <n v="3333"/>
    <n v="113.3133911"/>
    <n v="22.936366419999999"/>
    <x v="35"/>
  </r>
  <r>
    <n v="3334"/>
    <n v="113.3127155"/>
    <n v="22.937159350000002"/>
    <x v="35"/>
  </r>
  <r>
    <n v="3335"/>
    <n v="113.3195395"/>
    <n v="22.936933509999999"/>
    <x v="35"/>
  </r>
  <r>
    <n v="3336"/>
    <n v="113.3196554"/>
    <n v="22.934175450000001"/>
    <x v="35"/>
  </r>
  <r>
    <n v="3337"/>
    <n v="113.32672959999999"/>
    <n v="22.938910920000001"/>
    <x v="35"/>
  </r>
  <r>
    <n v="3338"/>
    <n v="113.32619870000001"/>
    <n v="22.938955920000001"/>
    <x v="35"/>
  </r>
  <r>
    <n v="3339"/>
    <n v="113.3262026"/>
    <n v="22.93965961"/>
    <x v="35"/>
  </r>
  <r>
    <n v="3340"/>
    <n v="113.32600119999999"/>
    <n v="22.937670839999999"/>
    <x v="35"/>
  </r>
  <r>
    <n v="3341"/>
    <n v="113.3273105"/>
    <n v="22.937409450000001"/>
    <x v="35"/>
  </r>
  <r>
    <n v="3342"/>
    <n v="113.3261746"/>
    <n v="22.94019544"/>
    <x v="35"/>
  </r>
  <r>
    <n v="3343"/>
    <n v="113.3285487"/>
    <n v="22.940589750000001"/>
    <x v="41"/>
  </r>
  <r>
    <n v="3344"/>
    <n v="113.3253473"/>
    <n v="22.939895150000002"/>
    <x v="35"/>
  </r>
  <r>
    <n v="3345"/>
    <n v="113.32486830000001"/>
    <n v="22.94025491"/>
    <x v="35"/>
  </r>
  <r>
    <n v="3346"/>
    <n v="113.3249172"/>
    <n v="22.940821580000001"/>
    <x v="35"/>
  </r>
  <r>
    <n v="3347"/>
    <n v="113.32324970000001"/>
    <n v="22.93876564"/>
    <x v="35"/>
  </r>
  <r>
    <n v="3348"/>
    <n v="113.3272776"/>
    <n v="22.936104060000002"/>
    <x v="35"/>
  </r>
  <r>
    <n v="3349"/>
    <n v="113.3236259"/>
    <n v="22.938913849999999"/>
    <x v="35"/>
  </r>
  <r>
    <n v="3350"/>
    <n v="113.3251408"/>
    <n v="22.938851979999999"/>
    <x v="35"/>
  </r>
  <r>
    <n v="3351"/>
    <n v="113.3289273"/>
    <n v="22.936236869999998"/>
    <x v="41"/>
  </r>
  <r>
    <n v="3352"/>
    <n v="113.32933439999999"/>
    <n v="22.936271080000001"/>
    <x v="41"/>
  </r>
  <r>
    <n v="3353"/>
    <n v="113.3302863"/>
    <n v="22.939587880000001"/>
    <x v="41"/>
  </r>
  <r>
    <n v="3354"/>
    <n v="113.3232805"/>
    <n v="22.940631790000001"/>
    <x v="35"/>
  </r>
  <r>
    <n v="3355"/>
    <n v="113.33091109999999"/>
    <n v="22.93917587"/>
    <x v="41"/>
  </r>
  <r>
    <n v="3356"/>
    <n v="113.3235469"/>
    <n v="22.9417638"/>
    <x v="35"/>
  </r>
  <r>
    <n v="3357"/>
    <n v="113.32393810000001"/>
    <n v="22.942545719999998"/>
    <x v="35"/>
  </r>
  <r>
    <n v="3358"/>
    <n v="113.33041"/>
    <n v="22.940649199999999"/>
    <x v="41"/>
  </r>
  <r>
    <n v="3359"/>
    <n v="113.32518570000001"/>
    <n v="22.938856900000001"/>
    <x v="35"/>
  </r>
  <r>
    <n v="3360"/>
    <n v="113.3315739"/>
    <n v="22.93634582"/>
    <x v="41"/>
  </r>
  <r>
    <n v="3361"/>
    <n v="113.32427629999999"/>
    <n v="22.942849939999999"/>
    <x v="35"/>
  </r>
  <r>
    <n v="3362"/>
    <n v="113.3220281"/>
    <n v="22.941634759999999"/>
    <x v="35"/>
  </r>
  <r>
    <n v="3363"/>
    <n v="113.32178759999999"/>
    <n v="22.9409685"/>
    <x v="35"/>
  </r>
  <r>
    <n v="3364"/>
    <n v="113.3359042"/>
    <n v="22.93707843"/>
    <x v="41"/>
  </r>
  <r>
    <n v="3365"/>
    <n v="113.3381519"/>
    <n v="22.935915810000001"/>
    <x v="41"/>
  </r>
  <r>
    <n v="3366"/>
    <n v="113.33591699999999"/>
    <n v="22.94050296"/>
    <x v="41"/>
  </r>
  <r>
    <n v="3367"/>
    <n v="113.3353182"/>
    <n v="22.940296159999999"/>
    <x v="41"/>
  </r>
  <r>
    <n v="3368"/>
    <n v="113.3372517"/>
    <n v="22.93622332"/>
    <x v="41"/>
  </r>
  <r>
    <n v="3369"/>
    <n v="113.33545119999999"/>
    <n v="22.93553592"/>
    <x v="41"/>
  </r>
  <r>
    <n v="3370"/>
    <n v="113.3362217"/>
    <n v="22.935308599999999"/>
    <x v="41"/>
  </r>
  <r>
    <n v="3371"/>
    <n v="113.3356229"/>
    <n v="22.935119780000001"/>
    <x v="41"/>
  </r>
  <r>
    <n v="3372"/>
    <n v="113.3350011"/>
    <n v="22.93522089"/>
    <x v="41"/>
  </r>
  <r>
    <n v="3373"/>
    <n v="113.3356339"/>
    <n v="22.934942830000001"/>
    <x v="41"/>
  </r>
  <r>
    <n v="3374"/>
    <n v="113.3408956"/>
    <n v="22.936317689999999"/>
    <x v="41"/>
  </r>
  <r>
    <n v="3375"/>
    <n v="113.3353305"/>
    <n v="22.93473848"/>
    <x v="41"/>
  </r>
  <r>
    <n v="3376"/>
    <n v="113.3320727"/>
    <n v="22.93957752"/>
    <x v="41"/>
  </r>
  <r>
    <n v="3377"/>
    <n v="113.3355541"/>
    <n v="22.934435199999999"/>
    <x v="41"/>
  </r>
  <r>
    <n v="3378"/>
    <n v="113.3371709"/>
    <n v="22.934308269999999"/>
    <x v="41"/>
  </r>
  <r>
    <n v="3379"/>
    <n v="113.3349912"/>
    <n v="22.934470220000001"/>
    <x v="41"/>
  </r>
  <r>
    <n v="3380"/>
    <n v="113.3355092"/>
    <n v="22.934229370000001"/>
    <x v="41"/>
  </r>
  <r>
    <n v="3381"/>
    <n v="113.3411751"/>
    <n v="22.936232230000002"/>
    <x v="41"/>
  </r>
  <r>
    <n v="3382"/>
    <n v="113.3367099"/>
    <n v="22.933923279999998"/>
    <x v="41"/>
  </r>
  <r>
    <n v="3383"/>
    <n v="113.3332027"/>
    <n v="22.934811409999998"/>
    <x v="41"/>
  </r>
  <r>
    <n v="3384"/>
    <n v="113.34117070000001"/>
    <n v="22.941891850000001"/>
    <x v="41"/>
  </r>
  <r>
    <n v="3385"/>
    <n v="113.33278060000001"/>
    <n v="22.934244440000001"/>
    <x v="41"/>
  </r>
  <r>
    <n v="3386"/>
    <n v="113.341534"/>
    <n v="22.943228640000001"/>
    <x v="37"/>
  </r>
  <r>
    <n v="3387"/>
    <n v="113.3413145"/>
    <n v="22.941803629999999"/>
    <x v="41"/>
  </r>
  <r>
    <n v="3388"/>
    <n v="113.3322493"/>
    <n v="22.939632159999999"/>
    <x v="41"/>
  </r>
  <r>
    <n v="3389"/>
    <n v="113.34693230000001"/>
    <n v="22.94008663"/>
    <x v="37"/>
  </r>
  <r>
    <n v="3390"/>
    <n v="113.3484077"/>
    <n v="22.940477999999999"/>
    <x v="37"/>
  </r>
  <r>
    <n v="3391"/>
    <n v="113.3474047"/>
    <n v="22.937264030000001"/>
    <x v="37"/>
  </r>
  <r>
    <n v="3392"/>
    <n v="113.3478975"/>
    <n v="22.941132570000001"/>
    <x v="37"/>
  </r>
  <r>
    <n v="3393"/>
    <n v="113.3491594"/>
    <n v="22.940235869999999"/>
    <x v="37"/>
  </r>
  <r>
    <n v="3394"/>
    <n v="113.3485874"/>
    <n v="22.939504119999999"/>
    <x v="37"/>
  </r>
  <r>
    <n v="3395"/>
    <n v="113.3488261"/>
    <n v="22.938360209999999"/>
    <x v="37"/>
  </r>
  <r>
    <n v="3396"/>
    <n v="113.34452570000001"/>
    <n v="22.939121140000001"/>
    <x v="41"/>
  </r>
  <r>
    <n v="3397"/>
    <n v="113.3454132"/>
    <n v="22.937788179999998"/>
    <x v="41"/>
  </r>
  <r>
    <n v="3398"/>
    <n v="113.34458170000001"/>
    <n v="22.937627670000001"/>
    <x v="41"/>
  </r>
  <r>
    <n v="3399"/>
    <n v="113.3461918"/>
    <n v="22.937093149999999"/>
    <x v="41"/>
  </r>
  <r>
    <n v="3400"/>
    <n v="113.34961749999999"/>
    <n v="22.942403200000001"/>
    <x v="37"/>
  </r>
  <r>
    <n v="3401"/>
    <n v="113.3486255"/>
    <n v="22.937163049999999"/>
    <x v="42"/>
  </r>
  <r>
    <n v="3402"/>
    <n v="113.34405270000001"/>
    <n v="22.93686791"/>
    <x v="41"/>
  </r>
  <r>
    <n v="3403"/>
    <n v="113.3452206"/>
    <n v="22.93658302"/>
    <x v="41"/>
  </r>
  <r>
    <n v="3404"/>
    <n v="113.3489428"/>
    <n v="22.939790410000001"/>
    <x v="37"/>
  </r>
  <r>
    <n v="3405"/>
    <n v="113.3489448"/>
    <n v="22.939788409999998"/>
    <x v="37"/>
  </r>
  <r>
    <n v="3406"/>
    <n v="113.3482968"/>
    <n v="22.94098997"/>
    <x v="37"/>
  </r>
  <r>
    <n v="3407"/>
    <n v="113.3430216"/>
    <n v="22.936770750000001"/>
    <x v="41"/>
  </r>
  <r>
    <n v="3408"/>
    <n v="113.3482449"/>
    <n v="22.941390890000001"/>
    <x v="37"/>
  </r>
  <r>
    <n v="3409"/>
    <n v="113.3488392"/>
    <n v="22.936193100000001"/>
    <x v="42"/>
  </r>
  <r>
    <n v="3410"/>
    <n v="113.34458050000001"/>
    <n v="22.94047947"/>
    <x v="37"/>
  </r>
  <r>
    <n v="3411"/>
    <n v="113.3437593"/>
    <n v="22.936534559999998"/>
    <x v="41"/>
  </r>
  <r>
    <n v="3412"/>
    <n v="113.3436404"/>
    <n v="22.938372990000001"/>
    <x v="41"/>
  </r>
  <r>
    <n v="3413"/>
    <n v="113.3500607"/>
    <n v="22.94198166"/>
    <x v="37"/>
  </r>
  <r>
    <n v="3414"/>
    <n v="113.3489141"/>
    <n v="22.93571918"/>
    <x v="42"/>
  </r>
  <r>
    <n v="3415"/>
    <n v="113.3490376"/>
    <n v="22.940051149999999"/>
    <x v="37"/>
  </r>
  <r>
    <n v="3416"/>
    <n v="113.3490376"/>
    <n v="22.940051149999999"/>
    <x v="37"/>
  </r>
  <r>
    <n v="3417"/>
    <n v="113.3462633"/>
    <n v="22.942381789999999"/>
    <x v="37"/>
  </r>
  <r>
    <n v="3418"/>
    <n v="113.3484126"/>
    <n v="22.941868410000001"/>
    <x v="37"/>
  </r>
  <r>
    <n v="3419"/>
    <n v="113.3451159"/>
    <n v="22.93486892"/>
    <x v="41"/>
  </r>
  <r>
    <n v="3420"/>
    <n v="113.3471591"/>
    <n v="22.937036540000001"/>
    <x v="42"/>
  </r>
  <r>
    <n v="3421"/>
    <n v="113.34765489999999"/>
    <n v="22.942262499999998"/>
    <x v="37"/>
  </r>
  <r>
    <n v="3422"/>
    <n v="113.3486796"/>
    <n v="22.9339853"/>
    <x v="42"/>
  </r>
  <r>
    <n v="3423"/>
    <n v="113.3431011"/>
    <n v="22.942137339999999"/>
    <x v="37"/>
  </r>
  <r>
    <n v="3424"/>
    <n v="113.34982309999999"/>
    <n v="22.94242886"/>
    <x v="37"/>
  </r>
  <r>
    <n v="3425"/>
    <n v="113.3475656"/>
    <n v="22.933696269999999"/>
    <x v="42"/>
  </r>
  <r>
    <n v="3426"/>
    <n v="113.34713170000001"/>
    <n v="22.943352910000002"/>
    <x v="37"/>
  </r>
  <r>
    <n v="3427"/>
    <n v="113.3488084"/>
    <n v="22.933868140000001"/>
    <x v="42"/>
  </r>
  <r>
    <n v="3428"/>
    <n v="113.343671"/>
    <n v="22.942436220000001"/>
    <x v="37"/>
  </r>
  <r>
    <n v="3429"/>
    <n v="113.34354980000001"/>
    <n v="22.933916029999999"/>
    <x v="41"/>
  </r>
  <r>
    <n v="3430"/>
    <n v="113.3510016"/>
    <n v="22.934730210000001"/>
    <x v="42"/>
  </r>
  <r>
    <n v="3431"/>
    <n v="113.3505189"/>
    <n v="22.942277799999999"/>
    <x v="37"/>
  </r>
  <r>
    <n v="3432"/>
    <n v="113.3515306"/>
    <n v="22.936366679999999"/>
    <x v="42"/>
  </r>
  <r>
    <n v="3433"/>
    <n v="113.35060729999999"/>
    <n v="22.934132099999999"/>
    <x v="42"/>
  </r>
  <r>
    <n v="3434"/>
    <n v="113.35113939999999"/>
    <n v="22.934388139999999"/>
    <x v="42"/>
  </r>
  <r>
    <n v="3435"/>
    <n v="113.3424363"/>
    <n v="22.942623300000001"/>
    <x v="37"/>
  </r>
  <r>
    <n v="3436"/>
    <n v="113.351416"/>
    <n v="22.934284739999999"/>
    <x v="42"/>
  </r>
  <r>
    <n v="3437"/>
    <n v="113.3455421"/>
    <n v="22.935685849999999"/>
    <x v="41"/>
  </r>
  <r>
    <n v="3438"/>
    <n v="113.34398059999999"/>
    <n v="22.94128117"/>
    <x v="37"/>
  </r>
  <r>
    <n v="3439"/>
    <n v="113.3513205"/>
    <n v="22.943472010000001"/>
    <x v="37"/>
  </r>
  <r>
    <n v="3440"/>
    <n v="113.3453683"/>
    <n v="22.937208500000001"/>
    <x v="41"/>
  </r>
  <r>
    <n v="3441"/>
    <n v="113.3477479"/>
    <n v="22.938781819999999"/>
    <x v="37"/>
  </r>
  <r>
    <n v="3442"/>
    <n v="113.35134290000001"/>
    <n v="22.936438949999999"/>
    <x v="42"/>
  </r>
  <r>
    <n v="3443"/>
    <n v="113.34548719999999"/>
    <n v="22.935923840000001"/>
    <x v="41"/>
  </r>
  <r>
    <n v="3444"/>
    <n v="113.3510386"/>
    <n v="22.934742150000002"/>
    <x v="42"/>
  </r>
  <r>
    <n v="3445"/>
    <n v="113.3443139"/>
    <n v="22.942271170000001"/>
    <x v="37"/>
  </r>
  <r>
    <n v="3446"/>
    <n v="113.3485752"/>
    <n v="22.94349545"/>
    <x v="37"/>
  </r>
  <r>
    <n v="3447"/>
    <n v="113.34642700000001"/>
    <n v="22.943604990000001"/>
    <x v="37"/>
  </r>
  <r>
    <n v="3448"/>
    <n v="113.3566253"/>
    <n v="22.938457020000001"/>
    <x v="39"/>
  </r>
  <r>
    <n v="3449"/>
    <n v="113.3560123"/>
    <n v="22.938510900000001"/>
    <x v="39"/>
  </r>
  <r>
    <n v="3450"/>
    <n v="113.3580722"/>
    <n v="22.938299990000001"/>
    <x v="39"/>
  </r>
  <r>
    <n v="3451"/>
    <n v="113.3576618"/>
    <n v="22.938526490000001"/>
    <x v="39"/>
  </r>
  <r>
    <n v="3452"/>
    <n v="113.3554072"/>
    <n v="22.93892662"/>
    <x v="39"/>
  </r>
  <r>
    <n v="3453"/>
    <n v="113.35896459999999"/>
    <n v="22.942497960000001"/>
    <x v="39"/>
  </r>
  <r>
    <n v="3454"/>
    <n v="113.3551975"/>
    <n v="22.939217809999999"/>
    <x v="39"/>
  </r>
  <r>
    <n v="3455"/>
    <n v="113.35535419999999"/>
    <n v="22.93985631"/>
    <x v="39"/>
  </r>
  <r>
    <n v="3456"/>
    <n v="113.3586244"/>
    <n v="22.938476139999999"/>
    <x v="39"/>
  </r>
  <r>
    <n v="3457"/>
    <n v="113.3579974"/>
    <n v="22.937182570000001"/>
    <x v="39"/>
  </r>
  <r>
    <n v="3458"/>
    <n v="113.3580103"/>
    <n v="22.93729351"/>
    <x v="39"/>
  </r>
  <r>
    <n v="3459"/>
    <n v="113.35515650000001"/>
    <n v="22.939816619999998"/>
    <x v="39"/>
  </r>
  <r>
    <n v="3460"/>
    <n v="113.35645839999999"/>
    <n v="22.941255080000001"/>
    <x v="39"/>
  </r>
  <r>
    <n v="3461"/>
    <n v="113.3573614"/>
    <n v="22.936081949999998"/>
    <x v="42"/>
  </r>
  <r>
    <n v="3462"/>
    <n v="113.35594020000001"/>
    <n v="22.941453760000002"/>
    <x v="39"/>
  </r>
  <r>
    <n v="3463"/>
    <n v="113.35510050000001"/>
    <n v="22.940852270000001"/>
    <x v="39"/>
  </r>
  <r>
    <n v="3464"/>
    <n v="113.3557794"/>
    <n v="22.942135709999999"/>
    <x v="39"/>
  </r>
  <r>
    <n v="3465"/>
    <n v="113.3555922"/>
    <n v="22.934366270000002"/>
    <x v="42"/>
  </r>
  <r>
    <n v="3466"/>
    <n v="113.3569995"/>
    <n v="22.941950989999999"/>
    <x v="39"/>
  </r>
  <r>
    <n v="3467"/>
    <n v="113.3574079"/>
    <n v="22.942077350000002"/>
    <x v="39"/>
  </r>
  <r>
    <n v="3468"/>
    <n v="113.3598707"/>
    <n v="22.936073409999999"/>
    <x v="40"/>
  </r>
  <r>
    <n v="3469"/>
    <n v="113.35451639999999"/>
    <n v="22.94160583"/>
    <x v="39"/>
  </r>
  <r>
    <n v="3470"/>
    <n v="113.3521404"/>
    <n v="22.939366450000001"/>
    <x v="37"/>
  </r>
  <r>
    <n v="3471"/>
    <n v="113.3526339"/>
    <n v="22.934612680000001"/>
    <x v="42"/>
  </r>
  <r>
    <n v="3472"/>
    <n v="113.3560325"/>
    <n v="22.934273659999999"/>
    <x v="42"/>
  </r>
  <r>
    <n v="3473"/>
    <n v="113.35687799999999"/>
    <n v="22.9371562"/>
    <x v="39"/>
  </r>
  <r>
    <n v="3474"/>
    <n v="113.3599052"/>
    <n v="22.942231759999999"/>
    <x v="39"/>
  </r>
  <r>
    <n v="3475"/>
    <n v="113.3554874"/>
    <n v="22.933787670000001"/>
    <x v="42"/>
  </r>
  <r>
    <n v="3476"/>
    <n v="113.35857540000001"/>
    <n v="22.9384902"/>
    <x v="39"/>
  </r>
  <r>
    <n v="3477"/>
    <n v="113.35472"/>
    <n v="22.942799019999999"/>
    <x v="39"/>
  </r>
  <r>
    <n v="3478"/>
    <n v="113.35841240000001"/>
    <n v="22.942217849999999"/>
    <x v="39"/>
  </r>
  <r>
    <n v="3479"/>
    <n v="113.3596336"/>
    <n v="22.942830879999999"/>
    <x v="39"/>
  </r>
  <r>
    <n v="3480"/>
    <n v="113.35841240000001"/>
    <n v="22.942217849999999"/>
    <x v="39"/>
  </r>
  <r>
    <n v="3481"/>
    <n v="113.3596336"/>
    <n v="22.942830879999999"/>
    <x v="39"/>
  </r>
  <r>
    <n v="3482"/>
    <n v="113.3599052"/>
    <n v="22.942231759999999"/>
    <x v="39"/>
  </r>
  <r>
    <n v="3483"/>
    <n v="113.3545963"/>
    <n v="22.941615710000001"/>
    <x v="39"/>
  </r>
  <r>
    <n v="3484"/>
    <n v="113.35301080000001"/>
    <n v="22.941778070000002"/>
    <x v="39"/>
  </r>
  <r>
    <n v="3485"/>
    <n v="113.3609718"/>
    <n v="22.94200141"/>
    <x v="39"/>
  </r>
  <r>
    <n v="3486"/>
    <n v="113.35224959999999"/>
    <n v="22.93439038"/>
    <x v="42"/>
  </r>
  <r>
    <n v="3487"/>
    <n v="113.3564463"/>
    <n v="22.943529130000002"/>
    <x v="39"/>
  </r>
  <r>
    <n v="3488"/>
    <n v="113.3517732"/>
    <n v="22.936881079999999"/>
    <x v="42"/>
  </r>
  <r>
    <n v="3489"/>
    <n v="113.3542927"/>
    <n v="22.942547770000001"/>
    <x v="39"/>
  </r>
  <r>
    <n v="3490"/>
    <n v="113.3573839"/>
    <n v="22.94341382"/>
    <x v="39"/>
  </r>
  <r>
    <n v="3491"/>
    <n v="113.35944689999999"/>
    <n v="22.942368340000002"/>
    <x v="39"/>
  </r>
  <r>
    <n v="3492"/>
    <n v="113.3614165"/>
    <n v="22.936251240000001"/>
    <x v="40"/>
  </r>
  <r>
    <n v="3493"/>
    <n v="113.3614705"/>
    <n v="22.935657419999998"/>
    <x v="40"/>
  </r>
  <r>
    <n v="3494"/>
    <n v="113.35555170000001"/>
    <n v="22.943172610000001"/>
    <x v="39"/>
  </r>
  <r>
    <n v="3495"/>
    <n v="113.3599052"/>
    <n v="22.942231759999999"/>
    <x v="39"/>
  </r>
  <r>
    <n v="3496"/>
    <n v="113.3526952"/>
    <n v="22.943221950000002"/>
    <x v="39"/>
  </r>
  <r>
    <n v="3497"/>
    <n v="113.360038"/>
    <n v="22.9433501"/>
    <x v="39"/>
  </r>
  <r>
    <n v="3498"/>
    <n v="113.3608095"/>
    <n v="22.934700710000001"/>
    <x v="40"/>
  </r>
  <r>
    <n v="3499"/>
    <n v="113.360061"/>
    <n v="22.94219756"/>
    <x v="39"/>
  </r>
  <r>
    <n v="3500"/>
    <n v="113.3585537"/>
    <n v="22.934845769999999"/>
    <x v="42"/>
  </r>
  <r>
    <n v="3501"/>
    <n v="113.3585874"/>
    <n v="22.938490179999999"/>
    <x v="39"/>
  </r>
  <r>
    <n v="3502"/>
    <n v="113.3527048"/>
    <n v="22.934214740000002"/>
    <x v="42"/>
  </r>
  <r>
    <n v="3503"/>
    <n v="113.3600936"/>
    <n v="22.933751090000001"/>
    <x v="40"/>
  </r>
  <r>
    <n v="3504"/>
    <n v="113.35299310000001"/>
    <n v="22.93790474"/>
    <x v="42"/>
  </r>
  <r>
    <n v="3505"/>
    <n v="113.3520639"/>
    <n v="22.934381680000001"/>
    <x v="42"/>
  </r>
  <r>
    <n v="3506"/>
    <n v="113.3601328"/>
    <n v="22.943636850000001"/>
    <x v="39"/>
  </r>
  <r>
    <n v="3507"/>
    <n v="113.35200639999999"/>
    <n v="22.942783210000002"/>
    <x v="37"/>
  </r>
  <r>
    <n v="3508"/>
    <n v="113.3549629"/>
    <n v="22.938237579999999"/>
    <x v="39"/>
  </r>
  <r>
    <n v="3509"/>
    <n v="113.360057"/>
    <n v="22.94309719"/>
    <x v="39"/>
  </r>
  <r>
    <n v="3510"/>
    <n v="113.36145140000001"/>
    <n v="22.938044439999999"/>
    <x v="40"/>
  </r>
  <r>
    <n v="3511"/>
    <n v="113.35167490000001"/>
    <n v="22.942925679999998"/>
    <x v="37"/>
  </r>
  <r>
    <n v="3512"/>
    <n v="113.35695459999999"/>
    <n v="22.941926070000001"/>
    <x v="39"/>
  </r>
  <r>
    <n v="3513"/>
    <n v="113.35303500000001"/>
    <n v="22.938012619999999"/>
    <x v="42"/>
  </r>
  <r>
    <n v="3514"/>
    <n v="113.35251"/>
    <n v="22.936682009999998"/>
    <x v="42"/>
  </r>
  <r>
    <n v="3515"/>
    <n v="113.3559612"/>
    <n v="22.941299789999999"/>
    <x v="39"/>
  </r>
  <r>
    <n v="3516"/>
    <n v="113.36029360000001"/>
    <n v="22.943620639999999"/>
    <x v="39"/>
  </r>
  <r>
    <n v="3517"/>
    <n v="113.3582646"/>
    <n v="22.942247049999999"/>
    <x v="39"/>
  </r>
  <r>
    <n v="3518"/>
    <n v="113.3567189"/>
    <n v="22.942568139999999"/>
    <x v="39"/>
  </r>
  <r>
    <n v="3519"/>
    <n v="113.3522007"/>
    <n v="22.934375459999998"/>
    <x v="42"/>
  </r>
  <r>
    <n v="3520"/>
    <n v="113.35243629999999"/>
    <n v="22.934156189999999"/>
    <x v="42"/>
  </r>
  <r>
    <n v="3521"/>
    <n v="113.35770979999999"/>
    <n v="22.93728694"/>
    <x v="39"/>
  </r>
  <r>
    <n v="3522"/>
    <n v="113.3567169"/>
    <n v="22.942542159999999"/>
    <x v="39"/>
  </r>
  <r>
    <n v="3523"/>
    <n v="113.36010090000001"/>
    <n v="22.94310312"/>
    <x v="39"/>
  </r>
  <r>
    <n v="3524"/>
    <n v="113.3565183"/>
    <n v="22.94210163"/>
    <x v="39"/>
  </r>
  <r>
    <n v="3525"/>
    <n v="113.3561923"/>
    <n v="22.934274420000001"/>
    <x v="42"/>
  </r>
  <r>
    <n v="3526"/>
    <n v="113.36016979999999"/>
    <n v="22.94362881"/>
    <x v="39"/>
  </r>
  <r>
    <n v="3527"/>
    <n v="113.354726"/>
    <n v="22.942775019999999"/>
    <x v="39"/>
  </r>
  <r>
    <n v="3528"/>
    <n v="113.36042209999999"/>
    <n v="22.933751640000001"/>
    <x v="40"/>
  </r>
  <r>
    <n v="3529"/>
    <n v="113.3575786"/>
    <n v="22.94224303"/>
    <x v="39"/>
  </r>
  <r>
    <n v="3530"/>
    <n v="113.3554578"/>
    <n v="22.943437639999999"/>
    <x v="39"/>
  </r>
  <r>
    <n v="3531"/>
    <n v="113.3613295"/>
    <n v="22.938378459999999"/>
    <x v="40"/>
  </r>
  <r>
    <n v="3532"/>
    <n v="113.3586693"/>
    <n v="22.938539049999999"/>
    <x v="39"/>
  </r>
  <r>
    <n v="3533"/>
    <n v="113.3613618"/>
    <n v="22.933678400000002"/>
    <x v="40"/>
  </r>
  <r>
    <n v="3534"/>
    <n v="113.3526038"/>
    <n v="22.936710850000001"/>
    <x v="42"/>
  </r>
  <r>
    <n v="3535"/>
    <n v="113.3564233"/>
    <n v="22.943541159999999"/>
    <x v="39"/>
  </r>
  <r>
    <n v="3536"/>
    <n v="113.35842340000001"/>
    <n v="22.942396760000001"/>
    <x v="39"/>
  </r>
  <r>
    <n v="3537"/>
    <n v="113.3607281"/>
    <n v="22.94197475"/>
    <x v="39"/>
  </r>
  <r>
    <n v="3538"/>
    <n v="113.36014489999999"/>
    <n v="22.94226342"/>
    <x v="39"/>
  </r>
  <r>
    <n v="3539"/>
    <n v="113.3573899"/>
    <n v="22.94336783"/>
    <x v="39"/>
  </r>
  <r>
    <n v="3540"/>
    <n v="113.3664508"/>
    <n v="22.939007749999998"/>
    <x v="40"/>
  </r>
  <r>
    <n v="3541"/>
    <n v="113.3663639"/>
    <n v="22.938812930000001"/>
    <x v="40"/>
  </r>
  <r>
    <n v="3542"/>
    <n v="113.3695092"/>
    <n v="22.940733560000002"/>
    <x v="40"/>
  </r>
  <r>
    <n v="3543"/>
    <n v="113.3632439"/>
    <n v="22.939379540000001"/>
    <x v="40"/>
  </r>
  <r>
    <n v="3544"/>
    <n v="113.3651155"/>
    <n v="22.938257669999999"/>
    <x v="40"/>
  </r>
  <r>
    <n v="3545"/>
    <n v="113.3651255"/>
    <n v="22.938800430000001"/>
    <x v="40"/>
  </r>
  <r>
    <n v="3546"/>
    <n v="113.36589069999999"/>
    <n v="22.93683833"/>
    <x v="40"/>
  </r>
  <r>
    <n v="3547"/>
    <n v="113.3678002"/>
    <n v="22.938785280000001"/>
    <x v="40"/>
  </r>
  <r>
    <n v="3548"/>
    <n v="113.3677752"/>
    <n v="22.93921813"/>
    <x v="40"/>
  </r>
  <r>
    <n v="3549"/>
    <n v="113.3666985"/>
    <n v="22.939406290000001"/>
    <x v="40"/>
  </r>
  <r>
    <n v="3550"/>
    <n v="113.367125"/>
    <n v="22.939855600000001"/>
    <x v="40"/>
  </r>
  <r>
    <n v="3551"/>
    <n v="113.36539209999999"/>
    <n v="22.939583769999999"/>
    <x v="40"/>
  </r>
  <r>
    <n v="3552"/>
    <n v="113.3655919"/>
    <n v="22.938126149999999"/>
    <x v="40"/>
  </r>
  <r>
    <n v="3553"/>
    <n v="113.3655718"/>
    <n v="22.93997139"/>
    <x v="40"/>
  </r>
  <r>
    <n v="3554"/>
    <n v="113.3653461"/>
    <n v="22.940174580000001"/>
    <x v="40"/>
  </r>
  <r>
    <n v="3555"/>
    <n v="113.36367629999999"/>
    <n v="22.938699270000001"/>
    <x v="40"/>
  </r>
  <r>
    <n v="3556"/>
    <n v="113.36614609999999"/>
    <n v="22.940495479999999"/>
    <x v="40"/>
  </r>
  <r>
    <n v="3557"/>
    <n v="113.3703491"/>
    <n v="22.942931739999999"/>
    <x v="40"/>
  </r>
  <r>
    <n v="3558"/>
    <n v="113.3645013"/>
    <n v="22.938723230000001"/>
    <x v="40"/>
  </r>
  <r>
    <n v="3559"/>
    <n v="113.3667853"/>
    <n v="22.94083758"/>
    <x v="40"/>
  </r>
  <r>
    <n v="3560"/>
    <n v="113.3689737"/>
    <n v="22.941808689999998"/>
    <x v="40"/>
  </r>
  <r>
    <n v="3561"/>
    <n v="113.36475609999999"/>
    <n v="22.93696066"/>
    <x v="40"/>
  </r>
  <r>
    <n v="3562"/>
    <n v="113.3685933"/>
    <n v="22.939252190000001"/>
    <x v="40"/>
  </r>
  <r>
    <n v="3563"/>
    <n v="113.3668065"/>
    <n v="22.937375020000001"/>
    <x v="40"/>
  </r>
  <r>
    <n v="3564"/>
    <n v="113.3696841"/>
    <n v="22.938635260000002"/>
    <x v="40"/>
  </r>
  <r>
    <n v="3565"/>
    <n v="113.3674015"/>
    <n v="22.94140363"/>
    <x v="40"/>
  </r>
  <r>
    <n v="3566"/>
    <n v="113.36260470000001"/>
    <n v="22.939367359999999"/>
    <x v="40"/>
  </r>
  <r>
    <n v="3567"/>
    <n v="113.3663272"/>
    <n v="22.935855230000001"/>
    <x v="40"/>
  </r>
  <r>
    <n v="3568"/>
    <n v="113.3646779"/>
    <n v="22.940859110000002"/>
    <x v="40"/>
  </r>
  <r>
    <n v="3569"/>
    <n v="113.3645054"/>
    <n v="22.936185300000002"/>
    <x v="40"/>
  </r>
  <r>
    <n v="3570"/>
    <n v="113.36545529999999"/>
    <n v="22.935555399999998"/>
    <x v="40"/>
  </r>
  <r>
    <n v="3571"/>
    <n v="113.3663921"/>
    <n v="22.93534537"/>
    <x v="40"/>
  </r>
  <r>
    <n v="3572"/>
    <n v="113.36345780000001"/>
    <n v="22.93600769"/>
    <x v="40"/>
  </r>
  <r>
    <n v="3573"/>
    <n v="113.36372849999999"/>
    <n v="22.93538161"/>
    <x v="40"/>
  </r>
  <r>
    <n v="3574"/>
    <n v="113.362421"/>
    <n v="22.938939779999998"/>
    <x v="40"/>
  </r>
  <r>
    <n v="3575"/>
    <n v="113.36651999999999"/>
    <n v="22.934547550000001"/>
    <x v="40"/>
  </r>
  <r>
    <n v="3576"/>
    <n v="113.3653652"/>
    <n v="22.937750579999999"/>
    <x v="40"/>
  </r>
  <r>
    <n v="3577"/>
    <n v="113.3631652"/>
    <n v="22.935967080000001"/>
    <x v="40"/>
  </r>
  <r>
    <n v="3578"/>
    <n v="113.3690596"/>
    <n v="22.941601689999999"/>
    <x v="40"/>
  </r>
  <r>
    <n v="3579"/>
    <n v="113.3647722"/>
    <n v="22.93461563"/>
    <x v="40"/>
  </r>
  <r>
    <n v="3580"/>
    <n v="113.36706890000001"/>
    <n v="22.941816840000001"/>
    <x v="40"/>
  </r>
  <r>
    <n v="3581"/>
    <n v="113.3701397"/>
    <n v="22.937840120000001"/>
    <x v="40"/>
  </r>
  <r>
    <n v="3582"/>
    <n v="113.37108569999999"/>
    <n v="22.938599809999999"/>
    <x v="40"/>
  </r>
  <r>
    <n v="3583"/>
    <n v="113.3689567"/>
    <n v="22.941713750000002"/>
    <x v="40"/>
  </r>
  <r>
    <n v="3584"/>
    <n v="113.3715131"/>
    <n v="22.940428600000001"/>
    <x v="40"/>
  </r>
  <r>
    <n v="3585"/>
    <n v="113.3642613"/>
    <n v="22.94278581"/>
    <x v="40"/>
  </r>
  <r>
    <n v="3586"/>
    <n v="113.3668407"/>
    <n v="22.934014399999999"/>
    <x v="40"/>
  </r>
  <r>
    <n v="3587"/>
    <n v="113.36601709999999"/>
    <n v="22.943161499999999"/>
    <x v="40"/>
  </r>
  <r>
    <n v="3588"/>
    <n v="113.36601210000001"/>
    <n v="22.943161509999999"/>
    <x v="40"/>
  </r>
  <r>
    <n v="3589"/>
    <n v="113.3710925"/>
    <n v="22.940605949999998"/>
    <x v="40"/>
  </r>
  <r>
    <n v="3590"/>
    <n v="113.3662673"/>
    <n v="22.93506863"/>
    <x v="40"/>
  </r>
  <r>
    <n v="3591"/>
    <n v="113.3635195"/>
    <n v="22.939180270000001"/>
    <x v="40"/>
  </r>
  <r>
    <n v="3592"/>
    <n v="113.36683170000001"/>
    <n v="22.93384648"/>
    <x v="40"/>
  </r>
  <r>
    <n v="3593"/>
    <n v="113.3626814"/>
    <n v="22.942287029999999"/>
    <x v="39"/>
  </r>
  <r>
    <n v="3594"/>
    <n v="113.3709056"/>
    <n v="22.94156774"/>
    <x v="40"/>
  </r>
  <r>
    <n v="3595"/>
    <n v="113.3656569"/>
    <n v="22.937770220000001"/>
    <x v="40"/>
  </r>
  <r>
    <n v="3596"/>
    <n v="113.3663248"/>
    <n v="22.941556819999999"/>
    <x v="40"/>
  </r>
  <r>
    <n v="3597"/>
    <n v="113.3621665"/>
    <n v="22.936043340000001"/>
    <x v="40"/>
  </r>
  <r>
    <n v="3598"/>
    <n v="113.3646079"/>
    <n v="22.942225610000001"/>
    <x v="40"/>
  </r>
  <r>
    <n v="3599"/>
    <n v="113.3642389"/>
    <n v="22.93489417"/>
    <x v="40"/>
  </r>
  <r>
    <n v="3600"/>
    <n v="113.36191770000001"/>
    <n v="22.93789688"/>
    <x v="40"/>
  </r>
  <r>
    <n v="3601"/>
    <n v="113.3711983"/>
    <n v="22.941608420000001"/>
    <x v="40"/>
  </r>
  <r>
    <n v="3602"/>
    <n v="113.3707098"/>
    <n v="22.942211669999999"/>
    <x v="40"/>
  </r>
  <r>
    <n v="3603"/>
    <n v="113.3690505"/>
    <n v="22.94335895"/>
    <x v="40"/>
  </r>
  <r>
    <n v="3604"/>
    <n v="113.36411560000001"/>
    <n v="22.94058892"/>
    <x v="40"/>
  </r>
  <r>
    <n v="3605"/>
    <n v="113.3646272"/>
    <n v="22.93731867"/>
    <x v="40"/>
  </r>
  <r>
    <n v="3606"/>
    <n v="113.3618006"/>
    <n v="22.941825380000001"/>
    <x v="39"/>
  </r>
  <r>
    <n v="3607"/>
    <n v="113.36431229999999"/>
    <n v="22.942492869999999"/>
    <x v="40"/>
  </r>
  <r>
    <n v="3608"/>
    <n v="113.3662937"/>
    <n v="22.943177169999998"/>
    <x v="40"/>
  </r>
  <r>
    <n v="3609"/>
    <n v="113.3639177"/>
    <n v="22.94305013"/>
    <x v="40"/>
  </r>
  <r>
    <n v="3610"/>
    <n v="113.3634548"/>
    <n v="22.935494909999999"/>
    <x v="40"/>
  </r>
  <r>
    <n v="3611"/>
    <n v="113.3634169"/>
    <n v="22.93507713"/>
    <x v="40"/>
  </r>
  <r>
    <n v="3612"/>
    <n v="113.36302019999999"/>
    <n v="22.937995409999999"/>
    <x v="40"/>
  </r>
  <r>
    <n v="3613"/>
    <n v="113.3636103"/>
    <n v="22.94060455"/>
    <x v="40"/>
  </r>
  <r>
    <n v="3614"/>
    <n v="113.36184110000001"/>
    <n v="22.933980640000001"/>
    <x v="40"/>
  </r>
  <r>
    <n v="3615"/>
    <n v="113.36783509999999"/>
    <n v="22.9403136"/>
    <x v="40"/>
  </r>
  <r>
    <n v="3616"/>
    <n v="113.3660821"/>
    <n v="22.941659059999999"/>
    <x v="40"/>
  </r>
  <r>
    <n v="3617"/>
    <n v="113.36272030000001"/>
    <n v="22.943188599999999"/>
    <x v="39"/>
  </r>
  <r>
    <n v="3618"/>
    <n v="113.3629455"/>
    <n v="22.936202260000002"/>
    <x v="40"/>
  </r>
  <r>
    <n v="3619"/>
    <n v="113.36511969999999"/>
    <n v="22.93618854"/>
    <x v="40"/>
  </r>
  <r>
    <n v="3620"/>
    <n v="113.3646469"/>
    <n v="22.940824159999998"/>
    <x v="40"/>
  </r>
  <r>
    <n v="3621"/>
    <n v="113.3618101"/>
    <n v="22.93517318"/>
    <x v="40"/>
  </r>
  <r>
    <n v="3622"/>
    <n v="113.3688439"/>
    <n v="22.941570939999998"/>
    <x v="40"/>
  </r>
  <r>
    <n v="3623"/>
    <n v="113.3677541"/>
    <n v="22.941381239999998"/>
    <x v="40"/>
  </r>
  <r>
    <n v="3624"/>
    <n v="113.3650877"/>
    <n v="22.93606763"/>
    <x v="40"/>
  </r>
  <r>
    <n v="3625"/>
    <n v="113.36626889999999"/>
    <n v="22.9410591"/>
    <x v="40"/>
  </r>
  <r>
    <n v="3626"/>
    <n v="113.363174"/>
    <n v="22.938001209999999"/>
    <x v="40"/>
  </r>
  <r>
    <n v="3627"/>
    <n v="113.364929"/>
    <n v="22.934551460000002"/>
    <x v="40"/>
  </r>
  <r>
    <n v="3628"/>
    <n v="113.3630873"/>
    <n v="22.93627305"/>
    <x v="40"/>
  </r>
  <r>
    <n v="3629"/>
    <n v="113.3662719"/>
    <n v="22.941701819999999"/>
    <x v="40"/>
  </r>
  <r>
    <n v="3630"/>
    <n v="113.36347379999999"/>
    <n v="22.93526898"/>
    <x v="40"/>
  </r>
  <r>
    <n v="3631"/>
    <n v="113.3648635"/>
    <n v="22.942906010000002"/>
    <x v="40"/>
  </r>
  <r>
    <n v="3632"/>
    <n v="113.3652455"/>
    <n v="22.936044450000001"/>
    <x v="40"/>
  </r>
  <r>
    <n v="3633"/>
    <n v="113.3636372"/>
    <n v="22.940635499999999"/>
    <x v="40"/>
  </r>
  <r>
    <n v="3634"/>
    <n v="113.3634438"/>
    <n v="22.936205619999999"/>
    <x v="40"/>
  </r>
  <r>
    <n v="3635"/>
    <n v="113.3651606"/>
    <n v="22.93661431"/>
    <x v="40"/>
  </r>
  <r>
    <n v="3636"/>
    <n v="113.3617461"/>
    <n v="22.935287209999998"/>
    <x v="40"/>
  </r>
  <r>
    <n v="3637"/>
    <n v="113.36706890000001"/>
    <n v="22.941816840000001"/>
    <x v="40"/>
  </r>
  <r>
    <n v="3638"/>
    <n v="113.36608750000001"/>
    <n v="22.93579454"/>
    <x v="40"/>
  </r>
  <r>
    <n v="3639"/>
    <n v="113.3625837"/>
    <n v="22.94009308"/>
    <x v="40"/>
  </r>
  <r>
    <n v="3640"/>
    <n v="113.3710217"/>
    <n v="22.938844769999999"/>
    <x v="40"/>
  </r>
  <r>
    <n v="3641"/>
    <n v="113.3664677"/>
    <n v="22.941041869999999"/>
    <x v="40"/>
  </r>
  <r>
    <n v="3642"/>
    <n v="113.3627113"/>
    <n v="22.943189610000001"/>
    <x v="39"/>
  </r>
  <r>
    <n v="3643"/>
    <n v="113.3618565"/>
    <n v="22.941833299999999"/>
    <x v="39"/>
  </r>
  <r>
    <n v="3644"/>
    <n v="113.3638978"/>
    <n v="22.942853230000001"/>
    <x v="40"/>
  </r>
  <r>
    <n v="3645"/>
    <n v="113.3647277"/>
    <n v="22.942460369999999"/>
    <x v="40"/>
  </r>
  <r>
    <n v="3646"/>
    <n v="113.3695075"/>
    <n v="22.935764670000001"/>
    <x v="40"/>
  </r>
  <r>
    <n v="3647"/>
    <n v="113.3619913"/>
    <n v="22.942626789999998"/>
    <x v="39"/>
  </r>
  <r>
    <n v="3648"/>
    <n v="113.36500770000001"/>
    <n v="22.937116280000001"/>
    <x v="40"/>
  </r>
  <r>
    <n v="3649"/>
    <n v="113.36381249999999"/>
    <n v="22.933685220000001"/>
    <x v="40"/>
  </r>
  <r>
    <n v="3650"/>
    <n v="113.36271139999999"/>
    <n v="22.94242393"/>
    <x v="39"/>
  </r>
  <r>
    <n v="3651"/>
    <n v="113.367734"/>
    <n v="22.94356333"/>
    <x v="40"/>
  </r>
  <r>
    <n v="3652"/>
    <n v="113.36571739999999"/>
    <n v="22.943155869999998"/>
    <x v="40"/>
  </r>
  <r>
    <n v="3653"/>
    <n v="113.3657903"/>
    <n v="22.943171769999999"/>
    <x v="40"/>
  </r>
  <r>
    <n v="3654"/>
    <n v="113.3777218"/>
    <n v="22.93644171"/>
    <x v="43"/>
  </r>
  <r>
    <n v="3655"/>
    <n v="113.3760169"/>
    <n v="22.94074728"/>
    <x v="43"/>
  </r>
  <r>
    <n v="3656"/>
    <n v="113.3780288"/>
    <n v="22.934066470000001"/>
    <x v="43"/>
  </r>
  <r>
    <n v="3657"/>
    <n v="113.3740209"/>
    <n v="22.937761309999999"/>
    <x v="43"/>
  </r>
  <r>
    <n v="3658"/>
    <n v="113.37592220000001"/>
    <n v="22.93725783"/>
    <x v="43"/>
  </r>
  <r>
    <n v="3659"/>
    <n v="113.3746373"/>
    <n v="22.938536419999998"/>
    <x v="43"/>
  </r>
  <r>
    <n v="3660"/>
    <n v="113.3764429"/>
    <n v="22.936447739999998"/>
    <x v="43"/>
  </r>
  <r>
    <n v="3661"/>
    <n v="113.37731410000001"/>
    <n v="22.93789542"/>
    <x v="43"/>
  </r>
  <r>
    <n v="3662"/>
    <n v="113.374813"/>
    <n v="22.940558410000001"/>
    <x v="43"/>
  </r>
  <r>
    <n v="3663"/>
    <n v="113.3762538"/>
    <n v="22.93960556"/>
    <x v="43"/>
  </r>
  <r>
    <n v="3664"/>
    <n v="113.3799542"/>
    <n v="22.93730669"/>
    <x v="43"/>
  </r>
  <r>
    <n v="3665"/>
    <n v="113.37417170000001"/>
    <n v="22.937499280000001"/>
    <x v="43"/>
  </r>
  <r>
    <n v="3666"/>
    <n v="113.3777667"/>
    <n v="22.9373243"/>
    <x v="43"/>
  </r>
  <r>
    <n v="3667"/>
    <n v="113.3762107"/>
    <n v="22.941280890000002"/>
    <x v="33"/>
  </r>
  <r>
    <n v="3668"/>
    <n v="113.3736971"/>
    <n v="22.93879317"/>
    <x v="40"/>
  </r>
  <r>
    <n v="3669"/>
    <n v="113.3741727"/>
    <n v="22.938018060000001"/>
    <x v="43"/>
  </r>
  <r>
    <n v="3670"/>
    <n v="113.37584699999999"/>
    <n v="22.941728009999999"/>
    <x v="33"/>
  </r>
  <r>
    <n v="3671"/>
    <n v="113.3776289"/>
    <n v="22.936348819999999"/>
    <x v="43"/>
  </r>
  <r>
    <n v="3672"/>
    <n v="113.3777128"/>
    <n v="22.937668200000001"/>
    <x v="43"/>
  </r>
  <r>
    <n v="3673"/>
    <n v="113.37715729999999"/>
    <n v="22.93559651"/>
    <x v="43"/>
  </r>
  <r>
    <n v="3674"/>
    <n v="113.3734973"/>
    <n v="22.938569449999999"/>
    <x v="40"/>
  </r>
  <r>
    <n v="3675"/>
    <n v="113.3738371"/>
    <n v="22.93664695"/>
    <x v="43"/>
  </r>
  <r>
    <n v="3676"/>
    <n v="113.37626160000001"/>
    <n v="22.942970129999999"/>
    <x v="33"/>
  </r>
  <r>
    <n v="3677"/>
    <n v="113.3734006"/>
    <n v="22.93531192"/>
    <x v="43"/>
  </r>
  <r>
    <n v="3678"/>
    <n v="113.3799222"/>
    <n v="22.936852900000002"/>
    <x v="43"/>
  </r>
  <r>
    <n v="3679"/>
    <n v="113.37714440000001"/>
    <n v="22.93506575"/>
    <x v="43"/>
  </r>
  <r>
    <n v="3680"/>
    <n v="113.3801792"/>
    <n v="22.935215410000001"/>
    <x v="43"/>
  </r>
  <r>
    <n v="3681"/>
    <n v="113.3800112"/>
    <n v="22.936610940000001"/>
    <x v="43"/>
  </r>
  <r>
    <n v="3682"/>
    <n v="113.3781371"/>
    <n v="22.94257979"/>
    <x v="33"/>
  </r>
  <r>
    <n v="3683"/>
    <n v="113.3770574"/>
    <n v="22.935232750000001"/>
    <x v="43"/>
  </r>
  <r>
    <n v="3684"/>
    <n v="113.3749572"/>
    <n v="22.935537400000001"/>
    <x v="43"/>
  </r>
  <r>
    <n v="3685"/>
    <n v="113.3732814"/>
    <n v="22.939259360000001"/>
    <x v="40"/>
  </r>
  <r>
    <n v="3686"/>
    <n v="113.38036169999999"/>
    <n v="22.940075230000001"/>
    <x v="43"/>
  </r>
  <r>
    <n v="3687"/>
    <n v="113.3747918"/>
    <n v="22.943344239999998"/>
    <x v="33"/>
  </r>
  <r>
    <n v="3688"/>
    <n v="113.3797974"/>
    <n v="22.935927379999999"/>
    <x v="43"/>
  </r>
  <r>
    <n v="3689"/>
    <n v="113.3797974"/>
    <n v="22.935927379999999"/>
    <x v="43"/>
  </r>
  <r>
    <n v="3690"/>
    <n v="113.37383320000001"/>
    <n v="22.934986649999999"/>
    <x v="43"/>
  </r>
  <r>
    <n v="3691"/>
    <n v="113.3799901"/>
    <n v="22.937818440000001"/>
    <x v="43"/>
  </r>
  <r>
    <n v="3692"/>
    <n v="113.3768244"/>
    <n v="22.937879819999999"/>
    <x v="43"/>
  </r>
  <r>
    <n v="3693"/>
    <n v="113.3788141"/>
    <n v="22.93496949"/>
    <x v="43"/>
  </r>
  <r>
    <n v="3694"/>
    <n v="113.3728559"/>
    <n v="22.938889929999998"/>
    <x v="40"/>
  </r>
  <r>
    <n v="3695"/>
    <n v="113.37495029999999"/>
    <n v="22.934489849999999"/>
    <x v="43"/>
  </r>
  <r>
    <n v="3696"/>
    <n v="113.3731353"/>
    <n v="22.943293789999998"/>
    <x v="33"/>
  </r>
  <r>
    <n v="3697"/>
    <n v="113.37777800000001"/>
    <n v="22.934150630000001"/>
    <x v="43"/>
  </r>
  <r>
    <n v="3698"/>
    <n v="113.3725992"/>
    <n v="22.93821346"/>
    <x v="40"/>
  </r>
  <r>
    <n v="3699"/>
    <n v="113.380359"/>
    <n v="22.935435200000001"/>
    <x v="43"/>
  </r>
  <r>
    <n v="3700"/>
    <n v="113.378186"/>
    <n v="22.943039559999999"/>
    <x v="33"/>
  </r>
  <r>
    <n v="3701"/>
    <n v="113.37277690000001"/>
    <n v="22.939638689999999"/>
    <x v="40"/>
  </r>
  <r>
    <n v="3702"/>
    <n v="113.3769017"/>
    <n v="22.933778490000002"/>
    <x v="43"/>
  </r>
  <r>
    <n v="3703"/>
    <n v="113.3759658"/>
    <n v="22.943449180000002"/>
    <x v="33"/>
  </r>
  <r>
    <n v="3704"/>
    <n v="113.3738183"/>
    <n v="22.93451087"/>
    <x v="43"/>
  </r>
  <r>
    <n v="3705"/>
    <n v="113.3802201"/>
    <n v="22.935296350000002"/>
    <x v="43"/>
  </r>
  <r>
    <n v="3706"/>
    <n v="113.38075980000001"/>
    <n v="22.935370949999999"/>
    <x v="43"/>
  </r>
  <r>
    <n v="3707"/>
    <n v="113.3795337"/>
    <n v="22.93436522"/>
    <x v="43"/>
  </r>
  <r>
    <n v="3708"/>
    <n v="113.3776199"/>
    <n v="22.936819629999999"/>
    <x v="43"/>
  </r>
  <r>
    <n v="3709"/>
    <n v="113.3727179"/>
    <n v="22.940151530000001"/>
    <x v="40"/>
  </r>
  <r>
    <n v="3710"/>
    <n v="113.3803221"/>
    <n v="22.934995409999999"/>
    <x v="43"/>
  </r>
  <r>
    <n v="3711"/>
    <n v="113.37326469999999"/>
    <n v="22.935107129999999"/>
    <x v="43"/>
  </r>
  <r>
    <n v="3712"/>
    <n v="113.3737588"/>
    <n v="22.942893380000001"/>
    <x v="33"/>
  </r>
  <r>
    <n v="3713"/>
    <n v="113.381416"/>
    <n v="22.941649869999999"/>
    <x v="33"/>
  </r>
  <r>
    <n v="3714"/>
    <n v="113.3722573"/>
    <n v="22.941191539999998"/>
    <x v="40"/>
  </r>
  <r>
    <n v="3715"/>
    <n v="113.3811216"/>
    <n v="22.935312740000001"/>
    <x v="43"/>
  </r>
  <r>
    <n v="3716"/>
    <n v="113.37398349999999"/>
    <n v="22.943411950000002"/>
    <x v="33"/>
  </r>
  <r>
    <n v="3717"/>
    <n v="113.3798845"/>
    <n v="22.934090090000002"/>
    <x v="43"/>
  </r>
  <r>
    <n v="3718"/>
    <n v="113.3770942"/>
    <n v="22.938003550000001"/>
    <x v="43"/>
  </r>
  <r>
    <n v="3719"/>
    <n v="113.3814134"/>
    <n v="22.935644409999998"/>
    <x v="43"/>
  </r>
  <r>
    <n v="3720"/>
    <n v="113.37768490000001"/>
    <n v="22.936184839999999"/>
    <x v="43"/>
  </r>
  <r>
    <n v="3721"/>
    <n v="113.372715"/>
    <n v="22.93921293"/>
    <x v="40"/>
  </r>
  <r>
    <n v="3722"/>
    <n v="113.3737234"/>
    <n v="22.933879220000001"/>
    <x v="43"/>
  </r>
  <r>
    <n v="3723"/>
    <n v="113.3744627"/>
    <n v="22.933709610000001"/>
    <x v="43"/>
  </r>
  <r>
    <n v="3724"/>
    <n v="113.38135490000001"/>
    <n v="22.942991339999999"/>
    <x v="33"/>
  </r>
  <r>
    <n v="3725"/>
    <n v="113.373912"/>
    <n v="22.936696860000001"/>
    <x v="43"/>
  </r>
  <r>
    <n v="3726"/>
    <n v="113.3799901"/>
    <n v="22.937893410000001"/>
    <x v="43"/>
  </r>
  <r>
    <n v="3727"/>
    <n v="113.3731829"/>
    <n v="22.93369981"/>
    <x v="43"/>
  </r>
  <r>
    <n v="3728"/>
    <n v="113.3741807"/>
    <n v="22.938139"/>
    <x v="43"/>
  </r>
  <r>
    <n v="3729"/>
    <n v="113.3775689"/>
    <n v="22.93743941"/>
    <x v="43"/>
  </r>
  <r>
    <n v="3730"/>
    <n v="113.37669579999999"/>
    <n v="22.933953580000001"/>
    <x v="43"/>
  </r>
  <r>
    <n v="3731"/>
    <n v="113.3770985"/>
    <n v="22.933949250000001"/>
    <x v="43"/>
  </r>
  <r>
    <n v="3732"/>
    <n v="113.3737271"/>
    <n v="22.938801139999999"/>
    <x v="40"/>
  </r>
  <r>
    <n v="3733"/>
    <n v="113.3737163"/>
    <n v="22.935354610000001"/>
    <x v="43"/>
  </r>
  <r>
    <n v="3734"/>
    <n v="113.37264399999999"/>
    <n v="22.939753769999999"/>
    <x v="40"/>
  </r>
  <r>
    <n v="3735"/>
    <n v="113.372653"/>
    <n v="22.940011649999999"/>
    <x v="40"/>
  </r>
  <r>
    <n v="3736"/>
    <n v="113.37983029999999"/>
    <n v="22.936846970000001"/>
    <x v="43"/>
  </r>
  <r>
    <n v="3737"/>
    <n v="113.37374730000001"/>
    <n v="22.934595900000001"/>
    <x v="43"/>
  </r>
  <r>
    <n v="3738"/>
    <n v="113.3730247"/>
    <n v="22.938850779999999"/>
    <x v="40"/>
  </r>
  <r>
    <n v="3739"/>
    <n v="113.37712430000001"/>
    <n v="22.93645218"/>
    <x v="43"/>
  </r>
  <r>
    <n v="3740"/>
    <n v="113.3785299"/>
    <n v="22.941918770000001"/>
    <x v="33"/>
  </r>
  <r>
    <n v="3741"/>
    <n v="113.37375230000001"/>
    <n v="22.935325580000001"/>
    <x v="43"/>
  </r>
  <r>
    <n v="3742"/>
    <n v="113.37371640000001"/>
    <n v="22.934593929999998"/>
    <x v="43"/>
  </r>
  <r>
    <n v="3743"/>
    <n v="113.3727719"/>
    <n v="22.939873590000001"/>
    <x v="40"/>
  </r>
  <r>
    <n v="3744"/>
    <n v="113.37275390000001"/>
    <n v="22.94015649"/>
    <x v="40"/>
  </r>
  <r>
    <n v="3745"/>
    <n v="113.3764485"/>
    <n v="22.941657530000001"/>
    <x v="33"/>
  </r>
  <r>
    <n v="3746"/>
    <n v="113.3733611"/>
    <n v="22.943010699999999"/>
    <x v="33"/>
  </r>
  <r>
    <n v="3747"/>
    <n v="113.3800402"/>
    <n v="22.936583930000001"/>
    <x v="43"/>
  </r>
  <r>
    <n v="3748"/>
    <n v="113.38044499999999"/>
    <n v="22.93543614"/>
    <x v="43"/>
  </r>
  <r>
    <n v="3749"/>
    <n v="113.3761926"/>
    <n v="22.94319209"/>
    <x v="33"/>
  </r>
  <r>
    <n v="3750"/>
    <n v="113.3808087"/>
    <n v="22.935886700000001"/>
    <x v="43"/>
  </r>
  <r>
    <n v="3751"/>
    <n v="113.3737967"/>
    <n v="22.942818370000001"/>
    <x v="33"/>
  </r>
  <r>
    <n v="3752"/>
    <n v="113.3772208"/>
    <n v="22.942397580000002"/>
    <x v="33"/>
  </r>
  <r>
    <n v="3753"/>
    <n v="113.37233670000001"/>
    <n v="22.933906539999999"/>
    <x v="40"/>
  </r>
  <r>
    <n v="3754"/>
    <n v="113.3720046"/>
    <n v="22.94105484"/>
    <x v="40"/>
  </r>
  <r>
    <n v="3755"/>
    <n v="113.3722278"/>
    <n v="22.934674319999999"/>
    <x v="40"/>
  </r>
  <r>
    <n v="3756"/>
    <n v="113.3781192"/>
    <n v="22.94150926"/>
    <x v="33"/>
  </r>
  <r>
    <n v="3757"/>
    <n v="113.3786028"/>
    <n v="22.941998680000001"/>
    <x v="33"/>
  </r>
  <r>
    <n v="3758"/>
    <n v="113.3766553"/>
    <n v="22.941991219999998"/>
    <x v="33"/>
  </r>
  <r>
    <n v="3759"/>
    <n v="113.3777039"/>
    <n v="22.935984909999998"/>
    <x v="43"/>
  </r>
  <r>
    <n v="3760"/>
    <n v="113.3723207"/>
    <n v="22.933814590000001"/>
    <x v="40"/>
  </r>
  <r>
    <n v="3761"/>
    <n v="113.3814134"/>
    <n v="22.935601429999998"/>
    <x v="43"/>
  </r>
  <r>
    <n v="3762"/>
    <n v="113.3723167"/>
    <n v="22.933946540000001"/>
    <x v="40"/>
  </r>
  <r>
    <n v="3763"/>
    <n v="113.37710149999999"/>
    <n v="22.933893279999999"/>
    <x v="43"/>
  </r>
  <r>
    <n v="3764"/>
    <n v="113.37723769999999"/>
    <n v="22.943311179999998"/>
    <x v="33"/>
  </r>
  <r>
    <n v="3765"/>
    <n v="113.3722028"/>
    <n v="22.934628360000001"/>
    <x v="40"/>
  </r>
  <r>
    <n v="3766"/>
    <n v="113.3718317"/>
    <n v="22.941182959999999"/>
    <x v="40"/>
  </r>
  <r>
    <n v="3767"/>
    <n v="113.3766868"/>
    <n v="22.933929599999999"/>
    <x v="43"/>
  </r>
  <r>
    <n v="3768"/>
    <n v="113.371871"/>
    <n v="22.935931140000001"/>
    <x v="40"/>
  </r>
  <r>
    <n v="3769"/>
    <n v="113.3728349"/>
    <n v="22.93896891"/>
    <x v="40"/>
  </r>
  <r>
    <n v="3770"/>
    <n v="113.3874284"/>
    <n v="22.937848349999999"/>
    <x v="43"/>
  </r>
  <r>
    <n v="3771"/>
    <n v="113.3879551"/>
    <n v="22.94040506"/>
    <x v="43"/>
  </r>
  <r>
    <n v="3772"/>
    <n v="113.38738530000001"/>
    <n v="22.939779550000001"/>
    <x v="43"/>
  </r>
  <r>
    <n v="3773"/>
    <n v="113.3857349"/>
    <n v="22.94029505"/>
    <x v="43"/>
  </r>
  <r>
    <n v="3774"/>
    <n v="113.38655850000001"/>
    <n v="22.94049459"/>
    <x v="43"/>
  </r>
  <r>
    <n v="3775"/>
    <n v="113.385993"/>
    <n v="22.936762420000001"/>
    <x v="43"/>
  </r>
  <r>
    <n v="3776"/>
    <n v="113.3844835"/>
    <n v="22.938520409999999"/>
    <x v="43"/>
  </r>
  <r>
    <n v="3777"/>
    <n v="113.3879402"/>
    <n v="22.937960100000002"/>
    <x v="43"/>
  </r>
  <r>
    <n v="3778"/>
    <n v="113.3841097"/>
    <n v="22.93850162"/>
    <x v="43"/>
  </r>
  <r>
    <n v="3779"/>
    <n v="113.3871827"/>
    <n v="22.935379489999999"/>
    <x v="43"/>
  </r>
  <r>
    <n v="3780"/>
    <n v="113.38867190000001"/>
    <n v="22.94004696"/>
    <x v="43"/>
  </r>
  <r>
    <n v="3781"/>
    <n v="113.38423969999999"/>
    <n v="22.937599930000001"/>
    <x v="43"/>
  </r>
  <r>
    <n v="3782"/>
    <n v="113.3863449"/>
    <n v="22.93601658"/>
    <x v="43"/>
  </r>
  <r>
    <n v="3783"/>
    <n v="113.38495949999999"/>
    <n v="22.935250549999999"/>
    <x v="43"/>
  </r>
  <r>
    <n v="3784"/>
    <n v="113.3884551"/>
    <n v="22.937739010000001"/>
    <x v="43"/>
  </r>
  <r>
    <n v="3785"/>
    <n v="113.38772640000001"/>
    <n v="22.936631739999999"/>
    <x v="43"/>
  </r>
  <r>
    <n v="3786"/>
    <n v="113.386213"/>
    <n v="22.93579673"/>
    <x v="43"/>
  </r>
  <r>
    <n v="3787"/>
    <n v="113.386059"/>
    <n v="22.935785800000001"/>
    <x v="43"/>
  </r>
  <r>
    <n v="3788"/>
    <n v="113.38343"/>
    <n v="22.938543970000001"/>
    <x v="43"/>
  </r>
  <r>
    <n v="3789"/>
    <n v="113.3895466"/>
    <n v="22.940298559999999"/>
    <x v="43"/>
  </r>
  <r>
    <n v="3790"/>
    <n v="113.3840706"/>
    <n v="22.94050579"/>
    <x v="43"/>
  </r>
  <r>
    <n v="3791"/>
    <n v="113.3888528"/>
    <n v="22.94054968"/>
    <x v="43"/>
  </r>
  <r>
    <n v="3792"/>
    <n v="113.3891247"/>
    <n v="22.940619559999998"/>
    <x v="43"/>
  </r>
  <r>
    <n v="3793"/>
    <n v="113.3890167"/>
    <n v="22.940838500000002"/>
    <x v="43"/>
  </r>
  <r>
    <n v="3794"/>
    <n v="113.38384069999999"/>
    <n v="22.940811790000001"/>
    <x v="43"/>
  </r>
  <r>
    <n v="3795"/>
    <n v="113.383911"/>
    <n v="22.936351630000001"/>
    <x v="43"/>
  </r>
  <r>
    <n v="3796"/>
    <n v="113.3883153"/>
    <n v="22.93571391"/>
    <x v="43"/>
  </r>
  <r>
    <n v="3797"/>
    <n v="113.3831641"/>
    <n v="22.93995653"/>
    <x v="43"/>
  </r>
  <r>
    <n v="3798"/>
    <n v="113.38711670000001"/>
    <n v="22.935054650000001"/>
    <x v="43"/>
  </r>
  <r>
    <n v="3799"/>
    <n v="113.3865199"/>
    <n v="22.934736040000001"/>
    <x v="43"/>
  </r>
  <r>
    <n v="3800"/>
    <n v="113.386223"/>
    <n v="22.93473517"/>
    <x v="43"/>
  </r>
  <r>
    <n v="3801"/>
    <n v="113.3827855"/>
    <n v="22.93670912"/>
    <x v="43"/>
  </r>
  <r>
    <n v="3802"/>
    <n v="113.3847287"/>
    <n v="22.934945800000001"/>
    <x v="43"/>
  </r>
  <r>
    <n v="3803"/>
    <n v="113.3902144"/>
    <n v="22.940910110000001"/>
    <x v="34"/>
  </r>
  <r>
    <n v="3804"/>
    <n v="113.3858292"/>
    <n v="22.934589410000001"/>
    <x v="43"/>
  </r>
  <r>
    <n v="3805"/>
    <n v="113.3840075"/>
    <n v="22.941928220000001"/>
    <x v="33"/>
  </r>
  <r>
    <n v="3806"/>
    <n v="113.39060259999999"/>
    <n v="22.937113610000001"/>
    <x v="43"/>
  </r>
  <r>
    <n v="3807"/>
    <n v="113.3837431"/>
    <n v="22.935176219999999"/>
    <x v="43"/>
  </r>
  <r>
    <n v="3808"/>
    <n v="113.39061529999999"/>
    <n v="22.941310829999999"/>
    <x v="34"/>
  </r>
  <r>
    <n v="3809"/>
    <n v="113.3823235"/>
    <n v="22.941253469999999"/>
    <x v="43"/>
  </r>
  <r>
    <n v="3810"/>
    <n v="113.38354080000001"/>
    <n v="22.941257759999999"/>
    <x v="43"/>
  </r>
  <r>
    <n v="3811"/>
    <n v="113.3914582"/>
    <n v="22.94082783"/>
    <x v="34"/>
  </r>
  <r>
    <n v="3812"/>
    <n v="113.39129819999999"/>
    <n v="22.941439599999999"/>
    <x v="34"/>
  </r>
  <r>
    <n v="3813"/>
    <n v="113.3821186"/>
    <n v="22.940502909999999"/>
    <x v="43"/>
  </r>
  <r>
    <n v="3814"/>
    <n v="113.3914394"/>
    <n v="22.93916553"/>
    <x v="34"/>
  </r>
  <r>
    <n v="3815"/>
    <n v="113.383724"/>
    <n v="22.937088419999998"/>
    <x v="43"/>
  </r>
  <r>
    <n v="3816"/>
    <n v="113.3818761"/>
    <n v="22.935250280000002"/>
    <x v="43"/>
  </r>
  <r>
    <n v="3817"/>
    <n v="113.3903759"/>
    <n v="22.934104940000001"/>
    <x v="43"/>
  </r>
  <r>
    <n v="3818"/>
    <n v="113.38373"/>
    <n v="22.93758021"/>
    <x v="43"/>
  </r>
  <r>
    <n v="3819"/>
    <n v="113.3823768"/>
    <n v="22.935313950000001"/>
    <x v="43"/>
  </r>
  <r>
    <n v="3820"/>
    <n v="113.3862316"/>
    <n v="22.94097253"/>
    <x v="43"/>
  </r>
  <r>
    <n v="3821"/>
    <n v="113.383354"/>
    <n v="22.939474619999999"/>
    <x v="43"/>
  </r>
  <r>
    <n v="3822"/>
    <n v="113.3866048"/>
    <n v="22.936711169999999"/>
    <x v="43"/>
  </r>
  <r>
    <n v="3823"/>
    <n v="113.38655"/>
    <n v="22.934269220000001"/>
    <x v="43"/>
  </r>
  <r>
    <n v="3824"/>
    <n v="113.39150840000001"/>
    <n v="22.93814695"/>
    <x v="34"/>
  </r>
  <r>
    <n v="3825"/>
    <n v="113.39711629999999"/>
    <n v="22.939408830000001"/>
    <x v="34"/>
  </r>
  <r>
    <n v="3826"/>
    <n v="113.3955852"/>
    <n v="22.93833931"/>
    <x v="34"/>
  </r>
  <r>
    <n v="3827"/>
    <n v="113.3947932"/>
    <n v="22.938347360000002"/>
    <x v="34"/>
  </r>
  <r>
    <n v="3828"/>
    <n v="113.39445720000001"/>
    <n v="22.93834039"/>
    <x v="34"/>
  </r>
  <r>
    <n v="3829"/>
    <n v="113.3963392"/>
    <n v="22.940299450000001"/>
    <x v="34"/>
  </r>
  <r>
    <n v="3830"/>
    <n v="113.3966884"/>
    <n v="22.937778519999998"/>
    <x v="34"/>
  </r>
  <r>
    <n v="3831"/>
    <n v="113.3936102"/>
    <n v="22.939063180000002"/>
    <x v="34"/>
  </r>
  <r>
    <n v="3832"/>
    <n v="113.3936731"/>
    <n v="22.9401747"/>
    <x v="34"/>
  </r>
  <r>
    <n v="3833"/>
    <n v="113.3956481"/>
    <n v="22.939822679999999"/>
    <x v="34"/>
  </r>
  <r>
    <n v="3834"/>
    <n v="113.3926632"/>
    <n v="22.939999929999999"/>
    <x v="34"/>
  </r>
  <r>
    <n v="3835"/>
    <n v="113.400406"/>
    <n v="22.939648030000001"/>
    <x v="34"/>
  </r>
  <r>
    <n v="3836"/>
    <n v="113.3926032"/>
    <n v="22.939835009999999"/>
    <x v="34"/>
  </r>
  <r>
    <n v="3837"/>
    <n v="113.399817"/>
    <n v="22.937402890000001"/>
    <x v="34"/>
  </r>
  <r>
    <n v="3838"/>
    <n v="113.39252620000001"/>
    <n v="22.940189879999998"/>
    <x v="34"/>
  </r>
  <r>
    <n v="3839"/>
    <n v="113.3929612"/>
    <n v="22.93931517"/>
    <x v="34"/>
  </r>
  <r>
    <n v="3840"/>
    <n v="113.3952769"/>
    <n v="22.942455580000001"/>
    <x v="34"/>
  </r>
  <r>
    <n v="3841"/>
    <n v="113.39241920000001"/>
    <n v="22.940412800000001"/>
    <x v="34"/>
  </r>
  <r>
    <n v="3842"/>
    <n v="113.3990755"/>
    <n v="22.94223276"/>
    <x v="34"/>
  </r>
  <r>
    <n v="3843"/>
    <n v="113.3956481"/>
    <n v="22.939822679999999"/>
    <x v="34"/>
  </r>
  <r>
    <n v="3844"/>
    <n v="113.39243209999999"/>
    <n v="22.94067969"/>
    <x v="34"/>
  </r>
  <r>
    <n v="3845"/>
    <n v="113.39227409999999"/>
    <n v="22.940790669999998"/>
    <x v="34"/>
  </r>
  <r>
    <n v="3846"/>
    <n v="113.3983333"/>
    <n v="22.942937390000001"/>
    <x v="34"/>
  </r>
  <r>
    <n v="3847"/>
    <n v="113.3931394"/>
    <n v="22.936650270000001"/>
    <x v="34"/>
  </r>
  <r>
    <n v="3848"/>
    <n v="113.3927322"/>
    <n v="22.939768019999999"/>
    <x v="34"/>
  </r>
  <r>
    <n v="3849"/>
    <n v="113.39339390000001"/>
    <n v="22.943419370000001"/>
    <x v="34"/>
  </r>
  <r>
    <n v="3850"/>
    <n v="113.39193109999999"/>
    <n v="22.941442460000001"/>
    <x v="34"/>
  </r>
  <r>
    <n v="3851"/>
    <n v="113.4008024"/>
    <n v="22.935065030000001"/>
    <x v="34"/>
  </r>
  <r>
    <n v="3852"/>
    <n v="113.3932899"/>
    <n v="22.943006560000001"/>
    <x v="34"/>
  </r>
  <r>
    <n v="3853"/>
    <n v="113.4005059"/>
    <n v="22.941500260000002"/>
    <x v="34"/>
  </r>
  <r>
    <n v="3854"/>
    <n v="113.3928919"/>
    <n v="22.942970639999999"/>
    <x v="34"/>
  </r>
  <r>
    <n v="3855"/>
    <n v="113.392644"/>
    <n v="22.942805750000002"/>
    <x v="34"/>
  </r>
  <r>
    <n v="3856"/>
    <n v="113.39212499999999"/>
    <n v="22.943149699999999"/>
    <x v="34"/>
  </r>
  <r>
    <n v="3857"/>
    <n v="113.39882540000001"/>
    <n v="22.94261857"/>
    <x v="34"/>
  </r>
  <r>
    <n v="3858"/>
    <n v="113.3999312"/>
    <n v="22.934723040000002"/>
    <x v="34"/>
  </r>
  <r>
    <n v="3859"/>
    <n v="113.3931394"/>
    <n v="22.936650270000001"/>
    <x v="34"/>
  </r>
  <r>
    <n v="3860"/>
    <n v="113.3958392"/>
    <n v="22.939271900000001"/>
    <x v="34"/>
  </r>
  <r>
    <n v="3861"/>
    <n v="113.392358"/>
    <n v="22.942209049999999"/>
    <x v="34"/>
  </r>
  <r>
    <n v="3862"/>
    <n v="113.391958"/>
    <n v="22.943300669999999"/>
    <x v="34"/>
  </r>
  <r>
    <n v="3863"/>
    <n v="113.40801279999999"/>
    <n v="22.937508480000002"/>
    <x v="34"/>
  </r>
  <r>
    <n v="3864"/>
    <n v="113.40299090000001"/>
    <n v="22.938992880000001"/>
    <x v="34"/>
  </r>
  <r>
    <n v="3865"/>
    <n v="113.4031061"/>
    <n v="22.93794935"/>
    <x v="34"/>
  </r>
  <r>
    <n v="3866"/>
    <n v="113.40872450000001"/>
    <n v="22.934666050000001"/>
    <x v="34"/>
  </r>
  <r>
    <n v="3867"/>
    <n v="113.4033869"/>
    <n v="22.941948740000001"/>
    <x v="34"/>
  </r>
  <r>
    <n v="3868"/>
    <n v="113.4020975"/>
    <n v="22.940630949999999"/>
    <x v="34"/>
  </r>
  <r>
    <n v="3869"/>
    <n v="113.40339090000001"/>
    <n v="22.94273441"/>
    <x v="34"/>
  </r>
  <r>
    <n v="3870"/>
    <n v="113.40167030000001"/>
    <n v="22.941474500000002"/>
    <x v="34"/>
  </r>
  <r>
    <n v="3871"/>
    <n v="113.40762549999999"/>
    <n v="22.93822698"/>
    <x v="34"/>
  </r>
  <r>
    <n v="3872"/>
    <n v="113.40680279999999"/>
    <n v="22.93999685"/>
    <x v="34"/>
  </r>
  <r>
    <n v="3873"/>
    <n v="113.4020544"/>
    <n v="22.942050340000002"/>
    <x v="34"/>
  </r>
  <r>
    <n v="3874"/>
    <n v="113.4026901"/>
    <n v="22.935428300000002"/>
    <x v="34"/>
  </r>
  <r>
    <n v="3875"/>
    <n v="113.4017844"/>
    <n v="22.939666290000002"/>
    <x v="34"/>
  </r>
  <r>
    <n v="3876"/>
    <n v="113.4067838"/>
    <n v="22.94021974"/>
    <x v="34"/>
  </r>
  <r>
    <n v="3877"/>
    <n v="113.40225150000001"/>
    <n v="22.941041819999999"/>
    <x v="34"/>
  </r>
  <r>
    <n v="3878"/>
    <n v="113.40172440000001"/>
    <n v="22.939836199999998"/>
    <x v="34"/>
  </r>
  <r>
    <n v="3879"/>
    <n v="113.46973250000001"/>
    <n v="22.942891029999998"/>
    <x v="6"/>
  </r>
  <r>
    <n v="3880"/>
    <n v="113.4808223"/>
    <n v="22.940668590000001"/>
    <x v="6"/>
  </r>
  <r>
    <n v="3881"/>
    <n v="113.48059550000001"/>
    <n v="22.94106876"/>
    <x v="6"/>
  </r>
  <r>
    <n v="3882"/>
    <n v="113.4803266"/>
    <n v="22.94178367"/>
    <x v="6"/>
  </r>
  <r>
    <n v="3883"/>
    <n v="113.2807842"/>
    <n v="22.92663774"/>
    <x v="44"/>
  </r>
  <r>
    <n v="3884"/>
    <n v="113.3238341"/>
    <n v="22.92968935"/>
    <x v="35"/>
  </r>
  <r>
    <n v="3885"/>
    <n v="113.3284551"/>
    <n v="22.923986920000001"/>
    <x v="45"/>
  </r>
  <r>
    <n v="3886"/>
    <n v="113.32388899999999"/>
    <n v="22.929578289999998"/>
    <x v="35"/>
  </r>
  <r>
    <n v="3887"/>
    <n v="113.33630290000001"/>
    <n v="22.930150619999999"/>
    <x v="41"/>
  </r>
  <r>
    <n v="3888"/>
    <n v="113.33560629999999"/>
    <n v="22.93056773"/>
    <x v="41"/>
  </r>
  <r>
    <n v="3889"/>
    <n v="113.3325384"/>
    <n v="22.930221589999999"/>
    <x v="41"/>
  </r>
  <r>
    <n v="3890"/>
    <n v="113.338477"/>
    <n v="22.925270690000001"/>
    <x v="45"/>
  </r>
  <r>
    <n v="3891"/>
    <n v="113.33557570000001"/>
    <n v="22.924627279999999"/>
    <x v="45"/>
  </r>
  <r>
    <n v="3892"/>
    <n v="113.3352474"/>
    <n v="22.924077109999999"/>
    <x v="45"/>
  </r>
  <r>
    <n v="3893"/>
    <n v="113.3410681"/>
    <n v="22.924026550000001"/>
    <x v="45"/>
  </r>
  <r>
    <n v="3894"/>
    <n v="113.34151629999999"/>
    <n v="22.9243916"/>
    <x v="45"/>
  </r>
  <r>
    <n v="3895"/>
    <n v="113.3466426"/>
    <n v="22.929109749999999"/>
    <x v="42"/>
  </r>
  <r>
    <n v="3896"/>
    <n v="113.34646600000001"/>
    <n v="22.927730619999998"/>
    <x v="42"/>
  </r>
  <r>
    <n v="3897"/>
    <n v="113.3463351"/>
    <n v="22.92961605"/>
    <x v="42"/>
  </r>
  <r>
    <n v="3898"/>
    <n v="113.3466117"/>
    <n v="22.928318130000001"/>
    <x v="42"/>
  </r>
  <r>
    <n v="3899"/>
    <n v="113.34634440000001"/>
    <n v="22.923974399999999"/>
    <x v="42"/>
  </r>
  <r>
    <n v="3900"/>
    <n v="113.3465808"/>
    <n v="22.926766829999998"/>
    <x v="42"/>
  </r>
  <r>
    <n v="3901"/>
    <n v="113.3496564"/>
    <n v="22.927653360000001"/>
    <x v="42"/>
  </r>
  <r>
    <n v="3902"/>
    <n v="113.3466956"/>
    <n v="22.92669167"/>
    <x v="42"/>
  </r>
  <r>
    <n v="3903"/>
    <n v="113.34488570000001"/>
    <n v="22.930005359999999"/>
    <x v="42"/>
  </r>
  <r>
    <n v="3904"/>
    <n v="113.3489766"/>
    <n v="22.9271067"/>
    <x v="42"/>
  </r>
  <r>
    <n v="3905"/>
    <n v="113.3495336"/>
    <n v="22.927522620000001"/>
    <x v="42"/>
  </r>
  <r>
    <n v="3906"/>
    <n v="113.34783229999999"/>
    <n v="22.931441769999999"/>
    <x v="42"/>
  </r>
  <r>
    <n v="3907"/>
    <n v="113.3461437"/>
    <n v="22.925727009999999"/>
    <x v="42"/>
  </r>
  <r>
    <n v="3908"/>
    <n v="113.3492512"/>
    <n v="22.926484510000002"/>
    <x v="42"/>
  </r>
  <r>
    <n v="3909"/>
    <n v="113.3505827"/>
    <n v="22.92898031"/>
    <x v="42"/>
  </r>
  <r>
    <n v="3910"/>
    <n v="113.3495716"/>
    <n v="22.926121139999999"/>
    <x v="42"/>
  </r>
  <r>
    <n v="3911"/>
    <n v="113.34970920000001"/>
    <n v="22.928615870000002"/>
    <x v="42"/>
  </r>
  <r>
    <n v="3912"/>
    <n v="113.3506896"/>
    <n v="22.928205460000001"/>
    <x v="42"/>
  </r>
  <r>
    <n v="3913"/>
    <n v="113.3506017"/>
    <n v="22.92956203"/>
    <x v="42"/>
  </r>
  <r>
    <n v="3914"/>
    <n v="113.351035"/>
    <n v="22.92886463"/>
    <x v="42"/>
  </r>
  <r>
    <n v="3915"/>
    <n v="113.347915"/>
    <n v="22.933322839999999"/>
    <x v="42"/>
  </r>
  <r>
    <n v="3916"/>
    <n v="113.351556"/>
    <n v="22.929782410000001"/>
    <x v="42"/>
  </r>
  <r>
    <n v="3917"/>
    <n v="113.3439882"/>
    <n v="22.932229979999999"/>
    <x v="41"/>
  </r>
  <r>
    <n v="3918"/>
    <n v="113.3482025"/>
    <n v="22.93328838"/>
    <x v="42"/>
  </r>
  <r>
    <n v="3919"/>
    <n v="113.34758859999999"/>
    <n v="22.93325741"/>
    <x v="42"/>
  </r>
  <r>
    <n v="3920"/>
    <n v="113.3460413"/>
    <n v="22.933565890000001"/>
    <x v="42"/>
  </r>
  <r>
    <n v="3921"/>
    <n v="113.34824039999999"/>
    <n v="22.933585189999999"/>
    <x v="42"/>
  </r>
  <r>
    <n v="3922"/>
    <n v="113.3502324"/>
    <n v="22.927691410000001"/>
    <x v="42"/>
  </r>
  <r>
    <n v="3923"/>
    <n v="113.34635179999999"/>
    <n v="22.93346141"/>
    <x v="42"/>
  </r>
  <r>
    <n v="3924"/>
    <n v="113.3510481"/>
    <n v="22.927207299999999"/>
    <x v="42"/>
  </r>
  <r>
    <n v="3925"/>
    <n v="113.3491758"/>
    <n v="22.933539669999998"/>
    <x v="42"/>
  </r>
  <r>
    <n v="3926"/>
    <n v="113.3483203"/>
    <n v="22.93361805"/>
    <x v="42"/>
  </r>
  <r>
    <n v="3927"/>
    <n v="113.3511905"/>
    <n v="22.931741169999999"/>
    <x v="42"/>
  </r>
  <r>
    <n v="3928"/>
    <n v="113.3506379"/>
    <n v="22.924787980000001"/>
    <x v="42"/>
  </r>
  <r>
    <n v="3929"/>
    <n v="113.3488983"/>
    <n v="22.933491149999998"/>
    <x v="42"/>
  </r>
  <r>
    <n v="3930"/>
    <n v="113.3500258"/>
    <n v="22.927274919999999"/>
    <x v="42"/>
  </r>
  <r>
    <n v="3931"/>
    <n v="113.34707349999999"/>
    <n v="22.932947410000001"/>
    <x v="42"/>
  </r>
  <r>
    <n v="3932"/>
    <n v="113.351039"/>
    <n v="22.928870620000001"/>
    <x v="42"/>
  </r>
  <r>
    <n v="3933"/>
    <n v="113.351062"/>
    <n v="22.928259839999999"/>
    <x v="42"/>
  </r>
  <r>
    <n v="3934"/>
    <n v="113.3494718"/>
    <n v="22.926490149999999"/>
    <x v="42"/>
  </r>
  <r>
    <n v="3935"/>
    <n v="113.3542568"/>
    <n v="22.927660110000001"/>
    <x v="42"/>
  </r>
  <r>
    <n v="3936"/>
    <n v="113.35668200000001"/>
    <n v="22.927866399999999"/>
    <x v="42"/>
  </r>
  <r>
    <n v="3937"/>
    <n v="113.3562184"/>
    <n v="22.932772020000002"/>
    <x v="42"/>
  </r>
  <r>
    <n v="3938"/>
    <n v="113.35555359999999"/>
    <n v="22.929161520000001"/>
    <x v="42"/>
  </r>
  <r>
    <n v="3939"/>
    <n v="113.3577064"/>
    <n v="22.92762901"/>
    <x v="42"/>
  </r>
  <r>
    <n v="3940"/>
    <n v="113.354726"/>
    <n v="22.928335109999999"/>
    <x v="42"/>
  </r>
  <r>
    <n v="3941"/>
    <n v="113.3544634"/>
    <n v="22.928758330000001"/>
    <x v="42"/>
  </r>
  <r>
    <n v="3942"/>
    <n v="113.35558469999999"/>
    <n v="22.926905420000001"/>
    <x v="42"/>
  </r>
  <r>
    <n v="3943"/>
    <n v="113.3573019"/>
    <n v="22.930599350000001"/>
    <x v="42"/>
  </r>
  <r>
    <n v="3944"/>
    <n v="113.35939399999999"/>
    <n v="22.92712384"/>
    <x v="46"/>
  </r>
  <r>
    <n v="3945"/>
    <n v="113.3574546"/>
    <n v="22.930698079999999"/>
    <x v="42"/>
  </r>
  <r>
    <n v="3946"/>
    <n v="113.3550723"/>
    <n v="22.929959910000001"/>
    <x v="42"/>
  </r>
  <r>
    <n v="3947"/>
    <n v="113.35630930000001"/>
    <n v="22.93090067"/>
    <x v="42"/>
  </r>
  <r>
    <n v="3948"/>
    <n v="113.356008"/>
    <n v="22.928170260000002"/>
    <x v="42"/>
  </r>
  <r>
    <n v="3949"/>
    <n v="113.3588508"/>
    <n v="22.927671369999999"/>
    <x v="46"/>
  </r>
  <r>
    <n v="3950"/>
    <n v="113.3548607"/>
    <n v="22.929678339999999"/>
    <x v="42"/>
  </r>
  <r>
    <n v="3951"/>
    <n v="113.3564272"/>
    <n v="22.931052430000001"/>
    <x v="42"/>
  </r>
  <r>
    <n v="3952"/>
    <n v="113.3590634"/>
    <n v="22.927823010000001"/>
    <x v="46"/>
  </r>
  <r>
    <n v="3953"/>
    <n v="113.35405110000001"/>
    <n v="22.927494490000001"/>
    <x v="42"/>
  </r>
  <r>
    <n v="3954"/>
    <n v="113.3586978"/>
    <n v="22.93070131"/>
    <x v="42"/>
  </r>
  <r>
    <n v="3955"/>
    <n v="113.3592222"/>
    <n v="22.927160059999999"/>
    <x v="46"/>
  </r>
  <r>
    <n v="3956"/>
    <n v="113.359421"/>
    <n v="22.927300729999999"/>
    <x v="46"/>
  </r>
  <r>
    <n v="3957"/>
    <n v="113.3536766"/>
    <n v="22.929320300000001"/>
    <x v="42"/>
  </r>
  <r>
    <n v="3958"/>
    <n v="113.3564701"/>
    <n v="22.931511180000001"/>
    <x v="42"/>
  </r>
  <r>
    <n v="3959"/>
    <n v="113.3538205"/>
    <n v="22.927813709999999"/>
    <x v="42"/>
  </r>
  <r>
    <n v="3960"/>
    <n v="113.3554096"/>
    <n v="22.93218646"/>
    <x v="42"/>
  </r>
  <r>
    <n v="3961"/>
    <n v="113.3597994"/>
    <n v="22.927655049999998"/>
    <x v="46"/>
  </r>
  <r>
    <n v="3962"/>
    <n v="113.3536895"/>
    <n v="22.929800069999999"/>
    <x v="42"/>
  </r>
  <r>
    <n v="3963"/>
    <n v="113.3599572"/>
    <n v="22.92769182"/>
    <x v="46"/>
  </r>
  <r>
    <n v="3964"/>
    <n v="113.35777210000001"/>
    <n v="22.931707200000002"/>
    <x v="42"/>
  </r>
  <r>
    <n v="3965"/>
    <n v="113.3530277"/>
    <n v="22.928288729999998"/>
    <x v="42"/>
  </r>
  <r>
    <n v="3966"/>
    <n v="113.3536884"/>
    <n v="22.931473369999999"/>
    <x v="42"/>
  </r>
  <r>
    <n v="3967"/>
    <n v="113.3555566"/>
    <n v="22.93010512"/>
    <x v="42"/>
  </r>
  <r>
    <n v="3968"/>
    <n v="113.3602166"/>
    <n v="22.930719190000001"/>
    <x v="46"/>
  </r>
  <r>
    <n v="3969"/>
    <n v="113.3532752"/>
    <n v="22.929792719999998"/>
    <x v="42"/>
  </r>
  <r>
    <n v="3970"/>
    <n v="113.3594836"/>
    <n v="22.93179275"/>
    <x v="42"/>
  </r>
  <r>
    <n v="3971"/>
    <n v="113.3518607"/>
    <n v="22.927537869999998"/>
    <x v="42"/>
  </r>
  <r>
    <n v="3972"/>
    <n v="113.36108659999999"/>
    <n v="22.9276673"/>
    <x v="46"/>
  </r>
  <r>
    <n v="3973"/>
    <n v="113.352851"/>
    <n v="22.928195049999999"/>
    <x v="42"/>
  </r>
  <r>
    <n v="3974"/>
    <n v="113.3582528"/>
    <n v="22.92468646"/>
    <x v="46"/>
  </r>
  <r>
    <n v="3975"/>
    <n v="113.3565863"/>
    <n v="22.92491377"/>
    <x v="42"/>
  </r>
  <r>
    <n v="3976"/>
    <n v="113.36111649999999"/>
    <n v="22.92769225"/>
    <x v="46"/>
  </r>
  <r>
    <n v="3977"/>
    <n v="113.358401"/>
    <n v="22.93325166"/>
    <x v="42"/>
  </r>
  <r>
    <n v="3978"/>
    <n v="113.35358979999999"/>
    <n v="22.927634139999999"/>
    <x v="42"/>
  </r>
  <r>
    <n v="3979"/>
    <n v="113.3561165"/>
    <n v="22.932586239999999"/>
    <x v="42"/>
  </r>
  <r>
    <n v="3980"/>
    <n v="113.35302489999999"/>
    <n v="22.925653839999999"/>
    <x v="42"/>
  </r>
  <r>
    <n v="3981"/>
    <n v="113.3542309"/>
    <n v="22.926463649999999"/>
    <x v="42"/>
  </r>
  <r>
    <n v="3982"/>
    <n v="113.354843"/>
    <n v="22.924770429999999"/>
    <x v="42"/>
  </r>
  <r>
    <n v="3983"/>
    <n v="113.3529387"/>
    <n v="22.930904770000001"/>
    <x v="42"/>
  </r>
  <r>
    <n v="3984"/>
    <n v="113.3591504"/>
    <n v="22.926365499999999"/>
    <x v="46"/>
  </r>
  <r>
    <n v="3985"/>
    <n v="113.3600898"/>
    <n v="22.930598419999999"/>
    <x v="46"/>
  </r>
  <r>
    <n v="3986"/>
    <n v="113.35415159999999"/>
    <n v="22.93290506"/>
    <x v="42"/>
  </r>
  <r>
    <n v="3987"/>
    <n v="113.3562235"/>
    <n v="22.930419000000001"/>
    <x v="42"/>
  </r>
  <r>
    <n v="3988"/>
    <n v="113.361361"/>
    <n v="22.930728640000002"/>
    <x v="46"/>
  </r>
  <r>
    <n v="3989"/>
    <n v="113.3517557"/>
    <n v="22.929125370000001"/>
    <x v="42"/>
  </r>
  <r>
    <n v="3990"/>
    <n v="113.3518775"/>
    <n v="22.930434630000001"/>
    <x v="42"/>
  </r>
  <r>
    <n v="3991"/>
    <n v="113.35527039999999"/>
    <n v="22.924171040000001"/>
    <x v="42"/>
  </r>
  <r>
    <n v="3992"/>
    <n v="113.35834509999999"/>
    <n v="22.933397670000002"/>
    <x v="42"/>
  </r>
  <r>
    <n v="3993"/>
    <n v="113.35213109999999"/>
    <n v="22.9293157"/>
    <x v="42"/>
  </r>
  <r>
    <n v="3994"/>
    <n v="113.3552784"/>
    <n v="22.923754200000001"/>
    <x v="42"/>
  </r>
  <r>
    <n v="3995"/>
    <n v="113.35949050000001"/>
    <n v="22.933148169999999"/>
    <x v="42"/>
  </r>
  <r>
    <n v="3996"/>
    <n v="113.35303639999999"/>
    <n v="22.932671880000001"/>
    <x v="42"/>
  </r>
  <r>
    <n v="3997"/>
    <n v="113.3560746"/>
    <n v="22.932651280000002"/>
    <x v="42"/>
  </r>
  <r>
    <n v="3998"/>
    <n v="113.3604301"/>
    <n v="22.932664079999999"/>
    <x v="46"/>
  </r>
  <r>
    <n v="3999"/>
    <n v="113.35581620000001"/>
    <n v="22.929969790000001"/>
    <x v="42"/>
  </r>
  <r>
    <n v="4000"/>
    <n v="113.3557926"/>
    <n v="22.924067300000001"/>
    <x v="42"/>
  </r>
  <r>
    <n v="4001"/>
    <n v="113.36026200000001"/>
    <n v="22.924346809999999"/>
    <x v="46"/>
  </r>
  <r>
    <n v="4002"/>
    <n v="113.35912140000001"/>
    <n v="22.92635954"/>
    <x v="46"/>
  </r>
  <r>
    <n v="4003"/>
    <n v="113.3519782"/>
    <n v="22.93217774"/>
    <x v="42"/>
  </r>
  <r>
    <n v="4004"/>
    <n v="113.35174790000001"/>
    <n v="22.92637354"/>
    <x v="42"/>
  </r>
  <r>
    <n v="4005"/>
    <n v="113.36143680000001"/>
    <n v="22.932503799999999"/>
    <x v="46"/>
  </r>
  <r>
    <n v="4006"/>
    <n v="113.3594721"/>
    <n v="22.924222950000001"/>
    <x v="46"/>
  </r>
  <r>
    <n v="4007"/>
    <n v="113.36136740000001"/>
    <n v="22.924365309999999"/>
    <x v="46"/>
  </r>
  <r>
    <n v="4008"/>
    <n v="113.3548155"/>
    <n v="22.933587769999999"/>
    <x v="42"/>
  </r>
  <r>
    <n v="4009"/>
    <n v="113.3520934"/>
    <n v="22.926277039999999"/>
    <x v="42"/>
  </r>
  <r>
    <n v="4010"/>
    <n v="113.35514860000001"/>
    <n v="22.923781380000001"/>
    <x v="42"/>
  </r>
  <r>
    <n v="4011"/>
    <n v="113.3605489"/>
    <n v="22.933498570000001"/>
    <x v="40"/>
  </r>
  <r>
    <n v="4012"/>
    <n v="113.3594227"/>
    <n v="22.93156493"/>
    <x v="42"/>
  </r>
  <r>
    <n v="4013"/>
    <n v="113.3556205"/>
    <n v="22.930104020000002"/>
    <x v="42"/>
  </r>
  <r>
    <n v="4014"/>
    <n v="113.354726"/>
    <n v="22.928335109999999"/>
    <x v="42"/>
  </r>
  <r>
    <n v="4015"/>
    <n v="113.3541331"/>
    <n v="22.926254879999998"/>
    <x v="42"/>
  </r>
  <r>
    <n v="4016"/>
    <n v="113.3584942"/>
    <n v="22.929307179999999"/>
    <x v="42"/>
  </r>
  <r>
    <n v="4017"/>
    <n v="113.3533051"/>
    <n v="22.93049637"/>
    <x v="42"/>
  </r>
  <r>
    <n v="4018"/>
    <n v="113.3556378"/>
    <n v="22.924496349999998"/>
    <x v="42"/>
  </r>
  <r>
    <n v="4019"/>
    <n v="113.35564530000001"/>
    <n v="22.932116140000002"/>
    <x v="42"/>
  </r>
  <r>
    <n v="4020"/>
    <n v="113.3529856"/>
    <n v="22.930975669999999"/>
    <x v="42"/>
  </r>
  <r>
    <n v="4021"/>
    <n v="113.3656914"/>
    <n v="22.929861509999999"/>
    <x v="46"/>
  </r>
  <r>
    <n v="4022"/>
    <n v="113.3652618"/>
    <n v="22.93179722"/>
    <x v="46"/>
  </r>
  <r>
    <n v="4023"/>
    <n v="113.36450309999999"/>
    <n v="22.926270469999999"/>
    <x v="46"/>
  </r>
  <r>
    <n v="4024"/>
    <n v="113.3629109"/>
    <n v="22.929808999999999"/>
    <x v="46"/>
  </r>
  <r>
    <n v="4025"/>
    <n v="113.3641002"/>
    <n v="22.93264529"/>
    <x v="40"/>
  </r>
  <r>
    <n v="4026"/>
    <n v="113.3652561"/>
    <n v="22.927376079999998"/>
    <x v="46"/>
  </r>
  <r>
    <n v="4027"/>
    <n v="113.3650133"/>
    <n v="22.928734810000002"/>
    <x v="46"/>
  </r>
  <r>
    <n v="4028"/>
    <n v="113.3638381"/>
    <n v="22.92448405"/>
    <x v="46"/>
  </r>
  <r>
    <n v="4029"/>
    <n v="113.36791669999999"/>
    <n v="22.930921470000001"/>
    <x v="46"/>
  </r>
  <r>
    <n v="4030"/>
    <n v="113.36661549999999"/>
    <n v="22.926768710000001"/>
    <x v="46"/>
  </r>
  <r>
    <n v="4031"/>
    <n v="113.3698799"/>
    <n v="22.924341070000001"/>
    <x v="46"/>
  </r>
  <r>
    <n v="4032"/>
    <n v="113.364408"/>
    <n v="22.930156960000001"/>
    <x v="46"/>
  </r>
  <r>
    <n v="4033"/>
    <n v="113.36184950000001"/>
    <n v="22.92784121"/>
    <x v="46"/>
  </r>
  <r>
    <n v="4034"/>
    <n v="113.36998850000001"/>
    <n v="22.929207909999999"/>
    <x v="46"/>
  </r>
  <r>
    <n v="4035"/>
    <n v="113.36305419999999"/>
    <n v="22.923838320000002"/>
    <x v="46"/>
  </r>
  <r>
    <n v="4036"/>
    <n v="113.3641715"/>
    <n v="22.927323439999999"/>
    <x v="46"/>
  </r>
  <r>
    <n v="4037"/>
    <n v="113.3647398"/>
    <n v="22.92633215"/>
    <x v="46"/>
  </r>
  <r>
    <n v="4038"/>
    <n v="113.36438990000001"/>
    <n v="22.931914240000001"/>
    <x v="46"/>
  </r>
  <r>
    <n v="4039"/>
    <n v="113.3636001"/>
    <n v="22.929075430000001"/>
    <x v="46"/>
  </r>
  <r>
    <n v="4040"/>
    <n v="113.3711311"/>
    <n v="22.931851609999999"/>
    <x v="40"/>
  </r>
  <r>
    <n v="4041"/>
    <n v="113.3635673"/>
    <n v="22.92667947"/>
    <x v="46"/>
  </r>
  <r>
    <n v="4042"/>
    <n v="113.3656847"/>
    <n v="22.924797640000001"/>
    <x v="46"/>
  </r>
  <r>
    <n v="4043"/>
    <n v="113.3636472"/>
    <n v="22.926553420000001"/>
    <x v="46"/>
  </r>
  <r>
    <n v="4044"/>
    <n v="113.3626733"/>
    <n v="22.92884871"/>
    <x v="46"/>
  </r>
  <r>
    <n v="4045"/>
    <n v="113.37058209999999"/>
    <n v="22.925696760000001"/>
    <x v="46"/>
  </r>
  <r>
    <n v="4046"/>
    <n v="113.36216810000001"/>
    <n v="22.927191059999998"/>
    <x v="46"/>
  </r>
  <r>
    <n v="4047"/>
    <n v="113.36853139999999"/>
    <n v="22.924932290000001"/>
    <x v="46"/>
  </r>
  <r>
    <n v="4048"/>
    <n v="113.3627302"/>
    <n v="22.929838220000001"/>
    <x v="46"/>
  </r>
  <r>
    <n v="4049"/>
    <n v="113.3622965"/>
    <n v="22.93300945"/>
    <x v="40"/>
  </r>
  <r>
    <n v="4050"/>
    <n v="113.3675645"/>
    <n v="22.924901389999999"/>
    <x v="46"/>
  </r>
  <r>
    <n v="4051"/>
    <n v="113.36892690000001"/>
    <n v="22.924890869999999"/>
    <x v="46"/>
  </r>
  <r>
    <n v="4052"/>
    <n v="113.36648080000001"/>
    <n v="22.92461677"/>
    <x v="46"/>
  </r>
  <r>
    <n v="4053"/>
    <n v="113.3625356"/>
    <n v="22.92719258"/>
    <x v="46"/>
  </r>
  <r>
    <n v="4054"/>
    <n v="113.3656208"/>
    <n v="22.925203549999999"/>
    <x v="46"/>
  </r>
  <r>
    <n v="4055"/>
    <n v="113.3624296"/>
    <n v="22.929660680000001"/>
    <x v="46"/>
  </r>
  <r>
    <n v="4056"/>
    <n v="113.36210819999999"/>
    <n v="22.92765395"/>
    <x v="46"/>
  </r>
  <r>
    <n v="4057"/>
    <n v="113.36459549999999"/>
    <n v="22.933495319999999"/>
    <x v="40"/>
  </r>
  <r>
    <n v="4058"/>
    <n v="113.36214320000001"/>
    <n v="22.92667831"/>
    <x v="46"/>
  </r>
  <r>
    <n v="4059"/>
    <n v="113.3711291"/>
    <n v="22.930907009999999"/>
    <x v="40"/>
  </r>
  <r>
    <n v="4060"/>
    <n v="113.36622060000001"/>
    <n v="22.932437790000002"/>
    <x v="40"/>
  </r>
  <r>
    <n v="4061"/>
    <n v="113.36216810000001"/>
    <n v="22.927191059999998"/>
    <x v="46"/>
  </r>
  <r>
    <n v="4062"/>
    <n v="113.3631096"/>
    <n v="22.930777339999999"/>
    <x v="46"/>
  </r>
  <r>
    <n v="4063"/>
    <n v="113.3629402"/>
    <n v="22.92599856"/>
    <x v="46"/>
  </r>
  <r>
    <n v="4064"/>
    <n v="113.36228699999999"/>
    <n v="22.926156339999999"/>
    <x v="46"/>
  </r>
  <r>
    <n v="4065"/>
    <n v="113.3620131"/>
    <n v="22.929982089999999"/>
    <x v="46"/>
  </r>
  <r>
    <n v="4066"/>
    <n v="113.3625134"/>
    <n v="22.931404839999999"/>
    <x v="46"/>
  </r>
  <r>
    <n v="4067"/>
    <n v="113.363743"/>
    <n v="22.927330980000001"/>
    <x v="46"/>
  </r>
  <r>
    <n v="4068"/>
    <n v="113.3643819"/>
    <n v="22.931785300000001"/>
    <x v="46"/>
  </r>
  <r>
    <n v="4069"/>
    <n v="113.37145580000001"/>
    <n v="22.930478860000001"/>
    <x v="46"/>
  </r>
  <r>
    <n v="4070"/>
    <n v="113.36337260000001"/>
    <n v="22.926464809999999"/>
    <x v="46"/>
  </r>
  <r>
    <n v="4071"/>
    <n v="113.3625163"/>
    <n v="22.93178868"/>
    <x v="46"/>
  </r>
  <r>
    <n v="4072"/>
    <n v="113.3629107"/>
    <n v="22.93274276"/>
    <x v="40"/>
  </r>
  <r>
    <n v="4073"/>
    <n v="113.3636983"/>
    <n v="22.924738120000001"/>
    <x v="46"/>
  </r>
  <r>
    <n v="4074"/>
    <n v="113.3620822"/>
    <n v="22.927306130000002"/>
    <x v="46"/>
  </r>
  <r>
    <n v="4075"/>
    <n v="113.36179559999999"/>
    <n v="22.927646360000001"/>
    <x v="46"/>
  </r>
  <r>
    <n v="4076"/>
    <n v="113.36471899999999"/>
    <n v="22.92419207"/>
    <x v="46"/>
  </r>
  <r>
    <n v="4077"/>
    <n v="113.3709997"/>
    <n v="22.925301489999999"/>
    <x v="46"/>
  </r>
  <r>
    <n v="4078"/>
    <n v="113.3699038"/>
    <n v="22.92501476"/>
    <x v="46"/>
  </r>
  <r>
    <n v="4079"/>
    <n v="113.3629866"/>
    <n v="22.93359731"/>
    <x v="40"/>
  </r>
  <r>
    <n v="4080"/>
    <n v="113.36165099999999"/>
    <n v="22.924736769999999"/>
    <x v="46"/>
  </r>
  <r>
    <n v="4081"/>
    <n v="113.3616565"/>
    <n v="22.932410539999999"/>
    <x v="46"/>
  </r>
  <r>
    <n v="4082"/>
    <n v="113.3666052"/>
    <n v="22.930409189999999"/>
    <x v="46"/>
  </r>
  <r>
    <n v="4083"/>
    <n v="113.3634983"/>
    <n v="22.928175929999998"/>
    <x v="46"/>
  </r>
  <r>
    <n v="4084"/>
    <n v="113.3625488"/>
    <n v="22.923767999999999"/>
    <x v="46"/>
  </r>
  <r>
    <n v="4085"/>
    <n v="113.36175249999999"/>
    <n v="22.93029031"/>
    <x v="46"/>
  </r>
  <r>
    <n v="4086"/>
    <n v="113.3701666"/>
    <n v="22.92485155"/>
    <x v="46"/>
  </r>
  <r>
    <n v="4087"/>
    <n v="113.3627884"/>
    <n v="22.925812830000002"/>
    <x v="46"/>
  </r>
  <r>
    <n v="4088"/>
    <n v="113.3654935"/>
    <n v="22.930978280000001"/>
    <x v="46"/>
  </r>
  <r>
    <n v="4089"/>
    <n v="113.36400759999999"/>
    <n v="22.928924970000001"/>
    <x v="46"/>
  </r>
  <r>
    <n v="4090"/>
    <n v="113.36254820000001"/>
    <n v="22.933227030000001"/>
    <x v="40"/>
  </r>
  <r>
    <n v="4091"/>
    <n v="113.3624907"/>
    <n v="22.926974730000001"/>
    <x v="46"/>
  </r>
  <r>
    <n v="4092"/>
    <n v="113.36374000000001"/>
    <n v="22.927135060000001"/>
    <x v="46"/>
  </r>
  <r>
    <n v="4093"/>
    <n v="113.36379169999999"/>
    <n v="22.93085743"/>
    <x v="46"/>
  </r>
  <r>
    <n v="4094"/>
    <n v="113.3698709"/>
    <n v="22.925089759999999"/>
    <x v="46"/>
  </r>
  <r>
    <n v="4095"/>
    <n v="113.36478769999999"/>
    <n v="22.926551"/>
    <x v="46"/>
  </r>
  <r>
    <n v="4096"/>
    <n v="113.36254630000001"/>
    <n v="22.93156973"/>
    <x v="46"/>
  </r>
  <r>
    <n v="4097"/>
    <n v="113.3654935"/>
    <n v="22.930978280000001"/>
    <x v="46"/>
  </r>
  <r>
    <n v="4098"/>
    <n v="113.3662715"/>
    <n v="22.932442730000002"/>
    <x v="40"/>
  </r>
  <r>
    <n v="4099"/>
    <n v="113.362329"/>
    <n v="22.9258904"/>
    <x v="46"/>
  </r>
  <r>
    <n v="4100"/>
    <n v="113.36232699999999"/>
    <n v="22.92615129"/>
    <x v="46"/>
  </r>
  <r>
    <n v="4101"/>
    <n v="113.3761176"/>
    <n v="22.92894317"/>
    <x v="43"/>
  </r>
  <r>
    <n v="4102"/>
    <n v="113.3760616"/>
    <n v="22.92963293"/>
    <x v="43"/>
  </r>
  <r>
    <n v="4103"/>
    <n v="113.3815846"/>
    <n v="22.930424500000001"/>
    <x v="43"/>
  </r>
  <r>
    <n v="4104"/>
    <n v="113.3757198"/>
    <n v="22.930646790000001"/>
    <x v="43"/>
  </r>
  <r>
    <n v="4105"/>
    <n v="113.374325"/>
    <n v="22.93115981"/>
    <x v="43"/>
  </r>
  <r>
    <n v="4106"/>
    <n v="113.37518729999999"/>
    <n v="22.931348960000001"/>
    <x v="43"/>
  </r>
  <r>
    <n v="4107"/>
    <n v="113.3763683"/>
    <n v="22.930994099999999"/>
    <x v="43"/>
  </r>
  <r>
    <n v="4108"/>
    <n v="113.3740786"/>
    <n v="22.926213109999999"/>
    <x v="46"/>
  </r>
  <r>
    <n v="4109"/>
    <n v="113.37329699999999"/>
    <n v="22.930680970000001"/>
    <x v="43"/>
  </r>
  <r>
    <n v="4110"/>
    <n v="113.3724181"/>
    <n v="22.926960380000001"/>
    <x v="46"/>
  </r>
  <r>
    <n v="4111"/>
    <n v="113.374439"/>
    <n v="22.930829849999999"/>
    <x v="43"/>
  </r>
  <r>
    <n v="4112"/>
    <n v="113.3751662"/>
    <n v="22.93216464"/>
    <x v="43"/>
  </r>
  <r>
    <n v="4113"/>
    <n v="113.3780998"/>
    <n v="22.932441099999998"/>
    <x v="43"/>
  </r>
  <r>
    <n v="4114"/>
    <n v="113.3739053"/>
    <n v="22.93216477"/>
    <x v="43"/>
  </r>
  <r>
    <n v="4115"/>
    <n v="113.3758196"/>
    <n v="22.93292675"/>
    <x v="43"/>
  </r>
  <r>
    <n v="4116"/>
    <n v="113.37212599999999"/>
    <n v="22.932368390000001"/>
    <x v="40"/>
  </r>
  <r>
    <n v="4117"/>
    <n v="113.37608640000001"/>
    <n v="22.932543679999998"/>
    <x v="43"/>
  </r>
  <r>
    <n v="4118"/>
    <n v="113.3760989"/>
    <n v="22.925016830000001"/>
    <x v="43"/>
  </r>
  <r>
    <n v="4119"/>
    <n v="113.37700460000001"/>
    <n v="22.933089689999999"/>
    <x v="43"/>
  </r>
  <r>
    <n v="4120"/>
    <n v="113.3804243"/>
    <n v="22.931556789999998"/>
    <x v="43"/>
  </r>
  <r>
    <n v="4121"/>
    <n v="113.3739982"/>
    <n v="22.932918369999999"/>
    <x v="43"/>
  </r>
  <r>
    <n v="4122"/>
    <n v="113.38127179999999"/>
    <n v="22.93039971"/>
    <x v="43"/>
  </r>
  <r>
    <n v="4123"/>
    <n v="113.37953779999999"/>
    <n v="22.932435030000001"/>
    <x v="43"/>
  </r>
  <r>
    <n v="4124"/>
    <n v="113.3767048"/>
    <n v="22.933372819999999"/>
    <x v="43"/>
  </r>
  <r>
    <n v="4125"/>
    <n v="113.37687390000001"/>
    <n v="22.930962690000001"/>
    <x v="43"/>
  </r>
  <r>
    <n v="4126"/>
    <n v="113.3747985"/>
    <n v="22.9335074"/>
    <x v="43"/>
  </r>
  <r>
    <n v="4127"/>
    <n v="113.3798766"/>
    <n v="22.93237882"/>
    <x v="43"/>
  </r>
  <r>
    <n v="4128"/>
    <n v="113.37883720000001"/>
    <n v="22.93306128"/>
    <x v="43"/>
  </r>
  <r>
    <n v="4129"/>
    <n v="113.37476650000001"/>
    <n v="22.933036619999999"/>
    <x v="43"/>
  </r>
  <r>
    <n v="4130"/>
    <n v="113.37781510000001"/>
    <n v="22.932270389999999"/>
    <x v="43"/>
  </r>
  <r>
    <n v="4131"/>
    <n v="113.37883220000001"/>
    <n v="22.933371149999999"/>
    <x v="43"/>
  </r>
  <r>
    <n v="4132"/>
    <n v="113.372129"/>
    <n v="22.932262430000002"/>
    <x v="40"/>
  </r>
  <r>
    <n v="4133"/>
    <n v="113.3738773"/>
    <n v="22.93326034"/>
    <x v="43"/>
  </r>
  <r>
    <n v="4134"/>
    <n v="113.3722109"/>
    <n v="22.932523239999998"/>
    <x v="40"/>
  </r>
  <r>
    <n v="4135"/>
    <n v="113.3768649"/>
    <n v="22.930962699999998"/>
    <x v="43"/>
  </r>
  <r>
    <n v="4136"/>
    <n v="113.3741491"/>
    <n v="22.932048600000002"/>
    <x v="43"/>
  </r>
  <r>
    <n v="4137"/>
    <n v="113.3731602"/>
    <n v="22.930525159999998"/>
    <x v="43"/>
  </r>
  <r>
    <n v="4138"/>
    <n v="113.3720261"/>
    <n v="22.933327089999999"/>
    <x v="40"/>
  </r>
  <r>
    <n v="4139"/>
    <n v="113.37209470000001"/>
    <n v="22.923746040000001"/>
    <x v="46"/>
  </r>
  <r>
    <n v="4140"/>
    <n v="113.3766639"/>
    <n v="22.933318870000001"/>
    <x v="43"/>
  </r>
  <r>
    <n v="4141"/>
    <n v="113.3760465"/>
    <n v="22.932462749999999"/>
    <x v="43"/>
  </r>
  <r>
    <n v="4142"/>
    <n v="113.3771886"/>
    <n v="22.930949439999999"/>
    <x v="43"/>
  </r>
  <r>
    <n v="4143"/>
    <n v="113.37769110000001"/>
    <n v="22.932464410000001"/>
    <x v="43"/>
  </r>
  <r>
    <n v="4144"/>
    <n v="113.37360049999999"/>
    <n v="22.933500500000001"/>
    <x v="43"/>
  </r>
  <r>
    <n v="4145"/>
    <n v="113.3774944"/>
    <n v="22.931518959999998"/>
    <x v="43"/>
  </r>
  <r>
    <n v="4146"/>
    <n v="113.38304979999999"/>
    <n v="22.930511580000001"/>
    <x v="43"/>
  </r>
  <r>
    <n v="4147"/>
    <n v="113.3835655"/>
    <n v="22.931165010000001"/>
    <x v="43"/>
  </r>
  <r>
    <n v="4148"/>
    <n v="113.38637629999999"/>
    <n v="22.930329960000002"/>
    <x v="43"/>
  </r>
  <r>
    <n v="4149"/>
    <n v="113.3815846"/>
    <n v="22.930424500000001"/>
    <x v="43"/>
  </r>
  <r>
    <n v="4150"/>
    <n v="113.384798"/>
    <n v="22.929564030000002"/>
    <x v="43"/>
  </r>
  <r>
    <n v="4151"/>
    <n v="113.3873329"/>
    <n v="22.930739379999999"/>
    <x v="43"/>
  </r>
  <r>
    <n v="4152"/>
    <n v="113.3840703"/>
    <n v="22.929625380000001"/>
    <x v="43"/>
  </r>
  <r>
    <n v="4153"/>
    <n v="113.38417629999999"/>
    <n v="22.929812250000001"/>
    <x v="43"/>
  </r>
  <r>
    <n v="4154"/>
    <n v="113.3860723"/>
    <n v="22.93145062"/>
    <x v="43"/>
  </r>
  <r>
    <n v="4155"/>
    <n v="113.3890076"/>
    <n v="22.92850971"/>
    <x v="47"/>
  </r>
  <r>
    <n v="4156"/>
    <n v="113.3832237"/>
    <n v="22.93047649"/>
    <x v="43"/>
  </r>
  <r>
    <n v="4157"/>
    <n v="113.3891988"/>
    <n v="22.925093069999999"/>
    <x v="47"/>
  </r>
  <r>
    <n v="4158"/>
    <n v="113.3861668"/>
    <n v="22.92414265"/>
    <x v="47"/>
  </r>
  <r>
    <n v="4159"/>
    <n v="113.3905024"/>
    <n v="22.925411560000001"/>
    <x v="47"/>
  </r>
  <r>
    <n v="4160"/>
    <n v="113.3889823"/>
    <n v="22.933186750000001"/>
    <x v="43"/>
  </r>
  <r>
    <n v="4161"/>
    <n v="113.38812849999999"/>
    <n v="22.933556889999998"/>
    <x v="43"/>
  </r>
  <r>
    <n v="4162"/>
    <n v="113.38813810000001"/>
    <n v="22.923661039999999"/>
    <x v="47"/>
  </r>
  <r>
    <n v="4163"/>
    <n v="113.3841692"/>
    <n v="22.93092278"/>
    <x v="43"/>
  </r>
  <r>
    <n v="4164"/>
    <n v="113.3837224"/>
    <n v="22.930560180000001"/>
    <x v="43"/>
  </r>
  <r>
    <n v="4165"/>
    <n v="113.39034650000001"/>
    <n v="22.925373610000001"/>
    <x v="47"/>
  </r>
  <r>
    <n v="4166"/>
    <n v="113.4007355"/>
    <n v="22.932842959999999"/>
    <x v="34"/>
  </r>
  <r>
    <n v="4167"/>
    <n v="113.4107073"/>
    <n v="22.929768259999999"/>
    <x v="47"/>
  </r>
  <r>
    <n v="4168"/>
    <n v="113.4101508"/>
    <n v="22.931059380000001"/>
    <x v="34"/>
  </r>
  <r>
    <n v="4169"/>
    <n v="113.411434"/>
    <n v="22.927884519999999"/>
    <x v="47"/>
  </r>
  <r>
    <n v="4170"/>
    <n v="113.41143719999999"/>
    <n v="22.926223220000001"/>
    <x v="47"/>
  </r>
  <r>
    <n v="4171"/>
    <n v="113.41007500000001"/>
    <n v="22.92716497"/>
    <x v="47"/>
  </r>
  <r>
    <n v="4172"/>
    <n v="113.4017901"/>
    <n v="22.92972048"/>
    <x v="47"/>
  </r>
  <r>
    <n v="4173"/>
    <n v="113.412284"/>
    <n v="22.92512026"/>
    <x v="47"/>
  </r>
  <r>
    <n v="4174"/>
    <n v="113.4119146"/>
    <n v="22.925396889999998"/>
    <x v="47"/>
  </r>
  <r>
    <n v="4175"/>
    <n v="113.4267849"/>
    <n v="22.92746108"/>
    <x v="7"/>
  </r>
  <r>
    <n v="4176"/>
    <n v="113.316873"/>
    <n v="22.922384699999999"/>
    <x v="35"/>
  </r>
  <r>
    <n v="4177"/>
    <n v="113.32016419999999"/>
    <n v="22.922126540000001"/>
    <x v="35"/>
  </r>
  <r>
    <n v="4178"/>
    <n v="113.3281547"/>
    <n v="22.92351468"/>
    <x v="45"/>
  </r>
  <r>
    <n v="4179"/>
    <n v="113.3223886"/>
    <n v="22.922659060000001"/>
    <x v="45"/>
  </r>
  <r>
    <n v="4180"/>
    <n v="113.32577860000001"/>
    <n v="22.92239168"/>
    <x v="45"/>
  </r>
  <r>
    <n v="4181"/>
    <n v="113.3222102"/>
    <n v="22.91872704"/>
    <x v="45"/>
  </r>
  <r>
    <n v="4182"/>
    <n v="113.33808639999999"/>
    <n v="22.915936299999998"/>
    <x v="45"/>
  </r>
  <r>
    <n v="4183"/>
    <n v="113.33684270000001"/>
    <n v="22.917315989999999"/>
    <x v="45"/>
  </r>
  <r>
    <n v="4184"/>
    <n v="113.3397677"/>
    <n v="22.922787400000001"/>
    <x v="45"/>
  </r>
  <r>
    <n v="4185"/>
    <n v="113.3354842"/>
    <n v="22.920552149999999"/>
    <x v="45"/>
  </r>
  <r>
    <n v="4186"/>
    <n v="113.3363997"/>
    <n v="22.91631422"/>
    <x v="45"/>
  </r>
  <r>
    <n v="4187"/>
    <n v="113.3390155"/>
    <n v="22.916864220000001"/>
    <x v="45"/>
  </r>
  <r>
    <n v="4188"/>
    <n v="113.33967920000001"/>
    <n v="22.917907589999999"/>
    <x v="45"/>
  </r>
  <r>
    <n v="4189"/>
    <n v="113.3393609"/>
    <n v="22.916890590000001"/>
    <x v="45"/>
  </r>
  <r>
    <n v="4190"/>
    <n v="113.3370524"/>
    <n v="22.915707279999999"/>
    <x v="45"/>
  </r>
  <r>
    <n v="4191"/>
    <n v="113.33618509999999"/>
    <n v="22.91569488"/>
    <x v="45"/>
  </r>
  <r>
    <n v="4192"/>
    <n v="113.334542"/>
    <n v="22.921179630000001"/>
    <x v="45"/>
  </r>
  <r>
    <n v="4193"/>
    <n v="113.3351318"/>
    <n v="22.92160436"/>
    <x v="45"/>
  </r>
  <r>
    <n v="4194"/>
    <n v="113.3400475"/>
    <n v="22.917746999999999"/>
    <x v="45"/>
  </r>
  <r>
    <n v="4195"/>
    <n v="113.3374637"/>
    <n v="22.91525871"/>
    <x v="45"/>
  </r>
  <r>
    <n v="4196"/>
    <n v="113.3380116"/>
    <n v="22.915379659999999"/>
    <x v="45"/>
  </r>
  <r>
    <n v="4197"/>
    <n v="113.33700260000001"/>
    <n v="22.91461782"/>
    <x v="45"/>
  </r>
  <r>
    <n v="4198"/>
    <n v="113.3351328"/>
    <n v="22.922088160000001"/>
    <x v="45"/>
  </r>
  <r>
    <n v="4199"/>
    <n v="113.3407242"/>
    <n v="22.917947699999999"/>
    <x v="45"/>
  </r>
  <r>
    <n v="4200"/>
    <n v="113.3358094"/>
    <n v="22.922533720000001"/>
    <x v="45"/>
  </r>
  <r>
    <n v="4201"/>
    <n v="113.3393071"/>
    <n v="22.915554239999999"/>
    <x v="45"/>
  </r>
  <r>
    <n v="4202"/>
    <n v="113.3391075"/>
    <n v="22.915183760000001"/>
    <x v="45"/>
  </r>
  <r>
    <n v="4203"/>
    <n v="113.34076"/>
    <n v="22.92023369"/>
    <x v="45"/>
  </r>
  <r>
    <n v="4204"/>
    <n v="113.3350938"/>
    <n v="22.922672989999999"/>
    <x v="45"/>
  </r>
  <r>
    <n v="4205"/>
    <n v="113.33711340000001"/>
    <n v="22.914357729999999"/>
    <x v="45"/>
  </r>
  <r>
    <n v="4206"/>
    <n v="113.3355425"/>
    <n v="22.914429590000001"/>
    <x v="45"/>
  </r>
  <r>
    <n v="4207"/>
    <n v="113.3414219"/>
    <n v="22.917462660000002"/>
    <x v="45"/>
  </r>
  <r>
    <n v="4208"/>
    <n v="113.33219269999999"/>
    <n v="22.920593270000001"/>
    <x v="45"/>
  </r>
  <r>
    <n v="4209"/>
    <n v="113.3327439"/>
    <n v="22.91578324"/>
    <x v="45"/>
  </r>
  <r>
    <n v="4210"/>
    <n v="113.3405119"/>
    <n v="22.914372570000001"/>
    <x v="48"/>
  </r>
  <r>
    <n v="4211"/>
    <n v="113.3316691"/>
    <n v="22.915992169999999"/>
    <x v="45"/>
  </r>
  <r>
    <n v="4212"/>
    <n v="113.340924"/>
    <n v="22.91510053"/>
    <x v="48"/>
  </r>
  <r>
    <n v="4213"/>
    <n v="113.34110920000001"/>
    <n v="22.922084290000001"/>
    <x v="45"/>
  </r>
  <r>
    <n v="4214"/>
    <n v="113.3397683"/>
    <n v="22.913752160000001"/>
    <x v="48"/>
  </r>
  <r>
    <n v="4215"/>
    <n v="113.3403376"/>
    <n v="22.923029270000001"/>
    <x v="45"/>
  </r>
  <r>
    <n v="4216"/>
    <n v="113.3405003"/>
    <n v="22.923503780000001"/>
    <x v="45"/>
  </r>
  <r>
    <n v="4217"/>
    <n v="113.3415143"/>
    <n v="22.923621929999999"/>
    <x v="45"/>
  </r>
  <r>
    <n v="4218"/>
    <n v="113.341294"/>
    <n v="22.920175759999999"/>
    <x v="45"/>
  </r>
  <r>
    <n v="4219"/>
    <n v="113.343115"/>
    <n v="22.914722820000001"/>
    <x v="48"/>
  </r>
  <r>
    <n v="4220"/>
    <n v="113.3437169"/>
    <n v="22.914161"/>
    <x v="48"/>
  </r>
  <r>
    <n v="4221"/>
    <n v="113.34694690000001"/>
    <n v="22.916665439999999"/>
    <x v="48"/>
  </r>
  <r>
    <n v="4222"/>
    <n v="113.34331039999999"/>
    <n v="22.918061089999998"/>
    <x v="45"/>
  </r>
  <r>
    <n v="4223"/>
    <n v="113.3437067"/>
    <n v="22.916911880000001"/>
    <x v="48"/>
  </r>
  <r>
    <n v="4224"/>
    <n v="113.3442338"/>
    <n v="22.91667606"/>
    <x v="48"/>
  </r>
  <r>
    <n v="4225"/>
    <n v="113.3454971"/>
    <n v="22.921595839999998"/>
    <x v="45"/>
  </r>
  <r>
    <n v="4226"/>
    <n v="113.34389040000001"/>
    <n v="22.915998940000001"/>
    <x v="48"/>
  </r>
  <r>
    <n v="4227"/>
    <n v="113.3463376"/>
    <n v="22.922267130000002"/>
    <x v="45"/>
  </r>
  <r>
    <n v="4228"/>
    <n v="113.34233709999999"/>
    <n v="22.91909836"/>
    <x v="45"/>
  </r>
  <r>
    <n v="4229"/>
    <n v="113.3422753"/>
    <n v="22.91741317"/>
    <x v="45"/>
  </r>
  <r>
    <n v="4230"/>
    <n v="113.34870189999999"/>
    <n v="22.914474420000001"/>
    <x v="48"/>
  </r>
  <r>
    <n v="4231"/>
    <n v="113.3429951"/>
    <n v="22.915209829999998"/>
    <x v="48"/>
  </r>
  <r>
    <n v="4232"/>
    <n v="113.351421"/>
    <n v="22.918534340000001"/>
    <x v="48"/>
  </r>
  <r>
    <n v="4233"/>
    <n v="113.3481166"/>
    <n v="22.92034795"/>
    <x v="45"/>
  </r>
  <r>
    <n v="4234"/>
    <n v="113.34712210000001"/>
    <n v="22.923144440000002"/>
    <x v="42"/>
  </r>
  <r>
    <n v="4235"/>
    <n v="113.34173730000001"/>
    <n v="22.917708000000001"/>
    <x v="45"/>
  </r>
  <r>
    <n v="4236"/>
    <n v="113.3428564"/>
    <n v="22.91482723"/>
    <x v="48"/>
  </r>
  <r>
    <n v="4237"/>
    <n v="113.34694690000001"/>
    <n v="22.916665439999999"/>
    <x v="48"/>
  </r>
  <r>
    <n v="4238"/>
    <n v="113.3418333"/>
    <n v="22.91484002"/>
    <x v="48"/>
  </r>
  <r>
    <n v="4239"/>
    <n v="113.3494321"/>
    <n v="22.923492469999999"/>
    <x v="42"/>
  </r>
  <r>
    <n v="4240"/>
    <n v="113.34368790000001"/>
    <n v="22.914041099999999"/>
    <x v="48"/>
  </r>
  <r>
    <n v="4241"/>
    <n v="113.34945399999999"/>
    <n v="22.923194559999999"/>
    <x v="42"/>
  </r>
  <r>
    <n v="4242"/>
    <n v="113.35073989999999"/>
    <n v="22.922144920000001"/>
    <x v="42"/>
  </r>
  <r>
    <n v="4243"/>
    <n v="113.3452834"/>
    <n v="22.923117569999999"/>
    <x v="45"/>
  </r>
  <r>
    <n v="4244"/>
    <n v="113.3486906"/>
    <n v="22.919308430000001"/>
    <x v="48"/>
  </r>
  <r>
    <n v="4245"/>
    <n v="113.34801299999999"/>
    <n v="22.915825000000002"/>
    <x v="48"/>
  </r>
  <r>
    <n v="4246"/>
    <n v="113.3485057"/>
    <n v="22.923102149999998"/>
    <x v="42"/>
  </r>
  <r>
    <n v="4247"/>
    <n v="113.3482777"/>
    <n v="22.913842389999999"/>
    <x v="48"/>
  </r>
  <r>
    <n v="4248"/>
    <n v="113.3448532"/>
    <n v="22.922948380000001"/>
    <x v="45"/>
  </r>
  <r>
    <n v="4249"/>
    <n v="113.3468946"/>
    <n v="22.92207427"/>
    <x v="45"/>
  </r>
  <r>
    <n v="4250"/>
    <n v="113.35037"/>
    <n v="22.91542231"/>
    <x v="48"/>
  </r>
  <r>
    <n v="4251"/>
    <n v="113.34930629999999"/>
    <n v="22.9231938"/>
    <x v="42"/>
  </r>
  <r>
    <n v="4252"/>
    <n v="113.3419057"/>
    <n v="22.921942940000001"/>
    <x v="45"/>
  </r>
  <r>
    <n v="4253"/>
    <n v="113.3539998"/>
    <n v="22.918192449999999"/>
    <x v="49"/>
  </r>
  <r>
    <n v="4254"/>
    <n v="113.3588053"/>
    <n v="22.920180569999999"/>
    <x v="46"/>
  </r>
  <r>
    <n v="4255"/>
    <n v="113.3560714"/>
    <n v="22.92118309"/>
    <x v="46"/>
  </r>
  <r>
    <n v="4256"/>
    <n v="113.3573394"/>
    <n v="22.92126021"/>
    <x v="46"/>
  </r>
  <r>
    <n v="4257"/>
    <n v="113.35540140000001"/>
    <n v="22.921529939999999"/>
    <x v="42"/>
  </r>
  <r>
    <n v="4258"/>
    <n v="113.3576869"/>
    <n v="22.92158457"/>
    <x v="46"/>
  </r>
  <r>
    <n v="4259"/>
    <n v="113.3567039"/>
    <n v="22.914014139999999"/>
    <x v="49"/>
  </r>
  <r>
    <n v="4260"/>
    <n v="113.3583699"/>
    <n v="22.920954859999998"/>
    <x v="46"/>
  </r>
  <r>
    <n v="4261"/>
    <n v="113.354995"/>
    <n v="22.92200935"/>
    <x v="42"/>
  </r>
  <r>
    <n v="4262"/>
    <n v="113.3560298"/>
    <n v="22.91593434"/>
    <x v="49"/>
  </r>
  <r>
    <n v="4263"/>
    <n v="113.3596821"/>
    <n v="22.919552599999999"/>
    <x v="46"/>
  </r>
  <r>
    <n v="4264"/>
    <n v="113.3536082"/>
    <n v="22.921537659999998"/>
    <x v="42"/>
  </r>
  <r>
    <n v="4265"/>
    <n v="113.3526002"/>
    <n v="22.917278"/>
    <x v="48"/>
  </r>
  <r>
    <n v="4266"/>
    <n v="113.3544399"/>
    <n v="22.9219972"/>
    <x v="42"/>
  </r>
  <r>
    <n v="4267"/>
    <n v="113.36026219999999"/>
    <n v="22.921319069999999"/>
    <x v="46"/>
  </r>
  <r>
    <n v="4268"/>
    <n v="113.35618959999999"/>
    <n v="22.914421730000001"/>
    <x v="49"/>
  </r>
  <r>
    <n v="4269"/>
    <n v="113.35435440000001"/>
    <n v="22.915773919999999"/>
    <x v="49"/>
  </r>
  <r>
    <n v="4270"/>
    <n v="113.3607614"/>
    <n v="22.92160427"/>
    <x v="46"/>
  </r>
  <r>
    <n v="4271"/>
    <n v="113.3536211"/>
    <n v="22.922472249999998"/>
    <x v="42"/>
  </r>
  <r>
    <n v="4272"/>
    <n v="113.35953619999999"/>
    <n v="22.92178088"/>
    <x v="46"/>
  </r>
  <r>
    <n v="4273"/>
    <n v="113.354995"/>
    <n v="22.921672489999999"/>
    <x v="42"/>
  </r>
  <r>
    <n v="4274"/>
    <n v="113.3554292"/>
    <n v="22.923372130000001"/>
    <x v="42"/>
  </r>
  <r>
    <n v="4275"/>
    <n v="113.3640491"/>
    <n v="22.920232559999999"/>
    <x v="46"/>
  </r>
  <r>
    <n v="4276"/>
    <n v="113.364079"/>
    <n v="22.920546389999998"/>
    <x v="46"/>
  </r>
  <r>
    <n v="4277"/>
    <n v="113.366467"/>
    <n v="22.921570060000001"/>
    <x v="46"/>
  </r>
  <r>
    <n v="4278"/>
    <n v="113.3643726"/>
    <n v="22.922059390000001"/>
    <x v="46"/>
  </r>
  <r>
    <n v="4279"/>
    <n v="113.36398320000001"/>
    <n v="22.9200847"/>
    <x v="46"/>
  </r>
  <r>
    <n v="4280"/>
    <n v="113.36576890000001"/>
    <n v="22.921263020000001"/>
    <x v="46"/>
  </r>
  <r>
    <n v="4281"/>
    <n v="113.36374259999999"/>
    <n v="22.918778549999999"/>
    <x v="49"/>
  </r>
  <r>
    <n v="4282"/>
    <n v="113.3636247"/>
    <n v="22.918839680000001"/>
    <x v="49"/>
  </r>
  <r>
    <n v="4283"/>
    <n v="113.3634699"/>
    <n v="22.919632539999998"/>
    <x v="46"/>
  </r>
  <r>
    <n v="4284"/>
    <n v="113.3655251"/>
    <n v="22.92266673"/>
    <x v="46"/>
  </r>
  <r>
    <n v="4285"/>
    <n v="113.3672121"/>
    <n v="22.92218493"/>
    <x v="46"/>
  </r>
  <r>
    <n v="4286"/>
    <n v="113.3659586"/>
    <n v="22.92113384"/>
    <x v="46"/>
  </r>
  <r>
    <n v="4287"/>
    <n v="113.36936489999999"/>
    <n v="22.917784359999999"/>
    <x v="49"/>
  </r>
  <r>
    <n v="4288"/>
    <n v="113.368109"/>
    <n v="22.921972"/>
    <x v="46"/>
  </r>
  <r>
    <n v="4289"/>
    <n v="113.3639032"/>
    <n v="22.921054399999999"/>
    <x v="46"/>
  </r>
  <r>
    <n v="4290"/>
    <n v="113.36969929999999"/>
    <n v="22.92101765"/>
    <x v="46"/>
  </r>
  <r>
    <n v="4291"/>
    <n v="113.3679602"/>
    <n v="22.92218708"/>
    <x v="46"/>
  </r>
  <r>
    <n v="4292"/>
    <n v="113.3698133"/>
    <n v="22.919210280000001"/>
    <x v="49"/>
  </r>
  <r>
    <n v="4293"/>
    <n v="113.3657039"/>
    <n v="22.922516569999999"/>
    <x v="46"/>
  </r>
  <r>
    <n v="4294"/>
    <n v="113.36967060000001"/>
    <n v="22.91681243"/>
    <x v="49"/>
  </r>
  <r>
    <n v="4295"/>
    <n v="113.3705145"/>
    <n v="22.920211120000001"/>
    <x v="46"/>
  </r>
  <r>
    <n v="4296"/>
    <n v="113.3642332"/>
    <n v="22.915179429999998"/>
    <x v="49"/>
  </r>
  <r>
    <n v="4297"/>
    <n v="113.36446239999999"/>
    <n v="22.92232417"/>
    <x v="46"/>
  </r>
  <r>
    <n v="4298"/>
    <n v="113.3699642"/>
    <n v="22.9192611"/>
    <x v="49"/>
  </r>
  <r>
    <n v="4299"/>
    <n v="113.36414480000001"/>
    <n v="22.92221061"/>
    <x v="46"/>
  </r>
  <r>
    <n v="4300"/>
    <n v="113.3701552"/>
    <n v="22.915859309999998"/>
    <x v="49"/>
  </r>
  <r>
    <n v="4301"/>
    <n v="113.3707575"/>
    <n v="22.916650350000001"/>
    <x v="49"/>
  </r>
  <r>
    <n v="4302"/>
    <n v="113.36425920000001"/>
    <n v="22.914852539999998"/>
    <x v="49"/>
  </r>
  <r>
    <n v="4303"/>
    <n v="113.3636535"/>
    <n v="22.921684450000001"/>
    <x v="46"/>
  </r>
  <r>
    <n v="4304"/>
    <n v="113.3702916"/>
    <n v="22.921919639999999"/>
    <x v="46"/>
  </r>
  <r>
    <n v="4305"/>
    <n v="113.36940009999999"/>
    <n v="22.91491551"/>
    <x v="49"/>
  </r>
  <r>
    <n v="4306"/>
    <n v="113.3688317"/>
    <n v="22.91430239"/>
    <x v="49"/>
  </r>
  <r>
    <n v="4307"/>
    <n v="113.3637513"/>
    <n v="22.92288083"/>
    <x v="46"/>
  </r>
  <r>
    <n v="4308"/>
    <n v="113.3709863"/>
    <n v="22.91590343"/>
    <x v="49"/>
  </r>
  <r>
    <n v="4309"/>
    <n v="113.3697677"/>
    <n v="22.914695210000001"/>
    <x v="49"/>
  </r>
  <r>
    <n v="4310"/>
    <n v="113.3700389"/>
    <n v="22.92256064"/>
    <x v="46"/>
  </r>
  <r>
    <n v="4311"/>
    <n v="113.3636344"/>
    <n v="22.9230719"/>
    <x v="46"/>
  </r>
  <r>
    <n v="4312"/>
    <n v="113.36337880000001"/>
    <n v="22.922985260000001"/>
    <x v="46"/>
  </r>
  <r>
    <n v="4313"/>
    <n v="113.3668984"/>
    <n v="22.92317688"/>
    <x v="46"/>
  </r>
  <r>
    <n v="4314"/>
    <n v="113.36912239999999"/>
    <n v="22.914067169999999"/>
    <x v="49"/>
  </r>
  <r>
    <n v="4315"/>
    <n v="113.37056990000001"/>
    <n v="22.913651789999999"/>
    <x v="49"/>
  </r>
  <r>
    <n v="4316"/>
    <n v="113.3705597"/>
    <n v="22.917002409999998"/>
    <x v="49"/>
  </r>
  <r>
    <n v="4317"/>
    <n v="113.3638122"/>
    <n v="22.922844770000001"/>
    <x v="46"/>
  </r>
  <r>
    <n v="4318"/>
    <n v="113.3662753"/>
    <n v="22.92112947"/>
    <x v="46"/>
  </r>
  <r>
    <n v="4319"/>
    <n v="113.3647331"/>
    <n v="22.922420800000001"/>
    <x v="46"/>
  </r>
  <r>
    <n v="4320"/>
    <n v="113.36206869999999"/>
    <n v="22.920426020000001"/>
    <x v="46"/>
  </r>
  <r>
    <n v="4321"/>
    <n v="113.3712999"/>
    <n v="22.916503859999999"/>
    <x v="49"/>
  </r>
  <r>
    <n v="4322"/>
    <n v="113.37689570000001"/>
    <n v="22.918577859999999"/>
    <x v="49"/>
  </r>
  <r>
    <n v="4323"/>
    <n v="113.3728685"/>
    <n v="22.914479149999998"/>
    <x v="49"/>
  </r>
  <r>
    <n v="4324"/>
    <n v="113.37395890000001"/>
    <n v="22.922656709999998"/>
    <x v="46"/>
  </r>
  <r>
    <n v="4325"/>
    <n v="113.3796004"/>
    <n v="22.923600700000001"/>
    <x v="43"/>
  </r>
  <r>
    <n v="4326"/>
    <n v="113.37321059999999"/>
    <n v="22.92301926"/>
    <x v="46"/>
  </r>
  <r>
    <n v="4327"/>
    <n v="113.38075360000001"/>
    <n v="22.923347010000001"/>
    <x v="43"/>
  </r>
  <r>
    <n v="4328"/>
    <n v="113.38629830000001"/>
    <n v="22.916580740000001"/>
    <x v="47"/>
  </r>
  <r>
    <n v="4329"/>
    <n v="113.38841050000001"/>
    <n v="22.916759819999999"/>
    <x v="47"/>
  </r>
  <r>
    <n v="4330"/>
    <n v="113.3835064"/>
    <n v="22.91789459"/>
    <x v="47"/>
  </r>
  <r>
    <n v="4331"/>
    <n v="113.3886955"/>
    <n v="22.916549809999999"/>
    <x v="47"/>
  </r>
  <r>
    <n v="4332"/>
    <n v="113.38616740000001"/>
    <n v="22.91569617"/>
    <x v="47"/>
  </r>
  <r>
    <n v="4333"/>
    <n v="113.3883447"/>
    <n v="22.915111530000001"/>
    <x v="47"/>
  </r>
  <r>
    <n v="4334"/>
    <n v="113.3861879"/>
    <n v="22.922017520000001"/>
    <x v="47"/>
  </r>
  <r>
    <n v="4335"/>
    <n v="113.38691009999999"/>
    <n v="22.914995130000001"/>
    <x v="47"/>
  </r>
  <r>
    <n v="4336"/>
    <n v="113.3901269"/>
    <n v="22.919416160000001"/>
    <x v="47"/>
  </r>
  <r>
    <n v="4337"/>
    <n v="113.3883467"/>
    <n v="22.914990580000001"/>
    <x v="47"/>
  </r>
  <r>
    <n v="4338"/>
    <n v="113.3825597"/>
    <n v="22.920960860000001"/>
    <x v="47"/>
  </r>
  <r>
    <n v="4339"/>
    <n v="113.3830304"/>
    <n v="22.921994160000001"/>
    <x v="47"/>
  </r>
  <r>
    <n v="4340"/>
    <n v="113.3863164"/>
    <n v="22.913990810000001"/>
    <x v="47"/>
  </r>
  <r>
    <n v="4341"/>
    <n v="113.38759899999999"/>
    <n v="22.913990269999999"/>
    <x v="47"/>
  </r>
  <r>
    <n v="4342"/>
    <n v="113.3880582"/>
    <n v="22.923250240000002"/>
    <x v="47"/>
  </r>
  <r>
    <n v="4343"/>
    <n v="113.3839868"/>
    <n v="22.923623939999999"/>
    <x v="47"/>
  </r>
  <r>
    <n v="4344"/>
    <n v="113.38208280000001"/>
    <n v="22.923490099999999"/>
    <x v="43"/>
  </r>
  <r>
    <n v="4345"/>
    <n v="113.3945646"/>
    <n v="22.918421739999999"/>
    <x v="47"/>
  </r>
  <r>
    <n v="4346"/>
    <n v="113.3980787"/>
    <n v="22.920474819999999"/>
    <x v="47"/>
  </r>
  <r>
    <n v="4347"/>
    <n v="113.3972119"/>
    <n v="22.916009649999999"/>
    <x v="47"/>
  </r>
  <r>
    <n v="4348"/>
    <n v="113.3930766"/>
    <n v="22.917758200000002"/>
    <x v="47"/>
  </r>
  <r>
    <n v="4349"/>
    <n v="113.3918539"/>
    <n v="22.91546438"/>
    <x v="47"/>
  </r>
  <r>
    <n v="4350"/>
    <n v="113.3916019"/>
    <n v="22.91638605"/>
    <x v="47"/>
  </r>
  <r>
    <n v="4351"/>
    <n v="113.40623890000001"/>
    <n v="22.920336859999999"/>
    <x v="47"/>
  </r>
  <r>
    <n v="4352"/>
    <n v="113.52049599999999"/>
    <n v="22.92130641"/>
    <x v="6"/>
  </r>
  <r>
    <n v="4353"/>
    <n v="113.5134346"/>
    <n v="22.9215585"/>
    <x v="6"/>
  </r>
  <r>
    <n v="4354"/>
    <n v="113.51186920000001"/>
    <n v="22.922863450000001"/>
    <x v="6"/>
  </r>
  <r>
    <n v="4355"/>
    <n v="113.54026930000001"/>
    <n v="22.92063096"/>
    <x v="6"/>
  </r>
  <r>
    <n v="4356"/>
    <n v="113.3056277"/>
    <n v="22.905709519999998"/>
    <x v="44"/>
  </r>
  <r>
    <n v="4357"/>
    <n v="113.3314324"/>
    <n v="22.903887619999999"/>
    <x v="8"/>
  </r>
  <r>
    <n v="4358"/>
    <n v="113.3250871"/>
    <n v="22.907730090000001"/>
    <x v="8"/>
  </r>
  <r>
    <n v="4359"/>
    <n v="113.3248495"/>
    <n v="22.907661579999999"/>
    <x v="8"/>
  </r>
  <r>
    <n v="4360"/>
    <n v="113.32532759999999"/>
    <n v="22.90745974"/>
    <x v="8"/>
  </r>
  <r>
    <n v="4361"/>
    <n v="113.32559209999999"/>
    <n v="22.907019420000001"/>
    <x v="8"/>
  </r>
  <r>
    <n v="4362"/>
    <n v="113.3271269"/>
    <n v="22.90660566"/>
    <x v="8"/>
  </r>
  <r>
    <n v="4363"/>
    <n v="113.324551"/>
    <n v="22.909837249999999"/>
    <x v="8"/>
  </r>
  <r>
    <n v="4364"/>
    <n v="113.3307535"/>
    <n v="22.908213109999998"/>
    <x v="8"/>
  </r>
  <r>
    <n v="4365"/>
    <n v="113.331441"/>
    <n v="22.90904647"/>
    <x v="8"/>
  </r>
  <r>
    <n v="4366"/>
    <n v="113.3314929"/>
    <n v="22.909164329999999"/>
    <x v="8"/>
  </r>
  <r>
    <n v="4367"/>
    <n v="113.33148300000001"/>
    <n v="22.908289709999998"/>
    <x v="8"/>
  </r>
  <r>
    <n v="4368"/>
    <n v="113.32724779999999"/>
    <n v="22.905760780000001"/>
    <x v="8"/>
  </r>
  <r>
    <n v="4369"/>
    <n v="113.3312537"/>
    <n v="22.904056879999999"/>
    <x v="8"/>
  </r>
  <r>
    <n v="4370"/>
    <n v="113.33159809999999"/>
    <n v="22.903892299999999"/>
    <x v="8"/>
  </r>
  <r>
    <n v="4371"/>
    <n v="113.32725569999999"/>
    <n v="22.905758760000001"/>
    <x v="8"/>
  </r>
  <r>
    <n v="4372"/>
    <n v="113.3410114"/>
    <n v="22.907041710000001"/>
    <x v="48"/>
  </r>
  <r>
    <n v="4373"/>
    <n v="113.34080470000001"/>
    <n v="22.90918619"/>
    <x v="48"/>
  </r>
  <r>
    <n v="4374"/>
    <n v="113.3377206"/>
    <n v="22.909390670000001"/>
    <x v="48"/>
  </r>
  <r>
    <n v="4375"/>
    <n v="113.3376217"/>
    <n v="22.910091560000001"/>
    <x v="48"/>
  </r>
  <r>
    <n v="4376"/>
    <n v="113.3333564"/>
    <n v="22.905169480000001"/>
    <x v="8"/>
  </r>
  <r>
    <n v="4377"/>
    <n v="113.336023"/>
    <n v="22.90707974"/>
    <x v="8"/>
  </r>
  <r>
    <n v="4378"/>
    <n v="113.33494810000001"/>
    <n v="22.907975359999998"/>
    <x v="8"/>
  </r>
  <r>
    <n v="4379"/>
    <n v="113.33681919999999"/>
    <n v="22.910527850000001"/>
    <x v="48"/>
  </r>
  <r>
    <n v="4380"/>
    <n v="113.33914489999999"/>
    <n v="22.90874535"/>
    <x v="48"/>
  </r>
  <r>
    <n v="4381"/>
    <n v="113.33801510000001"/>
    <n v="22.90727901"/>
    <x v="48"/>
  </r>
  <r>
    <n v="4382"/>
    <n v="113.3382745"/>
    <n v="22.909867469999998"/>
    <x v="48"/>
  </r>
  <r>
    <n v="4383"/>
    <n v="113.3376059"/>
    <n v="22.90698188"/>
    <x v="8"/>
  </r>
  <r>
    <n v="4384"/>
    <n v="113.3370501"/>
    <n v="22.90635215"/>
    <x v="8"/>
  </r>
  <r>
    <n v="4385"/>
    <n v="113.3372277"/>
    <n v="22.906666699999999"/>
    <x v="8"/>
  </r>
  <r>
    <n v="4386"/>
    <n v="113.33669449999999"/>
    <n v="22.91083296"/>
    <x v="48"/>
  </r>
  <r>
    <n v="4387"/>
    <n v="113.33645919999999"/>
    <n v="22.90653816"/>
    <x v="8"/>
  </r>
  <r>
    <n v="4388"/>
    <n v="113.3347304"/>
    <n v="22.91009189"/>
    <x v="8"/>
  </r>
  <r>
    <n v="4389"/>
    <n v="113.3390661"/>
    <n v="22.90794683"/>
    <x v="48"/>
  </r>
  <r>
    <n v="4390"/>
    <n v="113.3369689"/>
    <n v="22.911029370000001"/>
    <x v="48"/>
  </r>
  <r>
    <n v="4391"/>
    <n v="113.3359533"/>
    <n v="22.905369570000001"/>
    <x v="8"/>
  </r>
  <r>
    <n v="4392"/>
    <n v="113.3388454"/>
    <n v="22.909760479999999"/>
    <x v="48"/>
  </r>
  <r>
    <n v="4393"/>
    <n v="113.3402983"/>
    <n v="22.913278399999999"/>
    <x v="48"/>
  </r>
  <r>
    <n v="4394"/>
    <n v="113.336085"/>
    <n v="22.905853130000001"/>
    <x v="8"/>
  </r>
  <r>
    <n v="4395"/>
    <n v="113.3383405"/>
    <n v="22.90702052"/>
    <x v="48"/>
  </r>
  <r>
    <n v="4396"/>
    <n v="113.33941830000001"/>
    <n v="22.908766849999999"/>
    <x v="48"/>
  </r>
  <r>
    <n v="4397"/>
    <n v="113.341594"/>
    <n v="22.91092707"/>
    <x v="48"/>
  </r>
  <r>
    <n v="4398"/>
    <n v="113.33911089999999"/>
    <n v="22.90919323"/>
    <x v="48"/>
  </r>
  <r>
    <n v="4399"/>
    <n v="113.3360507"/>
    <n v="22.911523849999998"/>
    <x v="48"/>
  </r>
  <r>
    <n v="4400"/>
    <n v="113.3363571"/>
    <n v="22.911680230000002"/>
    <x v="48"/>
  </r>
  <r>
    <n v="4401"/>
    <n v="113.34094640000001"/>
    <n v="22.909440830000001"/>
    <x v="48"/>
  </r>
  <r>
    <n v="4402"/>
    <n v="113.3343969"/>
    <n v="22.911522919999999"/>
    <x v="8"/>
  </r>
  <r>
    <n v="4403"/>
    <n v="113.3356325"/>
    <n v="22.911965439999999"/>
    <x v="48"/>
  </r>
  <r>
    <n v="4404"/>
    <n v="113.34107710000001"/>
    <n v="22.909177710000002"/>
    <x v="48"/>
  </r>
  <r>
    <n v="4405"/>
    <n v="113.34056820000001"/>
    <n v="22.90746532"/>
    <x v="48"/>
  </r>
  <r>
    <n v="4406"/>
    <n v="113.341247"/>
    <n v="22.906491519999999"/>
    <x v="48"/>
  </r>
  <r>
    <n v="4407"/>
    <n v="113.3350411"/>
    <n v="22.905117359999998"/>
    <x v="8"/>
  </r>
  <r>
    <n v="4408"/>
    <n v="113.3344797"/>
    <n v="22.91205154"/>
    <x v="8"/>
  </r>
  <r>
    <n v="4409"/>
    <n v="113.3378257"/>
    <n v="22.90491033"/>
    <x v="8"/>
  </r>
  <r>
    <n v="4410"/>
    <n v="113.3409516"/>
    <n v="22.90625614"/>
    <x v="48"/>
  </r>
  <r>
    <n v="4411"/>
    <n v="113.3342098"/>
    <n v="22.90414431"/>
    <x v="8"/>
  </r>
  <r>
    <n v="4412"/>
    <n v="113.3403074"/>
    <n v="22.911915950000001"/>
    <x v="48"/>
  </r>
  <r>
    <n v="4413"/>
    <n v="113.3333336"/>
    <n v="22.904043980000001"/>
    <x v="8"/>
  </r>
  <r>
    <n v="4414"/>
    <n v="113.34148039999999"/>
    <n v="22.908440299999999"/>
    <x v="48"/>
  </r>
  <r>
    <n v="4415"/>
    <n v="113.3331998"/>
    <n v="22.904141190000001"/>
    <x v="8"/>
  </r>
  <r>
    <n v="4416"/>
    <n v="113.3408933"/>
    <n v="22.912026860000001"/>
    <x v="48"/>
  </r>
  <r>
    <n v="4417"/>
    <n v="113.3317007"/>
    <n v="22.90627813"/>
    <x v="8"/>
  </r>
  <r>
    <n v="4418"/>
    <n v="113.3405379"/>
    <n v="22.912458310000002"/>
    <x v="48"/>
  </r>
  <r>
    <n v="4419"/>
    <n v="113.3330282"/>
    <n v="22.903917610000001"/>
    <x v="8"/>
  </r>
  <r>
    <n v="4420"/>
    <n v="113.3411638"/>
    <n v="22.912274279999998"/>
    <x v="48"/>
  </r>
  <r>
    <n v="4421"/>
    <n v="113.3407708"/>
    <n v="22.907802820000001"/>
    <x v="48"/>
  </r>
  <r>
    <n v="4422"/>
    <n v="113.34142869999999"/>
    <n v="22.906600149999999"/>
    <x v="48"/>
  </r>
  <r>
    <n v="4423"/>
    <n v="113.3408117"/>
    <n v="22.907610829999999"/>
    <x v="48"/>
  </r>
  <r>
    <n v="4424"/>
    <n v="113.34139070000001"/>
    <n v="22.906968060000001"/>
    <x v="48"/>
  </r>
  <r>
    <n v="4425"/>
    <n v="113.3412809"/>
    <n v="22.907619990000001"/>
    <x v="48"/>
  </r>
  <r>
    <n v="4426"/>
    <n v="113.33216590000001"/>
    <n v="22.904165119999998"/>
    <x v="8"/>
  </r>
  <r>
    <n v="4427"/>
    <n v="113.3414066"/>
    <n v="22.907466830000001"/>
    <x v="48"/>
  </r>
  <r>
    <n v="4428"/>
    <n v="113.34471139999999"/>
    <n v="22.908949440000001"/>
    <x v="48"/>
  </r>
  <r>
    <n v="4429"/>
    <n v="113.3437442"/>
    <n v="22.9085033"/>
    <x v="48"/>
  </r>
  <r>
    <n v="4430"/>
    <n v="113.34383"/>
    <n v="22.90878403"/>
    <x v="48"/>
  </r>
  <r>
    <n v="4431"/>
    <n v="113.34438179999999"/>
    <n v="22.911459969999999"/>
    <x v="48"/>
  </r>
  <r>
    <n v="4432"/>
    <n v="113.34659569999999"/>
    <n v="22.91302554"/>
    <x v="48"/>
  </r>
  <r>
    <n v="4433"/>
    <n v="113.3429586"/>
    <n v="22.909537239999999"/>
    <x v="48"/>
  </r>
  <r>
    <n v="4434"/>
    <n v="113.3417938"/>
    <n v="22.909653240000001"/>
    <x v="48"/>
  </r>
  <r>
    <n v="4435"/>
    <n v="113.3440325"/>
    <n v="22.910650910000001"/>
    <x v="48"/>
  </r>
  <r>
    <n v="4436"/>
    <n v="113.3445086"/>
    <n v="22.911867579999999"/>
    <x v="48"/>
  </r>
  <r>
    <n v="4437"/>
    <n v="113.349367"/>
    <n v="22.91154955"/>
    <x v="48"/>
  </r>
  <r>
    <n v="4438"/>
    <n v="113.3429695"/>
    <n v="22.910496819999999"/>
    <x v="48"/>
  </r>
  <r>
    <n v="4439"/>
    <n v="113.3420023"/>
    <n v="22.91112227"/>
    <x v="48"/>
  </r>
  <r>
    <n v="4440"/>
    <n v="113.343262"/>
    <n v="22.909857580000001"/>
    <x v="48"/>
  </r>
  <r>
    <n v="4441"/>
    <n v="113.343762"/>
    <n v="22.910788320000002"/>
    <x v="48"/>
  </r>
  <r>
    <n v="4442"/>
    <n v="113.34921319999999"/>
    <n v="22.912477410000001"/>
    <x v="48"/>
  </r>
  <r>
    <n v="4443"/>
    <n v="113.34171790000001"/>
    <n v="22.90949144"/>
    <x v="48"/>
  </r>
  <r>
    <n v="4444"/>
    <n v="113.34352440000001"/>
    <n v="22.911898269999998"/>
    <x v="48"/>
  </r>
  <r>
    <n v="4445"/>
    <n v="113.3480911"/>
    <n v="22.913621790000001"/>
    <x v="48"/>
  </r>
  <r>
    <n v="4446"/>
    <n v="113.3434515"/>
    <n v="22.911555539999998"/>
    <x v="48"/>
  </r>
  <r>
    <n v="4447"/>
    <n v="113.34608059999999"/>
    <n v="22.913395260000001"/>
    <x v="48"/>
  </r>
  <r>
    <n v="4448"/>
    <n v="113.3465408"/>
    <n v="22.913356490000002"/>
    <x v="48"/>
  </r>
  <r>
    <n v="4449"/>
    <n v="113.3437239"/>
    <n v="22.913034459999999"/>
    <x v="48"/>
  </r>
  <r>
    <n v="4450"/>
    <n v="113.34811500000001"/>
    <n v="22.91337785"/>
    <x v="48"/>
  </r>
  <r>
    <n v="4451"/>
    <n v="113.3483646"/>
    <n v="22.91284666"/>
    <x v="48"/>
  </r>
  <r>
    <n v="4452"/>
    <n v="113.34520620000001"/>
    <n v="22.912797999999999"/>
    <x v="48"/>
  </r>
  <r>
    <n v="4453"/>
    <n v="113.34362109999999"/>
    <n v="22.913263539999999"/>
    <x v="48"/>
  </r>
  <r>
    <n v="4454"/>
    <n v="113.342135"/>
    <n v="22.911896710000001"/>
    <x v="48"/>
  </r>
  <r>
    <n v="4455"/>
    <n v="113.34390860000001"/>
    <n v="22.913385989999998"/>
    <x v="48"/>
  </r>
  <r>
    <n v="4456"/>
    <n v="113.3418585"/>
    <n v="22.912024150000001"/>
    <x v="48"/>
  </r>
  <r>
    <n v="4457"/>
    <n v="113.34180790000001"/>
    <n v="22.907579070000001"/>
    <x v="48"/>
  </r>
  <r>
    <n v="4458"/>
    <n v="113.34313419999999"/>
    <n v="22.910930359999998"/>
    <x v="48"/>
  </r>
  <r>
    <n v="4459"/>
    <n v="113.341838"/>
    <n v="22.905544859999999"/>
    <x v="48"/>
  </r>
  <r>
    <n v="4460"/>
    <n v="113.34598389999999"/>
    <n v="22.91191903"/>
    <x v="48"/>
  </r>
  <r>
    <n v="4461"/>
    <n v="113.3488548"/>
    <n v="22.913102739999999"/>
    <x v="48"/>
  </r>
  <r>
    <n v="4462"/>
    <n v="113.34189139999999"/>
    <n v="22.91235695"/>
    <x v="48"/>
  </r>
  <r>
    <n v="4463"/>
    <n v="113.3576546"/>
    <n v="22.9115298"/>
    <x v="49"/>
  </r>
  <r>
    <n v="4464"/>
    <n v="113.36099489999999"/>
    <n v="22.910649509999999"/>
    <x v="49"/>
  </r>
  <r>
    <n v="4465"/>
    <n v="113.3571804"/>
    <n v="22.91094472"/>
    <x v="49"/>
  </r>
  <r>
    <n v="4466"/>
    <n v="113.3576037"/>
    <n v="22.911107040000001"/>
    <x v="49"/>
  </r>
  <r>
    <n v="4467"/>
    <n v="113.3583138"/>
    <n v="22.908999900000001"/>
    <x v="49"/>
  </r>
  <r>
    <n v="4468"/>
    <n v="113.3601013"/>
    <n v="22.9080558"/>
    <x v="49"/>
  </r>
  <r>
    <n v="4469"/>
    <n v="113.35884799999999"/>
    <n v="22.90897416"/>
    <x v="49"/>
  </r>
  <r>
    <n v="4470"/>
    <n v="113.35731610000001"/>
    <n v="22.911917119999998"/>
    <x v="49"/>
  </r>
  <r>
    <n v="4471"/>
    <n v="113.3530679"/>
    <n v="22.909891330000001"/>
    <x v="48"/>
  </r>
  <r>
    <n v="4472"/>
    <n v="113.3529142"/>
    <n v="22.909487739999999"/>
    <x v="48"/>
  </r>
  <r>
    <n v="4473"/>
    <n v="113.35702449999999"/>
    <n v="22.912826169999999"/>
    <x v="49"/>
  </r>
  <r>
    <n v="4474"/>
    <n v="113.35878219999999"/>
    <n v="22.907901689999999"/>
    <x v="49"/>
  </r>
  <r>
    <n v="4475"/>
    <n v="113.3565761"/>
    <n v="22.913517540000001"/>
    <x v="49"/>
  </r>
  <r>
    <n v="4476"/>
    <n v="113.3603887"/>
    <n v="22.91101518"/>
    <x v="49"/>
  </r>
  <r>
    <n v="4477"/>
    <n v="113.35878510000001"/>
    <n v="22.90927812"/>
    <x v="49"/>
  </r>
  <r>
    <n v="4478"/>
    <n v="113.3584087"/>
    <n v="22.909291639999999"/>
    <x v="49"/>
  </r>
  <r>
    <n v="4479"/>
    <n v="113.3627195"/>
    <n v="22.910082469999999"/>
    <x v="49"/>
  </r>
  <r>
    <n v="4480"/>
    <n v="113.3638569"/>
    <n v="22.9118213"/>
    <x v="49"/>
  </r>
  <r>
    <n v="4481"/>
    <n v="113.36397669999999"/>
    <n v="22.912357920000002"/>
    <x v="49"/>
  </r>
  <r>
    <n v="4482"/>
    <n v="113.3685042"/>
    <n v="22.912492499999999"/>
    <x v="49"/>
  </r>
  <r>
    <n v="4483"/>
    <n v="113.3636632"/>
    <n v="22.912163400000001"/>
    <x v="49"/>
  </r>
  <r>
    <n v="4484"/>
    <n v="113.3690217"/>
    <n v="22.912512920000001"/>
    <x v="49"/>
  </r>
  <r>
    <n v="4485"/>
    <n v="113.36869900000001"/>
    <n v="22.912726190000001"/>
    <x v="49"/>
  </r>
  <r>
    <n v="4486"/>
    <n v="113.3627625"/>
    <n v="22.910358299999999"/>
    <x v="49"/>
  </r>
  <r>
    <n v="4487"/>
    <n v="113.3681376"/>
    <n v="22.913184619999999"/>
    <x v="49"/>
  </r>
  <r>
    <n v="4488"/>
    <n v="113.36905659999999"/>
    <n v="22.91316861"/>
    <x v="49"/>
  </r>
  <r>
    <n v="4489"/>
    <n v="113.3634205"/>
    <n v="22.912066750000001"/>
    <x v="49"/>
  </r>
  <r>
    <n v="4490"/>
    <n v="113.3632762"/>
    <n v="22.904256149999998"/>
    <x v="49"/>
  </r>
  <r>
    <n v="4491"/>
    <n v="113.3633471"/>
    <n v="22.90384323"/>
    <x v="49"/>
  </r>
  <r>
    <n v="4492"/>
    <n v="113.3624038"/>
    <n v="22.912960689999998"/>
    <x v="49"/>
  </r>
  <r>
    <n v="4493"/>
    <n v="113.3628198"/>
    <n v="22.903753949999999"/>
    <x v="49"/>
  </r>
  <r>
    <n v="4494"/>
    <n v="113.36345439999999"/>
    <n v="22.913201229999999"/>
    <x v="49"/>
  </r>
  <r>
    <n v="4495"/>
    <n v="113.36895079999999"/>
    <n v="22.91183328"/>
    <x v="49"/>
  </r>
  <r>
    <n v="4496"/>
    <n v="113.3703702"/>
    <n v="22.91250148"/>
    <x v="49"/>
  </r>
  <r>
    <n v="4497"/>
    <n v="113.3720634"/>
    <n v="22.913572309999999"/>
    <x v="49"/>
  </r>
  <r>
    <n v="4498"/>
    <n v="113.3964244"/>
    <n v="22.906718489999999"/>
    <x v="47"/>
  </r>
  <r>
    <n v="4499"/>
    <n v="113.39273129999999"/>
    <n v="22.908032290000001"/>
    <x v="47"/>
  </r>
  <r>
    <n v="4500"/>
    <n v="113.4008023"/>
    <n v="22.90747554"/>
    <x v="47"/>
  </r>
  <r>
    <n v="4501"/>
    <n v="113.4012214"/>
    <n v="22.907191739999998"/>
    <x v="47"/>
  </r>
  <r>
    <n v="4502"/>
    <n v="113.3925744"/>
    <n v="22.90655293"/>
    <x v="47"/>
  </r>
  <r>
    <n v="4503"/>
    <n v="113.5185173"/>
    <n v="22.909633800000002"/>
    <x v="6"/>
  </r>
  <r>
    <n v="4504"/>
    <n v="113.5180355"/>
    <n v="22.912395320000002"/>
    <x v="6"/>
  </r>
  <r>
    <n v="4505"/>
    <n v="113.5135461"/>
    <n v="22.904526870000002"/>
    <x v="6"/>
  </r>
  <r>
    <n v="4506"/>
    <n v="113.286103"/>
    <n v="22.89950984"/>
    <x v="44"/>
  </r>
  <r>
    <n v="4507"/>
    <n v="113.2867071"/>
    <n v="22.899875829999999"/>
    <x v="44"/>
  </r>
  <r>
    <n v="4508"/>
    <n v="113.2865473"/>
    <n v="22.89958918"/>
    <x v="44"/>
  </r>
  <r>
    <n v="4509"/>
    <n v="113.29006870000001"/>
    <n v="22.898551430000001"/>
    <x v="44"/>
  </r>
  <r>
    <n v="4510"/>
    <n v="113.2877105"/>
    <n v="22.8991167"/>
    <x v="44"/>
  </r>
  <r>
    <n v="4511"/>
    <n v="113.2890434"/>
    <n v="22.89854897"/>
    <x v="44"/>
  </r>
  <r>
    <n v="4512"/>
    <n v="113.290469"/>
    <n v="22.89851784"/>
    <x v="44"/>
  </r>
  <r>
    <n v="4513"/>
    <n v="113.282881"/>
    <n v="22.89826077"/>
    <x v="44"/>
  </r>
  <r>
    <n v="4514"/>
    <n v="113.2916883"/>
    <n v="22.89393583"/>
    <x v="44"/>
  </r>
  <r>
    <n v="4515"/>
    <n v="113.2877864"/>
    <n v="22.898151980000002"/>
    <x v="44"/>
  </r>
  <r>
    <n v="4516"/>
    <n v="113.2938664"/>
    <n v="22.89448818"/>
    <x v="44"/>
  </r>
  <r>
    <n v="4517"/>
    <n v="113.2928891"/>
    <n v="22.89534738"/>
    <x v="44"/>
  </r>
  <r>
    <n v="4518"/>
    <n v="113.2922523"/>
    <n v="22.893884969999998"/>
    <x v="44"/>
  </r>
  <r>
    <n v="4519"/>
    <n v="113.3042928"/>
    <n v="22.89919858"/>
    <x v="44"/>
  </r>
  <r>
    <n v="4520"/>
    <n v="113.3049494"/>
    <n v="22.900674800000001"/>
    <x v="44"/>
  </r>
  <r>
    <n v="4521"/>
    <n v="113.3286971"/>
    <n v="22.900769069999999"/>
    <x v="8"/>
  </r>
  <r>
    <n v="4522"/>
    <n v="113.3289336"/>
    <n v="22.901211440000001"/>
    <x v="8"/>
  </r>
  <r>
    <n v="4523"/>
    <n v="113.32697880000001"/>
    <n v="22.89872218"/>
    <x v="8"/>
  </r>
  <r>
    <n v="4524"/>
    <n v="113.3288269"/>
    <n v="22.900956749999999"/>
    <x v="8"/>
  </r>
  <r>
    <n v="4525"/>
    <n v="113.33202919999999"/>
    <n v="22.903581620000001"/>
    <x v="8"/>
  </r>
  <r>
    <n v="4526"/>
    <n v="113.33356620000001"/>
    <n v="22.902394229999999"/>
    <x v="8"/>
  </r>
  <r>
    <n v="4527"/>
    <n v="113.33437960000001"/>
    <n v="22.902898499999999"/>
    <x v="8"/>
  </r>
  <r>
    <n v="4528"/>
    <n v="113.33224679999999"/>
    <n v="22.903195369999999"/>
    <x v="8"/>
  </r>
  <r>
    <n v="4529"/>
    <n v="113.3340841"/>
    <n v="22.903267899999999"/>
    <x v="8"/>
  </r>
  <r>
    <n v="4530"/>
    <n v="113.33373880000001"/>
    <n v="22.902921689999999"/>
    <x v="8"/>
  </r>
  <r>
    <n v="4531"/>
    <n v="113.33314799999999"/>
    <n v="22.903644490000001"/>
    <x v="8"/>
  </r>
  <r>
    <n v="4532"/>
    <n v="113.3329025"/>
    <n v="22.90299722"/>
    <x v="8"/>
  </r>
  <r>
    <n v="4533"/>
    <n v="113.34710579999999"/>
    <n v="22.89861861"/>
    <x v="48"/>
  </r>
  <r>
    <n v="4534"/>
    <n v="113.28079339999999"/>
    <n v="22.892656760000001"/>
    <x v="44"/>
  </r>
  <r>
    <n v="4535"/>
    <n v="113.550009"/>
    <n v="22.872560310000001"/>
    <x v="6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2A6C9CC-D5B0-4802-BDC9-C68F7FFDBE93}" name="数据透视表1" cacheId="6" applyNumberFormats="0" applyBorderFormats="0" applyFontFormats="0" applyPatternFormats="0" applyAlignmentFormats="0" applyWidthHeightFormats="1" dataCaption="值" updatedVersion="8" minRefreshableVersion="3" useAutoFormatting="1" itemPrintTitles="1" createdVersion="8" indent="0" outline="1" outlineData="1" multipleFieldFilters="0">
  <location ref="K1:L52" firstHeaderRow="1" firstDataRow="1" firstDataCol="1"/>
  <pivotFields count="4">
    <pivotField showAll="0"/>
    <pivotField showAll="0"/>
    <pivotField showAll="0"/>
    <pivotField axis="axisRow" dataField="1" showAll="0">
      <items count="51">
        <item x="6"/>
        <item x="27"/>
        <item x="30"/>
        <item x="13"/>
        <item x="47"/>
        <item x="33"/>
        <item x="24"/>
        <item x="16"/>
        <item x="35"/>
        <item x="41"/>
        <item x="19"/>
        <item x="7"/>
        <item x="17"/>
        <item x="8"/>
        <item x="18"/>
        <item x="25"/>
        <item x="36"/>
        <item x="28"/>
        <item x="21"/>
        <item x="29"/>
        <item x="46"/>
        <item x="39"/>
        <item x="23"/>
        <item x="14"/>
        <item x="49"/>
        <item x="20"/>
        <item x="38"/>
        <item x="31"/>
        <item x="26"/>
        <item x="2"/>
        <item x="1"/>
        <item x="37"/>
        <item x="44"/>
        <item x="34"/>
        <item x="40"/>
        <item x="12"/>
        <item x="11"/>
        <item x="22"/>
        <item x="5"/>
        <item x="15"/>
        <item x="4"/>
        <item x="48"/>
        <item x="42"/>
        <item x="43"/>
        <item x="32"/>
        <item x="45"/>
        <item x="9"/>
        <item x="10"/>
        <item x="3"/>
        <item x="0"/>
        <item t="default"/>
      </items>
    </pivotField>
  </pivotFields>
  <rowFields count="1">
    <field x="3"/>
  </rowFields>
  <rowItems count="5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 t="grand">
      <x/>
    </i>
  </rowItems>
  <colItems count="1">
    <i/>
  </colItems>
  <dataFields count="1">
    <dataField name="计数项:Cluster" fld="3" subtotal="count" baseField="3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0860A3-FD79-4C7E-8FE7-3966352C7FCD}">
  <sheetPr>
    <tabColor theme="5" tint="0.39997558519241921"/>
  </sheetPr>
  <dimension ref="A1:P4536"/>
  <sheetViews>
    <sheetView zoomScale="115" zoomScaleNormal="115" workbookViewId="0">
      <selection activeCell="P3" sqref="P3"/>
    </sheetView>
  </sheetViews>
  <sheetFormatPr defaultColWidth="8.875" defaultRowHeight="15" x14ac:dyDescent="0.2"/>
  <cols>
    <col min="1" max="1" width="8.875" style="3"/>
    <col min="2" max="3" width="15.125" style="3" customWidth="1"/>
    <col min="4" max="4" width="8.875" style="3"/>
    <col min="5" max="7" width="8.875" style="1"/>
    <col min="8" max="9" width="15.125" style="1" customWidth="1"/>
    <col min="10" max="10" width="8.875" style="1"/>
    <col min="11" max="11" width="9.125" style="1" bestFit="1" customWidth="1"/>
    <col min="12" max="12" width="13.875" style="1" bestFit="1" customWidth="1"/>
    <col min="13" max="14" width="8.875" style="1"/>
    <col min="15" max="15" width="16" style="1" customWidth="1"/>
    <col min="16" max="16" width="15.5" style="1" customWidth="1"/>
    <col min="17" max="16384" width="8.875" style="1"/>
  </cols>
  <sheetData>
    <row r="1" spans="1:16" ht="14.25" x14ac:dyDescent="0.2">
      <c r="A1" s="5" t="s">
        <v>6</v>
      </c>
      <c r="B1" s="5" t="s">
        <v>1</v>
      </c>
      <c r="C1" s="5" t="s">
        <v>2</v>
      </c>
      <c r="D1" s="5" t="s">
        <v>3</v>
      </c>
      <c r="G1" s="10" t="s">
        <v>3</v>
      </c>
      <c r="H1" s="5" t="s">
        <v>4</v>
      </c>
      <c r="I1" s="7" t="s">
        <v>5</v>
      </c>
      <c r="K1" s="15" t="s">
        <v>9</v>
      </c>
      <c r="L1" t="s">
        <v>11</v>
      </c>
      <c r="M1"/>
    </row>
    <row r="2" spans="1:16" x14ac:dyDescent="0.2">
      <c r="A2" s="3">
        <v>1</v>
      </c>
      <c r="B2" s="3">
        <v>113.4450677</v>
      </c>
      <c r="C2" s="3">
        <v>23.060023470000001</v>
      </c>
      <c r="D2" s="3">
        <v>50</v>
      </c>
      <c r="G2" s="22">
        <v>1</v>
      </c>
      <c r="H2" s="3">
        <v>113.486448</v>
      </c>
      <c r="I2" s="23">
        <v>22.96558825</v>
      </c>
      <c r="K2" s="16">
        <v>1</v>
      </c>
      <c r="L2">
        <v>229</v>
      </c>
      <c r="M2"/>
      <c r="O2" s="37" t="s">
        <v>19</v>
      </c>
      <c r="P2" s="37"/>
    </row>
    <row r="3" spans="1:16" x14ac:dyDescent="0.2">
      <c r="A3" s="3">
        <v>2</v>
      </c>
      <c r="B3" s="3">
        <v>113.4856102</v>
      </c>
      <c r="C3" s="3">
        <v>23.053327289999999</v>
      </c>
      <c r="D3" s="3">
        <v>50</v>
      </c>
      <c r="G3" s="11">
        <v>2</v>
      </c>
      <c r="H3" s="3">
        <v>113.34630060000001</v>
      </c>
      <c r="I3" s="8">
        <v>22.9792846</v>
      </c>
      <c r="K3" s="16">
        <v>2</v>
      </c>
      <c r="L3">
        <v>74</v>
      </c>
      <c r="M3"/>
      <c r="O3" s="21" t="s">
        <v>17</v>
      </c>
      <c r="P3" s="27">
        <v>1311</v>
      </c>
    </row>
    <row r="4" spans="1:16" x14ac:dyDescent="0.2">
      <c r="A4" s="3">
        <v>3</v>
      </c>
      <c r="B4" s="3">
        <v>113.3119501</v>
      </c>
      <c r="C4" s="3">
        <v>23.024824110000001</v>
      </c>
      <c r="D4" s="3">
        <v>31</v>
      </c>
      <c r="G4" s="11">
        <v>3</v>
      </c>
      <c r="H4" s="3">
        <v>113.32052400000001</v>
      </c>
      <c r="I4" s="8">
        <v>22.970600820000001</v>
      </c>
      <c r="K4" s="16">
        <v>3</v>
      </c>
      <c r="L4">
        <v>70</v>
      </c>
      <c r="M4"/>
      <c r="O4" s="20" t="s">
        <v>18</v>
      </c>
      <c r="P4" s="28" t="s">
        <v>22</v>
      </c>
    </row>
    <row r="5" spans="1:16" x14ac:dyDescent="0.2">
      <c r="A5" s="3">
        <v>4</v>
      </c>
      <c r="B5" s="3">
        <v>113.3213825</v>
      </c>
      <c r="C5" s="3">
        <v>23.028932439999998</v>
      </c>
      <c r="D5" s="3">
        <v>30</v>
      </c>
      <c r="G5" s="11">
        <v>4</v>
      </c>
      <c r="H5" s="3">
        <v>113.30939170000001</v>
      </c>
      <c r="I5" s="8">
        <v>23.040646670000001</v>
      </c>
      <c r="K5" s="16">
        <v>4</v>
      </c>
      <c r="L5">
        <v>99</v>
      </c>
      <c r="M5"/>
    </row>
    <row r="6" spans="1:16" x14ac:dyDescent="0.2">
      <c r="A6" s="3">
        <v>5</v>
      </c>
      <c r="B6" s="3">
        <v>113.41200790000001</v>
      </c>
      <c r="C6" s="3">
        <v>23.025294129999999</v>
      </c>
      <c r="D6" s="3">
        <v>49</v>
      </c>
      <c r="G6" s="11">
        <v>5</v>
      </c>
      <c r="H6" s="3">
        <v>113.3937543</v>
      </c>
      <c r="I6" s="8">
        <v>22.91931988</v>
      </c>
      <c r="K6" s="16">
        <v>5</v>
      </c>
      <c r="L6">
        <v>41</v>
      </c>
      <c r="M6"/>
    </row>
    <row r="7" spans="1:16" x14ac:dyDescent="0.2">
      <c r="A7" s="3">
        <v>6</v>
      </c>
      <c r="B7" s="3">
        <v>113.4119458</v>
      </c>
      <c r="C7" s="3">
        <v>23.025368060000002</v>
      </c>
      <c r="D7" s="3">
        <v>49</v>
      </c>
      <c r="G7" s="11">
        <v>6</v>
      </c>
      <c r="H7" s="3">
        <v>113.37898010000001</v>
      </c>
      <c r="I7" s="8">
        <v>22.94733222</v>
      </c>
      <c r="K7" s="16">
        <v>6</v>
      </c>
      <c r="L7">
        <v>79</v>
      </c>
      <c r="M7"/>
    </row>
    <row r="8" spans="1:16" x14ac:dyDescent="0.2">
      <c r="A8" s="3">
        <v>7</v>
      </c>
      <c r="B8" s="3">
        <v>113.3731974</v>
      </c>
      <c r="C8" s="3">
        <v>23.013712460000001</v>
      </c>
      <c r="D8" s="3">
        <v>41</v>
      </c>
      <c r="G8" s="11">
        <v>7</v>
      </c>
      <c r="H8" s="3">
        <v>113.34259299999999</v>
      </c>
      <c r="I8" s="8">
        <v>22.99638363</v>
      </c>
      <c r="K8" s="16">
        <v>7</v>
      </c>
      <c r="L8">
        <v>97</v>
      </c>
      <c r="M8"/>
    </row>
    <row r="9" spans="1:16" x14ac:dyDescent="0.2">
      <c r="A9" s="3">
        <v>8</v>
      </c>
      <c r="B9" s="3">
        <v>113.4639773</v>
      </c>
      <c r="C9" s="3">
        <v>23.021436749999999</v>
      </c>
      <c r="D9" s="3">
        <v>50</v>
      </c>
      <c r="G9" s="11">
        <v>8</v>
      </c>
      <c r="H9" s="3">
        <v>113.30163400000001</v>
      </c>
      <c r="I9" s="8">
        <v>23.02929739</v>
      </c>
      <c r="K9" s="16">
        <v>8</v>
      </c>
      <c r="L9">
        <v>126</v>
      </c>
      <c r="M9"/>
    </row>
    <row r="10" spans="1:16" x14ac:dyDescent="0.2">
      <c r="A10" s="3">
        <v>9</v>
      </c>
      <c r="B10" s="3">
        <v>113.392742</v>
      </c>
      <c r="C10" s="3">
        <v>23.000809830000001</v>
      </c>
      <c r="D10" s="3">
        <v>41</v>
      </c>
      <c r="G10" s="11">
        <v>9</v>
      </c>
      <c r="H10" s="3">
        <v>113.318248</v>
      </c>
      <c r="I10" s="8">
        <v>22.939001810000001</v>
      </c>
      <c r="K10" s="16">
        <v>9</v>
      </c>
      <c r="L10">
        <v>52</v>
      </c>
      <c r="M10"/>
    </row>
    <row r="11" spans="1:16" x14ac:dyDescent="0.2">
      <c r="A11" s="3">
        <v>10</v>
      </c>
      <c r="B11" s="3">
        <v>113.3923934</v>
      </c>
      <c r="C11" s="3">
        <v>22.995784069999999</v>
      </c>
      <c r="D11" s="3">
        <v>39</v>
      </c>
      <c r="G11" s="11">
        <v>10</v>
      </c>
      <c r="H11" s="3">
        <v>113.3378469</v>
      </c>
      <c r="I11" s="8">
        <v>22.936390800000002</v>
      </c>
      <c r="K11" s="16">
        <v>10</v>
      </c>
      <c r="L11">
        <v>49</v>
      </c>
      <c r="M11"/>
    </row>
    <row r="12" spans="1:16" x14ac:dyDescent="0.2">
      <c r="A12" s="3">
        <v>11</v>
      </c>
      <c r="B12" s="3">
        <v>113.4202348</v>
      </c>
      <c r="C12" s="3">
        <v>22.996035939999999</v>
      </c>
      <c r="D12" s="3">
        <v>39</v>
      </c>
      <c r="G12" s="11">
        <v>11</v>
      </c>
      <c r="H12" s="3">
        <v>113.300758</v>
      </c>
      <c r="I12" s="8">
        <v>23.008192399999999</v>
      </c>
      <c r="K12" s="16">
        <v>11</v>
      </c>
      <c r="L12">
        <v>68</v>
      </c>
      <c r="M12"/>
    </row>
    <row r="13" spans="1:16" x14ac:dyDescent="0.2">
      <c r="A13" s="3">
        <v>12</v>
      </c>
      <c r="B13" s="3">
        <v>113.4044262</v>
      </c>
      <c r="C13" s="3">
        <v>22.989326779999999</v>
      </c>
      <c r="D13" s="3">
        <v>39</v>
      </c>
      <c r="G13" s="11">
        <v>12</v>
      </c>
      <c r="H13" s="3">
        <v>113.434842</v>
      </c>
      <c r="I13" s="8">
        <v>22.957812100000002</v>
      </c>
      <c r="K13" s="16">
        <v>12</v>
      </c>
      <c r="L13">
        <v>95</v>
      </c>
      <c r="M13"/>
    </row>
    <row r="14" spans="1:16" x14ac:dyDescent="0.2">
      <c r="A14" s="3">
        <v>13</v>
      </c>
      <c r="B14" s="3">
        <v>113.4118151</v>
      </c>
      <c r="C14" s="3">
        <v>22.99103281</v>
      </c>
      <c r="D14" s="3">
        <v>39</v>
      </c>
      <c r="G14" s="11">
        <v>13</v>
      </c>
      <c r="H14" s="3">
        <v>113.34311649999999</v>
      </c>
      <c r="I14" s="8">
        <v>23.031605039999999</v>
      </c>
      <c r="K14" s="16">
        <v>13</v>
      </c>
      <c r="L14">
        <v>32</v>
      </c>
      <c r="M14"/>
    </row>
    <row r="15" spans="1:16" x14ac:dyDescent="0.2">
      <c r="A15" s="3">
        <v>14</v>
      </c>
      <c r="B15" s="3">
        <v>113.4087894</v>
      </c>
      <c r="C15" s="3">
        <v>22.980559490000001</v>
      </c>
      <c r="D15" s="3">
        <v>39</v>
      </c>
      <c r="G15" s="11">
        <v>14</v>
      </c>
      <c r="H15" s="3">
        <v>113.331534</v>
      </c>
      <c r="I15" s="8">
        <v>22.905528069999999</v>
      </c>
      <c r="K15" s="16">
        <v>14</v>
      </c>
      <c r="L15">
        <v>49</v>
      </c>
      <c r="M15"/>
    </row>
    <row r="16" spans="1:16" x14ac:dyDescent="0.2">
      <c r="A16" s="3">
        <v>15</v>
      </c>
      <c r="B16" s="3">
        <v>113.5092411</v>
      </c>
      <c r="C16" s="3">
        <v>22.969596979999999</v>
      </c>
      <c r="D16" s="3">
        <v>1</v>
      </c>
      <c r="G16" s="11">
        <v>15</v>
      </c>
      <c r="H16" s="3">
        <v>113.2838658</v>
      </c>
      <c r="I16" s="8">
        <v>23.015717540000001</v>
      </c>
      <c r="K16" s="16">
        <v>15</v>
      </c>
      <c r="L16">
        <v>33</v>
      </c>
      <c r="M16"/>
    </row>
    <row r="17" spans="1:13" x14ac:dyDescent="0.2">
      <c r="A17" s="3">
        <v>16</v>
      </c>
      <c r="B17" s="3">
        <v>113.5102857</v>
      </c>
      <c r="C17" s="3">
        <v>22.970311720000002</v>
      </c>
      <c r="D17" s="3">
        <v>1</v>
      </c>
      <c r="G17" s="11">
        <v>16</v>
      </c>
      <c r="H17" s="3">
        <v>113.3225193</v>
      </c>
      <c r="I17" s="8">
        <v>22.992116360000001</v>
      </c>
      <c r="K17" s="16">
        <v>16</v>
      </c>
      <c r="L17">
        <v>61</v>
      </c>
      <c r="M17"/>
    </row>
    <row r="18" spans="1:13" x14ac:dyDescent="0.2">
      <c r="A18" s="3">
        <v>17</v>
      </c>
      <c r="B18" s="3">
        <v>113.42764339999999</v>
      </c>
      <c r="C18" s="3">
        <v>22.940604700000002</v>
      </c>
      <c r="D18" s="3">
        <v>12</v>
      </c>
      <c r="G18" s="11">
        <v>17</v>
      </c>
      <c r="H18" s="3">
        <v>113.33222139999999</v>
      </c>
      <c r="I18" s="8">
        <v>22.953818099999999</v>
      </c>
      <c r="K18" s="16">
        <v>17</v>
      </c>
      <c r="L18">
        <v>45</v>
      </c>
      <c r="M18"/>
    </row>
    <row r="19" spans="1:13" x14ac:dyDescent="0.2">
      <c r="A19" s="3">
        <v>18</v>
      </c>
      <c r="B19" s="3">
        <v>113.4354766</v>
      </c>
      <c r="C19" s="3">
        <v>22.94145339</v>
      </c>
      <c r="D19" s="3">
        <v>12</v>
      </c>
      <c r="G19" s="11">
        <v>18</v>
      </c>
      <c r="H19" s="3">
        <v>113.365624</v>
      </c>
      <c r="I19" s="8">
        <v>22.974741640000001</v>
      </c>
      <c r="K19" s="16">
        <v>18</v>
      </c>
      <c r="L19">
        <v>109</v>
      </c>
    </row>
    <row r="20" spans="1:13" x14ac:dyDescent="0.2">
      <c r="A20" s="3">
        <v>19</v>
      </c>
      <c r="B20" s="3">
        <v>113.4638017</v>
      </c>
      <c r="C20" s="3">
        <v>22.933351089999999</v>
      </c>
      <c r="D20" s="3">
        <v>12</v>
      </c>
      <c r="G20" s="11">
        <v>19</v>
      </c>
      <c r="H20" s="3">
        <v>113.337316</v>
      </c>
      <c r="I20" s="8">
        <v>23.014273339999999</v>
      </c>
      <c r="K20" s="16">
        <v>19</v>
      </c>
      <c r="L20">
        <v>123</v>
      </c>
    </row>
    <row r="21" spans="1:13" x14ac:dyDescent="0.2">
      <c r="A21" s="3">
        <v>20</v>
      </c>
      <c r="B21" s="3">
        <v>113.5079834</v>
      </c>
      <c r="C21" s="3">
        <v>22.93101871</v>
      </c>
      <c r="D21" s="3">
        <v>1</v>
      </c>
      <c r="G21" s="11">
        <v>20</v>
      </c>
      <c r="H21" s="3">
        <v>113.2753134</v>
      </c>
      <c r="I21" s="8">
        <v>22.968918349999999</v>
      </c>
      <c r="K21" s="16">
        <v>20</v>
      </c>
      <c r="L21">
        <v>7</v>
      </c>
    </row>
    <row r="22" spans="1:13" x14ac:dyDescent="0.2">
      <c r="A22" s="3">
        <v>21</v>
      </c>
      <c r="B22" s="3">
        <v>113.4577609</v>
      </c>
      <c r="C22" s="3">
        <v>22.917836189999999</v>
      </c>
      <c r="D22" s="3">
        <v>12</v>
      </c>
      <c r="G22" s="11">
        <v>21</v>
      </c>
      <c r="H22" s="3">
        <v>113.36405259999999</v>
      </c>
      <c r="I22" s="8">
        <v>22.9258183</v>
      </c>
      <c r="K22" s="16">
        <v>21</v>
      </c>
      <c r="L22">
        <v>133</v>
      </c>
    </row>
    <row r="23" spans="1:13" x14ac:dyDescent="0.2">
      <c r="A23" s="3">
        <v>22</v>
      </c>
      <c r="B23" s="3">
        <v>113.4794038</v>
      </c>
      <c r="C23" s="3">
        <v>22.921161649999998</v>
      </c>
      <c r="D23" s="3">
        <v>1</v>
      </c>
      <c r="G23" s="11">
        <v>22</v>
      </c>
      <c r="H23" s="3">
        <v>113.3578686</v>
      </c>
      <c r="I23" s="8">
        <v>22.94516252</v>
      </c>
      <c r="K23" s="16">
        <v>22</v>
      </c>
      <c r="L23">
        <v>181</v>
      </c>
    </row>
    <row r="24" spans="1:13" x14ac:dyDescent="0.2">
      <c r="A24" s="3">
        <v>23</v>
      </c>
      <c r="B24" s="3">
        <v>113.31988490000001</v>
      </c>
      <c r="C24" s="3">
        <v>22.905036150000001</v>
      </c>
      <c r="D24" s="3">
        <v>14</v>
      </c>
      <c r="G24" s="11">
        <v>23</v>
      </c>
      <c r="H24" s="3">
        <v>113.26713549999999</v>
      </c>
      <c r="I24" s="8">
        <v>22.995450609999999</v>
      </c>
      <c r="K24" s="16">
        <v>23</v>
      </c>
      <c r="L24">
        <v>34</v>
      </c>
    </row>
    <row r="25" spans="1:13" x14ac:dyDescent="0.2">
      <c r="A25" s="3">
        <v>24</v>
      </c>
      <c r="B25" s="3">
        <v>113.32043470000001</v>
      </c>
      <c r="C25" s="3">
        <v>22.906524489999999</v>
      </c>
      <c r="D25" s="3">
        <v>14</v>
      </c>
      <c r="G25" s="11">
        <v>24</v>
      </c>
      <c r="H25" s="3">
        <v>113.32625539999999</v>
      </c>
      <c r="I25" s="8">
        <v>23.03807419</v>
      </c>
      <c r="K25" s="16">
        <v>24</v>
      </c>
      <c r="L25">
        <v>39</v>
      </c>
    </row>
    <row r="26" spans="1:13" x14ac:dyDescent="0.2">
      <c r="A26" s="3">
        <v>25</v>
      </c>
      <c r="B26" s="3">
        <v>113.37528450000001</v>
      </c>
      <c r="C26" s="3">
        <v>23.07357485</v>
      </c>
      <c r="D26" s="3">
        <v>47</v>
      </c>
      <c r="G26" s="11">
        <v>25</v>
      </c>
      <c r="H26" s="3">
        <v>113.3643387</v>
      </c>
      <c r="I26" s="8">
        <v>22.913112569999999</v>
      </c>
      <c r="K26" s="16">
        <v>25</v>
      </c>
      <c r="L26">
        <v>58</v>
      </c>
    </row>
    <row r="27" spans="1:13" x14ac:dyDescent="0.2">
      <c r="A27" s="3">
        <v>26</v>
      </c>
      <c r="B27" s="3">
        <v>113.3647122</v>
      </c>
      <c r="C27" s="3">
        <v>23.067479639999998</v>
      </c>
      <c r="D27" s="3">
        <v>48</v>
      </c>
      <c r="G27" s="11">
        <v>26</v>
      </c>
      <c r="H27" s="3">
        <v>113.3228922</v>
      </c>
      <c r="I27" s="8">
        <v>23.011443209999999</v>
      </c>
      <c r="K27" s="16">
        <v>26</v>
      </c>
      <c r="L27">
        <v>64</v>
      </c>
    </row>
    <row r="28" spans="1:13" x14ac:dyDescent="0.2">
      <c r="A28" s="3">
        <v>27</v>
      </c>
      <c r="B28" s="3">
        <v>113.3647022</v>
      </c>
      <c r="C28" s="3">
        <v>23.067225759999999</v>
      </c>
      <c r="D28" s="3">
        <v>48</v>
      </c>
      <c r="G28" s="11">
        <v>27</v>
      </c>
      <c r="H28" s="3">
        <v>113.3682058</v>
      </c>
      <c r="I28" s="8">
        <v>22.952020300000001</v>
      </c>
      <c r="K28" s="16">
        <v>27</v>
      </c>
      <c r="L28">
        <v>117</v>
      </c>
    </row>
    <row r="29" spans="1:13" x14ac:dyDescent="0.2">
      <c r="A29" s="3">
        <v>28</v>
      </c>
      <c r="B29" s="3">
        <v>113.3710258</v>
      </c>
      <c r="C29" s="3">
        <v>23.069690550000001</v>
      </c>
      <c r="D29" s="3">
        <v>47</v>
      </c>
      <c r="G29" s="11">
        <v>28</v>
      </c>
      <c r="H29" s="3">
        <v>113.3453299</v>
      </c>
      <c r="I29" s="8">
        <v>22.9622703</v>
      </c>
      <c r="K29" s="16">
        <v>28</v>
      </c>
      <c r="L29">
        <v>76</v>
      </c>
    </row>
    <row r="30" spans="1:13" x14ac:dyDescent="0.2">
      <c r="A30" s="3">
        <v>29</v>
      </c>
      <c r="B30" s="3">
        <v>113.3714667</v>
      </c>
      <c r="C30" s="3">
        <v>23.064448330000001</v>
      </c>
      <c r="D30" s="3">
        <v>48</v>
      </c>
      <c r="G30" s="11">
        <v>29</v>
      </c>
      <c r="H30" s="3">
        <v>113.3063969</v>
      </c>
      <c r="I30" s="8">
        <v>22.978418850000001</v>
      </c>
      <c r="K30" s="16">
        <v>29</v>
      </c>
      <c r="L30">
        <v>107</v>
      </c>
    </row>
    <row r="31" spans="1:13" x14ac:dyDescent="0.2">
      <c r="A31" s="3">
        <v>30</v>
      </c>
      <c r="B31" s="3">
        <v>113.3791389</v>
      </c>
      <c r="C31" s="3">
        <v>23.066309839999999</v>
      </c>
      <c r="D31" s="3">
        <v>47</v>
      </c>
      <c r="G31" s="11">
        <v>30</v>
      </c>
      <c r="H31" s="3">
        <v>113.3271548</v>
      </c>
      <c r="I31" s="8">
        <v>23.025990610000001</v>
      </c>
      <c r="K31" s="16">
        <v>30</v>
      </c>
      <c r="L31">
        <v>103</v>
      </c>
    </row>
    <row r="32" spans="1:13" x14ac:dyDescent="0.2">
      <c r="A32" s="3">
        <v>31</v>
      </c>
      <c r="B32" s="3">
        <v>113.3794838</v>
      </c>
      <c r="C32" s="3">
        <v>23.06493618</v>
      </c>
      <c r="D32" s="3">
        <v>47</v>
      </c>
      <c r="G32" s="11">
        <v>31</v>
      </c>
      <c r="H32" s="3">
        <v>113.3100161</v>
      </c>
      <c r="I32" s="8">
        <v>23.02223961</v>
      </c>
      <c r="K32" s="16">
        <v>31</v>
      </c>
      <c r="L32">
        <v>246</v>
      </c>
    </row>
    <row r="33" spans="1:12" x14ac:dyDescent="0.2">
      <c r="A33" s="3">
        <v>32</v>
      </c>
      <c r="B33" s="3">
        <v>113.379154</v>
      </c>
      <c r="C33" s="3">
        <v>23.06503137</v>
      </c>
      <c r="D33" s="3">
        <v>47</v>
      </c>
      <c r="G33" s="11">
        <v>32</v>
      </c>
      <c r="H33" s="3">
        <v>113.3478784</v>
      </c>
      <c r="I33" s="8">
        <v>22.946068189999998</v>
      </c>
      <c r="K33" s="16">
        <v>32</v>
      </c>
      <c r="L33">
        <v>118</v>
      </c>
    </row>
    <row r="34" spans="1:12" x14ac:dyDescent="0.2">
      <c r="A34" s="3">
        <v>33</v>
      </c>
      <c r="B34" s="3">
        <v>113.3800734</v>
      </c>
      <c r="C34" s="3">
        <v>23.06439099</v>
      </c>
      <c r="D34" s="3">
        <v>47</v>
      </c>
      <c r="G34" s="11">
        <v>33</v>
      </c>
      <c r="H34" s="3">
        <v>113.29080329999999</v>
      </c>
      <c r="I34" s="8">
        <v>22.89959202</v>
      </c>
      <c r="K34" s="16">
        <v>33</v>
      </c>
      <c r="L34">
        <v>18</v>
      </c>
    </row>
    <row r="35" spans="1:12" x14ac:dyDescent="0.2">
      <c r="A35" s="3">
        <v>34</v>
      </c>
      <c r="B35" s="3">
        <v>113.3799625</v>
      </c>
      <c r="C35" s="3">
        <v>23.064250130000001</v>
      </c>
      <c r="D35" s="3">
        <v>47</v>
      </c>
      <c r="G35" s="11">
        <v>34</v>
      </c>
      <c r="H35" s="3">
        <v>113.3991257</v>
      </c>
      <c r="I35" s="8">
        <v>22.946411080000001</v>
      </c>
      <c r="K35" s="16">
        <v>34</v>
      </c>
      <c r="L35">
        <v>146</v>
      </c>
    </row>
    <row r="36" spans="1:12" x14ac:dyDescent="0.2">
      <c r="A36" s="3">
        <v>35</v>
      </c>
      <c r="B36" s="3">
        <v>113.3848417</v>
      </c>
      <c r="C36" s="3">
        <v>23.0656356</v>
      </c>
      <c r="D36" s="3">
        <v>47</v>
      </c>
      <c r="G36" s="11">
        <v>35</v>
      </c>
      <c r="H36" s="3">
        <v>113.36672230000001</v>
      </c>
      <c r="I36" s="8">
        <v>22.93808241</v>
      </c>
      <c r="K36" s="16">
        <v>35</v>
      </c>
      <c r="L36">
        <v>156</v>
      </c>
    </row>
    <row r="37" spans="1:12" x14ac:dyDescent="0.2">
      <c r="A37" s="3">
        <v>36</v>
      </c>
      <c r="B37" s="3">
        <v>113.38706860000001</v>
      </c>
      <c r="C37" s="3">
        <v>23.068135519999998</v>
      </c>
      <c r="D37" s="3">
        <v>47</v>
      </c>
      <c r="G37" s="11">
        <v>36</v>
      </c>
      <c r="H37" s="3">
        <v>113.2637658</v>
      </c>
      <c r="I37" s="8">
        <v>23.044136179999999</v>
      </c>
      <c r="K37" s="16">
        <v>36</v>
      </c>
      <c r="L37">
        <v>30</v>
      </c>
    </row>
    <row r="38" spans="1:12" x14ac:dyDescent="0.2">
      <c r="A38" s="3">
        <v>37</v>
      </c>
      <c r="B38" s="3">
        <v>113.3866479</v>
      </c>
      <c r="C38" s="3">
        <v>23.066079569999999</v>
      </c>
      <c r="D38" s="3">
        <v>47</v>
      </c>
      <c r="G38" s="11">
        <v>37</v>
      </c>
      <c r="H38" s="3">
        <v>113.29338559999999</v>
      </c>
      <c r="I38" s="8">
        <v>23.044805440000001</v>
      </c>
      <c r="K38" s="16">
        <v>37</v>
      </c>
      <c r="L38">
        <v>144</v>
      </c>
    </row>
    <row r="39" spans="1:12" x14ac:dyDescent="0.2">
      <c r="A39" s="3">
        <v>38</v>
      </c>
      <c r="B39" s="3">
        <v>113.3841171</v>
      </c>
      <c r="C39" s="3">
        <v>23.06490329</v>
      </c>
      <c r="D39" s="3">
        <v>47</v>
      </c>
      <c r="G39" s="11">
        <v>38</v>
      </c>
      <c r="H39" s="3">
        <v>113.3615789</v>
      </c>
      <c r="I39" s="8">
        <v>23.001623599999999</v>
      </c>
      <c r="K39" s="16">
        <v>38</v>
      </c>
      <c r="L39">
        <v>67</v>
      </c>
    </row>
    <row r="40" spans="1:12" x14ac:dyDescent="0.2">
      <c r="A40" s="3">
        <v>39</v>
      </c>
      <c r="B40" s="3">
        <v>113.3851983</v>
      </c>
      <c r="C40" s="3">
        <v>23.0685182</v>
      </c>
      <c r="D40" s="3">
        <v>47</v>
      </c>
      <c r="G40" s="11">
        <v>39</v>
      </c>
      <c r="H40" s="3">
        <v>113.3848428</v>
      </c>
      <c r="I40" s="8">
        <v>22.986857310000001</v>
      </c>
      <c r="K40" s="16">
        <v>39</v>
      </c>
      <c r="L40">
        <v>57</v>
      </c>
    </row>
    <row r="41" spans="1:12" x14ac:dyDescent="0.2">
      <c r="A41" s="3">
        <v>40</v>
      </c>
      <c r="B41" s="3">
        <v>113.38966809999999</v>
      </c>
      <c r="C41" s="3">
        <v>23.064648070000001</v>
      </c>
      <c r="D41" s="3">
        <v>47</v>
      </c>
      <c r="G41" s="11">
        <v>40</v>
      </c>
      <c r="H41" s="3">
        <v>113.3900962</v>
      </c>
      <c r="I41" s="8">
        <v>23.04399149</v>
      </c>
      <c r="K41" s="16">
        <v>40</v>
      </c>
      <c r="L41">
        <v>84</v>
      </c>
    </row>
    <row r="42" spans="1:12" x14ac:dyDescent="0.2">
      <c r="A42" s="3">
        <v>41</v>
      </c>
      <c r="B42" s="3">
        <v>113.38621120000001</v>
      </c>
      <c r="C42" s="3">
        <v>23.06396866</v>
      </c>
      <c r="D42" s="3">
        <v>47</v>
      </c>
      <c r="G42" s="11">
        <v>41</v>
      </c>
      <c r="H42" s="3">
        <v>113.38272499999999</v>
      </c>
      <c r="I42" s="8">
        <v>23.010154480000001</v>
      </c>
      <c r="K42" s="16">
        <v>41</v>
      </c>
      <c r="L42">
        <v>136</v>
      </c>
    </row>
    <row r="43" spans="1:12" x14ac:dyDescent="0.2">
      <c r="A43" s="3">
        <v>42</v>
      </c>
      <c r="B43" s="3">
        <v>113.3908847</v>
      </c>
      <c r="C43" s="3">
        <v>23.067720430000001</v>
      </c>
      <c r="D43" s="3">
        <v>47</v>
      </c>
      <c r="G43" s="11">
        <v>42</v>
      </c>
      <c r="H43" s="3">
        <v>113.3430245</v>
      </c>
      <c r="I43" s="8">
        <v>22.911355799999999</v>
      </c>
      <c r="K43" s="16">
        <v>42</v>
      </c>
      <c r="L43">
        <v>95</v>
      </c>
    </row>
    <row r="44" spans="1:12" x14ac:dyDescent="0.2">
      <c r="A44" s="3">
        <v>43</v>
      </c>
      <c r="B44" s="3">
        <v>113.3910465</v>
      </c>
      <c r="C44" s="3">
        <v>23.069901460000001</v>
      </c>
      <c r="D44" s="3">
        <v>47</v>
      </c>
      <c r="G44" s="11">
        <v>43</v>
      </c>
      <c r="H44" s="3">
        <v>113.352507</v>
      </c>
      <c r="I44" s="8">
        <v>22.929974099999999</v>
      </c>
      <c r="K44" s="16">
        <v>43</v>
      </c>
      <c r="L44">
        <v>148</v>
      </c>
    </row>
    <row r="45" spans="1:12" x14ac:dyDescent="0.2">
      <c r="A45" s="3">
        <v>44</v>
      </c>
      <c r="B45" s="3">
        <v>113.38725820000001</v>
      </c>
      <c r="C45" s="3">
        <v>23.07319429</v>
      </c>
      <c r="D45" s="3">
        <v>47</v>
      </c>
      <c r="G45" s="11">
        <v>44</v>
      </c>
      <c r="H45" s="3">
        <v>113.3801376</v>
      </c>
      <c r="I45" s="8">
        <v>22.93495051</v>
      </c>
      <c r="K45" s="16">
        <v>44</v>
      </c>
      <c r="L45">
        <v>173</v>
      </c>
    </row>
    <row r="46" spans="1:12" x14ac:dyDescent="0.2">
      <c r="A46" s="3">
        <v>45</v>
      </c>
      <c r="B46" s="3">
        <v>113.3861302</v>
      </c>
      <c r="C46" s="3">
        <v>23.064083650000001</v>
      </c>
      <c r="D46" s="3">
        <v>47</v>
      </c>
      <c r="G46" s="11">
        <v>45</v>
      </c>
      <c r="H46" s="3">
        <v>113.35821749999999</v>
      </c>
      <c r="I46" s="8">
        <v>22.957515189999999</v>
      </c>
      <c r="K46" s="16">
        <v>45</v>
      </c>
      <c r="L46">
        <v>154</v>
      </c>
    </row>
    <row r="47" spans="1:12" x14ac:dyDescent="0.2">
      <c r="A47" s="3">
        <v>46</v>
      </c>
      <c r="B47" s="3">
        <v>113.38993000000001</v>
      </c>
      <c r="C47" s="3">
        <v>23.065152779999998</v>
      </c>
      <c r="D47" s="3">
        <v>47</v>
      </c>
      <c r="G47" s="11">
        <v>46</v>
      </c>
      <c r="H47" s="3">
        <v>113.33797939999999</v>
      </c>
      <c r="I47" s="8">
        <v>22.919804599999999</v>
      </c>
      <c r="K47" s="16">
        <v>46</v>
      </c>
      <c r="L47">
        <v>55</v>
      </c>
    </row>
    <row r="48" spans="1:12" x14ac:dyDescent="0.2">
      <c r="A48" s="3">
        <v>47</v>
      </c>
      <c r="B48" s="3">
        <v>113.3904118</v>
      </c>
      <c r="C48" s="3">
        <v>23.066683990000001</v>
      </c>
      <c r="D48" s="3">
        <v>47</v>
      </c>
      <c r="G48" s="11">
        <v>47</v>
      </c>
      <c r="H48" s="3">
        <v>113.3891934</v>
      </c>
      <c r="I48" s="8">
        <v>23.062467120000001</v>
      </c>
      <c r="K48" s="16">
        <v>47</v>
      </c>
      <c r="L48">
        <v>79</v>
      </c>
    </row>
    <row r="49" spans="1:12" x14ac:dyDescent="0.2">
      <c r="A49" s="3">
        <v>48</v>
      </c>
      <c r="B49" s="3">
        <v>113.3851671</v>
      </c>
      <c r="C49" s="3">
        <v>23.07219065</v>
      </c>
      <c r="D49" s="3">
        <v>47</v>
      </c>
      <c r="G49" s="11">
        <v>48</v>
      </c>
      <c r="H49" s="3">
        <v>113.3687403</v>
      </c>
      <c r="I49" s="8">
        <v>23.049751730000001</v>
      </c>
      <c r="K49" s="16">
        <v>48</v>
      </c>
      <c r="L49">
        <v>77</v>
      </c>
    </row>
    <row r="50" spans="1:12" x14ac:dyDescent="0.2">
      <c r="A50" s="3">
        <v>49</v>
      </c>
      <c r="B50" s="3">
        <v>113.3910238</v>
      </c>
      <c r="C50" s="3">
        <v>23.065001550000002</v>
      </c>
      <c r="D50" s="3">
        <v>47</v>
      </c>
      <c r="G50" s="11">
        <v>49</v>
      </c>
      <c r="H50" s="3">
        <v>113.4070122</v>
      </c>
      <c r="I50" s="8">
        <v>23.0448682</v>
      </c>
      <c r="K50" s="16">
        <v>49</v>
      </c>
      <c r="L50">
        <v>78</v>
      </c>
    </row>
    <row r="51" spans="1:12" x14ac:dyDescent="0.2">
      <c r="A51" s="3">
        <v>50</v>
      </c>
      <c r="B51" s="3">
        <v>113.3906616</v>
      </c>
      <c r="C51" s="3">
        <v>23.06910989</v>
      </c>
      <c r="D51" s="3">
        <v>47</v>
      </c>
      <c r="G51" s="12">
        <v>50</v>
      </c>
      <c r="H51" s="6">
        <v>113.4535554</v>
      </c>
      <c r="I51" s="9">
        <v>23.041672349999999</v>
      </c>
      <c r="K51" s="16">
        <v>50</v>
      </c>
      <c r="L51">
        <v>24</v>
      </c>
    </row>
    <row r="52" spans="1:12" x14ac:dyDescent="0.2">
      <c r="A52" s="3">
        <v>51</v>
      </c>
      <c r="B52" s="3">
        <v>113.3956955</v>
      </c>
      <c r="C52" s="3">
        <v>23.06582452</v>
      </c>
      <c r="D52" s="3">
        <v>47</v>
      </c>
      <c r="K52" s="16" t="s">
        <v>10</v>
      </c>
      <c r="L52">
        <v>4535</v>
      </c>
    </row>
    <row r="53" spans="1:12" x14ac:dyDescent="0.2">
      <c r="A53" s="3">
        <v>52</v>
      </c>
      <c r="B53" s="3">
        <v>113.3940063</v>
      </c>
      <c r="C53" s="3">
        <v>23.06879339</v>
      </c>
      <c r="D53" s="3">
        <v>47</v>
      </c>
    </row>
    <row r="54" spans="1:12" x14ac:dyDescent="0.2">
      <c r="A54" s="3">
        <v>53</v>
      </c>
      <c r="B54" s="3">
        <v>113.39537559999999</v>
      </c>
      <c r="C54" s="3">
        <v>23.064272200000001</v>
      </c>
      <c r="D54" s="3">
        <v>47</v>
      </c>
    </row>
    <row r="55" spans="1:12" x14ac:dyDescent="0.2">
      <c r="A55" s="3">
        <v>54</v>
      </c>
      <c r="B55" s="3">
        <v>113.3925931</v>
      </c>
      <c r="C55" s="3">
        <v>23.072415070000002</v>
      </c>
      <c r="D55" s="3">
        <v>47</v>
      </c>
    </row>
    <row r="56" spans="1:12" x14ac:dyDescent="0.2">
      <c r="A56" s="3">
        <v>55</v>
      </c>
      <c r="B56" s="3">
        <v>113.3950646</v>
      </c>
      <c r="C56" s="3">
        <v>23.06415127</v>
      </c>
      <c r="D56" s="3">
        <v>47</v>
      </c>
    </row>
    <row r="57" spans="1:12" x14ac:dyDescent="0.2">
      <c r="A57" s="3">
        <v>56</v>
      </c>
      <c r="B57" s="3">
        <v>113.4004985</v>
      </c>
      <c r="C57" s="3">
        <v>23.064042579999999</v>
      </c>
      <c r="D57" s="3">
        <v>47</v>
      </c>
    </row>
    <row r="58" spans="1:12" x14ac:dyDescent="0.2">
      <c r="A58" s="3">
        <v>57</v>
      </c>
      <c r="B58" s="3">
        <v>113.3916942</v>
      </c>
      <c r="C58" s="3">
        <v>23.072490210000002</v>
      </c>
      <c r="D58" s="3">
        <v>47</v>
      </c>
    </row>
    <row r="59" spans="1:12" x14ac:dyDescent="0.2">
      <c r="A59" s="3">
        <v>58</v>
      </c>
      <c r="B59" s="3">
        <v>113.4020671</v>
      </c>
      <c r="C59" s="3">
        <v>23.063571100000001</v>
      </c>
      <c r="D59" s="3">
        <v>47</v>
      </c>
    </row>
    <row r="60" spans="1:12" x14ac:dyDescent="0.2">
      <c r="A60" s="3">
        <v>59</v>
      </c>
      <c r="B60" s="3">
        <v>113.28751440000001</v>
      </c>
      <c r="C60" s="3">
        <v>23.053740040000001</v>
      </c>
      <c r="D60" s="3">
        <v>37</v>
      </c>
    </row>
    <row r="61" spans="1:12" x14ac:dyDescent="0.2">
      <c r="A61" s="3">
        <v>60</v>
      </c>
      <c r="B61" s="3">
        <v>113.3667166</v>
      </c>
      <c r="C61" s="3">
        <v>23.05538739</v>
      </c>
      <c r="D61" s="3">
        <v>48</v>
      </c>
    </row>
    <row r="62" spans="1:12" x14ac:dyDescent="0.2">
      <c r="A62" s="3">
        <v>61</v>
      </c>
      <c r="B62" s="3">
        <v>113.3677821</v>
      </c>
      <c r="C62" s="3">
        <v>23.05831791</v>
      </c>
      <c r="D62" s="3">
        <v>48</v>
      </c>
    </row>
    <row r="63" spans="1:12" x14ac:dyDescent="0.2">
      <c r="A63" s="3">
        <v>62</v>
      </c>
      <c r="B63" s="3">
        <v>113.3624255</v>
      </c>
      <c r="C63" s="3">
        <v>23.06293947</v>
      </c>
      <c r="D63" s="3">
        <v>48</v>
      </c>
    </row>
    <row r="64" spans="1:12" x14ac:dyDescent="0.2">
      <c r="A64" s="3">
        <v>63</v>
      </c>
      <c r="B64" s="3">
        <v>113.36548569999999</v>
      </c>
      <c r="C64" s="3">
        <v>23.061339310000001</v>
      </c>
      <c r="D64" s="3">
        <v>48</v>
      </c>
    </row>
    <row r="65" spans="1:4" x14ac:dyDescent="0.2">
      <c r="A65" s="3">
        <v>64</v>
      </c>
      <c r="B65" s="3">
        <v>113.36754550000001</v>
      </c>
      <c r="C65" s="3">
        <v>23.056062140000002</v>
      </c>
      <c r="D65" s="3">
        <v>48</v>
      </c>
    </row>
    <row r="66" spans="1:4" x14ac:dyDescent="0.2">
      <c r="A66" s="3">
        <v>65</v>
      </c>
      <c r="B66" s="3">
        <v>113.36629720000001</v>
      </c>
      <c r="C66" s="3">
        <v>23.053973490000001</v>
      </c>
      <c r="D66" s="3">
        <v>48</v>
      </c>
    </row>
    <row r="67" spans="1:4" x14ac:dyDescent="0.2">
      <c r="A67" s="3">
        <v>66</v>
      </c>
      <c r="B67" s="3">
        <v>113.3686184</v>
      </c>
      <c r="C67" s="3">
        <v>23.054219719999999</v>
      </c>
      <c r="D67" s="3">
        <v>48</v>
      </c>
    </row>
    <row r="68" spans="1:4" x14ac:dyDescent="0.2">
      <c r="A68" s="3">
        <v>67</v>
      </c>
      <c r="B68" s="3">
        <v>113.36888709999999</v>
      </c>
      <c r="C68" s="3">
        <v>23.054869149999998</v>
      </c>
      <c r="D68" s="3">
        <v>48</v>
      </c>
    </row>
    <row r="69" spans="1:4" x14ac:dyDescent="0.2">
      <c r="A69" s="3">
        <v>68</v>
      </c>
      <c r="B69" s="3">
        <v>113.37139449999999</v>
      </c>
      <c r="C69" s="3">
        <v>23.05380495</v>
      </c>
      <c r="D69" s="3">
        <v>48</v>
      </c>
    </row>
    <row r="70" spans="1:4" x14ac:dyDescent="0.2">
      <c r="A70" s="3">
        <v>69</v>
      </c>
      <c r="B70" s="3">
        <v>113.3705612</v>
      </c>
      <c r="C70" s="3">
        <v>23.056142810000001</v>
      </c>
      <c r="D70" s="3">
        <v>48</v>
      </c>
    </row>
    <row r="71" spans="1:4" x14ac:dyDescent="0.2">
      <c r="A71" s="3">
        <v>70</v>
      </c>
      <c r="B71" s="3">
        <v>113.3684634</v>
      </c>
      <c r="C71" s="3">
        <v>23.057714399999998</v>
      </c>
      <c r="D71" s="3">
        <v>48</v>
      </c>
    </row>
    <row r="72" spans="1:4" x14ac:dyDescent="0.2">
      <c r="A72" s="3">
        <v>71</v>
      </c>
      <c r="B72" s="3">
        <v>113.369606</v>
      </c>
      <c r="C72" s="3">
        <v>23.058664740000001</v>
      </c>
      <c r="D72" s="3">
        <v>48</v>
      </c>
    </row>
    <row r="73" spans="1:4" x14ac:dyDescent="0.2">
      <c r="A73" s="3">
        <v>72</v>
      </c>
      <c r="B73" s="3">
        <v>113.3712854</v>
      </c>
      <c r="C73" s="3">
        <v>23.05685076</v>
      </c>
      <c r="D73" s="3">
        <v>48</v>
      </c>
    </row>
    <row r="74" spans="1:4" x14ac:dyDescent="0.2">
      <c r="A74" s="3">
        <v>73</v>
      </c>
      <c r="B74" s="3">
        <v>113.37400770000001</v>
      </c>
      <c r="C74" s="3">
        <v>23.05810258</v>
      </c>
      <c r="D74" s="3">
        <v>48</v>
      </c>
    </row>
    <row r="75" spans="1:4" x14ac:dyDescent="0.2">
      <c r="A75" s="3">
        <v>74</v>
      </c>
      <c r="B75" s="3">
        <v>113.3760417</v>
      </c>
      <c r="C75" s="3">
        <v>23.060072940000001</v>
      </c>
      <c r="D75" s="3">
        <v>48</v>
      </c>
    </row>
    <row r="76" spans="1:4" x14ac:dyDescent="0.2">
      <c r="A76" s="3">
        <v>75</v>
      </c>
      <c r="B76" s="3">
        <v>113.379591</v>
      </c>
      <c r="C76" s="3">
        <v>23.060666919999999</v>
      </c>
      <c r="D76" s="3">
        <v>47</v>
      </c>
    </row>
    <row r="77" spans="1:4" x14ac:dyDescent="0.2">
      <c r="A77" s="3">
        <v>76</v>
      </c>
      <c r="B77" s="3">
        <v>113.3803277</v>
      </c>
      <c r="C77" s="3">
        <v>23.05847035</v>
      </c>
      <c r="D77" s="3">
        <v>47</v>
      </c>
    </row>
    <row r="78" spans="1:4" x14ac:dyDescent="0.2">
      <c r="A78" s="3">
        <v>77</v>
      </c>
      <c r="B78" s="3">
        <v>113.37987390000001</v>
      </c>
      <c r="C78" s="3">
        <v>23.059730120000001</v>
      </c>
      <c r="D78" s="3">
        <v>47</v>
      </c>
    </row>
    <row r="79" spans="1:4" x14ac:dyDescent="0.2">
      <c r="A79" s="3">
        <v>78</v>
      </c>
      <c r="B79" s="3">
        <v>113.37268589999999</v>
      </c>
      <c r="C79" s="3">
        <v>23.058362720000002</v>
      </c>
      <c r="D79" s="3">
        <v>48</v>
      </c>
    </row>
    <row r="80" spans="1:4" x14ac:dyDescent="0.2">
      <c r="A80" s="3">
        <v>79</v>
      </c>
      <c r="B80" s="3">
        <v>113.38095420000001</v>
      </c>
      <c r="C80" s="3">
        <v>23.058920730000001</v>
      </c>
      <c r="D80" s="3">
        <v>47</v>
      </c>
    </row>
    <row r="81" spans="1:4" x14ac:dyDescent="0.2">
      <c r="A81" s="3">
        <v>80</v>
      </c>
      <c r="B81" s="3">
        <v>113.3807972</v>
      </c>
      <c r="C81" s="3">
        <v>23.060250270000001</v>
      </c>
      <c r="D81" s="3">
        <v>47</v>
      </c>
    </row>
    <row r="82" spans="1:4" x14ac:dyDescent="0.2">
      <c r="A82" s="3">
        <v>81</v>
      </c>
      <c r="B82" s="3">
        <v>113.37989159999999</v>
      </c>
      <c r="C82" s="3">
        <v>23.06314265</v>
      </c>
      <c r="D82" s="3">
        <v>47</v>
      </c>
    </row>
    <row r="83" spans="1:4" x14ac:dyDescent="0.2">
      <c r="A83" s="3">
        <v>82</v>
      </c>
      <c r="B83" s="3">
        <v>113.38088430000001</v>
      </c>
      <c r="C83" s="3">
        <v>23.058881800000002</v>
      </c>
      <c r="D83" s="3">
        <v>47</v>
      </c>
    </row>
    <row r="84" spans="1:4" x14ac:dyDescent="0.2">
      <c r="A84" s="3">
        <v>83</v>
      </c>
      <c r="B84" s="3">
        <v>113.3722496</v>
      </c>
      <c r="C84" s="3">
        <v>23.053630170000002</v>
      </c>
      <c r="D84" s="3">
        <v>48</v>
      </c>
    </row>
    <row r="85" spans="1:4" x14ac:dyDescent="0.2">
      <c r="A85" s="3">
        <v>84</v>
      </c>
      <c r="B85" s="3">
        <v>113.37810349999999</v>
      </c>
      <c r="C85" s="3">
        <v>23.053726990000001</v>
      </c>
      <c r="D85" s="3">
        <v>48</v>
      </c>
    </row>
    <row r="86" spans="1:4" x14ac:dyDescent="0.2">
      <c r="A86" s="3">
        <v>85</v>
      </c>
      <c r="B86" s="3">
        <v>113.3719715</v>
      </c>
      <c r="C86" s="3">
        <v>23.05945796</v>
      </c>
      <c r="D86" s="3">
        <v>48</v>
      </c>
    </row>
    <row r="87" spans="1:4" x14ac:dyDescent="0.2">
      <c r="A87" s="3">
        <v>86</v>
      </c>
      <c r="B87" s="3">
        <v>113.3799399</v>
      </c>
      <c r="C87" s="3">
        <v>23.058477610000001</v>
      </c>
      <c r="D87" s="3">
        <v>47</v>
      </c>
    </row>
    <row r="88" spans="1:4" x14ac:dyDescent="0.2">
      <c r="A88" s="3">
        <v>87</v>
      </c>
      <c r="B88" s="3">
        <v>113.37765469999999</v>
      </c>
      <c r="C88" s="3">
        <v>23.056156300000001</v>
      </c>
      <c r="D88" s="3">
        <v>48</v>
      </c>
    </row>
    <row r="89" spans="1:4" x14ac:dyDescent="0.2">
      <c r="A89" s="3">
        <v>88</v>
      </c>
      <c r="B89" s="3">
        <v>113.3798518</v>
      </c>
      <c r="C89" s="3">
        <v>23.060325880000001</v>
      </c>
      <c r="D89" s="3">
        <v>47</v>
      </c>
    </row>
    <row r="90" spans="1:4" x14ac:dyDescent="0.2">
      <c r="A90" s="3">
        <v>89</v>
      </c>
      <c r="B90" s="3">
        <v>113.38042249999999</v>
      </c>
      <c r="C90" s="3">
        <v>23.05933491</v>
      </c>
      <c r="D90" s="3">
        <v>47</v>
      </c>
    </row>
    <row r="91" spans="1:4" x14ac:dyDescent="0.2">
      <c r="A91" s="3">
        <v>90</v>
      </c>
      <c r="B91" s="3">
        <v>113.3725381</v>
      </c>
      <c r="C91" s="3">
        <v>23.057971030000001</v>
      </c>
      <c r="D91" s="3">
        <v>48</v>
      </c>
    </row>
    <row r="92" spans="1:4" x14ac:dyDescent="0.2">
      <c r="A92" s="3">
        <v>91</v>
      </c>
      <c r="B92" s="3">
        <v>113.37976209999999</v>
      </c>
      <c r="C92" s="3">
        <v>23.058020930000001</v>
      </c>
      <c r="D92" s="3">
        <v>47</v>
      </c>
    </row>
    <row r="93" spans="1:4" x14ac:dyDescent="0.2">
      <c r="A93" s="3">
        <v>92</v>
      </c>
      <c r="B93" s="3">
        <v>113.3805785</v>
      </c>
      <c r="C93" s="3">
        <v>23.058253270000002</v>
      </c>
      <c r="D93" s="3">
        <v>47</v>
      </c>
    </row>
    <row r="94" spans="1:4" x14ac:dyDescent="0.2">
      <c r="A94" s="3">
        <v>93</v>
      </c>
      <c r="B94" s="3">
        <v>113.37224260000001</v>
      </c>
      <c r="C94" s="3">
        <v>23.053644179999999</v>
      </c>
      <c r="D94" s="3">
        <v>48</v>
      </c>
    </row>
    <row r="95" spans="1:4" x14ac:dyDescent="0.2">
      <c r="A95" s="3">
        <v>94</v>
      </c>
      <c r="B95" s="3">
        <v>113.3742951</v>
      </c>
      <c r="C95" s="3">
        <v>23.061859720000001</v>
      </c>
      <c r="D95" s="3">
        <v>48</v>
      </c>
    </row>
    <row r="96" spans="1:4" x14ac:dyDescent="0.2">
      <c r="A96" s="3">
        <v>95</v>
      </c>
      <c r="B96" s="3">
        <v>113.3752398</v>
      </c>
      <c r="C96" s="3">
        <v>23.0538463</v>
      </c>
      <c r="D96" s="3">
        <v>48</v>
      </c>
    </row>
    <row r="97" spans="1:4" x14ac:dyDescent="0.2">
      <c r="A97" s="3">
        <v>96</v>
      </c>
      <c r="B97" s="3">
        <v>113.3893245</v>
      </c>
      <c r="C97" s="3">
        <v>23.05941142</v>
      </c>
      <c r="D97" s="3">
        <v>47</v>
      </c>
    </row>
    <row r="98" spans="1:4" x14ac:dyDescent="0.2">
      <c r="A98" s="3">
        <v>97</v>
      </c>
      <c r="B98" s="3">
        <v>113.38840449999999</v>
      </c>
      <c r="C98" s="3">
        <v>23.062931219999999</v>
      </c>
      <c r="D98" s="3">
        <v>47</v>
      </c>
    </row>
    <row r="99" spans="1:4" x14ac:dyDescent="0.2">
      <c r="A99" s="3">
        <v>98</v>
      </c>
      <c r="B99" s="3">
        <v>113.3839985</v>
      </c>
      <c r="C99" s="3">
        <v>23.059791539999999</v>
      </c>
      <c r="D99" s="3">
        <v>47</v>
      </c>
    </row>
    <row r="100" spans="1:4" x14ac:dyDescent="0.2">
      <c r="A100" s="3">
        <v>99</v>
      </c>
      <c r="B100" s="3">
        <v>113.3841635</v>
      </c>
      <c r="C100" s="3">
        <v>23.058698920000001</v>
      </c>
      <c r="D100" s="3">
        <v>47</v>
      </c>
    </row>
    <row r="101" spans="1:4" x14ac:dyDescent="0.2">
      <c r="A101" s="3">
        <v>100</v>
      </c>
      <c r="B101" s="3">
        <v>113.3840283</v>
      </c>
      <c r="C101" s="3">
        <v>23.0619406</v>
      </c>
      <c r="D101" s="3">
        <v>47</v>
      </c>
    </row>
    <row r="102" spans="1:4" x14ac:dyDescent="0.2">
      <c r="A102" s="3">
        <v>101</v>
      </c>
      <c r="B102" s="3">
        <v>113.3864732</v>
      </c>
      <c r="C102" s="3">
        <v>23.063188879999998</v>
      </c>
      <c r="D102" s="3">
        <v>47</v>
      </c>
    </row>
    <row r="103" spans="1:4" x14ac:dyDescent="0.2">
      <c r="A103" s="3">
        <v>102</v>
      </c>
      <c r="B103" s="3">
        <v>113.3897533</v>
      </c>
      <c r="C103" s="3">
        <v>23.06219609</v>
      </c>
      <c r="D103" s="3">
        <v>47</v>
      </c>
    </row>
    <row r="104" spans="1:4" x14ac:dyDescent="0.2">
      <c r="A104" s="3">
        <v>103</v>
      </c>
      <c r="B104" s="3">
        <v>113.38873239999999</v>
      </c>
      <c r="C104" s="3">
        <v>23.06317001</v>
      </c>
      <c r="D104" s="3">
        <v>47</v>
      </c>
    </row>
    <row r="105" spans="1:4" x14ac:dyDescent="0.2">
      <c r="A105" s="3">
        <v>104</v>
      </c>
      <c r="B105" s="3">
        <v>113.3903251</v>
      </c>
      <c r="C105" s="3">
        <v>23.063101540000002</v>
      </c>
      <c r="D105" s="3">
        <v>47</v>
      </c>
    </row>
    <row r="106" spans="1:4" x14ac:dyDescent="0.2">
      <c r="A106" s="3">
        <v>105</v>
      </c>
      <c r="B106" s="3">
        <v>113.3892828</v>
      </c>
      <c r="C106" s="3">
        <v>23.05610184</v>
      </c>
      <c r="D106" s="3">
        <v>47</v>
      </c>
    </row>
    <row r="107" spans="1:4" x14ac:dyDescent="0.2">
      <c r="A107" s="3">
        <v>106</v>
      </c>
      <c r="B107" s="3">
        <v>113.38423349999999</v>
      </c>
      <c r="C107" s="3">
        <v>23.05799618</v>
      </c>
      <c r="D107" s="3">
        <v>47</v>
      </c>
    </row>
    <row r="108" spans="1:4" x14ac:dyDescent="0.2">
      <c r="A108" s="3">
        <v>107</v>
      </c>
      <c r="B108" s="3">
        <v>113.39134989999999</v>
      </c>
      <c r="C108" s="3">
        <v>23.062410580000002</v>
      </c>
      <c r="D108" s="3">
        <v>47</v>
      </c>
    </row>
    <row r="109" spans="1:4" x14ac:dyDescent="0.2">
      <c r="A109" s="3">
        <v>108</v>
      </c>
      <c r="B109" s="3">
        <v>113.39154240000001</v>
      </c>
      <c r="C109" s="3">
        <v>23.054711820000001</v>
      </c>
      <c r="D109" s="3">
        <v>47</v>
      </c>
    </row>
    <row r="110" spans="1:4" x14ac:dyDescent="0.2">
      <c r="A110" s="3">
        <v>109</v>
      </c>
      <c r="B110" s="3">
        <v>113.39058319999999</v>
      </c>
      <c r="C110" s="3">
        <v>23.061028360000002</v>
      </c>
      <c r="D110" s="3">
        <v>47</v>
      </c>
    </row>
    <row r="111" spans="1:4" x14ac:dyDescent="0.2">
      <c r="A111" s="3">
        <v>110</v>
      </c>
      <c r="B111" s="3">
        <v>113.38942849999999</v>
      </c>
      <c r="C111" s="3">
        <v>23.059168490000001</v>
      </c>
      <c r="D111" s="3">
        <v>47</v>
      </c>
    </row>
    <row r="112" spans="1:4" x14ac:dyDescent="0.2">
      <c r="A112" s="3">
        <v>111</v>
      </c>
      <c r="B112" s="3">
        <v>113.3950833</v>
      </c>
      <c r="C112" s="3">
        <v>23.054017600000002</v>
      </c>
      <c r="D112" s="3">
        <v>47</v>
      </c>
    </row>
    <row r="113" spans="1:4" x14ac:dyDescent="0.2">
      <c r="A113" s="3">
        <v>112</v>
      </c>
      <c r="B113" s="3">
        <v>113.39657010000001</v>
      </c>
      <c r="C113" s="3">
        <v>23.059066380000001</v>
      </c>
      <c r="D113" s="3">
        <v>47</v>
      </c>
    </row>
    <row r="114" spans="1:4" x14ac:dyDescent="0.2">
      <c r="A114" s="3">
        <v>113</v>
      </c>
      <c r="B114" s="3">
        <v>113.397436</v>
      </c>
      <c r="C114" s="3">
        <v>23.061609310000001</v>
      </c>
      <c r="D114" s="3">
        <v>47</v>
      </c>
    </row>
    <row r="115" spans="1:4" x14ac:dyDescent="0.2">
      <c r="A115" s="3">
        <v>114</v>
      </c>
      <c r="B115" s="3">
        <v>113.3985721</v>
      </c>
      <c r="C115" s="3">
        <v>23.062427029999998</v>
      </c>
      <c r="D115" s="3">
        <v>47</v>
      </c>
    </row>
    <row r="116" spans="1:4" x14ac:dyDescent="0.2">
      <c r="A116" s="3">
        <v>115</v>
      </c>
      <c r="B116" s="3">
        <v>113.3927633</v>
      </c>
      <c r="C116" s="3">
        <v>23.05412583</v>
      </c>
      <c r="D116" s="3">
        <v>47</v>
      </c>
    </row>
    <row r="117" spans="1:4" x14ac:dyDescent="0.2">
      <c r="A117" s="3">
        <v>116</v>
      </c>
      <c r="B117" s="3">
        <v>113.40150130000001</v>
      </c>
      <c r="C117" s="3">
        <v>23.057561539999998</v>
      </c>
      <c r="D117" s="3">
        <v>47</v>
      </c>
    </row>
    <row r="118" spans="1:4" x14ac:dyDescent="0.2">
      <c r="A118" s="3">
        <v>117</v>
      </c>
      <c r="B118" s="3">
        <v>113.4012211</v>
      </c>
      <c r="C118" s="3">
        <v>23.05827317</v>
      </c>
      <c r="D118" s="3">
        <v>47</v>
      </c>
    </row>
    <row r="119" spans="1:4" x14ac:dyDescent="0.2">
      <c r="A119" s="3">
        <v>118</v>
      </c>
      <c r="B119" s="3">
        <v>113.39344629999999</v>
      </c>
      <c r="C119" s="3">
        <v>23.054165709999999</v>
      </c>
      <c r="D119" s="3">
        <v>47</v>
      </c>
    </row>
    <row r="120" spans="1:4" x14ac:dyDescent="0.2">
      <c r="A120" s="3">
        <v>119</v>
      </c>
      <c r="B120" s="3">
        <v>113.397273</v>
      </c>
      <c r="C120" s="3">
        <v>23.0606717</v>
      </c>
      <c r="D120" s="3">
        <v>47</v>
      </c>
    </row>
    <row r="121" spans="1:4" x14ac:dyDescent="0.2">
      <c r="A121" s="3">
        <v>120</v>
      </c>
      <c r="B121" s="3">
        <v>113.4009102</v>
      </c>
      <c r="C121" s="3">
        <v>23.055379349999999</v>
      </c>
      <c r="D121" s="3">
        <v>49</v>
      </c>
    </row>
    <row r="122" spans="1:4" x14ac:dyDescent="0.2">
      <c r="A122" s="3">
        <v>121</v>
      </c>
      <c r="B122" s="3">
        <v>113.4012973</v>
      </c>
      <c r="C122" s="3">
        <v>23.055883210000001</v>
      </c>
      <c r="D122" s="3">
        <v>49</v>
      </c>
    </row>
    <row r="123" spans="1:4" x14ac:dyDescent="0.2">
      <c r="A123" s="3">
        <v>122</v>
      </c>
      <c r="B123" s="3">
        <v>113.40085500000001</v>
      </c>
      <c r="C123" s="3">
        <v>23.058253109999999</v>
      </c>
      <c r="D123" s="3">
        <v>47</v>
      </c>
    </row>
    <row r="124" spans="1:4" x14ac:dyDescent="0.2">
      <c r="A124" s="3">
        <v>123</v>
      </c>
      <c r="B124" s="3">
        <v>113.3917849</v>
      </c>
      <c r="C124" s="3">
        <v>23.061978669999998</v>
      </c>
      <c r="D124" s="3">
        <v>47</v>
      </c>
    </row>
    <row r="125" spans="1:4" x14ac:dyDescent="0.2">
      <c r="A125" s="3">
        <v>124</v>
      </c>
      <c r="B125" s="3">
        <v>113.3976954</v>
      </c>
      <c r="C125" s="3">
        <v>23.055812800000002</v>
      </c>
      <c r="D125" s="3">
        <v>47</v>
      </c>
    </row>
    <row r="126" spans="1:4" x14ac:dyDescent="0.2">
      <c r="A126" s="3">
        <v>125</v>
      </c>
      <c r="B126" s="3">
        <v>113.3971985</v>
      </c>
      <c r="C126" s="3">
        <v>23.05425245</v>
      </c>
      <c r="D126" s="3">
        <v>47</v>
      </c>
    </row>
    <row r="127" spans="1:4" x14ac:dyDescent="0.2">
      <c r="A127" s="3">
        <v>126</v>
      </c>
      <c r="B127" s="3">
        <v>113.39241079999999</v>
      </c>
      <c r="C127" s="3">
        <v>23.062597279999999</v>
      </c>
      <c r="D127" s="3">
        <v>47</v>
      </c>
    </row>
    <row r="128" spans="1:4" x14ac:dyDescent="0.2">
      <c r="A128" s="3">
        <v>127</v>
      </c>
      <c r="B128" s="3">
        <v>113.400944</v>
      </c>
      <c r="C128" s="3">
        <v>23.058180159999999</v>
      </c>
      <c r="D128" s="3">
        <v>47</v>
      </c>
    </row>
    <row r="129" spans="1:4" x14ac:dyDescent="0.2">
      <c r="A129" s="3">
        <v>128</v>
      </c>
      <c r="B129" s="3">
        <v>113.3917738</v>
      </c>
      <c r="C129" s="3">
        <v>23.063102189999999</v>
      </c>
      <c r="D129" s="3">
        <v>47</v>
      </c>
    </row>
    <row r="130" spans="1:4" x14ac:dyDescent="0.2">
      <c r="A130" s="3">
        <v>129</v>
      </c>
      <c r="B130" s="3">
        <v>113.4006866</v>
      </c>
      <c r="C130" s="3">
        <v>23.063323919999998</v>
      </c>
      <c r="D130" s="3">
        <v>47</v>
      </c>
    </row>
    <row r="131" spans="1:4" x14ac:dyDescent="0.2">
      <c r="A131" s="3">
        <v>130</v>
      </c>
      <c r="B131" s="3">
        <v>113.3918374</v>
      </c>
      <c r="C131" s="3">
        <v>23.054401890000001</v>
      </c>
      <c r="D131" s="3">
        <v>47</v>
      </c>
    </row>
    <row r="132" spans="1:4" x14ac:dyDescent="0.2">
      <c r="A132" s="3">
        <v>131</v>
      </c>
      <c r="B132" s="3">
        <v>113.4013393</v>
      </c>
      <c r="C132" s="3">
        <v>23.056309039999999</v>
      </c>
      <c r="D132" s="3">
        <v>49</v>
      </c>
    </row>
    <row r="133" spans="1:4" x14ac:dyDescent="0.2">
      <c r="A133" s="3">
        <v>132</v>
      </c>
      <c r="B133" s="3">
        <v>113.4068449</v>
      </c>
      <c r="C133" s="3">
        <v>23.056077949999999</v>
      </c>
      <c r="D133" s="3">
        <v>49</v>
      </c>
    </row>
    <row r="134" spans="1:4" x14ac:dyDescent="0.2">
      <c r="A134" s="3">
        <v>133</v>
      </c>
      <c r="B134" s="3">
        <v>113.4063136</v>
      </c>
      <c r="C134" s="3">
        <v>23.05622765</v>
      </c>
      <c r="D134" s="3">
        <v>49</v>
      </c>
    </row>
    <row r="135" spans="1:4" x14ac:dyDescent="0.2">
      <c r="A135" s="3">
        <v>134</v>
      </c>
      <c r="B135" s="3">
        <v>113.40271869999999</v>
      </c>
      <c r="C135" s="3">
        <v>23.057411890000001</v>
      </c>
      <c r="D135" s="3">
        <v>49</v>
      </c>
    </row>
    <row r="136" spans="1:4" x14ac:dyDescent="0.2">
      <c r="A136" s="3">
        <v>135</v>
      </c>
      <c r="B136" s="3">
        <v>113.4076412</v>
      </c>
      <c r="C136" s="3">
        <v>23.059148010000001</v>
      </c>
      <c r="D136" s="3">
        <v>49</v>
      </c>
    </row>
    <row r="137" spans="1:4" x14ac:dyDescent="0.2">
      <c r="A137" s="3">
        <v>136</v>
      </c>
      <c r="B137" s="3">
        <v>113.4083888</v>
      </c>
      <c r="C137" s="3">
        <v>23.058852519999999</v>
      </c>
      <c r="D137" s="3">
        <v>49</v>
      </c>
    </row>
    <row r="138" spans="1:4" x14ac:dyDescent="0.2">
      <c r="A138" s="3">
        <v>137</v>
      </c>
      <c r="B138" s="3">
        <v>113.4096278</v>
      </c>
      <c r="C138" s="3">
        <v>23.056339269999999</v>
      </c>
      <c r="D138" s="3">
        <v>49</v>
      </c>
    </row>
    <row r="139" spans="1:4" x14ac:dyDescent="0.2">
      <c r="A139" s="3">
        <v>138</v>
      </c>
      <c r="B139" s="3">
        <v>113.4076195</v>
      </c>
      <c r="C139" s="3">
        <v>23.054737889999998</v>
      </c>
      <c r="D139" s="3">
        <v>49</v>
      </c>
    </row>
    <row r="140" spans="1:4" x14ac:dyDescent="0.2">
      <c r="A140" s="3">
        <v>139</v>
      </c>
      <c r="B140" s="3">
        <v>113.4097088</v>
      </c>
      <c r="C140" s="3">
        <v>23.057407860000001</v>
      </c>
      <c r="D140" s="3">
        <v>49</v>
      </c>
    </row>
    <row r="141" spans="1:4" x14ac:dyDescent="0.2">
      <c r="A141" s="3">
        <v>140</v>
      </c>
      <c r="B141" s="3">
        <v>113.4089634</v>
      </c>
      <c r="C141" s="3">
        <v>23.056171970000001</v>
      </c>
      <c r="D141" s="3">
        <v>49</v>
      </c>
    </row>
    <row r="142" spans="1:4" x14ac:dyDescent="0.2">
      <c r="A142" s="3">
        <v>141</v>
      </c>
      <c r="B142" s="3">
        <v>113.40260379999999</v>
      </c>
      <c r="C142" s="3">
        <v>23.05598947</v>
      </c>
      <c r="D142" s="3">
        <v>49</v>
      </c>
    </row>
    <row r="143" spans="1:4" x14ac:dyDescent="0.2">
      <c r="A143" s="3">
        <v>142</v>
      </c>
      <c r="B143" s="3">
        <v>113.4016922</v>
      </c>
      <c r="C143" s="3">
        <v>23.05974964</v>
      </c>
      <c r="D143" s="3">
        <v>47</v>
      </c>
    </row>
    <row r="144" spans="1:4" x14ac:dyDescent="0.2">
      <c r="A144" s="3">
        <v>143</v>
      </c>
      <c r="B144" s="3">
        <v>113.40176599999999</v>
      </c>
      <c r="C144" s="3">
        <v>23.063131219999999</v>
      </c>
      <c r="D144" s="3">
        <v>47</v>
      </c>
    </row>
    <row r="145" spans="1:4" x14ac:dyDescent="0.2">
      <c r="A145" s="3">
        <v>144</v>
      </c>
      <c r="B145" s="3">
        <v>113.4018853</v>
      </c>
      <c r="C145" s="3">
        <v>23.05920592</v>
      </c>
      <c r="D145" s="3">
        <v>47</v>
      </c>
    </row>
    <row r="146" spans="1:4" x14ac:dyDescent="0.2">
      <c r="A146" s="3">
        <v>145</v>
      </c>
      <c r="B146" s="3">
        <v>113.2562789</v>
      </c>
      <c r="C146" s="3">
        <v>23.045866</v>
      </c>
      <c r="D146" s="3">
        <v>36</v>
      </c>
    </row>
    <row r="147" spans="1:4" x14ac:dyDescent="0.2">
      <c r="A147" s="3">
        <v>146</v>
      </c>
      <c r="B147" s="3">
        <v>113.2558939</v>
      </c>
      <c r="C147" s="3">
        <v>23.048896859999999</v>
      </c>
      <c r="D147" s="3">
        <v>36</v>
      </c>
    </row>
    <row r="148" spans="1:4" x14ac:dyDescent="0.2">
      <c r="A148" s="3">
        <v>147</v>
      </c>
      <c r="B148" s="3">
        <v>113.2553442</v>
      </c>
      <c r="C148" s="3">
        <v>23.048650200000001</v>
      </c>
      <c r="D148" s="3">
        <v>36</v>
      </c>
    </row>
    <row r="149" spans="1:4" x14ac:dyDescent="0.2">
      <c r="A149" s="3">
        <v>148</v>
      </c>
      <c r="B149" s="3">
        <v>113.25373020000001</v>
      </c>
      <c r="C149" s="3">
        <v>23.046207859999999</v>
      </c>
      <c r="D149" s="3">
        <v>36</v>
      </c>
    </row>
    <row r="150" spans="1:4" x14ac:dyDescent="0.2">
      <c r="A150" s="3">
        <v>149</v>
      </c>
      <c r="B150" s="3">
        <v>113.2544527</v>
      </c>
      <c r="C150" s="3">
        <v>23.04846263</v>
      </c>
      <c r="D150" s="3">
        <v>36</v>
      </c>
    </row>
    <row r="151" spans="1:4" x14ac:dyDescent="0.2">
      <c r="A151" s="3">
        <v>150</v>
      </c>
      <c r="B151" s="3">
        <v>113.2553082</v>
      </c>
      <c r="C151" s="3">
        <v>23.048693199999999</v>
      </c>
      <c r="D151" s="3">
        <v>36</v>
      </c>
    </row>
    <row r="152" spans="1:4" x14ac:dyDescent="0.2">
      <c r="A152" s="3">
        <v>151</v>
      </c>
      <c r="B152" s="3">
        <v>113.251985</v>
      </c>
      <c r="C152" s="3">
        <v>23.044733050000001</v>
      </c>
      <c r="D152" s="3">
        <v>36</v>
      </c>
    </row>
    <row r="153" spans="1:4" x14ac:dyDescent="0.2">
      <c r="A153" s="3">
        <v>152</v>
      </c>
      <c r="B153" s="3">
        <v>113.26848219999999</v>
      </c>
      <c r="C153" s="3">
        <v>23.045513020000001</v>
      </c>
      <c r="D153" s="3">
        <v>36</v>
      </c>
    </row>
    <row r="154" spans="1:4" x14ac:dyDescent="0.2">
      <c r="A154" s="3">
        <v>153</v>
      </c>
      <c r="B154" s="3">
        <v>113.27047899999999</v>
      </c>
      <c r="C154" s="3">
        <v>23.047094510000001</v>
      </c>
      <c r="D154" s="3">
        <v>36</v>
      </c>
    </row>
    <row r="155" spans="1:4" x14ac:dyDescent="0.2">
      <c r="A155" s="3">
        <v>154</v>
      </c>
      <c r="B155" s="3">
        <v>113.2666701</v>
      </c>
      <c r="C155" s="3">
        <v>23.044563969999999</v>
      </c>
      <c r="D155" s="3">
        <v>36</v>
      </c>
    </row>
    <row r="156" spans="1:4" x14ac:dyDescent="0.2">
      <c r="A156" s="3">
        <v>155</v>
      </c>
      <c r="B156" s="3">
        <v>113.2671591</v>
      </c>
      <c r="C156" s="3">
        <v>23.052883990000002</v>
      </c>
      <c r="D156" s="3">
        <v>36</v>
      </c>
    </row>
    <row r="157" spans="1:4" x14ac:dyDescent="0.2">
      <c r="A157" s="3">
        <v>156</v>
      </c>
      <c r="B157" s="3">
        <v>113.2691287</v>
      </c>
      <c r="C157" s="3">
        <v>23.04394512</v>
      </c>
      <c r="D157" s="3">
        <v>36</v>
      </c>
    </row>
    <row r="158" spans="1:4" x14ac:dyDescent="0.2">
      <c r="A158" s="3">
        <v>157</v>
      </c>
      <c r="B158" s="3">
        <v>113.27063390000001</v>
      </c>
      <c r="C158" s="3">
        <v>23.047250300000002</v>
      </c>
      <c r="D158" s="3">
        <v>36</v>
      </c>
    </row>
    <row r="159" spans="1:4" x14ac:dyDescent="0.2">
      <c r="A159" s="3">
        <v>158</v>
      </c>
      <c r="B159" s="3">
        <v>113.2705709</v>
      </c>
      <c r="C159" s="3">
        <v>23.047334320000001</v>
      </c>
      <c r="D159" s="3">
        <v>36</v>
      </c>
    </row>
    <row r="160" spans="1:4" x14ac:dyDescent="0.2">
      <c r="A160" s="3">
        <v>159</v>
      </c>
      <c r="B160" s="3">
        <v>113.2742307</v>
      </c>
      <c r="C160" s="3">
        <v>23.048148269999999</v>
      </c>
      <c r="D160" s="3">
        <v>36</v>
      </c>
    </row>
    <row r="161" spans="1:4" x14ac:dyDescent="0.2">
      <c r="A161" s="3">
        <v>160</v>
      </c>
      <c r="B161" s="3">
        <v>113.27360849999999</v>
      </c>
      <c r="C161" s="3">
        <v>23.047442239999999</v>
      </c>
      <c r="D161" s="3">
        <v>36</v>
      </c>
    </row>
    <row r="162" spans="1:4" x14ac:dyDescent="0.2">
      <c r="A162" s="3">
        <v>161</v>
      </c>
      <c r="B162" s="3">
        <v>113.2718055</v>
      </c>
      <c r="C162" s="3">
        <v>23.048729519999998</v>
      </c>
      <c r="D162" s="3">
        <v>36</v>
      </c>
    </row>
    <row r="163" spans="1:4" x14ac:dyDescent="0.2">
      <c r="A163" s="3">
        <v>162</v>
      </c>
      <c r="B163" s="3">
        <v>113.28579259999999</v>
      </c>
      <c r="C163" s="3">
        <v>23.04751117</v>
      </c>
      <c r="D163" s="3">
        <v>37</v>
      </c>
    </row>
    <row r="164" spans="1:4" x14ac:dyDescent="0.2">
      <c r="A164" s="3">
        <v>163</v>
      </c>
      <c r="B164" s="3">
        <v>113.28801679999999</v>
      </c>
      <c r="C164" s="3">
        <v>23.050996479999998</v>
      </c>
      <c r="D164" s="3">
        <v>37</v>
      </c>
    </row>
    <row r="165" spans="1:4" x14ac:dyDescent="0.2">
      <c r="A165" s="3">
        <v>164</v>
      </c>
      <c r="B165" s="3">
        <v>113.28950639999999</v>
      </c>
      <c r="C165" s="3">
        <v>23.050883330000001</v>
      </c>
      <c r="D165" s="3">
        <v>37</v>
      </c>
    </row>
    <row r="166" spans="1:4" x14ac:dyDescent="0.2">
      <c r="A166" s="3">
        <v>165</v>
      </c>
      <c r="B166" s="3">
        <v>113.2901195</v>
      </c>
      <c r="C166" s="3">
        <v>23.049481</v>
      </c>
      <c r="D166" s="3">
        <v>37</v>
      </c>
    </row>
    <row r="167" spans="1:4" x14ac:dyDescent="0.2">
      <c r="A167" s="3">
        <v>166</v>
      </c>
      <c r="B167" s="3">
        <v>113.2913495</v>
      </c>
      <c r="C167" s="3">
        <v>23.047210100000001</v>
      </c>
      <c r="D167" s="3">
        <v>37</v>
      </c>
    </row>
    <row r="168" spans="1:4" x14ac:dyDescent="0.2">
      <c r="A168" s="3">
        <v>167</v>
      </c>
      <c r="B168" s="3">
        <v>113.29105490000001</v>
      </c>
      <c r="C168" s="3">
        <v>23.04930066</v>
      </c>
      <c r="D168" s="3">
        <v>37</v>
      </c>
    </row>
    <row r="169" spans="1:4" x14ac:dyDescent="0.2">
      <c r="A169" s="3">
        <v>168</v>
      </c>
      <c r="B169" s="3">
        <v>113.2882094</v>
      </c>
      <c r="C169" s="3">
        <v>23.051968779999999</v>
      </c>
      <c r="D169" s="3">
        <v>37</v>
      </c>
    </row>
    <row r="170" spans="1:4" x14ac:dyDescent="0.2">
      <c r="A170" s="3">
        <v>169</v>
      </c>
      <c r="B170" s="3">
        <v>113.28745670000001</v>
      </c>
      <c r="C170" s="3">
        <v>23.051973879999998</v>
      </c>
      <c r="D170" s="3">
        <v>37</v>
      </c>
    </row>
    <row r="171" spans="1:4" x14ac:dyDescent="0.2">
      <c r="A171" s="3">
        <v>170</v>
      </c>
      <c r="B171" s="3">
        <v>113.2879957</v>
      </c>
      <c r="C171" s="3">
        <v>23.05295667</v>
      </c>
      <c r="D171" s="3">
        <v>37</v>
      </c>
    </row>
    <row r="172" spans="1:4" x14ac:dyDescent="0.2">
      <c r="A172" s="3">
        <v>171</v>
      </c>
      <c r="B172" s="3">
        <v>113.29047780000001</v>
      </c>
      <c r="C172" s="3">
        <v>23.0503231</v>
      </c>
      <c r="D172" s="3">
        <v>37</v>
      </c>
    </row>
    <row r="173" spans="1:4" x14ac:dyDescent="0.2">
      <c r="A173" s="3">
        <v>172</v>
      </c>
      <c r="B173" s="3">
        <v>113.2892887</v>
      </c>
      <c r="C173" s="3">
        <v>23.051422420000002</v>
      </c>
      <c r="D173" s="3">
        <v>37</v>
      </c>
    </row>
    <row r="174" spans="1:4" x14ac:dyDescent="0.2">
      <c r="A174" s="3">
        <v>173</v>
      </c>
      <c r="B174" s="3">
        <v>113.2907436</v>
      </c>
      <c r="C174" s="3">
        <v>23.046743230000001</v>
      </c>
      <c r="D174" s="3">
        <v>37</v>
      </c>
    </row>
    <row r="175" spans="1:4" x14ac:dyDescent="0.2">
      <c r="A175" s="3">
        <v>174</v>
      </c>
      <c r="B175" s="3">
        <v>113.2915811</v>
      </c>
      <c r="C175" s="3">
        <v>23.04758258</v>
      </c>
      <c r="D175" s="3">
        <v>37</v>
      </c>
    </row>
    <row r="176" spans="1:4" x14ac:dyDescent="0.2">
      <c r="A176" s="3">
        <v>175</v>
      </c>
      <c r="B176" s="3">
        <v>113.2908434</v>
      </c>
      <c r="C176" s="3">
        <v>23.046552160000001</v>
      </c>
      <c r="D176" s="3">
        <v>37</v>
      </c>
    </row>
    <row r="177" spans="1:4" x14ac:dyDescent="0.2">
      <c r="A177" s="3">
        <v>176</v>
      </c>
      <c r="B177" s="3">
        <v>113.2898598</v>
      </c>
      <c r="C177" s="3">
        <v>23.050771839999999</v>
      </c>
      <c r="D177" s="3">
        <v>37</v>
      </c>
    </row>
    <row r="178" spans="1:4" x14ac:dyDescent="0.2">
      <c r="A178" s="3">
        <v>177</v>
      </c>
      <c r="B178" s="3">
        <v>113.2908571</v>
      </c>
      <c r="C178" s="3">
        <v>23.050704360000001</v>
      </c>
      <c r="D178" s="3">
        <v>37</v>
      </c>
    </row>
    <row r="179" spans="1:4" x14ac:dyDescent="0.2">
      <c r="A179" s="3">
        <v>178</v>
      </c>
      <c r="B179" s="3">
        <v>113.28985179999999</v>
      </c>
      <c r="C179" s="3">
        <v>23.051376600000001</v>
      </c>
      <c r="D179" s="3">
        <v>37</v>
      </c>
    </row>
    <row r="180" spans="1:4" x14ac:dyDescent="0.2">
      <c r="A180" s="3">
        <v>179</v>
      </c>
      <c r="B180" s="3">
        <v>113.2890869</v>
      </c>
      <c r="C180" s="3">
        <v>23.053008040000002</v>
      </c>
      <c r="D180" s="3">
        <v>37</v>
      </c>
    </row>
    <row r="181" spans="1:4" x14ac:dyDescent="0.2">
      <c r="A181" s="3">
        <v>180</v>
      </c>
      <c r="B181" s="3">
        <v>113.2913095</v>
      </c>
      <c r="C181" s="3">
        <v>23.049507179999999</v>
      </c>
      <c r="D181" s="3">
        <v>37</v>
      </c>
    </row>
    <row r="182" spans="1:4" x14ac:dyDescent="0.2">
      <c r="A182" s="3">
        <v>181</v>
      </c>
      <c r="B182" s="3">
        <v>113.2899685</v>
      </c>
      <c r="C182" s="3">
        <v>23.052782820000001</v>
      </c>
      <c r="D182" s="3">
        <v>37</v>
      </c>
    </row>
    <row r="183" spans="1:4" x14ac:dyDescent="0.2">
      <c r="A183" s="3">
        <v>182</v>
      </c>
      <c r="B183" s="3">
        <v>113.2903189</v>
      </c>
      <c r="C183" s="3">
        <v>23.052817269999998</v>
      </c>
      <c r="D183" s="3">
        <v>37</v>
      </c>
    </row>
    <row r="184" spans="1:4" x14ac:dyDescent="0.2">
      <c r="A184" s="3">
        <v>183</v>
      </c>
      <c r="B184" s="3">
        <v>113.2839357</v>
      </c>
      <c r="C184" s="3">
        <v>23.04381532</v>
      </c>
      <c r="D184" s="3">
        <v>37</v>
      </c>
    </row>
    <row r="185" spans="1:4" x14ac:dyDescent="0.2">
      <c r="A185" s="3">
        <v>184</v>
      </c>
      <c r="B185" s="3">
        <v>113.2884473</v>
      </c>
      <c r="C185" s="3">
        <v>23.047975149999999</v>
      </c>
      <c r="D185" s="3">
        <v>37</v>
      </c>
    </row>
    <row r="186" spans="1:4" x14ac:dyDescent="0.2">
      <c r="A186" s="3">
        <v>185</v>
      </c>
      <c r="B186" s="3">
        <v>113.29145200000001</v>
      </c>
      <c r="C186" s="3">
        <v>23.052469689999999</v>
      </c>
      <c r="D186" s="3">
        <v>37</v>
      </c>
    </row>
    <row r="187" spans="1:4" x14ac:dyDescent="0.2">
      <c r="A187" s="3">
        <v>186</v>
      </c>
      <c r="B187" s="3">
        <v>113.2914715</v>
      </c>
      <c r="C187" s="3">
        <v>23.043966309999998</v>
      </c>
      <c r="D187" s="3">
        <v>37</v>
      </c>
    </row>
    <row r="188" spans="1:4" x14ac:dyDescent="0.2">
      <c r="A188" s="3">
        <v>187</v>
      </c>
      <c r="B188" s="3">
        <v>113.2969535</v>
      </c>
      <c r="C188" s="3">
        <v>23.049262240000001</v>
      </c>
      <c r="D188" s="3">
        <v>37</v>
      </c>
    </row>
    <row r="189" spans="1:4" x14ac:dyDescent="0.2">
      <c r="A189" s="3">
        <v>188</v>
      </c>
      <c r="B189" s="3">
        <v>113.2975065</v>
      </c>
      <c r="C189" s="3">
        <v>23.049707130000002</v>
      </c>
      <c r="D189" s="3">
        <v>37</v>
      </c>
    </row>
    <row r="190" spans="1:4" x14ac:dyDescent="0.2">
      <c r="A190" s="3">
        <v>189</v>
      </c>
      <c r="B190" s="3">
        <v>113.2957668</v>
      </c>
      <c r="C190" s="3">
        <v>23.046866219999998</v>
      </c>
      <c r="D190" s="3">
        <v>37</v>
      </c>
    </row>
    <row r="191" spans="1:4" x14ac:dyDescent="0.2">
      <c r="A191" s="3">
        <v>190</v>
      </c>
      <c r="B191" s="3">
        <v>113.29179569999999</v>
      </c>
      <c r="C191" s="3">
        <v>23.04871576</v>
      </c>
      <c r="D191" s="3">
        <v>37</v>
      </c>
    </row>
    <row r="192" spans="1:4" x14ac:dyDescent="0.2">
      <c r="A192" s="3">
        <v>191</v>
      </c>
      <c r="B192" s="3">
        <v>113.2998884</v>
      </c>
      <c r="C192" s="3">
        <v>23.044578300000001</v>
      </c>
      <c r="D192" s="3">
        <v>37</v>
      </c>
    </row>
    <row r="193" spans="1:4" x14ac:dyDescent="0.2">
      <c r="A193" s="3">
        <v>192</v>
      </c>
      <c r="B193" s="3">
        <v>113.2958095</v>
      </c>
      <c r="C193" s="3">
        <v>23.050692510000001</v>
      </c>
      <c r="D193" s="3">
        <v>37</v>
      </c>
    </row>
    <row r="194" spans="1:4" x14ac:dyDescent="0.2">
      <c r="A194" s="3">
        <v>193</v>
      </c>
      <c r="B194" s="3">
        <v>113.2984527</v>
      </c>
      <c r="C194" s="3">
        <v>23.050408239999999</v>
      </c>
      <c r="D194" s="3">
        <v>37</v>
      </c>
    </row>
    <row r="195" spans="1:4" x14ac:dyDescent="0.2">
      <c r="A195" s="3">
        <v>194</v>
      </c>
      <c r="B195" s="3">
        <v>113.2966064</v>
      </c>
      <c r="C195" s="3">
        <v>23.045718340000001</v>
      </c>
      <c r="D195" s="3">
        <v>37</v>
      </c>
    </row>
    <row r="196" spans="1:4" x14ac:dyDescent="0.2">
      <c r="A196" s="3">
        <v>195</v>
      </c>
      <c r="B196" s="3">
        <v>113.2942355</v>
      </c>
      <c r="C196" s="3">
        <v>23.047341500000002</v>
      </c>
      <c r="D196" s="3">
        <v>37</v>
      </c>
    </row>
    <row r="197" spans="1:4" x14ac:dyDescent="0.2">
      <c r="A197" s="3">
        <v>196</v>
      </c>
      <c r="B197" s="3">
        <v>113.29666229999999</v>
      </c>
      <c r="C197" s="3">
        <v>23.04589017</v>
      </c>
      <c r="D197" s="3">
        <v>37</v>
      </c>
    </row>
    <row r="198" spans="1:4" x14ac:dyDescent="0.2">
      <c r="A198" s="3">
        <v>197</v>
      </c>
      <c r="B198" s="3">
        <v>113.2938771</v>
      </c>
      <c r="C198" s="3">
        <v>23.047822870000001</v>
      </c>
      <c r="D198" s="3">
        <v>37</v>
      </c>
    </row>
    <row r="199" spans="1:4" x14ac:dyDescent="0.2">
      <c r="A199" s="3">
        <v>198</v>
      </c>
      <c r="B199" s="3">
        <v>113.29374540000001</v>
      </c>
      <c r="C199" s="3">
        <v>23.0470744</v>
      </c>
      <c r="D199" s="3">
        <v>37</v>
      </c>
    </row>
    <row r="200" spans="1:4" x14ac:dyDescent="0.2">
      <c r="A200" s="3">
        <v>199</v>
      </c>
      <c r="B200" s="3">
        <v>113.296279</v>
      </c>
      <c r="C200" s="3">
        <v>23.044841250000001</v>
      </c>
      <c r="D200" s="3">
        <v>37</v>
      </c>
    </row>
    <row r="201" spans="1:4" x14ac:dyDescent="0.2">
      <c r="A201" s="3">
        <v>200</v>
      </c>
      <c r="B201" s="3">
        <v>113.29352280000001</v>
      </c>
      <c r="C201" s="3">
        <v>23.047233689999999</v>
      </c>
      <c r="D201" s="3">
        <v>37</v>
      </c>
    </row>
    <row r="202" spans="1:4" x14ac:dyDescent="0.2">
      <c r="A202" s="3">
        <v>201</v>
      </c>
      <c r="B202" s="3">
        <v>113.2927411</v>
      </c>
      <c r="C202" s="3">
        <v>23.048050570000001</v>
      </c>
      <c r="D202" s="3">
        <v>37</v>
      </c>
    </row>
    <row r="203" spans="1:4" x14ac:dyDescent="0.2">
      <c r="A203" s="3">
        <v>202</v>
      </c>
      <c r="B203" s="3">
        <v>113.29359479999999</v>
      </c>
      <c r="C203" s="3">
        <v>23.045510310000001</v>
      </c>
      <c r="D203" s="3">
        <v>37</v>
      </c>
    </row>
    <row r="204" spans="1:4" x14ac:dyDescent="0.2">
      <c r="A204" s="3">
        <v>203</v>
      </c>
      <c r="B204" s="3">
        <v>113.3012674</v>
      </c>
      <c r="C204" s="3">
        <v>23.05029047</v>
      </c>
      <c r="D204" s="3">
        <v>37</v>
      </c>
    </row>
    <row r="205" spans="1:4" x14ac:dyDescent="0.2">
      <c r="A205" s="3">
        <v>204</v>
      </c>
      <c r="B205" s="3">
        <v>113.2938164</v>
      </c>
      <c r="C205" s="3">
        <v>23.045903790000001</v>
      </c>
      <c r="D205" s="3">
        <v>37</v>
      </c>
    </row>
    <row r="206" spans="1:4" x14ac:dyDescent="0.2">
      <c r="A206" s="3">
        <v>205</v>
      </c>
      <c r="B206" s="3">
        <v>113.29463990000001</v>
      </c>
      <c r="C206" s="3">
        <v>23.04566457</v>
      </c>
      <c r="D206" s="3">
        <v>37</v>
      </c>
    </row>
    <row r="207" spans="1:4" x14ac:dyDescent="0.2">
      <c r="A207" s="3">
        <v>206</v>
      </c>
      <c r="B207" s="3">
        <v>113.29393810000001</v>
      </c>
      <c r="C207" s="3">
        <v>23.046160489999998</v>
      </c>
      <c r="D207" s="3">
        <v>37</v>
      </c>
    </row>
    <row r="208" spans="1:4" x14ac:dyDescent="0.2">
      <c r="A208" s="3">
        <v>207</v>
      </c>
      <c r="B208" s="3">
        <v>113.2944114</v>
      </c>
      <c r="C208" s="3">
        <v>23.045317090000001</v>
      </c>
      <c r="D208" s="3">
        <v>37</v>
      </c>
    </row>
    <row r="209" spans="1:4" x14ac:dyDescent="0.2">
      <c r="A209" s="3">
        <v>208</v>
      </c>
      <c r="B209" s="3">
        <v>113.29382440000001</v>
      </c>
      <c r="C209" s="3">
        <v>23.045686870000001</v>
      </c>
      <c r="D209" s="3">
        <v>37</v>
      </c>
    </row>
    <row r="210" spans="1:4" x14ac:dyDescent="0.2">
      <c r="A210" s="3">
        <v>209</v>
      </c>
      <c r="B210" s="3">
        <v>113.29516</v>
      </c>
      <c r="C210" s="3">
        <v>23.044930050000001</v>
      </c>
      <c r="D210" s="3">
        <v>37</v>
      </c>
    </row>
    <row r="211" spans="1:4" x14ac:dyDescent="0.2">
      <c r="A211" s="3">
        <v>210</v>
      </c>
      <c r="B211" s="3">
        <v>113.2986507</v>
      </c>
      <c r="C211" s="3">
        <v>23.045443039999999</v>
      </c>
      <c r="D211" s="3">
        <v>37</v>
      </c>
    </row>
    <row r="212" spans="1:4" x14ac:dyDescent="0.2">
      <c r="A212" s="3">
        <v>211</v>
      </c>
      <c r="B212" s="3">
        <v>113.292799</v>
      </c>
      <c r="C212" s="3">
        <v>23.048228399999999</v>
      </c>
      <c r="D212" s="3">
        <v>37</v>
      </c>
    </row>
    <row r="213" spans="1:4" x14ac:dyDescent="0.2">
      <c r="A213" s="3">
        <v>212</v>
      </c>
      <c r="B213" s="3">
        <v>113.2949285</v>
      </c>
      <c r="C213" s="3">
        <v>23.04391686</v>
      </c>
      <c r="D213" s="3">
        <v>37</v>
      </c>
    </row>
    <row r="214" spans="1:4" x14ac:dyDescent="0.2">
      <c r="A214" s="3">
        <v>213</v>
      </c>
      <c r="B214" s="3">
        <v>113.2960635</v>
      </c>
      <c r="C214" s="3">
        <v>23.044453770000001</v>
      </c>
      <c r="D214" s="3">
        <v>37</v>
      </c>
    </row>
    <row r="215" spans="1:4" x14ac:dyDescent="0.2">
      <c r="A215" s="3">
        <v>214</v>
      </c>
      <c r="B215" s="3">
        <v>113.29287890000001</v>
      </c>
      <c r="C215" s="3">
        <v>23.04684087</v>
      </c>
      <c r="D215" s="3">
        <v>37</v>
      </c>
    </row>
    <row r="216" spans="1:4" x14ac:dyDescent="0.2">
      <c r="A216" s="3">
        <v>215</v>
      </c>
      <c r="B216" s="3">
        <v>113.293451</v>
      </c>
      <c r="C216" s="3">
        <v>23.045843399999999</v>
      </c>
      <c r="D216" s="3">
        <v>37</v>
      </c>
    </row>
    <row r="217" spans="1:4" x14ac:dyDescent="0.2">
      <c r="A217" s="3">
        <v>216</v>
      </c>
      <c r="B217" s="3">
        <v>113.29391080000001</v>
      </c>
      <c r="C217" s="3">
        <v>23.05156221</v>
      </c>
      <c r="D217" s="3">
        <v>37</v>
      </c>
    </row>
    <row r="218" spans="1:4" x14ac:dyDescent="0.2">
      <c r="A218" s="3">
        <v>217</v>
      </c>
      <c r="B218" s="3">
        <v>113.292833</v>
      </c>
      <c r="C218" s="3">
        <v>23.046581060000001</v>
      </c>
      <c r="D218" s="3">
        <v>37</v>
      </c>
    </row>
    <row r="219" spans="1:4" x14ac:dyDescent="0.2">
      <c r="A219" s="3">
        <v>218</v>
      </c>
      <c r="B219" s="3">
        <v>113.2950812</v>
      </c>
      <c r="C219" s="3">
        <v>23.044813220000002</v>
      </c>
      <c r="D219" s="3">
        <v>37</v>
      </c>
    </row>
    <row r="220" spans="1:4" x14ac:dyDescent="0.2">
      <c r="A220" s="3">
        <v>219</v>
      </c>
      <c r="B220" s="3">
        <v>113.2961353</v>
      </c>
      <c r="C220" s="3">
        <v>23.044649570000001</v>
      </c>
      <c r="D220" s="3">
        <v>37</v>
      </c>
    </row>
    <row r="221" spans="1:4" x14ac:dyDescent="0.2">
      <c r="A221" s="3">
        <v>220</v>
      </c>
      <c r="B221" s="3">
        <v>113.2977025</v>
      </c>
      <c r="C221" s="3">
        <v>23.0443411</v>
      </c>
      <c r="D221" s="3">
        <v>37</v>
      </c>
    </row>
    <row r="222" spans="1:4" x14ac:dyDescent="0.2">
      <c r="A222" s="3">
        <v>221</v>
      </c>
      <c r="B222" s="3">
        <v>113.2917947</v>
      </c>
      <c r="C222" s="3">
        <v>23.048119020000001</v>
      </c>
      <c r="D222" s="3">
        <v>37</v>
      </c>
    </row>
    <row r="223" spans="1:4" x14ac:dyDescent="0.2">
      <c r="A223" s="3">
        <v>222</v>
      </c>
      <c r="B223" s="3">
        <v>113.2941359</v>
      </c>
      <c r="C223" s="3">
        <v>23.045110619999999</v>
      </c>
      <c r="D223" s="3">
        <v>37</v>
      </c>
    </row>
    <row r="224" spans="1:4" x14ac:dyDescent="0.2">
      <c r="A224" s="3">
        <v>223</v>
      </c>
      <c r="B224" s="3">
        <v>113.3012945</v>
      </c>
      <c r="C224" s="3">
        <v>23.04839424</v>
      </c>
      <c r="D224" s="3">
        <v>37</v>
      </c>
    </row>
    <row r="225" spans="1:4" x14ac:dyDescent="0.2">
      <c r="A225" s="3">
        <v>224</v>
      </c>
      <c r="B225" s="3">
        <v>113.2961354</v>
      </c>
      <c r="C225" s="3">
        <v>23.043976860000001</v>
      </c>
      <c r="D225" s="3">
        <v>37</v>
      </c>
    </row>
    <row r="226" spans="1:4" x14ac:dyDescent="0.2">
      <c r="A226" s="3">
        <v>225</v>
      </c>
      <c r="B226" s="3">
        <v>113.29234390000001</v>
      </c>
      <c r="C226" s="3">
        <v>23.046768749999998</v>
      </c>
      <c r="D226" s="3">
        <v>37</v>
      </c>
    </row>
    <row r="227" spans="1:4" x14ac:dyDescent="0.2">
      <c r="A227" s="3">
        <v>226</v>
      </c>
      <c r="B227" s="3">
        <v>113.2920793</v>
      </c>
      <c r="C227" s="3">
        <v>23.047374900000001</v>
      </c>
      <c r="D227" s="3">
        <v>37</v>
      </c>
    </row>
    <row r="228" spans="1:4" x14ac:dyDescent="0.2">
      <c r="A228" s="3">
        <v>227</v>
      </c>
      <c r="B228" s="3">
        <v>113.2961653</v>
      </c>
      <c r="C228" s="3">
        <v>23.044256690000001</v>
      </c>
      <c r="D228" s="3">
        <v>37</v>
      </c>
    </row>
    <row r="229" spans="1:4" x14ac:dyDescent="0.2">
      <c r="A229" s="3">
        <v>228</v>
      </c>
      <c r="B229" s="3">
        <v>113.2953358</v>
      </c>
      <c r="C229" s="3">
        <v>23.044391990000001</v>
      </c>
      <c r="D229" s="3">
        <v>37</v>
      </c>
    </row>
    <row r="230" spans="1:4" x14ac:dyDescent="0.2">
      <c r="A230" s="3">
        <v>229</v>
      </c>
      <c r="B230" s="3">
        <v>113.2949584</v>
      </c>
      <c r="C230" s="3">
        <v>23.04450555</v>
      </c>
      <c r="D230" s="3">
        <v>37</v>
      </c>
    </row>
    <row r="231" spans="1:4" x14ac:dyDescent="0.2">
      <c r="A231" s="3">
        <v>230</v>
      </c>
      <c r="B231" s="3">
        <v>113.2918906</v>
      </c>
      <c r="C231" s="3">
        <v>23.047252239999999</v>
      </c>
      <c r="D231" s="3">
        <v>37</v>
      </c>
    </row>
    <row r="232" spans="1:4" x14ac:dyDescent="0.2">
      <c r="A232" s="3">
        <v>231</v>
      </c>
      <c r="B232" s="3">
        <v>113.2987875</v>
      </c>
      <c r="C232" s="3">
        <v>23.044158360000001</v>
      </c>
      <c r="D232" s="3">
        <v>37</v>
      </c>
    </row>
    <row r="233" spans="1:4" x14ac:dyDescent="0.2">
      <c r="A233" s="3">
        <v>232</v>
      </c>
      <c r="B233" s="3">
        <v>113.2918868</v>
      </c>
      <c r="C233" s="3">
        <v>23.044745330000001</v>
      </c>
      <c r="D233" s="3">
        <v>37</v>
      </c>
    </row>
    <row r="234" spans="1:4" x14ac:dyDescent="0.2">
      <c r="A234" s="3">
        <v>233</v>
      </c>
      <c r="B234" s="3">
        <v>113.29207630000001</v>
      </c>
      <c r="C234" s="3">
        <v>23.046526270000001</v>
      </c>
      <c r="D234" s="3">
        <v>37</v>
      </c>
    </row>
    <row r="235" spans="1:4" x14ac:dyDescent="0.2">
      <c r="A235" s="3">
        <v>234</v>
      </c>
      <c r="B235" s="3">
        <v>113.2975079</v>
      </c>
      <c r="C235" s="3">
        <v>23.043924610000001</v>
      </c>
      <c r="D235" s="3">
        <v>37</v>
      </c>
    </row>
    <row r="236" spans="1:4" x14ac:dyDescent="0.2">
      <c r="A236" s="3">
        <v>235</v>
      </c>
      <c r="B236" s="3">
        <v>113.2993475</v>
      </c>
      <c r="C236" s="3">
        <v>23.04413641</v>
      </c>
      <c r="D236" s="3">
        <v>37</v>
      </c>
    </row>
    <row r="237" spans="1:4" x14ac:dyDescent="0.2">
      <c r="A237" s="3">
        <v>236</v>
      </c>
      <c r="B237" s="3">
        <v>113.2932644</v>
      </c>
      <c r="C237" s="3">
        <v>23.045053029999998</v>
      </c>
      <c r="D237" s="3">
        <v>37</v>
      </c>
    </row>
    <row r="238" spans="1:4" x14ac:dyDescent="0.2">
      <c r="A238" s="3">
        <v>237</v>
      </c>
      <c r="B238" s="3">
        <v>113.29500040000001</v>
      </c>
      <c r="C238" s="3">
        <v>23.043756810000001</v>
      </c>
      <c r="D238" s="3">
        <v>37</v>
      </c>
    </row>
    <row r="239" spans="1:4" x14ac:dyDescent="0.2">
      <c r="A239" s="3">
        <v>238</v>
      </c>
      <c r="B239" s="3">
        <v>113.2924963</v>
      </c>
      <c r="C239" s="3">
        <v>23.051494479999999</v>
      </c>
      <c r="D239" s="3">
        <v>37</v>
      </c>
    </row>
    <row r="240" spans="1:4" x14ac:dyDescent="0.2">
      <c r="A240" s="3">
        <v>239</v>
      </c>
      <c r="B240" s="3">
        <v>113.3011638</v>
      </c>
      <c r="C240" s="3">
        <v>23.047328920000002</v>
      </c>
      <c r="D240" s="3">
        <v>37</v>
      </c>
    </row>
    <row r="241" spans="1:4" x14ac:dyDescent="0.2">
      <c r="A241" s="3">
        <v>240</v>
      </c>
      <c r="B241" s="3">
        <v>113.3009733</v>
      </c>
      <c r="C241" s="3">
        <v>23.045566010000002</v>
      </c>
      <c r="D241" s="3">
        <v>37</v>
      </c>
    </row>
    <row r="242" spans="1:4" x14ac:dyDescent="0.2">
      <c r="A242" s="3">
        <v>241</v>
      </c>
      <c r="B242" s="3">
        <v>113.3008945</v>
      </c>
      <c r="C242" s="3">
        <v>23.0452133</v>
      </c>
      <c r="D242" s="3">
        <v>37</v>
      </c>
    </row>
    <row r="243" spans="1:4" x14ac:dyDescent="0.2">
      <c r="A243" s="3">
        <v>242</v>
      </c>
      <c r="B243" s="3">
        <v>113.3009335</v>
      </c>
      <c r="C243" s="3">
        <v>23.04439558</v>
      </c>
      <c r="D243" s="3">
        <v>37</v>
      </c>
    </row>
    <row r="244" spans="1:4" x14ac:dyDescent="0.2">
      <c r="A244" s="3">
        <v>243</v>
      </c>
      <c r="B244" s="3">
        <v>113.3007885</v>
      </c>
      <c r="C244" s="3">
        <v>23.047786370000001</v>
      </c>
      <c r="D244" s="3">
        <v>37</v>
      </c>
    </row>
    <row r="245" spans="1:4" x14ac:dyDescent="0.2">
      <c r="A245" s="3">
        <v>244</v>
      </c>
      <c r="B245" s="3">
        <v>113.29528550000001</v>
      </c>
      <c r="C245" s="3">
        <v>23.048974099999999</v>
      </c>
      <c r="D245" s="3">
        <v>37</v>
      </c>
    </row>
    <row r="246" spans="1:4" x14ac:dyDescent="0.2">
      <c r="A246" s="3">
        <v>245</v>
      </c>
      <c r="B246" s="3">
        <v>113.3002333</v>
      </c>
      <c r="C246" s="3">
        <v>23.050990949999999</v>
      </c>
      <c r="D246" s="3">
        <v>37</v>
      </c>
    </row>
    <row r="247" spans="1:4" x14ac:dyDescent="0.2">
      <c r="A247" s="3">
        <v>246</v>
      </c>
      <c r="B247" s="3">
        <v>113.2923964</v>
      </c>
      <c r="C247" s="3">
        <v>23.05211237</v>
      </c>
      <c r="D247" s="3">
        <v>37</v>
      </c>
    </row>
    <row r="248" spans="1:4" x14ac:dyDescent="0.2">
      <c r="A248" s="3">
        <v>247</v>
      </c>
      <c r="B248" s="3">
        <v>113.301514</v>
      </c>
      <c r="C248" s="3">
        <v>23.050360009999999</v>
      </c>
      <c r="D248" s="3">
        <v>37</v>
      </c>
    </row>
    <row r="249" spans="1:4" x14ac:dyDescent="0.2">
      <c r="A249" s="3">
        <v>248</v>
      </c>
      <c r="B249" s="3">
        <v>113.29229309999999</v>
      </c>
      <c r="C249" s="3">
        <v>23.044696720000001</v>
      </c>
      <c r="D249" s="3">
        <v>37</v>
      </c>
    </row>
    <row r="250" spans="1:4" x14ac:dyDescent="0.2">
      <c r="A250" s="3">
        <v>249</v>
      </c>
      <c r="B250" s="3">
        <v>113.2922677</v>
      </c>
      <c r="C250" s="3">
        <v>23.050965059999999</v>
      </c>
      <c r="D250" s="3">
        <v>37</v>
      </c>
    </row>
    <row r="251" spans="1:4" x14ac:dyDescent="0.2">
      <c r="A251" s="3">
        <v>250</v>
      </c>
      <c r="B251" s="3">
        <v>113.2922178</v>
      </c>
      <c r="C251" s="3">
        <v>23.050949150000001</v>
      </c>
      <c r="D251" s="3">
        <v>37</v>
      </c>
    </row>
    <row r="252" spans="1:4" x14ac:dyDescent="0.2">
      <c r="A252" s="3">
        <v>251</v>
      </c>
      <c r="B252" s="3">
        <v>113.30524490000001</v>
      </c>
      <c r="C252" s="3">
        <v>23.048566180000002</v>
      </c>
      <c r="D252" s="3">
        <v>4</v>
      </c>
    </row>
    <row r="253" spans="1:4" x14ac:dyDescent="0.2">
      <c r="A253" s="3">
        <v>252</v>
      </c>
      <c r="B253" s="3">
        <v>113.306265</v>
      </c>
      <c r="C253" s="3">
        <v>23.046764119999999</v>
      </c>
      <c r="D253" s="3">
        <v>4</v>
      </c>
    </row>
    <row r="254" spans="1:4" x14ac:dyDescent="0.2">
      <c r="A254" s="3">
        <v>253</v>
      </c>
      <c r="B254" s="3">
        <v>113.30632989999999</v>
      </c>
      <c r="C254" s="3">
        <v>23.045633479999999</v>
      </c>
      <c r="D254" s="3">
        <v>4</v>
      </c>
    </row>
    <row r="255" spans="1:4" x14ac:dyDescent="0.2">
      <c r="A255" s="3">
        <v>254</v>
      </c>
      <c r="B255" s="3">
        <v>113.30696880000001</v>
      </c>
      <c r="C255" s="3">
        <v>23.044407849999999</v>
      </c>
      <c r="D255" s="3">
        <v>4</v>
      </c>
    </row>
    <row r="256" spans="1:4" x14ac:dyDescent="0.2">
      <c r="A256" s="3">
        <v>255</v>
      </c>
      <c r="B256" s="3">
        <v>113.30225950000001</v>
      </c>
      <c r="C256" s="3">
        <v>23.050395689999998</v>
      </c>
      <c r="D256" s="3">
        <v>37</v>
      </c>
    </row>
    <row r="257" spans="1:4" x14ac:dyDescent="0.2">
      <c r="A257" s="3">
        <v>256</v>
      </c>
      <c r="B257" s="3">
        <v>113.3050475</v>
      </c>
      <c r="C257" s="3">
        <v>23.044629230000002</v>
      </c>
      <c r="D257" s="3">
        <v>4</v>
      </c>
    </row>
    <row r="258" spans="1:4" x14ac:dyDescent="0.2">
      <c r="A258" s="3">
        <v>257</v>
      </c>
      <c r="B258" s="3">
        <v>113.30797269999999</v>
      </c>
      <c r="C258" s="3">
        <v>23.044775860000001</v>
      </c>
      <c r="D258" s="3">
        <v>4</v>
      </c>
    </row>
    <row r="259" spans="1:4" x14ac:dyDescent="0.2">
      <c r="A259" s="3">
        <v>258</v>
      </c>
      <c r="B259" s="3">
        <v>113.3072921</v>
      </c>
      <c r="C259" s="3">
        <v>23.044430259999999</v>
      </c>
      <c r="D259" s="3">
        <v>4</v>
      </c>
    </row>
    <row r="260" spans="1:4" x14ac:dyDescent="0.2">
      <c r="A260" s="3">
        <v>259</v>
      </c>
      <c r="B260" s="3">
        <v>113.3018783</v>
      </c>
      <c r="C260" s="3">
        <v>23.048979970000001</v>
      </c>
      <c r="D260" s="3">
        <v>37</v>
      </c>
    </row>
    <row r="261" spans="1:4" x14ac:dyDescent="0.2">
      <c r="A261" s="3">
        <v>260</v>
      </c>
      <c r="B261" s="3">
        <v>113.30728499999999</v>
      </c>
      <c r="C261" s="3">
        <v>23.045712720000001</v>
      </c>
      <c r="D261" s="3">
        <v>4</v>
      </c>
    </row>
    <row r="262" spans="1:4" x14ac:dyDescent="0.2">
      <c r="A262" s="3">
        <v>261</v>
      </c>
      <c r="B262" s="3">
        <v>113.3095976</v>
      </c>
      <c r="C262" s="3">
        <v>23.043859269999999</v>
      </c>
      <c r="D262" s="3">
        <v>4</v>
      </c>
    </row>
    <row r="263" spans="1:4" x14ac:dyDescent="0.2">
      <c r="A263" s="3">
        <v>262</v>
      </c>
      <c r="B263" s="3">
        <v>113.30665329999999</v>
      </c>
      <c r="C263" s="3">
        <v>23.04560991</v>
      </c>
      <c r="D263" s="3">
        <v>4</v>
      </c>
    </row>
    <row r="264" spans="1:4" x14ac:dyDescent="0.2">
      <c r="A264" s="3">
        <v>263</v>
      </c>
      <c r="B264" s="3">
        <v>113.30978020000001</v>
      </c>
      <c r="C264" s="3">
        <v>23.043831950000001</v>
      </c>
      <c r="D264" s="3">
        <v>4</v>
      </c>
    </row>
    <row r="265" spans="1:4" x14ac:dyDescent="0.2">
      <c r="A265" s="3">
        <v>264</v>
      </c>
      <c r="B265" s="3">
        <v>113.3027627</v>
      </c>
      <c r="C265" s="3">
        <v>23.048958429999999</v>
      </c>
      <c r="D265" s="3">
        <v>37</v>
      </c>
    </row>
    <row r="266" spans="1:4" x14ac:dyDescent="0.2">
      <c r="A266" s="3">
        <v>265</v>
      </c>
      <c r="B266" s="3">
        <v>113.3022946</v>
      </c>
      <c r="C266" s="3">
        <v>23.04874534</v>
      </c>
      <c r="D266" s="3">
        <v>37</v>
      </c>
    </row>
    <row r="267" spans="1:4" x14ac:dyDescent="0.2">
      <c r="A267" s="3">
        <v>266</v>
      </c>
      <c r="B267" s="3">
        <v>113.3119325</v>
      </c>
      <c r="C267" s="3">
        <v>23.049121670000002</v>
      </c>
      <c r="D267" s="3">
        <v>4</v>
      </c>
    </row>
    <row r="268" spans="1:4" x14ac:dyDescent="0.2">
      <c r="A268" s="3">
        <v>267</v>
      </c>
      <c r="B268" s="3">
        <v>113.3143579</v>
      </c>
      <c r="C268" s="3">
        <v>23.044151249999999</v>
      </c>
      <c r="D268" s="3">
        <v>4</v>
      </c>
    </row>
    <row r="269" spans="1:4" x14ac:dyDescent="0.2">
      <c r="A269" s="3">
        <v>268</v>
      </c>
      <c r="B269" s="3">
        <v>113.3138988</v>
      </c>
      <c r="C269" s="3">
        <v>23.043954200000002</v>
      </c>
      <c r="D269" s="3">
        <v>4</v>
      </c>
    </row>
    <row r="270" spans="1:4" x14ac:dyDescent="0.2">
      <c r="A270" s="3">
        <v>269</v>
      </c>
      <c r="B270" s="3">
        <v>113.31169629999999</v>
      </c>
      <c r="C270" s="3">
        <v>23.044384149999999</v>
      </c>
      <c r="D270" s="3">
        <v>4</v>
      </c>
    </row>
    <row r="271" spans="1:4" x14ac:dyDescent="0.2">
      <c r="A271" s="3">
        <v>270</v>
      </c>
      <c r="B271" s="3">
        <v>113.31184399999999</v>
      </c>
      <c r="C271" s="3">
        <v>23.044682739999999</v>
      </c>
      <c r="D271" s="3">
        <v>4</v>
      </c>
    </row>
    <row r="272" spans="1:4" x14ac:dyDescent="0.2">
      <c r="A272" s="3">
        <v>271</v>
      </c>
      <c r="B272" s="3">
        <v>113.3120945</v>
      </c>
      <c r="C272" s="3">
        <v>23.04407754</v>
      </c>
      <c r="D272" s="3">
        <v>4</v>
      </c>
    </row>
    <row r="273" spans="1:4" x14ac:dyDescent="0.2">
      <c r="A273" s="3">
        <v>272</v>
      </c>
      <c r="B273" s="3">
        <v>113.3125446</v>
      </c>
      <c r="C273" s="3">
        <v>23.043691859999999</v>
      </c>
      <c r="D273" s="3">
        <v>4</v>
      </c>
    </row>
    <row r="274" spans="1:4" x14ac:dyDescent="0.2">
      <c r="A274" s="3">
        <v>273</v>
      </c>
      <c r="B274" s="3">
        <v>113.32708359999999</v>
      </c>
      <c r="C274" s="3">
        <v>23.04612113</v>
      </c>
      <c r="D274" s="3">
        <v>24</v>
      </c>
    </row>
    <row r="275" spans="1:4" x14ac:dyDescent="0.2">
      <c r="A275" s="3">
        <v>274</v>
      </c>
      <c r="B275" s="3">
        <v>113.32380139999999</v>
      </c>
      <c r="C275" s="3">
        <v>23.045005889999999</v>
      </c>
      <c r="D275" s="3">
        <v>24</v>
      </c>
    </row>
    <row r="276" spans="1:4" x14ac:dyDescent="0.2">
      <c r="A276" s="3">
        <v>275</v>
      </c>
      <c r="B276" s="3">
        <v>113.3575767</v>
      </c>
      <c r="C276" s="3">
        <v>23.044298120000001</v>
      </c>
      <c r="D276" s="3">
        <v>48</v>
      </c>
    </row>
    <row r="277" spans="1:4" x14ac:dyDescent="0.2">
      <c r="A277" s="3">
        <v>276</v>
      </c>
      <c r="B277" s="3">
        <v>113.3590635</v>
      </c>
      <c r="C277" s="3">
        <v>23.043894179999999</v>
      </c>
      <c r="D277" s="3">
        <v>48</v>
      </c>
    </row>
    <row r="278" spans="1:4" x14ac:dyDescent="0.2">
      <c r="A278" s="3">
        <v>277</v>
      </c>
      <c r="B278" s="3">
        <v>113.3567379</v>
      </c>
      <c r="C278" s="3">
        <v>23.044561219999999</v>
      </c>
      <c r="D278" s="3">
        <v>48</v>
      </c>
    </row>
    <row r="279" spans="1:4" x14ac:dyDescent="0.2">
      <c r="A279" s="3">
        <v>278</v>
      </c>
      <c r="B279" s="3">
        <v>113.35616589999999</v>
      </c>
      <c r="C279" s="3">
        <v>23.044069270000001</v>
      </c>
      <c r="D279" s="3">
        <v>48</v>
      </c>
    </row>
    <row r="280" spans="1:4" x14ac:dyDescent="0.2">
      <c r="A280" s="3">
        <v>279</v>
      </c>
      <c r="B280" s="3">
        <v>113.3550127</v>
      </c>
      <c r="C280" s="3">
        <v>23.043975029999999</v>
      </c>
      <c r="D280" s="3">
        <v>48</v>
      </c>
    </row>
    <row r="281" spans="1:4" x14ac:dyDescent="0.2">
      <c r="A281" s="3">
        <v>280</v>
      </c>
      <c r="B281" s="3">
        <v>113.3679479</v>
      </c>
      <c r="C281" s="3">
        <v>23.044602600000001</v>
      </c>
      <c r="D281" s="3">
        <v>48</v>
      </c>
    </row>
    <row r="282" spans="1:4" x14ac:dyDescent="0.2">
      <c r="A282" s="3">
        <v>281</v>
      </c>
      <c r="B282" s="3">
        <v>113.3664223</v>
      </c>
      <c r="C282" s="3">
        <v>23.049936070000001</v>
      </c>
      <c r="D282" s="3">
        <v>48</v>
      </c>
    </row>
    <row r="283" spans="1:4" x14ac:dyDescent="0.2">
      <c r="A283" s="3">
        <v>282</v>
      </c>
      <c r="B283" s="3">
        <v>113.3661456</v>
      </c>
      <c r="C283" s="3">
        <v>23.05024427</v>
      </c>
      <c r="D283" s="3">
        <v>48</v>
      </c>
    </row>
    <row r="284" spans="1:4" x14ac:dyDescent="0.2">
      <c r="A284" s="3">
        <v>283</v>
      </c>
      <c r="B284" s="3">
        <v>113.3680864</v>
      </c>
      <c r="C284" s="3">
        <v>23.049020550000002</v>
      </c>
      <c r="D284" s="3">
        <v>48</v>
      </c>
    </row>
    <row r="285" spans="1:4" x14ac:dyDescent="0.2">
      <c r="A285" s="3">
        <v>284</v>
      </c>
      <c r="B285" s="3">
        <v>113.3668091</v>
      </c>
      <c r="C285" s="3">
        <v>23.045331600000001</v>
      </c>
      <c r="D285" s="3">
        <v>48</v>
      </c>
    </row>
    <row r="286" spans="1:4" x14ac:dyDescent="0.2">
      <c r="A286" s="3">
        <v>285</v>
      </c>
      <c r="B286" s="3">
        <v>113.3687098</v>
      </c>
      <c r="C286" s="3">
        <v>23.0468218</v>
      </c>
      <c r="D286" s="3">
        <v>48</v>
      </c>
    </row>
    <row r="287" spans="1:4" x14ac:dyDescent="0.2">
      <c r="A287" s="3">
        <v>286</v>
      </c>
      <c r="B287" s="3">
        <v>113.3688107</v>
      </c>
      <c r="C287" s="3">
        <v>23.046762709999999</v>
      </c>
      <c r="D287" s="3">
        <v>48</v>
      </c>
    </row>
    <row r="288" spans="1:4" x14ac:dyDescent="0.2">
      <c r="A288" s="3">
        <v>287</v>
      </c>
      <c r="B288" s="3">
        <v>113.3655286</v>
      </c>
      <c r="C288" s="3">
        <v>23.046406659999999</v>
      </c>
      <c r="D288" s="3">
        <v>48</v>
      </c>
    </row>
    <row r="289" spans="1:4" x14ac:dyDescent="0.2">
      <c r="A289" s="3">
        <v>288</v>
      </c>
      <c r="B289" s="3">
        <v>113.3696885</v>
      </c>
      <c r="C289" s="3">
        <v>23.050029349999999</v>
      </c>
      <c r="D289" s="3">
        <v>48</v>
      </c>
    </row>
    <row r="290" spans="1:4" x14ac:dyDescent="0.2">
      <c r="A290" s="3">
        <v>289</v>
      </c>
      <c r="B290" s="3">
        <v>113.36823</v>
      </c>
      <c r="C290" s="3">
        <v>23.053084640000002</v>
      </c>
      <c r="D290" s="3">
        <v>48</v>
      </c>
    </row>
    <row r="291" spans="1:4" x14ac:dyDescent="0.2">
      <c r="A291" s="3">
        <v>290</v>
      </c>
      <c r="B291" s="3">
        <v>113.3666018</v>
      </c>
      <c r="C291" s="3">
        <v>23.053484340000001</v>
      </c>
      <c r="D291" s="3">
        <v>48</v>
      </c>
    </row>
    <row r="292" spans="1:4" x14ac:dyDescent="0.2">
      <c r="A292" s="3">
        <v>291</v>
      </c>
      <c r="B292" s="3">
        <v>113.3667846</v>
      </c>
      <c r="C292" s="3">
        <v>23.053185249999999</v>
      </c>
      <c r="D292" s="3">
        <v>48</v>
      </c>
    </row>
    <row r="293" spans="1:4" x14ac:dyDescent="0.2">
      <c r="A293" s="3">
        <v>292</v>
      </c>
      <c r="B293" s="3">
        <v>113.36824249999999</v>
      </c>
      <c r="C293" s="3">
        <v>23.044555290000002</v>
      </c>
      <c r="D293" s="3">
        <v>48</v>
      </c>
    </row>
    <row r="294" spans="1:4" x14ac:dyDescent="0.2">
      <c r="A294" s="3">
        <v>293</v>
      </c>
      <c r="B294" s="3">
        <v>113.3631336</v>
      </c>
      <c r="C294" s="3">
        <v>23.047356229999998</v>
      </c>
      <c r="D294" s="3">
        <v>48</v>
      </c>
    </row>
    <row r="295" spans="1:4" x14ac:dyDescent="0.2">
      <c r="A295" s="3">
        <v>294</v>
      </c>
      <c r="B295" s="3">
        <v>113.371207</v>
      </c>
      <c r="C295" s="3">
        <v>23.048571389999999</v>
      </c>
      <c r="D295" s="3">
        <v>48</v>
      </c>
    </row>
    <row r="296" spans="1:4" x14ac:dyDescent="0.2">
      <c r="A296" s="3">
        <v>295</v>
      </c>
      <c r="B296" s="3">
        <v>113.3664107</v>
      </c>
      <c r="C296" s="3">
        <v>23.04402163</v>
      </c>
      <c r="D296" s="3">
        <v>48</v>
      </c>
    </row>
    <row r="297" spans="1:4" x14ac:dyDescent="0.2">
      <c r="A297" s="3">
        <v>296</v>
      </c>
      <c r="B297" s="3">
        <v>113.3656216</v>
      </c>
      <c r="C297" s="3">
        <v>23.0455659</v>
      </c>
      <c r="D297" s="3">
        <v>48</v>
      </c>
    </row>
    <row r="298" spans="1:4" x14ac:dyDescent="0.2">
      <c r="A298" s="3">
        <v>297</v>
      </c>
      <c r="B298" s="3">
        <v>113.3709085</v>
      </c>
      <c r="C298" s="3">
        <v>23.045524</v>
      </c>
      <c r="D298" s="3">
        <v>48</v>
      </c>
    </row>
    <row r="299" spans="1:4" x14ac:dyDescent="0.2">
      <c r="A299" s="3">
        <v>298</v>
      </c>
      <c r="B299" s="3">
        <v>113.37424919999999</v>
      </c>
      <c r="C299" s="3">
        <v>23.04723302</v>
      </c>
      <c r="D299" s="3">
        <v>48</v>
      </c>
    </row>
    <row r="300" spans="1:4" x14ac:dyDescent="0.2">
      <c r="A300" s="3">
        <v>299</v>
      </c>
      <c r="B300" s="3">
        <v>113.3770717</v>
      </c>
      <c r="C300" s="3">
        <v>23.047730380000001</v>
      </c>
      <c r="D300" s="3">
        <v>48</v>
      </c>
    </row>
    <row r="301" spans="1:4" x14ac:dyDescent="0.2">
      <c r="A301" s="3">
        <v>300</v>
      </c>
      <c r="B301" s="3">
        <v>113.37420090000001</v>
      </c>
      <c r="C301" s="3">
        <v>23.05194504</v>
      </c>
      <c r="D301" s="3">
        <v>48</v>
      </c>
    </row>
    <row r="302" spans="1:4" x14ac:dyDescent="0.2">
      <c r="A302" s="3">
        <v>301</v>
      </c>
      <c r="B302" s="3">
        <v>113.3791509</v>
      </c>
      <c r="C302" s="3">
        <v>23.05209391</v>
      </c>
      <c r="D302" s="3">
        <v>48</v>
      </c>
    </row>
    <row r="303" spans="1:4" x14ac:dyDescent="0.2">
      <c r="A303" s="3">
        <v>302</v>
      </c>
      <c r="B303" s="3">
        <v>113.37782180000001</v>
      </c>
      <c r="C303" s="3">
        <v>23.05248074</v>
      </c>
      <c r="D303" s="3">
        <v>48</v>
      </c>
    </row>
    <row r="304" spans="1:4" x14ac:dyDescent="0.2">
      <c r="A304" s="3">
        <v>303</v>
      </c>
      <c r="B304" s="3">
        <v>113.378282</v>
      </c>
      <c r="C304" s="3">
        <v>23.044520810000002</v>
      </c>
      <c r="D304" s="3">
        <v>48</v>
      </c>
    </row>
    <row r="305" spans="1:4" x14ac:dyDescent="0.2">
      <c r="A305" s="3">
        <v>304</v>
      </c>
      <c r="B305" s="3">
        <v>113.3744387</v>
      </c>
      <c r="C305" s="3">
        <v>23.051177160000002</v>
      </c>
      <c r="D305" s="3">
        <v>48</v>
      </c>
    </row>
    <row r="306" spans="1:4" x14ac:dyDescent="0.2">
      <c r="A306" s="3">
        <v>305</v>
      </c>
      <c r="B306" s="3">
        <v>113.3786358</v>
      </c>
      <c r="C306" s="3">
        <v>23.044919369999999</v>
      </c>
      <c r="D306" s="3">
        <v>48</v>
      </c>
    </row>
    <row r="307" spans="1:4" x14ac:dyDescent="0.2">
      <c r="A307" s="3">
        <v>306</v>
      </c>
      <c r="B307" s="3">
        <v>113.3768941</v>
      </c>
      <c r="C307" s="3">
        <v>23.043991129999998</v>
      </c>
      <c r="D307" s="3">
        <v>48</v>
      </c>
    </row>
    <row r="308" spans="1:4" x14ac:dyDescent="0.2">
      <c r="A308" s="3">
        <v>307</v>
      </c>
      <c r="B308" s="3">
        <v>113.3717288</v>
      </c>
      <c r="C308" s="3">
        <v>23.04486945</v>
      </c>
      <c r="D308" s="3">
        <v>48</v>
      </c>
    </row>
    <row r="309" spans="1:4" x14ac:dyDescent="0.2">
      <c r="A309" s="3">
        <v>308</v>
      </c>
      <c r="B309" s="3">
        <v>113.38565130000001</v>
      </c>
      <c r="C309" s="3">
        <v>23.05197905</v>
      </c>
      <c r="D309" s="3">
        <v>40</v>
      </c>
    </row>
    <row r="310" spans="1:4" x14ac:dyDescent="0.2">
      <c r="A310" s="3">
        <v>309</v>
      </c>
      <c r="B310" s="3">
        <v>113.3850058</v>
      </c>
      <c r="C310" s="3">
        <v>23.048219970000002</v>
      </c>
      <c r="D310" s="3">
        <v>40</v>
      </c>
    </row>
    <row r="311" spans="1:4" x14ac:dyDescent="0.2">
      <c r="A311" s="3">
        <v>310</v>
      </c>
      <c r="B311" s="3">
        <v>113.38444610000001</v>
      </c>
      <c r="C311" s="3">
        <v>23.047624509999999</v>
      </c>
      <c r="D311" s="3">
        <v>40</v>
      </c>
    </row>
    <row r="312" spans="1:4" x14ac:dyDescent="0.2">
      <c r="A312" s="3">
        <v>311</v>
      </c>
      <c r="B312" s="3">
        <v>113.38580229999999</v>
      </c>
      <c r="C312" s="3">
        <v>23.0509834</v>
      </c>
      <c r="D312" s="3">
        <v>40</v>
      </c>
    </row>
    <row r="313" spans="1:4" x14ac:dyDescent="0.2">
      <c r="A313" s="3">
        <v>312</v>
      </c>
      <c r="B313" s="3">
        <v>113.3856893</v>
      </c>
      <c r="C313" s="3">
        <v>23.051196359999999</v>
      </c>
      <c r="D313" s="3">
        <v>40</v>
      </c>
    </row>
    <row r="314" spans="1:4" x14ac:dyDescent="0.2">
      <c r="A314" s="3">
        <v>313</v>
      </c>
      <c r="B314" s="3">
        <v>113.38599809999999</v>
      </c>
      <c r="C314" s="3">
        <v>23.051915910000002</v>
      </c>
      <c r="D314" s="3">
        <v>40</v>
      </c>
    </row>
    <row r="315" spans="1:4" x14ac:dyDescent="0.2">
      <c r="A315" s="3">
        <v>314</v>
      </c>
      <c r="B315" s="3">
        <v>113.38487480000001</v>
      </c>
      <c r="C315" s="3">
        <v>23.048547899999999</v>
      </c>
      <c r="D315" s="3">
        <v>40</v>
      </c>
    </row>
    <row r="316" spans="1:4" x14ac:dyDescent="0.2">
      <c r="A316" s="3">
        <v>315</v>
      </c>
      <c r="B316" s="3">
        <v>113.39140399999999</v>
      </c>
      <c r="C316" s="3">
        <v>23.047448970000001</v>
      </c>
      <c r="D316" s="3">
        <v>40</v>
      </c>
    </row>
    <row r="317" spans="1:4" x14ac:dyDescent="0.2">
      <c r="A317" s="3">
        <v>316</v>
      </c>
      <c r="B317" s="3">
        <v>113.38433089999999</v>
      </c>
      <c r="C317" s="3">
        <v>23.05101312</v>
      </c>
      <c r="D317" s="3">
        <v>40</v>
      </c>
    </row>
    <row r="318" spans="1:4" x14ac:dyDescent="0.2">
      <c r="A318" s="3">
        <v>317</v>
      </c>
      <c r="B318" s="3">
        <v>113.3844309</v>
      </c>
      <c r="C318" s="3">
        <v>23.05072419</v>
      </c>
      <c r="D318" s="3">
        <v>40</v>
      </c>
    </row>
    <row r="319" spans="1:4" x14ac:dyDescent="0.2">
      <c r="A319" s="3">
        <v>318</v>
      </c>
      <c r="B319" s="3">
        <v>113.38353739999999</v>
      </c>
      <c r="C319" s="3">
        <v>23.050089939999999</v>
      </c>
      <c r="D319" s="3">
        <v>40</v>
      </c>
    </row>
    <row r="320" spans="1:4" x14ac:dyDescent="0.2">
      <c r="A320" s="3">
        <v>319</v>
      </c>
      <c r="B320" s="3">
        <v>113.39142200000001</v>
      </c>
      <c r="C320" s="3">
        <v>23.047481950000002</v>
      </c>
      <c r="D320" s="3">
        <v>40</v>
      </c>
    </row>
    <row r="321" spans="1:4" x14ac:dyDescent="0.2">
      <c r="A321" s="3">
        <v>320</v>
      </c>
      <c r="B321" s="3">
        <v>113.38661140000001</v>
      </c>
      <c r="C321" s="3">
        <v>23.04494463</v>
      </c>
      <c r="D321" s="3">
        <v>40</v>
      </c>
    </row>
    <row r="322" spans="1:4" x14ac:dyDescent="0.2">
      <c r="A322" s="3">
        <v>321</v>
      </c>
      <c r="B322" s="3">
        <v>113.38980239999999</v>
      </c>
      <c r="C322" s="3">
        <v>23.04593504</v>
      </c>
      <c r="D322" s="3">
        <v>40</v>
      </c>
    </row>
    <row r="323" spans="1:4" x14ac:dyDescent="0.2">
      <c r="A323" s="3">
        <v>322</v>
      </c>
      <c r="B323" s="3">
        <v>113.3909247</v>
      </c>
      <c r="C323" s="3">
        <v>23.05267984</v>
      </c>
      <c r="D323" s="3">
        <v>40</v>
      </c>
    </row>
    <row r="324" spans="1:4" x14ac:dyDescent="0.2">
      <c r="A324" s="3">
        <v>323</v>
      </c>
      <c r="B324" s="3">
        <v>113.3868722</v>
      </c>
      <c r="C324" s="3">
        <v>23.04632393</v>
      </c>
      <c r="D324" s="3">
        <v>40</v>
      </c>
    </row>
    <row r="325" spans="1:4" x14ac:dyDescent="0.2">
      <c r="A325" s="3">
        <v>324</v>
      </c>
      <c r="B325" s="3">
        <v>113.38607349999999</v>
      </c>
      <c r="C325" s="3">
        <v>23.045570600000001</v>
      </c>
      <c r="D325" s="3">
        <v>40</v>
      </c>
    </row>
    <row r="326" spans="1:4" x14ac:dyDescent="0.2">
      <c r="A326" s="3">
        <v>325</v>
      </c>
      <c r="B326" s="3">
        <v>113.38815270000001</v>
      </c>
      <c r="C326" s="3">
        <v>23.046991139999999</v>
      </c>
      <c r="D326" s="3">
        <v>40</v>
      </c>
    </row>
    <row r="327" spans="1:4" x14ac:dyDescent="0.2">
      <c r="A327" s="3">
        <v>326</v>
      </c>
      <c r="B327" s="3">
        <v>113.3915219</v>
      </c>
      <c r="C327" s="3">
        <v>23.04748493</v>
      </c>
      <c r="D327" s="3">
        <v>40</v>
      </c>
    </row>
    <row r="328" spans="1:4" x14ac:dyDescent="0.2">
      <c r="A328" s="3">
        <v>327</v>
      </c>
      <c r="B328" s="3">
        <v>113.3853895</v>
      </c>
      <c r="C328" s="3">
        <v>23.049469250000001</v>
      </c>
      <c r="D328" s="3">
        <v>40</v>
      </c>
    </row>
    <row r="329" spans="1:4" x14ac:dyDescent="0.2">
      <c r="A329" s="3">
        <v>328</v>
      </c>
      <c r="B329" s="3">
        <v>113.3898014</v>
      </c>
      <c r="C329" s="3">
        <v>23.04593105</v>
      </c>
      <c r="D329" s="3">
        <v>40</v>
      </c>
    </row>
    <row r="330" spans="1:4" x14ac:dyDescent="0.2">
      <c r="A330" s="3">
        <v>329</v>
      </c>
      <c r="B330" s="3">
        <v>113.3933048</v>
      </c>
      <c r="C330" s="3">
        <v>23.046351080000001</v>
      </c>
      <c r="D330" s="3">
        <v>40</v>
      </c>
    </row>
    <row r="331" spans="1:4" x14ac:dyDescent="0.2">
      <c r="A331" s="3">
        <v>330</v>
      </c>
      <c r="B331" s="3">
        <v>113.3949375</v>
      </c>
      <c r="C331" s="3">
        <v>23.051015899999999</v>
      </c>
      <c r="D331" s="3">
        <v>40</v>
      </c>
    </row>
    <row r="332" spans="1:4" x14ac:dyDescent="0.2">
      <c r="A332" s="3">
        <v>331</v>
      </c>
      <c r="B332" s="3">
        <v>113.39588089999999</v>
      </c>
      <c r="C332" s="3">
        <v>23.045523200000002</v>
      </c>
      <c r="D332" s="3">
        <v>40</v>
      </c>
    </row>
    <row r="333" spans="1:4" x14ac:dyDescent="0.2">
      <c r="A333" s="3">
        <v>332</v>
      </c>
      <c r="B333" s="3">
        <v>113.39279089999999</v>
      </c>
      <c r="C333" s="3">
        <v>23.04642114</v>
      </c>
      <c r="D333" s="3">
        <v>40</v>
      </c>
    </row>
    <row r="334" spans="1:4" x14ac:dyDescent="0.2">
      <c r="A334" s="3">
        <v>333</v>
      </c>
      <c r="B334" s="3">
        <v>113.397418</v>
      </c>
      <c r="C334" s="3">
        <v>23.047123509999999</v>
      </c>
      <c r="D334" s="3">
        <v>40</v>
      </c>
    </row>
    <row r="335" spans="1:4" x14ac:dyDescent="0.2">
      <c r="A335" s="3">
        <v>334</v>
      </c>
      <c r="B335" s="3">
        <v>113.3952609</v>
      </c>
      <c r="C335" s="3">
        <v>23.045085419999999</v>
      </c>
      <c r="D335" s="3">
        <v>40</v>
      </c>
    </row>
    <row r="336" spans="1:4" x14ac:dyDescent="0.2">
      <c r="A336" s="3">
        <v>335</v>
      </c>
      <c r="B336" s="3">
        <v>113.3925729</v>
      </c>
      <c r="C336" s="3">
        <v>23.046446159999999</v>
      </c>
      <c r="D336" s="3">
        <v>40</v>
      </c>
    </row>
    <row r="337" spans="1:4" x14ac:dyDescent="0.2">
      <c r="A337" s="3">
        <v>336</v>
      </c>
      <c r="B337" s="3">
        <v>113.39207089999999</v>
      </c>
      <c r="C337" s="3">
        <v>23.04684709</v>
      </c>
      <c r="D337" s="3">
        <v>40</v>
      </c>
    </row>
    <row r="338" spans="1:4" x14ac:dyDescent="0.2">
      <c r="A338" s="3">
        <v>337</v>
      </c>
      <c r="B338" s="3">
        <v>113.39714600000001</v>
      </c>
      <c r="C338" s="3">
        <v>23.046823629999999</v>
      </c>
      <c r="D338" s="3">
        <v>40</v>
      </c>
    </row>
    <row r="339" spans="1:4" x14ac:dyDescent="0.2">
      <c r="A339" s="3">
        <v>338</v>
      </c>
      <c r="B339" s="3">
        <v>113.39338840000001</v>
      </c>
      <c r="C339" s="3">
        <v>23.053240120000002</v>
      </c>
      <c r="D339" s="3">
        <v>40</v>
      </c>
    </row>
    <row r="340" spans="1:4" x14ac:dyDescent="0.2">
      <c r="A340" s="3">
        <v>339</v>
      </c>
      <c r="B340" s="3">
        <v>113.39659159999999</v>
      </c>
      <c r="C340" s="3">
        <v>23.050619000000001</v>
      </c>
      <c r="D340" s="3">
        <v>40</v>
      </c>
    </row>
    <row r="341" spans="1:4" x14ac:dyDescent="0.2">
      <c r="A341" s="3">
        <v>340</v>
      </c>
      <c r="B341" s="3">
        <v>113.398521</v>
      </c>
      <c r="C341" s="3">
        <v>23.05007531</v>
      </c>
      <c r="D341" s="3">
        <v>49</v>
      </c>
    </row>
    <row r="342" spans="1:4" x14ac:dyDescent="0.2">
      <c r="A342" s="3">
        <v>341</v>
      </c>
      <c r="B342" s="3">
        <v>113.401563</v>
      </c>
      <c r="C342" s="3">
        <v>23.046740190000001</v>
      </c>
      <c r="D342" s="3">
        <v>49</v>
      </c>
    </row>
    <row r="343" spans="1:4" x14ac:dyDescent="0.2">
      <c r="A343" s="3">
        <v>342</v>
      </c>
      <c r="B343" s="3">
        <v>113.3927475</v>
      </c>
      <c r="C343" s="3">
        <v>23.0521037</v>
      </c>
      <c r="D343" s="3">
        <v>40</v>
      </c>
    </row>
    <row r="344" spans="1:4" x14ac:dyDescent="0.2">
      <c r="A344" s="3">
        <v>343</v>
      </c>
      <c r="B344" s="3">
        <v>113.3979952</v>
      </c>
      <c r="C344" s="3">
        <v>23.045733129999999</v>
      </c>
      <c r="D344" s="3">
        <v>40</v>
      </c>
    </row>
    <row r="345" spans="1:4" x14ac:dyDescent="0.2">
      <c r="A345" s="3">
        <v>344</v>
      </c>
      <c r="B345" s="3">
        <v>113.3996605</v>
      </c>
      <c r="C345" s="3">
        <v>23.046348030000001</v>
      </c>
      <c r="D345" s="3">
        <v>49</v>
      </c>
    </row>
    <row r="346" spans="1:4" x14ac:dyDescent="0.2">
      <c r="A346" s="3">
        <v>345</v>
      </c>
      <c r="B346" s="3">
        <v>113.3919539</v>
      </c>
      <c r="C346" s="3">
        <v>23.047455849999999</v>
      </c>
      <c r="D346" s="3">
        <v>40</v>
      </c>
    </row>
    <row r="347" spans="1:4" x14ac:dyDescent="0.2">
      <c r="A347" s="3">
        <v>346</v>
      </c>
      <c r="B347" s="3">
        <v>113.3966109</v>
      </c>
      <c r="C347" s="3">
        <v>23.04609194</v>
      </c>
      <c r="D347" s="3">
        <v>40</v>
      </c>
    </row>
    <row r="348" spans="1:4" x14ac:dyDescent="0.2">
      <c r="A348" s="3">
        <v>347</v>
      </c>
      <c r="B348" s="3">
        <v>113.3978881</v>
      </c>
      <c r="C348" s="3">
        <v>23.045938039999999</v>
      </c>
      <c r="D348" s="3">
        <v>40</v>
      </c>
    </row>
    <row r="349" spans="1:4" x14ac:dyDescent="0.2">
      <c r="A349" s="3">
        <v>348</v>
      </c>
      <c r="B349" s="3">
        <v>113.3996973</v>
      </c>
      <c r="C349" s="3">
        <v>23.048864949999999</v>
      </c>
      <c r="D349" s="3">
        <v>49</v>
      </c>
    </row>
    <row r="350" spans="1:4" x14ac:dyDescent="0.2">
      <c r="A350" s="3">
        <v>349</v>
      </c>
      <c r="B350" s="3">
        <v>113.39250079999999</v>
      </c>
      <c r="C350" s="3">
        <v>23.047717630000001</v>
      </c>
      <c r="D350" s="3">
        <v>40</v>
      </c>
    </row>
    <row r="351" spans="1:4" x14ac:dyDescent="0.2">
      <c r="A351" s="3">
        <v>350</v>
      </c>
      <c r="B351" s="3">
        <v>113.3929929</v>
      </c>
      <c r="C351" s="3">
        <v>23.04535156</v>
      </c>
      <c r="D351" s="3">
        <v>40</v>
      </c>
    </row>
    <row r="352" spans="1:4" x14ac:dyDescent="0.2">
      <c r="A352" s="3">
        <v>351</v>
      </c>
      <c r="B352" s="3">
        <v>113.4010255</v>
      </c>
      <c r="C352" s="3">
        <v>23.05232668</v>
      </c>
      <c r="D352" s="3">
        <v>49</v>
      </c>
    </row>
    <row r="353" spans="1:4" x14ac:dyDescent="0.2">
      <c r="A353" s="3">
        <v>352</v>
      </c>
      <c r="B353" s="3">
        <v>113.3933705</v>
      </c>
      <c r="C353" s="3">
        <v>23.051050060000001</v>
      </c>
      <c r="D353" s="3">
        <v>40</v>
      </c>
    </row>
    <row r="354" spans="1:4" x14ac:dyDescent="0.2">
      <c r="A354" s="3">
        <v>353</v>
      </c>
      <c r="B354" s="3">
        <v>113.3997782</v>
      </c>
      <c r="C354" s="3">
        <v>23.051568799999998</v>
      </c>
      <c r="D354" s="3">
        <v>49</v>
      </c>
    </row>
    <row r="355" spans="1:4" x14ac:dyDescent="0.2">
      <c r="A355" s="3">
        <v>354</v>
      </c>
      <c r="B355" s="3">
        <v>113.4006399</v>
      </c>
      <c r="C355" s="3">
        <v>23.043582369999999</v>
      </c>
      <c r="D355" s="3">
        <v>49</v>
      </c>
    </row>
    <row r="356" spans="1:4" x14ac:dyDescent="0.2">
      <c r="A356" s="3">
        <v>355</v>
      </c>
      <c r="B356" s="3">
        <v>113.40045189999999</v>
      </c>
      <c r="C356" s="3">
        <v>23.043741270000002</v>
      </c>
      <c r="D356" s="3">
        <v>49</v>
      </c>
    </row>
    <row r="357" spans="1:4" x14ac:dyDescent="0.2">
      <c r="A357" s="3">
        <v>356</v>
      </c>
      <c r="B357" s="3">
        <v>113.39259560000001</v>
      </c>
      <c r="C357" s="3">
        <v>23.051303069999999</v>
      </c>
      <c r="D357" s="3">
        <v>40</v>
      </c>
    </row>
    <row r="358" spans="1:4" x14ac:dyDescent="0.2">
      <c r="A358" s="3">
        <v>357</v>
      </c>
      <c r="B358" s="3">
        <v>113.39653060000001</v>
      </c>
      <c r="C358" s="3">
        <v>23.050640990000002</v>
      </c>
      <c r="D358" s="3">
        <v>40</v>
      </c>
    </row>
    <row r="359" spans="1:4" x14ac:dyDescent="0.2">
      <c r="A359" s="3">
        <v>358</v>
      </c>
      <c r="B359" s="3">
        <v>113.4045161</v>
      </c>
      <c r="C359" s="3">
        <v>23.048804130000001</v>
      </c>
      <c r="D359" s="3">
        <v>49</v>
      </c>
    </row>
    <row r="360" spans="1:4" x14ac:dyDescent="0.2">
      <c r="A360" s="3">
        <v>359</v>
      </c>
      <c r="B360" s="3">
        <v>113.40538359999999</v>
      </c>
      <c r="C360" s="3">
        <v>23.04863653</v>
      </c>
      <c r="D360" s="3">
        <v>49</v>
      </c>
    </row>
    <row r="361" spans="1:4" x14ac:dyDescent="0.2">
      <c r="A361" s="3">
        <v>360</v>
      </c>
      <c r="B361" s="3">
        <v>113.4041659</v>
      </c>
      <c r="C361" s="3">
        <v>23.049711630000001</v>
      </c>
      <c r="D361" s="3">
        <v>49</v>
      </c>
    </row>
    <row r="362" spans="1:4" x14ac:dyDescent="0.2">
      <c r="A362" s="3">
        <v>361</v>
      </c>
      <c r="B362" s="3">
        <v>113.4039058</v>
      </c>
      <c r="C362" s="3">
        <v>23.04941367</v>
      </c>
      <c r="D362" s="3">
        <v>49</v>
      </c>
    </row>
    <row r="363" spans="1:4" x14ac:dyDescent="0.2">
      <c r="A363" s="3">
        <v>362</v>
      </c>
      <c r="B363" s="3">
        <v>113.40433299999999</v>
      </c>
      <c r="C363" s="3">
        <v>23.04936983</v>
      </c>
      <c r="D363" s="3">
        <v>49</v>
      </c>
    </row>
    <row r="364" spans="1:4" x14ac:dyDescent="0.2">
      <c r="A364" s="3">
        <v>363</v>
      </c>
      <c r="B364" s="3">
        <v>113.4074177</v>
      </c>
      <c r="C364" s="3">
        <v>23.050742499999998</v>
      </c>
      <c r="D364" s="3">
        <v>49</v>
      </c>
    </row>
    <row r="365" spans="1:4" x14ac:dyDescent="0.2">
      <c r="A365" s="3">
        <v>364</v>
      </c>
      <c r="B365" s="3">
        <v>113.4071734</v>
      </c>
      <c r="C365" s="3">
        <v>23.05177694</v>
      </c>
      <c r="D365" s="3">
        <v>49</v>
      </c>
    </row>
    <row r="366" spans="1:4" x14ac:dyDescent="0.2">
      <c r="A366" s="3">
        <v>365</v>
      </c>
      <c r="B366" s="3">
        <v>113.40268709999999</v>
      </c>
      <c r="C366" s="3">
        <v>23.052607940000001</v>
      </c>
      <c r="D366" s="3">
        <v>49</v>
      </c>
    </row>
    <row r="367" spans="1:4" x14ac:dyDescent="0.2">
      <c r="A367" s="3">
        <v>366</v>
      </c>
      <c r="B367" s="3">
        <v>113.40359359999999</v>
      </c>
      <c r="C367" s="3">
        <v>23.050279199999999</v>
      </c>
      <c r="D367" s="3">
        <v>49</v>
      </c>
    </row>
    <row r="368" spans="1:4" x14ac:dyDescent="0.2">
      <c r="A368" s="3">
        <v>367</v>
      </c>
      <c r="B368" s="3">
        <v>113.40379489999999</v>
      </c>
      <c r="C368" s="3">
        <v>23.047557430000001</v>
      </c>
      <c r="D368" s="3">
        <v>49</v>
      </c>
    </row>
    <row r="369" spans="1:4" x14ac:dyDescent="0.2">
      <c r="A369" s="3">
        <v>368</v>
      </c>
      <c r="B369" s="3">
        <v>113.4023344</v>
      </c>
      <c r="C369" s="3">
        <v>23.045237010000001</v>
      </c>
      <c r="D369" s="3">
        <v>49</v>
      </c>
    </row>
    <row r="370" spans="1:4" x14ac:dyDescent="0.2">
      <c r="A370" s="3">
        <v>369</v>
      </c>
      <c r="B370" s="3">
        <v>113.4050191</v>
      </c>
      <c r="C370" s="3">
        <v>23.052787609999999</v>
      </c>
      <c r="D370" s="3">
        <v>49</v>
      </c>
    </row>
    <row r="371" spans="1:4" x14ac:dyDescent="0.2">
      <c r="A371" s="3">
        <v>370</v>
      </c>
      <c r="B371" s="3">
        <v>113.402162</v>
      </c>
      <c r="C371" s="3">
        <v>23.051160429999999</v>
      </c>
      <c r="D371" s="3">
        <v>49</v>
      </c>
    </row>
    <row r="372" spans="1:4" x14ac:dyDescent="0.2">
      <c r="A372" s="3">
        <v>371</v>
      </c>
      <c r="B372" s="3">
        <v>113.40230510000001</v>
      </c>
      <c r="C372" s="3">
        <v>23.050537729999999</v>
      </c>
      <c r="D372" s="3">
        <v>49</v>
      </c>
    </row>
    <row r="373" spans="1:4" x14ac:dyDescent="0.2">
      <c r="A373" s="3">
        <v>372</v>
      </c>
      <c r="B373" s="3">
        <v>113.40171309999999</v>
      </c>
      <c r="C373" s="3">
        <v>23.04671823</v>
      </c>
      <c r="D373" s="3">
        <v>49</v>
      </c>
    </row>
    <row r="374" spans="1:4" x14ac:dyDescent="0.2">
      <c r="A374" s="3">
        <v>373</v>
      </c>
      <c r="B374" s="3">
        <v>113.40230510000001</v>
      </c>
      <c r="C374" s="3">
        <v>23.050537729999999</v>
      </c>
      <c r="D374" s="3">
        <v>49</v>
      </c>
    </row>
    <row r="375" spans="1:4" x14ac:dyDescent="0.2">
      <c r="A375" s="3">
        <v>374</v>
      </c>
      <c r="B375" s="3">
        <v>113.40230510000001</v>
      </c>
      <c r="C375" s="3">
        <v>23.050537729999999</v>
      </c>
      <c r="D375" s="3">
        <v>49</v>
      </c>
    </row>
    <row r="376" spans="1:4" x14ac:dyDescent="0.2">
      <c r="A376" s="3">
        <v>375</v>
      </c>
      <c r="B376" s="3">
        <v>113.4021891</v>
      </c>
      <c r="C376" s="3">
        <v>23.0491353</v>
      </c>
      <c r="D376" s="3">
        <v>49</v>
      </c>
    </row>
    <row r="377" spans="1:4" x14ac:dyDescent="0.2">
      <c r="A377" s="3">
        <v>376</v>
      </c>
      <c r="B377" s="3">
        <v>113.42623949999999</v>
      </c>
      <c r="C377" s="3">
        <v>23.05222281</v>
      </c>
      <c r="D377" s="3">
        <v>49</v>
      </c>
    </row>
    <row r="378" spans="1:4" x14ac:dyDescent="0.2">
      <c r="A378" s="3">
        <v>377</v>
      </c>
      <c r="B378" s="3">
        <v>113.446837</v>
      </c>
      <c r="C378" s="3">
        <v>23.046025159999999</v>
      </c>
      <c r="D378" s="3">
        <v>50</v>
      </c>
    </row>
    <row r="379" spans="1:4" x14ac:dyDescent="0.2">
      <c r="A379" s="3">
        <v>378</v>
      </c>
      <c r="B379" s="3">
        <v>113.4484229</v>
      </c>
      <c r="C379" s="3">
        <v>23.04681823</v>
      </c>
      <c r="D379" s="3">
        <v>50</v>
      </c>
    </row>
    <row r="380" spans="1:4" x14ac:dyDescent="0.2">
      <c r="A380" s="3">
        <v>379</v>
      </c>
      <c r="B380" s="3">
        <v>113.445599</v>
      </c>
      <c r="C380" s="3">
        <v>23.04502299</v>
      </c>
      <c r="D380" s="3">
        <v>50</v>
      </c>
    </row>
    <row r="381" spans="1:4" x14ac:dyDescent="0.2">
      <c r="A381" s="3">
        <v>380</v>
      </c>
      <c r="B381" s="3">
        <v>113.44295270000001</v>
      </c>
      <c r="C381" s="3">
        <v>23.045246519999999</v>
      </c>
      <c r="D381" s="3">
        <v>50</v>
      </c>
    </row>
    <row r="382" spans="1:4" x14ac:dyDescent="0.2">
      <c r="A382" s="3">
        <v>381</v>
      </c>
      <c r="B382" s="3">
        <v>113.4473765</v>
      </c>
      <c r="C382" s="3">
        <v>23.043986189999998</v>
      </c>
      <c r="D382" s="3">
        <v>50</v>
      </c>
    </row>
    <row r="383" spans="1:4" x14ac:dyDescent="0.2">
      <c r="A383" s="3">
        <v>382</v>
      </c>
      <c r="B383" s="3">
        <v>113.44362030000001</v>
      </c>
      <c r="C383" s="3">
        <v>23.044886009999999</v>
      </c>
      <c r="D383" s="3">
        <v>50</v>
      </c>
    </row>
    <row r="384" spans="1:4" x14ac:dyDescent="0.2">
      <c r="A384" s="3">
        <v>383</v>
      </c>
      <c r="B384" s="3">
        <v>113.4461644</v>
      </c>
      <c r="C384" s="3">
        <v>23.044705310000001</v>
      </c>
      <c r="D384" s="3">
        <v>50</v>
      </c>
    </row>
    <row r="385" spans="1:4" x14ac:dyDescent="0.2">
      <c r="A385" s="3">
        <v>384</v>
      </c>
      <c r="B385" s="3">
        <v>113.4484911</v>
      </c>
      <c r="C385" s="3">
        <v>23.046730419999999</v>
      </c>
      <c r="D385" s="3">
        <v>50</v>
      </c>
    </row>
    <row r="386" spans="1:4" x14ac:dyDescent="0.2">
      <c r="A386" s="3">
        <v>385</v>
      </c>
      <c r="B386" s="3">
        <v>113.447198</v>
      </c>
      <c r="C386" s="3">
        <v>23.044037790000001</v>
      </c>
      <c r="D386" s="3">
        <v>50</v>
      </c>
    </row>
    <row r="387" spans="1:4" x14ac:dyDescent="0.2">
      <c r="A387" s="3">
        <v>386</v>
      </c>
      <c r="B387" s="3">
        <v>113.4481459</v>
      </c>
      <c r="C387" s="3">
        <v>23.051858469999999</v>
      </c>
      <c r="D387" s="3">
        <v>50</v>
      </c>
    </row>
    <row r="388" spans="1:4" x14ac:dyDescent="0.2">
      <c r="A388" s="3">
        <v>387</v>
      </c>
      <c r="B388" s="3">
        <v>113.4922961</v>
      </c>
      <c r="C388" s="3">
        <v>23.043969329999999</v>
      </c>
      <c r="D388" s="3">
        <v>50</v>
      </c>
    </row>
    <row r="389" spans="1:4" x14ac:dyDescent="0.2">
      <c r="A389" s="3">
        <v>388</v>
      </c>
      <c r="B389" s="3">
        <v>113.2504677</v>
      </c>
      <c r="C389" s="3">
        <v>23.04244242</v>
      </c>
      <c r="D389" s="3">
        <v>36</v>
      </c>
    </row>
    <row r="390" spans="1:4" x14ac:dyDescent="0.2">
      <c r="A390" s="3">
        <v>389</v>
      </c>
      <c r="B390" s="3">
        <v>113.2515033</v>
      </c>
      <c r="C390" s="3">
        <v>23.043158859999998</v>
      </c>
      <c r="D390" s="3">
        <v>36</v>
      </c>
    </row>
    <row r="391" spans="1:4" x14ac:dyDescent="0.2">
      <c r="A391" s="3">
        <v>390</v>
      </c>
      <c r="B391" s="3">
        <v>113.25286079999999</v>
      </c>
      <c r="C391" s="3">
        <v>23.042859589999999</v>
      </c>
      <c r="D391" s="3">
        <v>36</v>
      </c>
    </row>
    <row r="392" spans="1:4" x14ac:dyDescent="0.2">
      <c r="A392" s="3">
        <v>391</v>
      </c>
      <c r="B392" s="3">
        <v>113.25198210000001</v>
      </c>
      <c r="C392" s="3">
        <v>23.04292783</v>
      </c>
      <c r="D392" s="3">
        <v>36</v>
      </c>
    </row>
    <row r="393" spans="1:4" x14ac:dyDescent="0.2">
      <c r="A393" s="3">
        <v>392</v>
      </c>
      <c r="B393" s="3">
        <v>113.26921400000001</v>
      </c>
      <c r="C393" s="3">
        <v>23.037421850000001</v>
      </c>
      <c r="D393" s="3">
        <v>36</v>
      </c>
    </row>
    <row r="394" spans="1:4" x14ac:dyDescent="0.2">
      <c r="A394" s="3">
        <v>393</v>
      </c>
      <c r="B394" s="3">
        <v>113.2634255</v>
      </c>
      <c r="C394" s="3">
        <v>23.03632898</v>
      </c>
      <c r="D394" s="3">
        <v>36</v>
      </c>
    </row>
    <row r="395" spans="1:4" x14ac:dyDescent="0.2">
      <c r="A395" s="3">
        <v>394</v>
      </c>
      <c r="B395" s="3">
        <v>113.27026859999999</v>
      </c>
      <c r="C395" s="3">
        <v>23.041820980000001</v>
      </c>
      <c r="D395" s="3">
        <v>36</v>
      </c>
    </row>
    <row r="396" spans="1:4" x14ac:dyDescent="0.2">
      <c r="A396" s="3">
        <v>395</v>
      </c>
      <c r="B396" s="3">
        <v>113.26947939999999</v>
      </c>
      <c r="C396" s="3">
        <v>23.043091159999999</v>
      </c>
      <c r="D396" s="3">
        <v>36</v>
      </c>
    </row>
    <row r="397" spans="1:4" x14ac:dyDescent="0.2">
      <c r="A397" s="3">
        <v>396</v>
      </c>
      <c r="B397" s="3">
        <v>113.2704564</v>
      </c>
      <c r="C397" s="3">
        <v>23.042237620000002</v>
      </c>
      <c r="D397" s="3">
        <v>36</v>
      </c>
    </row>
    <row r="398" spans="1:4" x14ac:dyDescent="0.2">
      <c r="A398" s="3">
        <v>397</v>
      </c>
      <c r="B398" s="3">
        <v>113.27380580000001</v>
      </c>
      <c r="C398" s="3">
        <v>23.03801108</v>
      </c>
      <c r="D398" s="3">
        <v>36</v>
      </c>
    </row>
    <row r="399" spans="1:4" x14ac:dyDescent="0.2">
      <c r="A399" s="3">
        <v>398</v>
      </c>
      <c r="B399" s="3">
        <v>113.27737999999999</v>
      </c>
      <c r="C399" s="3">
        <v>23.04299396</v>
      </c>
      <c r="D399" s="3">
        <v>36</v>
      </c>
    </row>
    <row r="400" spans="1:4" x14ac:dyDescent="0.2">
      <c r="A400" s="3">
        <v>399</v>
      </c>
      <c r="B400" s="3">
        <v>113.2802533</v>
      </c>
      <c r="C400" s="3">
        <v>23.039609939999998</v>
      </c>
      <c r="D400" s="3">
        <v>37</v>
      </c>
    </row>
    <row r="401" spans="1:4" x14ac:dyDescent="0.2">
      <c r="A401" s="3">
        <v>400</v>
      </c>
      <c r="B401" s="3">
        <v>113.2880049</v>
      </c>
      <c r="C401" s="3">
        <v>23.03531924</v>
      </c>
      <c r="D401" s="3">
        <v>37</v>
      </c>
    </row>
    <row r="402" spans="1:4" x14ac:dyDescent="0.2">
      <c r="A402" s="3">
        <v>401</v>
      </c>
      <c r="B402" s="3">
        <v>113.289627</v>
      </c>
      <c r="C402" s="3">
        <v>23.0384305</v>
      </c>
      <c r="D402" s="3">
        <v>37</v>
      </c>
    </row>
    <row r="403" spans="1:4" x14ac:dyDescent="0.2">
      <c r="A403" s="3">
        <v>402</v>
      </c>
      <c r="B403" s="3">
        <v>113.2887673</v>
      </c>
      <c r="C403" s="3">
        <v>23.040257990000001</v>
      </c>
      <c r="D403" s="3">
        <v>37</v>
      </c>
    </row>
    <row r="404" spans="1:4" x14ac:dyDescent="0.2">
      <c r="A404" s="3">
        <v>403</v>
      </c>
      <c r="B404" s="3">
        <v>113.287702</v>
      </c>
      <c r="C404" s="3">
        <v>23.04078333</v>
      </c>
      <c r="D404" s="3">
        <v>37</v>
      </c>
    </row>
    <row r="405" spans="1:4" x14ac:dyDescent="0.2">
      <c r="A405" s="3">
        <v>404</v>
      </c>
      <c r="B405" s="3">
        <v>113.2882791</v>
      </c>
      <c r="C405" s="3">
        <v>23.040499610000001</v>
      </c>
      <c r="D405" s="3">
        <v>37</v>
      </c>
    </row>
    <row r="406" spans="1:4" x14ac:dyDescent="0.2">
      <c r="A406" s="3">
        <v>405</v>
      </c>
      <c r="B406" s="3">
        <v>113.2885519</v>
      </c>
      <c r="C406" s="3">
        <v>23.03738555</v>
      </c>
      <c r="D406" s="3">
        <v>37</v>
      </c>
    </row>
    <row r="407" spans="1:4" x14ac:dyDescent="0.2">
      <c r="A407" s="3">
        <v>406</v>
      </c>
      <c r="B407" s="3">
        <v>113.29132420000001</v>
      </c>
      <c r="C407" s="3">
        <v>23.037610269999998</v>
      </c>
      <c r="D407" s="3">
        <v>37</v>
      </c>
    </row>
    <row r="408" spans="1:4" x14ac:dyDescent="0.2">
      <c r="A408" s="3">
        <v>407</v>
      </c>
      <c r="B408" s="3">
        <v>113.28455700000001</v>
      </c>
      <c r="C408" s="3">
        <v>23.03992715</v>
      </c>
      <c r="D408" s="3">
        <v>37</v>
      </c>
    </row>
    <row r="409" spans="1:4" x14ac:dyDescent="0.2">
      <c r="A409" s="3">
        <v>408</v>
      </c>
      <c r="B409" s="3">
        <v>113.28867169999999</v>
      </c>
      <c r="C409" s="3">
        <v>23.03635482</v>
      </c>
      <c r="D409" s="3">
        <v>37</v>
      </c>
    </row>
    <row r="410" spans="1:4" x14ac:dyDescent="0.2">
      <c r="A410" s="3">
        <v>409</v>
      </c>
      <c r="B410" s="3">
        <v>113.28814920000001</v>
      </c>
      <c r="C410" s="3">
        <v>23.041559339999999</v>
      </c>
      <c r="D410" s="3">
        <v>37</v>
      </c>
    </row>
    <row r="411" spans="1:4" x14ac:dyDescent="0.2">
      <c r="A411" s="3">
        <v>410</v>
      </c>
      <c r="B411" s="3">
        <v>113.2882541</v>
      </c>
      <c r="C411" s="3">
        <v>23.041112380000001</v>
      </c>
      <c r="D411" s="3">
        <v>37</v>
      </c>
    </row>
    <row r="412" spans="1:4" x14ac:dyDescent="0.2">
      <c r="A412" s="3">
        <v>411</v>
      </c>
      <c r="B412" s="3">
        <v>113.2900532</v>
      </c>
      <c r="C412" s="3">
        <v>23.04005016</v>
      </c>
      <c r="D412" s="3">
        <v>37</v>
      </c>
    </row>
    <row r="413" spans="1:4" x14ac:dyDescent="0.2">
      <c r="A413" s="3">
        <v>412</v>
      </c>
      <c r="B413" s="3">
        <v>113.28909899999999</v>
      </c>
      <c r="C413" s="3">
        <v>23.036984910000001</v>
      </c>
      <c r="D413" s="3">
        <v>37</v>
      </c>
    </row>
    <row r="414" spans="1:4" x14ac:dyDescent="0.2">
      <c r="A414" s="3">
        <v>413</v>
      </c>
      <c r="B414" s="3">
        <v>113.2913619</v>
      </c>
      <c r="C414" s="3">
        <v>23.04117068</v>
      </c>
      <c r="D414" s="3">
        <v>37</v>
      </c>
    </row>
    <row r="415" spans="1:4" x14ac:dyDescent="0.2">
      <c r="A415" s="3">
        <v>414</v>
      </c>
      <c r="B415" s="3">
        <v>113.2914416</v>
      </c>
      <c r="C415" s="3">
        <v>23.04326365</v>
      </c>
      <c r="D415" s="3">
        <v>37</v>
      </c>
    </row>
    <row r="416" spans="1:4" x14ac:dyDescent="0.2">
      <c r="A416" s="3">
        <v>415</v>
      </c>
      <c r="B416" s="3">
        <v>113.29008020000001</v>
      </c>
      <c r="C416" s="3">
        <v>23.039676279999998</v>
      </c>
      <c r="D416" s="3">
        <v>37</v>
      </c>
    </row>
    <row r="417" spans="1:4" x14ac:dyDescent="0.2">
      <c r="A417" s="3">
        <v>416</v>
      </c>
      <c r="B417" s="3">
        <v>113.2912589</v>
      </c>
      <c r="C417" s="3">
        <v>23.043684760000001</v>
      </c>
      <c r="D417" s="3">
        <v>37</v>
      </c>
    </row>
    <row r="418" spans="1:4" x14ac:dyDescent="0.2">
      <c r="A418" s="3">
        <v>417</v>
      </c>
      <c r="B418" s="3">
        <v>113.2845883</v>
      </c>
      <c r="C418" s="3">
        <v>23.0345984</v>
      </c>
      <c r="D418" s="3">
        <v>37</v>
      </c>
    </row>
    <row r="419" spans="1:4" x14ac:dyDescent="0.2">
      <c r="A419" s="3">
        <v>418</v>
      </c>
      <c r="B419" s="3">
        <v>113.29076499999999</v>
      </c>
      <c r="C419" s="3">
        <v>23.03990014</v>
      </c>
      <c r="D419" s="3">
        <v>37</v>
      </c>
    </row>
    <row r="420" spans="1:4" x14ac:dyDescent="0.2">
      <c r="A420" s="3">
        <v>419</v>
      </c>
      <c r="B420" s="3">
        <v>113.2885211</v>
      </c>
      <c r="C420" s="3">
        <v>23.035036609999999</v>
      </c>
      <c r="D420" s="3">
        <v>37</v>
      </c>
    </row>
    <row r="421" spans="1:4" x14ac:dyDescent="0.2">
      <c r="A421" s="3">
        <v>420</v>
      </c>
      <c r="B421" s="3">
        <v>113.286722</v>
      </c>
      <c r="C421" s="3">
        <v>23.033940690000001</v>
      </c>
      <c r="D421" s="3">
        <v>37</v>
      </c>
    </row>
    <row r="422" spans="1:4" x14ac:dyDescent="0.2">
      <c r="A422" s="3">
        <v>421</v>
      </c>
      <c r="B422" s="3">
        <v>113.2900992</v>
      </c>
      <c r="C422" s="3">
        <v>23.038804630000001</v>
      </c>
      <c r="D422" s="3">
        <v>37</v>
      </c>
    </row>
    <row r="423" spans="1:4" x14ac:dyDescent="0.2">
      <c r="A423" s="3">
        <v>422</v>
      </c>
      <c r="B423" s="3">
        <v>113.28685280000001</v>
      </c>
      <c r="C423" s="3">
        <v>23.033758580000001</v>
      </c>
      <c r="D423" s="3">
        <v>37</v>
      </c>
    </row>
    <row r="424" spans="1:4" x14ac:dyDescent="0.2">
      <c r="A424" s="3">
        <v>423</v>
      </c>
      <c r="B424" s="3">
        <v>113.2965391</v>
      </c>
      <c r="C424" s="3">
        <v>23.037718890000001</v>
      </c>
      <c r="D424" s="3">
        <v>37</v>
      </c>
    </row>
    <row r="425" spans="1:4" x14ac:dyDescent="0.2">
      <c r="A425" s="3">
        <v>424</v>
      </c>
      <c r="B425" s="3">
        <v>113.2984546</v>
      </c>
      <c r="C425" s="3">
        <v>23.03651421</v>
      </c>
      <c r="D425" s="3">
        <v>8</v>
      </c>
    </row>
    <row r="426" spans="1:4" x14ac:dyDescent="0.2">
      <c r="A426" s="3">
        <v>425</v>
      </c>
      <c r="B426" s="3">
        <v>113.2975344</v>
      </c>
      <c r="C426" s="3">
        <v>23.035749089999999</v>
      </c>
      <c r="D426" s="3">
        <v>8</v>
      </c>
    </row>
    <row r="427" spans="1:4" x14ac:dyDescent="0.2">
      <c r="A427" s="3">
        <v>426</v>
      </c>
      <c r="B427" s="3">
        <v>113.2941584</v>
      </c>
      <c r="C427" s="3">
        <v>23.036868129999998</v>
      </c>
      <c r="D427" s="3">
        <v>37</v>
      </c>
    </row>
    <row r="428" spans="1:4" x14ac:dyDescent="0.2">
      <c r="A428" s="3">
        <v>427</v>
      </c>
      <c r="B428" s="3">
        <v>113.29634040000001</v>
      </c>
      <c r="C428" s="3">
        <v>23.038062069999999</v>
      </c>
      <c r="D428" s="3">
        <v>37</v>
      </c>
    </row>
    <row r="429" spans="1:4" x14ac:dyDescent="0.2">
      <c r="A429" s="3">
        <v>428</v>
      </c>
      <c r="B429" s="3">
        <v>113.2995876</v>
      </c>
      <c r="C429" s="3">
        <v>23.03549872</v>
      </c>
      <c r="D429" s="3">
        <v>8</v>
      </c>
    </row>
    <row r="430" spans="1:4" x14ac:dyDescent="0.2">
      <c r="A430" s="3">
        <v>429</v>
      </c>
      <c r="B430" s="3">
        <v>113.29704289999999</v>
      </c>
      <c r="C430" s="3">
        <v>23.04083971</v>
      </c>
      <c r="D430" s="3">
        <v>37</v>
      </c>
    </row>
    <row r="431" spans="1:4" x14ac:dyDescent="0.2">
      <c r="A431" s="3">
        <v>430</v>
      </c>
      <c r="B431" s="3">
        <v>113.2972006</v>
      </c>
      <c r="C431" s="3">
        <v>23.04163711</v>
      </c>
      <c r="D431" s="3">
        <v>37</v>
      </c>
    </row>
    <row r="432" spans="1:4" x14ac:dyDescent="0.2">
      <c r="A432" s="3">
        <v>431</v>
      </c>
      <c r="B432" s="3">
        <v>113.2979133</v>
      </c>
      <c r="C432" s="3">
        <v>23.04138902</v>
      </c>
      <c r="D432" s="3">
        <v>37</v>
      </c>
    </row>
    <row r="433" spans="1:4" x14ac:dyDescent="0.2">
      <c r="A433" s="3">
        <v>432</v>
      </c>
      <c r="B433" s="3">
        <v>113.29444650000001</v>
      </c>
      <c r="C433" s="3">
        <v>23.041669599999999</v>
      </c>
      <c r="D433" s="3">
        <v>37</v>
      </c>
    </row>
    <row r="434" spans="1:4" x14ac:dyDescent="0.2">
      <c r="A434" s="3">
        <v>433</v>
      </c>
      <c r="B434" s="3">
        <v>113.30090490000001</v>
      </c>
      <c r="C434" s="3">
        <v>23.039021940000001</v>
      </c>
      <c r="D434" s="3">
        <v>4</v>
      </c>
    </row>
    <row r="435" spans="1:4" x14ac:dyDescent="0.2">
      <c r="A435" s="3">
        <v>434</v>
      </c>
      <c r="B435" s="3">
        <v>113.299328</v>
      </c>
      <c r="C435" s="3">
        <v>23.036744630000001</v>
      </c>
      <c r="D435" s="3">
        <v>8</v>
      </c>
    </row>
    <row r="436" spans="1:4" x14ac:dyDescent="0.2">
      <c r="A436" s="3">
        <v>435</v>
      </c>
      <c r="B436" s="3">
        <v>113.29759079999999</v>
      </c>
      <c r="C436" s="3">
        <v>23.042495089999999</v>
      </c>
      <c r="D436" s="3">
        <v>37</v>
      </c>
    </row>
    <row r="437" spans="1:4" x14ac:dyDescent="0.2">
      <c r="A437" s="3">
        <v>436</v>
      </c>
      <c r="B437" s="3">
        <v>113.2978963</v>
      </c>
      <c r="C437" s="3">
        <v>23.04203377</v>
      </c>
      <c r="D437" s="3">
        <v>37</v>
      </c>
    </row>
    <row r="438" spans="1:4" x14ac:dyDescent="0.2">
      <c r="A438" s="3">
        <v>437</v>
      </c>
      <c r="B438" s="3">
        <v>113.2941075</v>
      </c>
      <c r="C438" s="3">
        <v>23.03615052</v>
      </c>
      <c r="D438" s="3">
        <v>37</v>
      </c>
    </row>
    <row r="439" spans="1:4" x14ac:dyDescent="0.2">
      <c r="A439" s="3">
        <v>438</v>
      </c>
      <c r="B439" s="3">
        <v>113.29774999999999</v>
      </c>
      <c r="C439" s="3">
        <v>23.035185970000001</v>
      </c>
      <c r="D439" s="3">
        <v>8</v>
      </c>
    </row>
    <row r="440" spans="1:4" x14ac:dyDescent="0.2">
      <c r="A440" s="3">
        <v>439</v>
      </c>
      <c r="B440" s="3">
        <v>113.2984797</v>
      </c>
      <c r="C440" s="3">
        <v>23.035305690000001</v>
      </c>
      <c r="D440" s="3">
        <v>8</v>
      </c>
    </row>
    <row r="441" spans="1:4" x14ac:dyDescent="0.2">
      <c r="A441" s="3">
        <v>440</v>
      </c>
      <c r="B441" s="3">
        <v>113.2987617</v>
      </c>
      <c r="C441" s="3">
        <v>23.04246813</v>
      </c>
      <c r="D441" s="3">
        <v>37</v>
      </c>
    </row>
    <row r="442" spans="1:4" x14ac:dyDescent="0.2">
      <c r="A442" s="3">
        <v>441</v>
      </c>
      <c r="B442" s="3">
        <v>113.2973452</v>
      </c>
      <c r="C442" s="3">
        <v>23.04351106</v>
      </c>
      <c r="D442" s="3">
        <v>37</v>
      </c>
    </row>
    <row r="443" spans="1:4" x14ac:dyDescent="0.2">
      <c r="A443" s="3">
        <v>442</v>
      </c>
      <c r="B443" s="3">
        <v>113.2985001</v>
      </c>
      <c r="C443" s="3">
        <v>23.042770440000002</v>
      </c>
      <c r="D443" s="3">
        <v>37</v>
      </c>
    </row>
    <row r="444" spans="1:4" x14ac:dyDescent="0.2">
      <c r="A444" s="3">
        <v>443</v>
      </c>
      <c r="B444" s="3">
        <v>113.2925092</v>
      </c>
      <c r="C444" s="3">
        <v>23.038007260000001</v>
      </c>
      <c r="D444" s="3">
        <v>37</v>
      </c>
    </row>
    <row r="445" spans="1:4" x14ac:dyDescent="0.2">
      <c r="A445" s="3">
        <v>444</v>
      </c>
      <c r="B445" s="3">
        <v>113.29794219999999</v>
      </c>
      <c r="C445" s="3">
        <v>23.042560470000002</v>
      </c>
      <c r="D445" s="3">
        <v>37</v>
      </c>
    </row>
    <row r="446" spans="1:4" x14ac:dyDescent="0.2">
      <c r="A446" s="3">
        <v>445</v>
      </c>
      <c r="B446" s="3">
        <v>113.2968188</v>
      </c>
      <c r="C446" s="3">
        <v>23.034233929999999</v>
      </c>
      <c r="D446" s="3">
        <v>8</v>
      </c>
    </row>
    <row r="447" spans="1:4" x14ac:dyDescent="0.2">
      <c r="A447" s="3">
        <v>446</v>
      </c>
      <c r="B447" s="3">
        <v>113.3016105</v>
      </c>
      <c r="C447" s="3">
        <v>23.0388278</v>
      </c>
      <c r="D447" s="3">
        <v>4</v>
      </c>
    </row>
    <row r="448" spans="1:4" x14ac:dyDescent="0.2">
      <c r="A448" s="3">
        <v>447</v>
      </c>
      <c r="B448" s="3">
        <v>113.2926001</v>
      </c>
      <c r="C448" s="3">
        <v>23.037092510000001</v>
      </c>
      <c r="D448" s="3">
        <v>37</v>
      </c>
    </row>
    <row r="449" spans="1:4" x14ac:dyDescent="0.2">
      <c r="A449" s="3">
        <v>448</v>
      </c>
      <c r="B449" s="3">
        <v>113.29837329999999</v>
      </c>
      <c r="C449" s="3">
        <v>23.04294058</v>
      </c>
      <c r="D449" s="3">
        <v>37</v>
      </c>
    </row>
    <row r="450" spans="1:4" x14ac:dyDescent="0.2">
      <c r="A450" s="3">
        <v>449</v>
      </c>
      <c r="B450" s="3">
        <v>113.29934</v>
      </c>
      <c r="C450" s="3">
        <v>23.036850560000001</v>
      </c>
      <c r="D450" s="3">
        <v>8</v>
      </c>
    </row>
    <row r="451" spans="1:4" x14ac:dyDescent="0.2">
      <c r="A451" s="3">
        <v>450</v>
      </c>
      <c r="B451" s="3">
        <v>113.2927727</v>
      </c>
      <c r="C451" s="3">
        <v>23.038845479999999</v>
      </c>
      <c r="D451" s="3">
        <v>37</v>
      </c>
    </row>
    <row r="452" spans="1:4" x14ac:dyDescent="0.2">
      <c r="A452" s="3">
        <v>451</v>
      </c>
      <c r="B452" s="3">
        <v>113.2981963</v>
      </c>
      <c r="C452" s="3">
        <v>23.033777829999998</v>
      </c>
      <c r="D452" s="3">
        <v>8</v>
      </c>
    </row>
    <row r="453" spans="1:4" x14ac:dyDescent="0.2">
      <c r="A453" s="3">
        <v>452</v>
      </c>
      <c r="B453" s="3">
        <v>113.30090559999999</v>
      </c>
      <c r="C453" s="3">
        <v>23.042908270000002</v>
      </c>
      <c r="D453" s="3">
        <v>37</v>
      </c>
    </row>
    <row r="454" spans="1:4" x14ac:dyDescent="0.2">
      <c r="A454" s="3">
        <v>453</v>
      </c>
      <c r="B454" s="3">
        <v>113.301188</v>
      </c>
      <c r="C454" s="3">
        <v>23.043650459999999</v>
      </c>
      <c r="D454" s="3">
        <v>37</v>
      </c>
    </row>
    <row r="455" spans="1:4" x14ac:dyDescent="0.2">
      <c r="A455" s="3">
        <v>454</v>
      </c>
      <c r="B455" s="3">
        <v>113.3015613</v>
      </c>
      <c r="C455" s="3">
        <v>23.043578839999999</v>
      </c>
      <c r="D455" s="3">
        <v>37</v>
      </c>
    </row>
    <row r="456" spans="1:4" x14ac:dyDescent="0.2">
      <c r="A456" s="3">
        <v>455</v>
      </c>
      <c r="B456" s="3">
        <v>113.2995497</v>
      </c>
      <c r="C456" s="3">
        <v>23.035341859999999</v>
      </c>
      <c r="D456" s="3">
        <v>8</v>
      </c>
    </row>
    <row r="457" spans="1:4" x14ac:dyDescent="0.2">
      <c r="A457" s="3">
        <v>456</v>
      </c>
      <c r="B457" s="3">
        <v>113.29830699999999</v>
      </c>
      <c r="C457" s="3">
        <v>23.035247999999999</v>
      </c>
      <c r="D457" s="3">
        <v>8</v>
      </c>
    </row>
    <row r="458" spans="1:4" x14ac:dyDescent="0.2">
      <c r="A458" s="3">
        <v>457</v>
      </c>
      <c r="B458" s="3">
        <v>113.2984927</v>
      </c>
      <c r="C458" s="3">
        <v>23.033936260000001</v>
      </c>
      <c r="D458" s="3">
        <v>8</v>
      </c>
    </row>
    <row r="459" spans="1:4" x14ac:dyDescent="0.2">
      <c r="A459" s="3">
        <v>458</v>
      </c>
      <c r="B459" s="3">
        <v>113.2917631</v>
      </c>
      <c r="C459" s="3">
        <v>23.043124219999999</v>
      </c>
      <c r="D459" s="3">
        <v>37</v>
      </c>
    </row>
    <row r="460" spans="1:4" x14ac:dyDescent="0.2">
      <c r="A460" s="3">
        <v>459</v>
      </c>
      <c r="B460" s="3">
        <v>113.3074651</v>
      </c>
      <c r="C460" s="3">
        <v>23.039471070000001</v>
      </c>
      <c r="D460" s="3">
        <v>4</v>
      </c>
    </row>
    <row r="461" spans="1:4" x14ac:dyDescent="0.2">
      <c r="A461" s="3">
        <v>460</v>
      </c>
      <c r="B461" s="3">
        <v>113.30907910000001</v>
      </c>
      <c r="C461" s="3">
        <v>23.036127560000001</v>
      </c>
      <c r="D461" s="3">
        <v>4</v>
      </c>
    </row>
    <row r="462" spans="1:4" x14ac:dyDescent="0.2">
      <c r="A462" s="3">
        <v>461</v>
      </c>
      <c r="B462" s="3">
        <v>113.3078144</v>
      </c>
      <c r="C462" s="3">
        <v>23.039508420000001</v>
      </c>
      <c r="D462" s="3">
        <v>4</v>
      </c>
    </row>
    <row r="463" spans="1:4" x14ac:dyDescent="0.2">
      <c r="A463" s="3">
        <v>462</v>
      </c>
      <c r="B463" s="3">
        <v>113.30794419999999</v>
      </c>
      <c r="C463" s="3">
        <v>23.038996399999998</v>
      </c>
      <c r="D463" s="3">
        <v>4</v>
      </c>
    </row>
    <row r="464" spans="1:4" x14ac:dyDescent="0.2">
      <c r="A464" s="3">
        <v>463</v>
      </c>
      <c r="B464" s="3">
        <v>113.3086009</v>
      </c>
      <c r="C464" s="3">
        <v>23.039128139999999</v>
      </c>
      <c r="D464" s="3">
        <v>4</v>
      </c>
    </row>
    <row r="465" spans="1:4" x14ac:dyDescent="0.2">
      <c r="A465" s="3">
        <v>464</v>
      </c>
      <c r="B465" s="3">
        <v>113.3112536</v>
      </c>
      <c r="C465" s="3">
        <v>23.03819464</v>
      </c>
      <c r="D465" s="3">
        <v>4</v>
      </c>
    </row>
    <row r="466" spans="1:4" x14ac:dyDescent="0.2">
      <c r="A466" s="3">
        <v>465</v>
      </c>
      <c r="B466" s="3">
        <v>113.3055998</v>
      </c>
      <c r="C466" s="3">
        <v>23.039598399999999</v>
      </c>
      <c r="D466" s="3">
        <v>4</v>
      </c>
    </row>
    <row r="467" spans="1:4" x14ac:dyDescent="0.2">
      <c r="A467" s="3">
        <v>466</v>
      </c>
      <c r="B467" s="3">
        <v>113.30618560000001</v>
      </c>
      <c r="C467" s="3">
        <v>23.040504949999999</v>
      </c>
      <c r="D467" s="3">
        <v>4</v>
      </c>
    </row>
    <row r="468" spans="1:4" x14ac:dyDescent="0.2">
      <c r="A468" s="3">
        <v>467</v>
      </c>
      <c r="B468" s="3">
        <v>113.3064869</v>
      </c>
      <c r="C468" s="3">
        <v>23.0409772</v>
      </c>
      <c r="D468" s="3">
        <v>4</v>
      </c>
    </row>
    <row r="469" spans="1:4" x14ac:dyDescent="0.2">
      <c r="A469" s="3">
        <v>468</v>
      </c>
      <c r="B469" s="3">
        <v>113.30427330000001</v>
      </c>
      <c r="C469" s="3">
        <v>23.040554360000002</v>
      </c>
      <c r="D469" s="3">
        <v>4</v>
      </c>
    </row>
    <row r="470" spans="1:4" x14ac:dyDescent="0.2">
      <c r="A470" s="3">
        <v>469</v>
      </c>
      <c r="B470" s="3">
        <v>113.31057389999999</v>
      </c>
      <c r="C470" s="3">
        <v>23.0389056</v>
      </c>
      <c r="D470" s="3">
        <v>4</v>
      </c>
    </row>
    <row r="471" spans="1:4" x14ac:dyDescent="0.2">
      <c r="A471" s="3">
        <v>470</v>
      </c>
      <c r="B471" s="3">
        <v>113.3083403</v>
      </c>
      <c r="C471" s="3">
        <v>23.04092485</v>
      </c>
      <c r="D471" s="3">
        <v>4</v>
      </c>
    </row>
    <row r="472" spans="1:4" x14ac:dyDescent="0.2">
      <c r="A472" s="3">
        <v>471</v>
      </c>
      <c r="B472" s="3">
        <v>113.30461459999999</v>
      </c>
      <c r="C472" s="3">
        <v>23.040604729999998</v>
      </c>
      <c r="D472" s="3">
        <v>4</v>
      </c>
    </row>
    <row r="473" spans="1:4" x14ac:dyDescent="0.2">
      <c r="A473" s="3">
        <v>472</v>
      </c>
      <c r="B473" s="3">
        <v>113.3083355</v>
      </c>
      <c r="C473" s="3">
        <v>23.037065519999999</v>
      </c>
      <c r="D473" s="3">
        <v>4</v>
      </c>
    </row>
    <row r="474" spans="1:4" x14ac:dyDescent="0.2">
      <c r="A474" s="3">
        <v>473</v>
      </c>
      <c r="B474" s="3">
        <v>113.30726129999999</v>
      </c>
      <c r="C474" s="3">
        <v>23.042023350000001</v>
      </c>
      <c r="D474" s="3">
        <v>4</v>
      </c>
    </row>
    <row r="475" spans="1:4" x14ac:dyDescent="0.2">
      <c r="A475" s="3">
        <v>474</v>
      </c>
      <c r="B475" s="3">
        <v>113.3045278</v>
      </c>
      <c r="C475" s="3">
        <v>23.040347000000001</v>
      </c>
      <c r="D475" s="3">
        <v>4</v>
      </c>
    </row>
    <row r="476" spans="1:4" x14ac:dyDescent="0.2">
      <c r="A476" s="3">
        <v>475</v>
      </c>
      <c r="B476" s="3">
        <v>113.3047523</v>
      </c>
      <c r="C476" s="3">
        <v>23.041126259999999</v>
      </c>
      <c r="D476" s="3">
        <v>4</v>
      </c>
    </row>
    <row r="477" spans="1:4" x14ac:dyDescent="0.2">
      <c r="A477" s="3">
        <v>476</v>
      </c>
      <c r="B477" s="3">
        <v>113.3043981</v>
      </c>
      <c r="C477" s="3">
        <v>23.040093339999999</v>
      </c>
      <c r="D477" s="3">
        <v>4</v>
      </c>
    </row>
    <row r="478" spans="1:4" x14ac:dyDescent="0.2">
      <c r="A478" s="3">
        <v>477</v>
      </c>
      <c r="B478" s="3">
        <v>113.3106636</v>
      </c>
      <c r="C478" s="3">
        <v>23.04058371</v>
      </c>
      <c r="D478" s="3">
        <v>4</v>
      </c>
    </row>
    <row r="479" spans="1:4" x14ac:dyDescent="0.2">
      <c r="A479" s="3">
        <v>478</v>
      </c>
      <c r="B479" s="3">
        <v>113.3042363</v>
      </c>
      <c r="C479" s="3">
        <v>23.041603980000001</v>
      </c>
      <c r="D479" s="3">
        <v>4</v>
      </c>
    </row>
    <row r="480" spans="1:4" x14ac:dyDescent="0.2">
      <c r="A480" s="3">
        <v>479</v>
      </c>
      <c r="B480" s="3">
        <v>113.30996620000001</v>
      </c>
      <c r="C480" s="3">
        <v>23.038267000000001</v>
      </c>
      <c r="D480" s="3">
        <v>4</v>
      </c>
    </row>
    <row r="481" spans="1:4" x14ac:dyDescent="0.2">
      <c r="A481" s="3">
        <v>480</v>
      </c>
      <c r="B481" s="3">
        <v>113.31000400000001</v>
      </c>
      <c r="C481" s="3">
        <v>23.04048397</v>
      </c>
      <c r="D481" s="3">
        <v>4</v>
      </c>
    </row>
    <row r="482" spans="1:4" x14ac:dyDescent="0.2">
      <c r="A482" s="3">
        <v>481</v>
      </c>
      <c r="B482" s="3">
        <v>113.3095369</v>
      </c>
      <c r="C482" s="3">
        <v>23.040624780000002</v>
      </c>
      <c r="D482" s="3">
        <v>4</v>
      </c>
    </row>
    <row r="483" spans="1:4" x14ac:dyDescent="0.2">
      <c r="A483" s="3">
        <v>482</v>
      </c>
      <c r="B483" s="3">
        <v>113.30385510000001</v>
      </c>
      <c r="C483" s="3">
        <v>23.040983919999999</v>
      </c>
      <c r="D483" s="3">
        <v>4</v>
      </c>
    </row>
    <row r="484" spans="1:4" x14ac:dyDescent="0.2">
      <c r="A484" s="3">
        <v>483</v>
      </c>
      <c r="B484" s="3">
        <v>113.30411359999999</v>
      </c>
      <c r="C484" s="3">
        <v>23.04096547</v>
      </c>
      <c r="D484" s="3">
        <v>4</v>
      </c>
    </row>
    <row r="485" spans="1:4" x14ac:dyDescent="0.2">
      <c r="A485" s="3">
        <v>484</v>
      </c>
      <c r="B485" s="3">
        <v>113.3115761</v>
      </c>
      <c r="C485" s="3">
        <v>23.03649777</v>
      </c>
      <c r="D485" s="3">
        <v>4</v>
      </c>
    </row>
    <row r="486" spans="1:4" x14ac:dyDescent="0.2">
      <c r="A486" s="3">
        <v>485</v>
      </c>
      <c r="B486" s="3">
        <v>113.31002290000001</v>
      </c>
      <c r="C486" s="3">
        <v>23.04023205</v>
      </c>
      <c r="D486" s="3">
        <v>4</v>
      </c>
    </row>
    <row r="487" spans="1:4" x14ac:dyDescent="0.2">
      <c r="A487" s="3">
        <v>486</v>
      </c>
      <c r="B487" s="3">
        <v>113.3027175</v>
      </c>
      <c r="C487" s="3">
        <v>23.037349500000001</v>
      </c>
      <c r="D487" s="3">
        <v>4</v>
      </c>
    </row>
    <row r="488" spans="1:4" x14ac:dyDescent="0.2">
      <c r="A488" s="3">
        <v>487</v>
      </c>
      <c r="B488" s="3">
        <v>113.3087554</v>
      </c>
      <c r="C488" s="3">
        <v>23.04180771</v>
      </c>
      <c r="D488" s="3">
        <v>4</v>
      </c>
    </row>
    <row r="489" spans="1:4" x14ac:dyDescent="0.2">
      <c r="A489" s="3">
        <v>488</v>
      </c>
      <c r="B489" s="3">
        <v>113.30998099999999</v>
      </c>
      <c r="C489" s="3">
        <v>23.040291100000001</v>
      </c>
      <c r="D489" s="3">
        <v>4</v>
      </c>
    </row>
    <row r="490" spans="1:4" x14ac:dyDescent="0.2">
      <c r="A490" s="3">
        <v>489</v>
      </c>
      <c r="B490" s="3">
        <v>113.31081639999999</v>
      </c>
      <c r="C490" s="3">
        <v>23.039819749999999</v>
      </c>
      <c r="D490" s="3">
        <v>4</v>
      </c>
    </row>
    <row r="491" spans="1:4" x14ac:dyDescent="0.2">
      <c r="A491" s="3">
        <v>490</v>
      </c>
      <c r="B491" s="3">
        <v>113.3116448</v>
      </c>
      <c r="C491" s="3">
        <v>23.038847629999999</v>
      </c>
      <c r="D491" s="3">
        <v>4</v>
      </c>
    </row>
    <row r="492" spans="1:4" x14ac:dyDescent="0.2">
      <c r="A492" s="3">
        <v>491</v>
      </c>
      <c r="B492" s="3">
        <v>113.3028779</v>
      </c>
      <c r="C492" s="3">
        <v>23.042391049999999</v>
      </c>
      <c r="D492" s="3">
        <v>4</v>
      </c>
    </row>
    <row r="493" spans="1:4" x14ac:dyDescent="0.2">
      <c r="A493" s="3">
        <v>492</v>
      </c>
      <c r="B493" s="3">
        <v>113.303854</v>
      </c>
      <c r="C493" s="3">
        <v>23.043019050000002</v>
      </c>
      <c r="D493" s="3">
        <v>4</v>
      </c>
    </row>
    <row r="494" spans="1:4" x14ac:dyDescent="0.2">
      <c r="A494" s="3">
        <v>493</v>
      </c>
      <c r="B494" s="3">
        <v>113.3099721</v>
      </c>
      <c r="C494" s="3">
        <v>23.039113619999998</v>
      </c>
      <c r="D494" s="3">
        <v>4</v>
      </c>
    </row>
    <row r="495" spans="1:4" x14ac:dyDescent="0.2">
      <c r="A495" s="3">
        <v>494</v>
      </c>
      <c r="B495" s="3">
        <v>113.31098830000001</v>
      </c>
      <c r="C495" s="3">
        <v>23.035468309999999</v>
      </c>
      <c r="D495" s="3">
        <v>4</v>
      </c>
    </row>
    <row r="496" spans="1:4" x14ac:dyDescent="0.2">
      <c r="A496" s="3">
        <v>495</v>
      </c>
      <c r="B496" s="3">
        <v>113.3019687</v>
      </c>
      <c r="C496" s="3">
        <v>23.04196782</v>
      </c>
      <c r="D496" s="3">
        <v>4</v>
      </c>
    </row>
    <row r="497" spans="1:4" x14ac:dyDescent="0.2">
      <c r="A497" s="3">
        <v>496</v>
      </c>
      <c r="B497" s="3">
        <v>113.30288880000001</v>
      </c>
      <c r="C497" s="3">
        <v>23.043043749999999</v>
      </c>
      <c r="D497" s="3">
        <v>4</v>
      </c>
    </row>
    <row r="498" spans="1:4" x14ac:dyDescent="0.2">
      <c r="A498" s="3">
        <v>497</v>
      </c>
      <c r="B498" s="3">
        <v>113.3017621</v>
      </c>
      <c r="C498" s="3">
        <v>23.04183124</v>
      </c>
      <c r="D498" s="3">
        <v>4</v>
      </c>
    </row>
    <row r="499" spans="1:4" x14ac:dyDescent="0.2">
      <c r="A499" s="3">
        <v>498</v>
      </c>
      <c r="B499" s="3">
        <v>113.3101338</v>
      </c>
      <c r="C499" s="3">
        <v>23.03896838</v>
      </c>
      <c r="D499" s="3">
        <v>4</v>
      </c>
    </row>
    <row r="500" spans="1:4" x14ac:dyDescent="0.2">
      <c r="A500" s="3">
        <v>499</v>
      </c>
      <c r="B500" s="3">
        <v>113.3098052</v>
      </c>
      <c r="C500" s="3">
        <v>23.043189179999999</v>
      </c>
      <c r="D500" s="3">
        <v>4</v>
      </c>
    </row>
    <row r="501" spans="1:4" x14ac:dyDescent="0.2">
      <c r="A501" s="3">
        <v>500</v>
      </c>
      <c r="B501" s="3">
        <v>113.3017251</v>
      </c>
      <c r="C501" s="3">
        <v>23.041847300000001</v>
      </c>
      <c r="D501" s="3">
        <v>4</v>
      </c>
    </row>
    <row r="502" spans="1:4" x14ac:dyDescent="0.2">
      <c r="A502" s="3">
        <v>501</v>
      </c>
      <c r="B502" s="3">
        <v>113.3045188</v>
      </c>
      <c r="C502" s="3">
        <v>23.040678870000001</v>
      </c>
      <c r="D502" s="3">
        <v>4</v>
      </c>
    </row>
    <row r="503" spans="1:4" x14ac:dyDescent="0.2">
      <c r="A503" s="3">
        <v>502</v>
      </c>
      <c r="B503" s="3">
        <v>113.3042483</v>
      </c>
      <c r="C503" s="3">
        <v>23.040643370000002</v>
      </c>
      <c r="D503" s="3">
        <v>4</v>
      </c>
    </row>
    <row r="504" spans="1:4" x14ac:dyDescent="0.2">
      <c r="A504" s="3">
        <v>503</v>
      </c>
      <c r="B504" s="3">
        <v>113.3037461</v>
      </c>
      <c r="C504" s="3">
        <v>23.043487039999999</v>
      </c>
      <c r="D504" s="3">
        <v>4</v>
      </c>
    </row>
    <row r="505" spans="1:4" x14ac:dyDescent="0.2">
      <c r="A505" s="3">
        <v>504</v>
      </c>
      <c r="B505" s="3">
        <v>113.3040757</v>
      </c>
      <c r="C505" s="3">
        <v>23.040264839999999</v>
      </c>
      <c r="D505" s="3">
        <v>4</v>
      </c>
    </row>
    <row r="506" spans="1:4" x14ac:dyDescent="0.2">
      <c r="A506" s="3">
        <v>505</v>
      </c>
      <c r="B506" s="3">
        <v>113.31132909999999</v>
      </c>
      <c r="C506" s="3">
        <v>23.043332289999999</v>
      </c>
      <c r="D506" s="3">
        <v>4</v>
      </c>
    </row>
    <row r="507" spans="1:4" x14ac:dyDescent="0.2">
      <c r="A507" s="3">
        <v>506</v>
      </c>
      <c r="B507" s="3">
        <v>113.3040378</v>
      </c>
      <c r="C507" s="3">
        <v>23.040520799999999</v>
      </c>
      <c r="D507" s="3">
        <v>4</v>
      </c>
    </row>
    <row r="508" spans="1:4" x14ac:dyDescent="0.2">
      <c r="A508" s="3">
        <v>507</v>
      </c>
      <c r="B508" s="3">
        <v>113.3151567</v>
      </c>
      <c r="C508" s="3">
        <v>23.03792442</v>
      </c>
      <c r="D508" s="3">
        <v>4</v>
      </c>
    </row>
    <row r="509" spans="1:4" x14ac:dyDescent="0.2">
      <c r="A509" s="3">
        <v>508</v>
      </c>
      <c r="B509" s="3">
        <v>113.31507070000001</v>
      </c>
      <c r="C509" s="3">
        <v>23.040108650000001</v>
      </c>
      <c r="D509" s="3">
        <v>4</v>
      </c>
    </row>
    <row r="510" spans="1:4" x14ac:dyDescent="0.2">
      <c r="A510" s="3">
        <v>509</v>
      </c>
      <c r="B510" s="3">
        <v>113.31431430000001</v>
      </c>
      <c r="C510" s="3">
        <v>23.03894657</v>
      </c>
      <c r="D510" s="3">
        <v>4</v>
      </c>
    </row>
    <row r="511" spans="1:4" x14ac:dyDescent="0.2">
      <c r="A511" s="3">
        <v>510</v>
      </c>
      <c r="B511" s="3">
        <v>113.31576149999999</v>
      </c>
      <c r="C511" s="3">
        <v>23.036330970000002</v>
      </c>
      <c r="D511" s="3">
        <v>4</v>
      </c>
    </row>
    <row r="512" spans="1:4" x14ac:dyDescent="0.2">
      <c r="A512" s="3">
        <v>511</v>
      </c>
      <c r="B512" s="3">
        <v>113.3173559</v>
      </c>
      <c r="C512" s="3">
        <v>23.041496710000001</v>
      </c>
      <c r="D512" s="3">
        <v>4</v>
      </c>
    </row>
    <row r="513" spans="1:4" x14ac:dyDescent="0.2">
      <c r="A513" s="3">
        <v>512</v>
      </c>
      <c r="B513" s="3">
        <v>113.3153274</v>
      </c>
      <c r="C513" s="3">
        <v>23.036692630000001</v>
      </c>
      <c r="D513" s="3">
        <v>4</v>
      </c>
    </row>
    <row r="514" spans="1:4" x14ac:dyDescent="0.2">
      <c r="A514" s="3">
        <v>513</v>
      </c>
      <c r="B514" s="3">
        <v>113.320324</v>
      </c>
      <c r="C514" s="3">
        <v>23.039319989999999</v>
      </c>
      <c r="D514" s="3">
        <v>24</v>
      </c>
    </row>
    <row r="515" spans="1:4" x14ac:dyDescent="0.2">
      <c r="A515" s="3">
        <v>514</v>
      </c>
      <c r="B515" s="3">
        <v>113.3126745</v>
      </c>
      <c r="C515" s="3">
        <v>23.04149456</v>
      </c>
      <c r="D515" s="3">
        <v>4</v>
      </c>
    </row>
    <row r="516" spans="1:4" x14ac:dyDescent="0.2">
      <c r="A516" s="3">
        <v>515</v>
      </c>
      <c r="B516" s="3">
        <v>113.3131008</v>
      </c>
      <c r="C516" s="3">
        <v>23.038773930000001</v>
      </c>
      <c r="D516" s="3">
        <v>4</v>
      </c>
    </row>
    <row r="517" spans="1:4" x14ac:dyDescent="0.2">
      <c r="A517" s="3">
        <v>516</v>
      </c>
      <c r="B517" s="3">
        <v>113.31450580000001</v>
      </c>
      <c r="C517" s="3">
        <v>23.041471130000001</v>
      </c>
      <c r="D517" s="3">
        <v>4</v>
      </c>
    </row>
    <row r="518" spans="1:4" x14ac:dyDescent="0.2">
      <c r="A518" s="3">
        <v>517</v>
      </c>
      <c r="B518" s="3">
        <v>113.3138132</v>
      </c>
      <c r="C518" s="3">
        <v>23.041241530000001</v>
      </c>
      <c r="D518" s="3">
        <v>4</v>
      </c>
    </row>
    <row r="519" spans="1:4" x14ac:dyDescent="0.2">
      <c r="A519" s="3">
        <v>518</v>
      </c>
      <c r="B519" s="3">
        <v>113.32116929999999</v>
      </c>
      <c r="C519" s="3">
        <v>23.03819485</v>
      </c>
      <c r="D519" s="3">
        <v>24</v>
      </c>
    </row>
    <row r="520" spans="1:4" x14ac:dyDescent="0.2">
      <c r="A520" s="3">
        <v>519</v>
      </c>
      <c r="B520" s="3">
        <v>113.3184716</v>
      </c>
      <c r="C520" s="3">
        <v>23.042460169999998</v>
      </c>
      <c r="D520" s="3">
        <v>24</v>
      </c>
    </row>
    <row r="521" spans="1:4" x14ac:dyDescent="0.2">
      <c r="A521" s="3">
        <v>520</v>
      </c>
      <c r="B521" s="3">
        <v>113.3151668</v>
      </c>
      <c r="C521" s="3">
        <v>23.035515440000001</v>
      </c>
      <c r="D521" s="3">
        <v>4</v>
      </c>
    </row>
    <row r="522" spans="1:4" x14ac:dyDescent="0.2">
      <c r="A522" s="3">
        <v>521</v>
      </c>
      <c r="B522" s="3">
        <v>113.31401820000001</v>
      </c>
      <c r="C522" s="3">
        <v>23.035609569999998</v>
      </c>
      <c r="D522" s="3">
        <v>4</v>
      </c>
    </row>
    <row r="523" spans="1:4" x14ac:dyDescent="0.2">
      <c r="A523" s="3">
        <v>522</v>
      </c>
      <c r="B523" s="3">
        <v>113.3140018</v>
      </c>
      <c r="C523" s="3">
        <v>23.041494069999999</v>
      </c>
      <c r="D523" s="3">
        <v>4</v>
      </c>
    </row>
    <row r="524" spans="1:4" x14ac:dyDescent="0.2">
      <c r="A524" s="3">
        <v>523</v>
      </c>
      <c r="B524" s="3">
        <v>113.3136255</v>
      </c>
      <c r="C524" s="3">
        <v>23.042316419999999</v>
      </c>
      <c r="D524" s="3">
        <v>4</v>
      </c>
    </row>
    <row r="525" spans="1:4" x14ac:dyDescent="0.2">
      <c r="A525" s="3">
        <v>524</v>
      </c>
      <c r="B525" s="3">
        <v>113.3216592</v>
      </c>
      <c r="C525" s="3">
        <v>23.039465369999999</v>
      </c>
      <c r="D525" s="3">
        <v>24</v>
      </c>
    </row>
    <row r="526" spans="1:4" x14ac:dyDescent="0.2">
      <c r="A526" s="3">
        <v>525</v>
      </c>
      <c r="B526" s="3">
        <v>113.3125059</v>
      </c>
      <c r="C526" s="3">
        <v>23.04117402</v>
      </c>
      <c r="D526" s="3">
        <v>4</v>
      </c>
    </row>
    <row r="527" spans="1:4" x14ac:dyDescent="0.2">
      <c r="A527" s="3">
        <v>526</v>
      </c>
      <c r="B527" s="3">
        <v>113.3130687</v>
      </c>
      <c r="C527" s="3">
        <v>23.041352880000002</v>
      </c>
      <c r="D527" s="3">
        <v>4</v>
      </c>
    </row>
    <row r="528" spans="1:4" x14ac:dyDescent="0.2">
      <c r="A528" s="3">
        <v>527</v>
      </c>
      <c r="B528" s="3">
        <v>113.31256860000001</v>
      </c>
      <c r="C528" s="3">
        <v>23.04252632</v>
      </c>
      <c r="D528" s="3">
        <v>4</v>
      </c>
    </row>
    <row r="529" spans="1:4" x14ac:dyDescent="0.2">
      <c r="A529" s="3">
        <v>528</v>
      </c>
      <c r="B529" s="3">
        <v>113.31338649999999</v>
      </c>
      <c r="C529" s="3">
        <v>23.03560976</v>
      </c>
      <c r="D529" s="3">
        <v>4</v>
      </c>
    </row>
    <row r="530" spans="1:4" x14ac:dyDescent="0.2">
      <c r="A530" s="3">
        <v>529</v>
      </c>
      <c r="B530" s="3">
        <v>113.3117295</v>
      </c>
      <c r="C530" s="3">
        <v>23.040913580000002</v>
      </c>
      <c r="D530" s="3">
        <v>4</v>
      </c>
    </row>
    <row r="531" spans="1:4" x14ac:dyDescent="0.2">
      <c r="A531" s="3">
        <v>530</v>
      </c>
      <c r="B531" s="3">
        <v>113.3144722</v>
      </c>
      <c r="C531" s="3">
        <v>23.035578730000001</v>
      </c>
      <c r="D531" s="3">
        <v>4</v>
      </c>
    </row>
    <row r="532" spans="1:4" x14ac:dyDescent="0.2">
      <c r="A532" s="3">
        <v>531</v>
      </c>
      <c r="B532" s="3">
        <v>113.3123083</v>
      </c>
      <c r="C532" s="3">
        <v>23.04085053</v>
      </c>
      <c r="D532" s="3">
        <v>4</v>
      </c>
    </row>
    <row r="533" spans="1:4" x14ac:dyDescent="0.2">
      <c r="A533" s="3">
        <v>532</v>
      </c>
      <c r="B533" s="3">
        <v>113.3206643</v>
      </c>
      <c r="C533" s="3">
        <v>23.03840473</v>
      </c>
      <c r="D533" s="3">
        <v>24</v>
      </c>
    </row>
    <row r="534" spans="1:4" x14ac:dyDescent="0.2">
      <c r="A534" s="3">
        <v>533</v>
      </c>
      <c r="B534" s="3">
        <v>113.3122278</v>
      </c>
      <c r="C534" s="3">
        <v>23.03563492</v>
      </c>
      <c r="D534" s="3">
        <v>4</v>
      </c>
    </row>
    <row r="535" spans="1:4" x14ac:dyDescent="0.2">
      <c r="A535" s="3">
        <v>534</v>
      </c>
      <c r="B535" s="3">
        <v>113.3118825</v>
      </c>
      <c r="C535" s="3">
        <v>23.035915450000001</v>
      </c>
      <c r="D535" s="3">
        <v>4</v>
      </c>
    </row>
    <row r="536" spans="1:4" x14ac:dyDescent="0.2">
      <c r="A536" s="3">
        <v>535</v>
      </c>
      <c r="B536" s="3">
        <v>113.313408</v>
      </c>
      <c r="C536" s="3">
        <v>23.04229784</v>
      </c>
      <c r="D536" s="3">
        <v>4</v>
      </c>
    </row>
    <row r="537" spans="1:4" x14ac:dyDescent="0.2">
      <c r="A537" s="3">
        <v>536</v>
      </c>
      <c r="B537" s="3">
        <v>113.3143331</v>
      </c>
      <c r="C537" s="3">
        <v>23.042462029999999</v>
      </c>
      <c r="D537" s="3">
        <v>4</v>
      </c>
    </row>
    <row r="538" spans="1:4" x14ac:dyDescent="0.2">
      <c r="A538" s="3">
        <v>537</v>
      </c>
      <c r="B538" s="3">
        <v>113.32005359999999</v>
      </c>
      <c r="C538" s="3">
        <v>23.038546839999999</v>
      </c>
      <c r="D538" s="3">
        <v>24</v>
      </c>
    </row>
    <row r="539" spans="1:4" x14ac:dyDescent="0.2">
      <c r="A539" s="3">
        <v>538</v>
      </c>
      <c r="B539" s="3">
        <v>113.31257890000001</v>
      </c>
      <c r="C539" s="3">
        <v>23.038240139999999</v>
      </c>
      <c r="D539" s="3">
        <v>4</v>
      </c>
    </row>
    <row r="540" spans="1:4" x14ac:dyDescent="0.2">
      <c r="A540" s="3">
        <v>539</v>
      </c>
      <c r="B540" s="3">
        <v>113.31380540000001</v>
      </c>
      <c r="C540" s="3">
        <v>23.03873463</v>
      </c>
      <c r="D540" s="3">
        <v>4</v>
      </c>
    </row>
    <row r="541" spans="1:4" x14ac:dyDescent="0.2">
      <c r="A541" s="3">
        <v>540</v>
      </c>
      <c r="B541" s="3">
        <v>113.31170229999999</v>
      </c>
      <c r="C541" s="3">
        <v>23.043668449999998</v>
      </c>
      <c r="D541" s="3">
        <v>4</v>
      </c>
    </row>
    <row r="542" spans="1:4" x14ac:dyDescent="0.2">
      <c r="A542" s="3">
        <v>541</v>
      </c>
      <c r="B542" s="3">
        <v>113.3213289</v>
      </c>
      <c r="C542" s="3">
        <v>23.039655920000001</v>
      </c>
      <c r="D542" s="3">
        <v>24</v>
      </c>
    </row>
    <row r="543" spans="1:4" x14ac:dyDescent="0.2">
      <c r="A543" s="3">
        <v>542</v>
      </c>
      <c r="B543" s="3">
        <v>113.3307779</v>
      </c>
      <c r="C543" s="3">
        <v>23.034293210000001</v>
      </c>
      <c r="D543" s="3">
        <v>24</v>
      </c>
    </row>
    <row r="544" spans="1:4" x14ac:dyDescent="0.2">
      <c r="A544" s="3">
        <v>543</v>
      </c>
      <c r="B544" s="3">
        <v>113.32416809999999</v>
      </c>
      <c r="C544" s="3">
        <v>23.03862693</v>
      </c>
      <c r="D544" s="3">
        <v>24</v>
      </c>
    </row>
    <row r="545" spans="1:4" x14ac:dyDescent="0.2">
      <c r="A545" s="3">
        <v>544</v>
      </c>
      <c r="B545" s="3">
        <v>113.32698449999999</v>
      </c>
      <c r="C545" s="3">
        <v>23.036212590000002</v>
      </c>
      <c r="D545" s="3">
        <v>24</v>
      </c>
    </row>
    <row r="546" spans="1:4" x14ac:dyDescent="0.2">
      <c r="A546" s="3">
        <v>545</v>
      </c>
      <c r="B546" s="3">
        <v>113.3239186</v>
      </c>
      <c r="C546" s="3">
        <v>23.03907821</v>
      </c>
      <c r="D546" s="3">
        <v>24</v>
      </c>
    </row>
    <row r="547" spans="1:4" x14ac:dyDescent="0.2">
      <c r="A547" s="3">
        <v>546</v>
      </c>
      <c r="B547" s="3">
        <v>113.3246901</v>
      </c>
      <c r="C547" s="3">
        <v>23.036854689999998</v>
      </c>
      <c r="D547" s="3">
        <v>24</v>
      </c>
    </row>
    <row r="548" spans="1:4" x14ac:dyDescent="0.2">
      <c r="A548" s="3">
        <v>547</v>
      </c>
      <c r="B548" s="3">
        <v>113.32549349999999</v>
      </c>
      <c r="C548" s="3">
        <v>23.036128470000001</v>
      </c>
      <c r="D548" s="3">
        <v>24</v>
      </c>
    </row>
    <row r="549" spans="1:4" x14ac:dyDescent="0.2">
      <c r="A549" s="3">
        <v>548</v>
      </c>
      <c r="B549" s="3">
        <v>113.3236143</v>
      </c>
      <c r="C549" s="3">
        <v>23.03794328</v>
      </c>
      <c r="D549" s="3">
        <v>24</v>
      </c>
    </row>
    <row r="550" spans="1:4" x14ac:dyDescent="0.2">
      <c r="A550" s="3">
        <v>549</v>
      </c>
      <c r="B550" s="3">
        <v>113.32256940000001</v>
      </c>
      <c r="C550" s="3">
        <v>23.03854402</v>
      </c>
      <c r="D550" s="3">
        <v>24</v>
      </c>
    </row>
    <row r="551" spans="1:4" x14ac:dyDescent="0.2">
      <c r="A551" s="3">
        <v>550</v>
      </c>
      <c r="B551" s="3">
        <v>113.32469709999999</v>
      </c>
      <c r="C551" s="3">
        <v>23.036317910000001</v>
      </c>
      <c r="D551" s="3">
        <v>24</v>
      </c>
    </row>
    <row r="552" spans="1:4" x14ac:dyDescent="0.2">
      <c r="A552" s="3">
        <v>551</v>
      </c>
      <c r="B552" s="3">
        <v>113.32879269999999</v>
      </c>
      <c r="C552" s="3">
        <v>23.037563559999999</v>
      </c>
      <c r="D552" s="3">
        <v>24</v>
      </c>
    </row>
    <row r="553" spans="1:4" x14ac:dyDescent="0.2">
      <c r="A553" s="3">
        <v>552</v>
      </c>
      <c r="B553" s="3">
        <v>113.3224206</v>
      </c>
      <c r="C553" s="3">
        <v>23.039494900000001</v>
      </c>
      <c r="D553" s="3">
        <v>24</v>
      </c>
    </row>
    <row r="554" spans="1:4" x14ac:dyDescent="0.2">
      <c r="A554" s="3">
        <v>553</v>
      </c>
      <c r="B554" s="3">
        <v>113.3247087</v>
      </c>
      <c r="C554" s="3">
        <v>23.042153379999998</v>
      </c>
      <c r="D554" s="3">
        <v>24</v>
      </c>
    </row>
    <row r="555" spans="1:4" x14ac:dyDescent="0.2">
      <c r="A555" s="3">
        <v>554</v>
      </c>
      <c r="B555" s="3">
        <v>113.3305112</v>
      </c>
      <c r="C555" s="3">
        <v>23.036938580000001</v>
      </c>
      <c r="D555" s="3">
        <v>24</v>
      </c>
    </row>
    <row r="556" spans="1:4" x14ac:dyDescent="0.2">
      <c r="A556" s="3">
        <v>555</v>
      </c>
      <c r="B556" s="3">
        <v>113.3260283</v>
      </c>
      <c r="C556" s="3">
        <v>23.03731694</v>
      </c>
      <c r="D556" s="3">
        <v>24</v>
      </c>
    </row>
    <row r="557" spans="1:4" x14ac:dyDescent="0.2">
      <c r="A557" s="3">
        <v>556</v>
      </c>
      <c r="B557" s="3">
        <v>113.33155410000001</v>
      </c>
      <c r="C557" s="3">
        <v>23.03683066</v>
      </c>
      <c r="D557" s="3">
        <v>24</v>
      </c>
    </row>
    <row r="558" spans="1:4" x14ac:dyDescent="0.2">
      <c r="A558" s="3">
        <v>557</v>
      </c>
      <c r="B558" s="3">
        <v>113.3278706</v>
      </c>
      <c r="C558" s="3">
        <v>23.037229459999999</v>
      </c>
      <c r="D558" s="3">
        <v>24</v>
      </c>
    </row>
    <row r="559" spans="1:4" x14ac:dyDescent="0.2">
      <c r="A559" s="3">
        <v>558</v>
      </c>
      <c r="B559" s="3">
        <v>113.33027389999999</v>
      </c>
      <c r="C559" s="3">
        <v>23.033921329999998</v>
      </c>
      <c r="D559" s="3">
        <v>24</v>
      </c>
    </row>
    <row r="560" spans="1:4" x14ac:dyDescent="0.2">
      <c r="A560" s="3">
        <v>559</v>
      </c>
      <c r="B560" s="3">
        <v>113.33029790000001</v>
      </c>
      <c r="C560" s="3">
        <v>23.03402724</v>
      </c>
      <c r="D560" s="3">
        <v>24</v>
      </c>
    </row>
    <row r="561" spans="1:4" x14ac:dyDescent="0.2">
      <c r="A561" s="3">
        <v>560</v>
      </c>
      <c r="B561" s="3">
        <v>113.3235224</v>
      </c>
      <c r="C561" s="3">
        <v>23.038395260000001</v>
      </c>
      <c r="D561" s="3">
        <v>24</v>
      </c>
    </row>
    <row r="562" spans="1:4" x14ac:dyDescent="0.2">
      <c r="A562" s="3">
        <v>561</v>
      </c>
      <c r="B562" s="3">
        <v>113.3256428</v>
      </c>
      <c r="C562" s="3">
        <v>23.041984660000001</v>
      </c>
      <c r="D562" s="3">
        <v>24</v>
      </c>
    </row>
    <row r="563" spans="1:4" x14ac:dyDescent="0.2">
      <c r="A563" s="3">
        <v>562</v>
      </c>
      <c r="B563" s="3">
        <v>113.3221233</v>
      </c>
      <c r="C563" s="3">
        <v>23.038458909999999</v>
      </c>
      <c r="D563" s="3">
        <v>24</v>
      </c>
    </row>
    <row r="564" spans="1:4" x14ac:dyDescent="0.2">
      <c r="A564" s="3">
        <v>563</v>
      </c>
      <c r="B564" s="3">
        <v>113.32228499999999</v>
      </c>
      <c r="C564" s="3">
        <v>23.038028789999998</v>
      </c>
      <c r="D564" s="3">
        <v>24</v>
      </c>
    </row>
    <row r="565" spans="1:4" x14ac:dyDescent="0.2">
      <c r="A565" s="3">
        <v>564</v>
      </c>
      <c r="B565" s="3">
        <v>113.33827599999999</v>
      </c>
      <c r="C565" s="3">
        <v>23.034692119999999</v>
      </c>
      <c r="D565" s="3">
        <v>13</v>
      </c>
    </row>
    <row r="566" spans="1:4" x14ac:dyDescent="0.2">
      <c r="A566" s="3">
        <v>565</v>
      </c>
      <c r="B566" s="3">
        <v>113.3397411</v>
      </c>
      <c r="C566" s="3">
        <v>23.036223809999999</v>
      </c>
      <c r="D566" s="3">
        <v>13</v>
      </c>
    </row>
    <row r="567" spans="1:4" x14ac:dyDescent="0.2">
      <c r="A567" s="3">
        <v>566</v>
      </c>
      <c r="B567" s="3">
        <v>113.3372598</v>
      </c>
      <c r="C567" s="3">
        <v>23.036718100000002</v>
      </c>
      <c r="D567" s="3">
        <v>13</v>
      </c>
    </row>
    <row r="568" spans="1:4" x14ac:dyDescent="0.2">
      <c r="A568" s="3">
        <v>567</v>
      </c>
      <c r="B568" s="3">
        <v>113.3340621</v>
      </c>
      <c r="C568" s="3">
        <v>23.037461690000001</v>
      </c>
      <c r="D568" s="3">
        <v>24</v>
      </c>
    </row>
    <row r="569" spans="1:4" x14ac:dyDescent="0.2">
      <c r="A569" s="3">
        <v>568</v>
      </c>
      <c r="B569" s="3">
        <v>113.3342407</v>
      </c>
      <c r="C569" s="3">
        <v>23.037001549999999</v>
      </c>
      <c r="D569" s="3">
        <v>24</v>
      </c>
    </row>
    <row r="570" spans="1:4" x14ac:dyDescent="0.2">
      <c r="A570" s="3">
        <v>569</v>
      </c>
      <c r="B570" s="3">
        <v>113.3331867</v>
      </c>
      <c r="C570" s="3">
        <v>23.03839292</v>
      </c>
      <c r="D570" s="3">
        <v>24</v>
      </c>
    </row>
    <row r="571" spans="1:4" x14ac:dyDescent="0.2">
      <c r="A571" s="3">
        <v>570</v>
      </c>
      <c r="B571" s="3">
        <v>113.3359674</v>
      </c>
      <c r="C571" s="3">
        <v>23.03640261</v>
      </c>
      <c r="D571" s="3">
        <v>13</v>
      </c>
    </row>
    <row r="572" spans="1:4" x14ac:dyDescent="0.2">
      <c r="A572" s="3">
        <v>571</v>
      </c>
      <c r="B572" s="3">
        <v>113.3343855</v>
      </c>
      <c r="C572" s="3">
        <v>23.03654848</v>
      </c>
      <c r="D572" s="3">
        <v>24</v>
      </c>
    </row>
    <row r="573" spans="1:4" x14ac:dyDescent="0.2">
      <c r="A573" s="3">
        <v>572</v>
      </c>
      <c r="B573" s="3">
        <v>113.3409108</v>
      </c>
      <c r="C573" s="3">
        <v>23.036168740000001</v>
      </c>
      <c r="D573" s="3">
        <v>13</v>
      </c>
    </row>
    <row r="574" spans="1:4" x14ac:dyDescent="0.2">
      <c r="A574" s="3">
        <v>573</v>
      </c>
      <c r="B574" s="3">
        <v>113.3324643</v>
      </c>
      <c r="C574" s="3">
        <v>23.036741979999999</v>
      </c>
      <c r="D574" s="3">
        <v>24</v>
      </c>
    </row>
    <row r="575" spans="1:4" x14ac:dyDescent="0.2">
      <c r="A575" s="3">
        <v>574</v>
      </c>
      <c r="B575" s="3">
        <v>113.33253929999999</v>
      </c>
      <c r="C575" s="3">
        <v>23.035100549999999</v>
      </c>
      <c r="D575" s="3">
        <v>24</v>
      </c>
    </row>
    <row r="576" spans="1:4" x14ac:dyDescent="0.2">
      <c r="A576" s="3">
        <v>575</v>
      </c>
      <c r="B576" s="3">
        <v>113.3373297</v>
      </c>
      <c r="C576" s="3">
        <v>23.036325139999999</v>
      </c>
      <c r="D576" s="3">
        <v>13</v>
      </c>
    </row>
    <row r="577" spans="1:4" x14ac:dyDescent="0.2">
      <c r="A577" s="3">
        <v>576</v>
      </c>
      <c r="B577" s="3">
        <v>113.3328554</v>
      </c>
      <c r="C577" s="3">
        <v>23.038140649999999</v>
      </c>
      <c r="D577" s="3">
        <v>24</v>
      </c>
    </row>
    <row r="578" spans="1:4" x14ac:dyDescent="0.2">
      <c r="A578" s="3">
        <v>577</v>
      </c>
      <c r="B578" s="3">
        <v>113.3407632</v>
      </c>
      <c r="C578" s="3">
        <v>23.034491729999999</v>
      </c>
      <c r="D578" s="3">
        <v>13</v>
      </c>
    </row>
    <row r="579" spans="1:4" x14ac:dyDescent="0.2">
      <c r="A579" s="3">
        <v>578</v>
      </c>
      <c r="B579" s="3">
        <v>113.3450283</v>
      </c>
      <c r="C579" s="3">
        <v>23.035017029999999</v>
      </c>
      <c r="D579" s="3">
        <v>13</v>
      </c>
    </row>
    <row r="580" spans="1:4" x14ac:dyDescent="0.2">
      <c r="A580" s="3">
        <v>579</v>
      </c>
      <c r="B580" s="3">
        <v>113.3459934</v>
      </c>
      <c r="C580" s="3">
        <v>23.03674264</v>
      </c>
      <c r="D580" s="3">
        <v>13</v>
      </c>
    </row>
    <row r="581" spans="1:4" x14ac:dyDescent="0.2">
      <c r="A581" s="3">
        <v>580</v>
      </c>
      <c r="B581" s="3">
        <v>113.3432624</v>
      </c>
      <c r="C581" s="3">
        <v>23.036010659999999</v>
      </c>
      <c r="D581" s="3">
        <v>13</v>
      </c>
    </row>
    <row r="582" spans="1:4" x14ac:dyDescent="0.2">
      <c r="A582" s="3">
        <v>581</v>
      </c>
      <c r="B582" s="3">
        <v>113.3476945</v>
      </c>
      <c r="C582" s="3">
        <v>23.035240420000001</v>
      </c>
      <c r="D582" s="3">
        <v>13</v>
      </c>
    </row>
    <row r="583" spans="1:4" x14ac:dyDescent="0.2">
      <c r="A583" s="3">
        <v>582</v>
      </c>
      <c r="B583" s="3">
        <v>113.3494535</v>
      </c>
      <c r="C583" s="3">
        <v>23.03445086</v>
      </c>
      <c r="D583" s="3">
        <v>13</v>
      </c>
    </row>
    <row r="584" spans="1:4" x14ac:dyDescent="0.2">
      <c r="A584" s="3">
        <v>583</v>
      </c>
      <c r="B584" s="3">
        <v>113.3421546</v>
      </c>
      <c r="C584" s="3">
        <v>23.035021029999999</v>
      </c>
      <c r="D584" s="3">
        <v>13</v>
      </c>
    </row>
    <row r="585" spans="1:4" x14ac:dyDescent="0.2">
      <c r="A585" s="3">
        <v>584</v>
      </c>
      <c r="B585" s="3">
        <v>113.35922859999999</v>
      </c>
      <c r="C585" s="3">
        <v>23.039776719999999</v>
      </c>
      <c r="D585" s="3">
        <v>48</v>
      </c>
    </row>
    <row r="586" spans="1:4" x14ac:dyDescent="0.2">
      <c r="A586" s="3">
        <v>585</v>
      </c>
      <c r="B586" s="3">
        <v>113.3608143</v>
      </c>
      <c r="C586" s="3">
        <v>23.040474240000002</v>
      </c>
      <c r="D586" s="3">
        <v>48</v>
      </c>
    </row>
    <row r="587" spans="1:4" x14ac:dyDescent="0.2">
      <c r="A587" s="3">
        <v>586</v>
      </c>
      <c r="B587" s="3">
        <v>113.3593733</v>
      </c>
      <c r="C587" s="3">
        <v>23.040057399999998</v>
      </c>
      <c r="D587" s="3">
        <v>48</v>
      </c>
    </row>
    <row r="588" spans="1:4" x14ac:dyDescent="0.2">
      <c r="A588" s="3">
        <v>587</v>
      </c>
      <c r="B588" s="3">
        <v>113.35701469999999</v>
      </c>
      <c r="C588" s="3">
        <v>23.04197293</v>
      </c>
      <c r="D588" s="3">
        <v>48</v>
      </c>
    </row>
    <row r="589" spans="1:4" x14ac:dyDescent="0.2">
      <c r="A589" s="3">
        <v>588</v>
      </c>
      <c r="B589" s="3">
        <v>113.363253</v>
      </c>
      <c r="C589" s="3">
        <v>23.038944699999998</v>
      </c>
      <c r="D589" s="3">
        <v>48</v>
      </c>
    </row>
    <row r="590" spans="1:4" x14ac:dyDescent="0.2">
      <c r="A590" s="3">
        <v>589</v>
      </c>
      <c r="B590" s="3">
        <v>113.3684166</v>
      </c>
      <c r="C590" s="3">
        <v>23.040639779999999</v>
      </c>
      <c r="D590" s="3">
        <v>48</v>
      </c>
    </row>
    <row r="591" spans="1:4" x14ac:dyDescent="0.2">
      <c r="A591" s="3">
        <v>590</v>
      </c>
      <c r="B591" s="3">
        <v>113.3662901</v>
      </c>
      <c r="C591" s="3">
        <v>23.039908539999999</v>
      </c>
      <c r="D591" s="3">
        <v>48</v>
      </c>
    </row>
    <row r="592" spans="1:4" x14ac:dyDescent="0.2">
      <c r="A592" s="3">
        <v>591</v>
      </c>
      <c r="B592" s="3">
        <v>113.3638851</v>
      </c>
      <c r="C592" s="3">
        <v>23.039994440000001</v>
      </c>
      <c r="D592" s="3">
        <v>48</v>
      </c>
    </row>
    <row r="593" spans="1:4" x14ac:dyDescent="0.2">
      <c r="A593" s="3">
        <v>592</v>
      </c>
      <c r="B593" s="3">
        <v>113.36922869999999</v>
      </c>
      <c r="C593" s="3">
        <v>23.04007713</v>
      </c>
      <c r="D593" s="3">
        <v>48</v>
      </c>
    </row>
    <row r="594" spans="1:4" x14ac:dyDescent="0.2">
      <c r="A594" s="3">
        <v>593</v>
      </c>
      <c r="B594" s="3">
        <v>113.3636494</v>
      </c>
      <c r="C594" s="3">
        <v>23.040420560000001</v>
      </c>
      <c r="D594" s="3">
        <v>48</v>
      </c>
    </row>
    <row r="595" spans="1:4" x14ac:dyDescent="0.2">
      <c r="A595" s="3">
        <v>594</v>
      </c>
      <c r="B595" s="3">
        <v>113.36608029999999</v>
      </c>
      <c r="C595" s="3">
        <v>23.040723440000001</v>
      </c>
      <c r="D595" s="3">
        <v>48</v>
      </c>
    </row>
    <row r="596" spans="1:4" x14ac:dyDescent="0.2">
      <c r="A596" s="3">
        <v>595</v>
      </c>
      <c r="B596" s="3">
        <v>113.367052</v>
      </c>
      <c r="C596" s="3">
        <v>23.043320179999998</v>
      </c>
      <c r="D596" s="3">
        <v>48</v>
      </c>
    </row>
    <row r="597" spans="1:4" x14ac:dyDescent="0.2">
      <c r="A597" s="3">
        <v>596</v>
      </c>
      <c r="B597" s="3">
        <v>113.36669550000001</v>
      </c>
      <c r="C597" s="3">
        <v>23.04196018</v>
      </c>
      <c r="D597" s="3">
        <v>48</v>
      </c>
    </row>
    <row r="598" spans="1:4" x14ac:dyDescent="0.2">
      <c r="A598" s="3">
        <v>597</v>
      </c>
      <c r="B598" s="3">
        <v>113.3777918</v>
      </c>
      <c r="C598" s="3">
        <v>23.038646709999998</v>
      </c>
      <c r="D598" s="3">
        <v>40</v>
      </c>
    </row>
    <row r="599" spans="1:4" x14ac:dyDescent="0.2">
      <c r="A599" s="3">
        <v>598</v>
      </c>
      <c r="B599" s="3">
        <v>113.3813392</v>
      </c>
      <c r="C599" s="3">
        <v>23.040537369999999</v>
      </c>
      <c r="D599" s="3">
        <v>40</v>
      </c>
    </row>
    <row r="600" spans="1:4" x14ac:dyDescent="0.2">
      <c r="A600" s="3">
        <v>599</v>
      </c>
      <c r="B600" s="3">
        <v>113.37486490000001</v>
      </c>
      <c r="C600" s="3">
        <v>23.043389120000001</v>
      </c>
      <c r="D600" s="3">
        <v>48</v>
      </c>
    </row>
    <row r="601" spans="1:4" x14ac:dyDescent="0.2">
      <c r="A601" s="3">
        <v>600</v>
      </c>
      <c r="B601" s="3">
        <v>113.3723425</v>
      </c>
      <c r="C601" s="3">
        <v>23.039804019999998</v>
      </c>
      <c r="D601" s="3">
        <v>48</v>
      </c>
    </row>
    <row r="602" spans="1:4" x14ac:dyDescent="0.2">
      <c r="A602" s="3">
        <v>601</v>
      </c>
      <c r="B602" s="3">
        <v>113.3768592</v>
      </c>
      <c r="C602" s="3">
        <v>23.043311450000001</v>
      </c>
      <c r="D602" s="3">
        <v>48</v>
      </c>
    </row>
    <row r="603" spans="1:4" x14ac:dyDescent="0.2">
      <c r="A603" s="3">
        <v>602</v>
      </c>
      <c r="B603" s="3">
        <v>113.3726539</v>
      </c>
      <c r="C603" s="3">
        <v>23.043574100000001</v>
      </c>
      <c r="D603" s="3">
        <v>48</v>
      </c>
    </row>
    <row r="604" spans="1:4" x14ac:dyDescent="0.2">
      <c r="A604" s="3">
        <v>603</v>
      </c>
      <c r="B604" s="3">
        <v>113.3838499</v>
      </c>
      <c r="C604" s="3">
        <v>23.03930141</v>
      </c>
      <c r="D604" s="3">
        <v>40</v>
      </c>
    </row>
    <row r="605" spans="1:4" x14ac:dyDescent="0.2">
      <c r="A605" s="3">
        <v>604</v>
      </c>
      <c r="B605" s="3">
        <v>113.38618990000001</v>
      </c>
      <c r="C605" s="3">
        <v>23.039523150000001</v>
      </c>
      <c r="D605" s="3">
        <v>40</v>
      </c>
    </row>
    <row r="606" spans="1:4" x14ac:dyDescent="0.2">
      <c r="A606" s="3">
        <v>605</v>
      </c>
      <c r="B606" s="3">
        <v>113.38398979999999</v>
      </c>
      <c r="C606" s="3">
        <v>23.040078999999999</v>
      </c>
      <c r="D606" s="3">
        <v>40</v>
      </c>
    </row>
    <row r="607" spans="1:4" x14ac:dyDescent="0.2">
      <c r="A607" s="3">
        <v>606</v>
      </c>
      <c r="B607" s="3">
        <v>113.38404180000001</v>
      </c>
      <c r="C607" s="3">
        <v>23.039859060000001</v>
      </c>
      <c r="D607" s="3">
        <v>40</v>
      </c>
    </row>
    <row r="608" spans="1:4" x14ac:dyDescent="0.2">
      <c r="A608" s="3">
        <v>607</v>
      </c>
      <c r="B608" s="3">
        <v>113.38354940000001</v>
      </c>
      <c r="C608" s="3">
        <v>23.035528200000002</v>
      </c>
      <c r="D608" s="3">
        <v>40</v>
      </c>
    </row>
    <row r="609" spans="1:4" x14ac:dyDescent="0.2">
      <c r="A609" s="3">
        <v>608</v>
      </c>
      <c r="B609" s="3">
        <v>113.38198010000001</v>
      </c>
      <c r="C609" s="3">
        <v>23.037188409999999</v>
      </c>
      <c r="D609" s="3">
        <v>40</v>
      </c>
    </row>
    <row r="610" spans="1:4" x14ac:dyDescent="0.2">
      <c r="A610" s="3">
        <v>609</v>
      </c>
      <c r="B610" s="3">
        <v>113.39055140000001</v>
      </c>
      <c r="C610" s="3">
        <v>23.04296111</v>
      </c>
      <c r="D610" s="3">
        <v>40</v>
      </c>
    </row>
    <row r="611" spans="1:4" x14ac:dyDescent="0.2">
      <c r="A611" s="3">
        <v>610</v>
      </c>
      <c r="B611" s="3">
        <v>113.3896611</v>
      </c>
      <c r="C611" s="3">
        <v>23.03484186</v>
      </c>
      <c r="D611" s="3">
        <v>40</v>
      </c>
    </row>
    <row r="612" spans="1:4" x14ac:dyDescent="0.2">
      <c r="A612" s="3">
        <v>611</v>
      </c>
      <c r="B612" s="3">
        <v>113.388481</v>
      </c>
      <c r="C612" s="3">
        <v>23.040788689999999</v>
      </c>
      <c r="D612" s="3">
        <v>40</v>
      </c>
    </row>
    <row r="613" spans="1:4" x14ac:dyDescent="0.2">
      <c r="A613" s="3">
        <v>612</v>
      </c>
      <c r="B613" s="3">
        <v>113.3825617</v>
      </c>
      <c r="C613" s="3">
        <v>23.03863243</v>
      </c>
      <c r="D613" s="3">
        <v>40</v>
      </c>
    </row>
    <row r="614" spans="1:4" x14ac:dyDescent="0.2">
      <c r="A614" s="3">
        <v>613</v>
      </c>
      <c r="B614" s="3">
        <v>113.3829633</v>
      </c>
      <c r="C614" s="3">
        <v>23.04156493</v>
      </c>
      <c r="D614" s="3">
        <v>40</v>
      </c>
    </row>
    <row r="615" spans="1:4" x14ac:dyDescent="0.2">
      <c r="A615" s="3">
        <v>614</v>
      </c>
      <c r="B615" s="3">
        <v>113.3846693</v>
      </c>
      <c r="C615" s="3">
        <v>23.0431913</v>
      </c>
      <c r="D615" s="3">
        <v>40</v>
      </c>
    </row>
    <row r="616" spans="1:4" x14ac:dyDescent="0.2">
      <c r="A616" s="3">
        <v>615</v>
      </c>
      <c r="B616" s="3">
        <v>113.3825085</v>
      </c>
      <c r="C616" s="3">
        <v>23.04107441</v>
      </c>
      <c r="D616" s="3">
        <v>40</v>
      </c>
    </row>
    <row r="617" spans="1:4" x14ac:dyDescent="0.2">
      <c r="A617" s="3">
        <v>616</v>
      </c>
      <c r="B617" s="3">
        <v>113.3822637</v>
      </c>
      <c r="C617" s="3">
        <v>23.040393850000001</v>
      </c>
      <c r="D617" s="3">
        <v>40</v>
      </c>
    </row>
    <row r="618" spans="1:4" x14ac:dyDescent="0.2">
      <c r="A618" s="3">
        <v>617</v>
      </c>
      <c r="B618" s="3">
        <v>113.3818122</v>
      </c>
      <c r="C618" s="3">
        <v>23.037619329999998</v>
      </c>
      <c r="D618" s="3">
        <v>40</v>
      </c>
    </row>
    <row r="619" spans="1:4" x14ac:dyDescent="0.2">
      <c r="A619" s="3">
        <v>618</v>
      </c>
      <c r="B619" s="3">
        <v>113.39138370000001</v>
      </c>
      <c r="C619" s="3">
        <v>23.036990469999999</v>
      </c>
      <c r="D619" s="3">
        <v>40</v>
      </c>
    </row>
    <row r="620" spans="1:4" x14ac:dyDescent="0.2">
      <c r="A620" s="3">
        <v>619</v>
      </c>
      <c r="B620" s="3">
        <v>113.3818912</v>
      </c>
      <c r="C620" s="3">
        <v>23.0371065</v>
      </c>
      <c r="D620" s="3">
        <v>40</v>
      </c>
    </row>
    <row r="621" spans="1:4" x14ac:dyDescent="0.2">
      <c r="A621" s="3">
        <v>620</v>
      </c>
      <c r="B621" s="3">
        <v>113.3968253</v>
      </c>
      <c r="C621" s="3">
        <v>23.041184049999998</v>
      </c>
      <c r="D621" s="3">
        <v>40</v>
      </c>
    </row>
    <row r="622" spans="1:4" x14ac:dyDescent="0.2">
      <c r="A622" s="3">
        <v>621</v>
      </c>
      <c r="B622" s="3">
        <v>113.39437340000001</v>
      </c>
      <c r="C622" s="3">
        <v>23.037795630000002</v>
      </c>
      <c r="D622" s="3">
        <v>40</v>
      </c>
    </row>
    <row r="623" spans="1:4" x14ac:dyDescent="0.2">
      <c r="A623" s="3">
        <v>622</v>
      </c>
      <c r="B623" s="3">
        <v>113.3962843</v>
      </c>
      <c r="C623" s="3">
        <v>23.041008130000002</v>
      </c>
      <c r="D623" s="3">
        <v>40</v>
      </c>
    </row>
    <row r="624" spans="1:4" x14ac:dyDescent="0.2">
      <c r="A624" s="3">
        <v>623</v>
      </c>
      <c r="B624" s="3">
        <v>113.3962643</v>
      </c>
      <c r="C624" s="3">
        <v>23.040916169999999</v>
      </c>
      <c r="D624" s="3">
        <v>40</v>
      </c>
    </row>
    <row r="625" spans="1:4" x14ac:dyDescent="0.2">
      <c r="A625" s="3">
        <v>624</v>
      </c>
      <c r="B625" s="3">
        <v>113.3945461</v>
      </c>
      <c r="C625" s="3">
        <v>23.04196782</v>
      </c>
      <c r="D625" s="3">
        <v>40</v>
      </c>
    </row>
    <row r="626" spans="1:4" x14ac:dyDescent="0.2">
      <c r="A626" s="3">
        <v>625</v>
      </c>
      <c r="B626" s="3">
        <v>113.3975415</v>
      </c>
      <c r="C626" s="3">
        <v>23.039665719999999</v>
      </c>
      <c r="D626" s="3">
        <v>40</v>
      </c>
    </row>
    <row r="627" spans="1:4" x14ac:dyDescent="0.2">
      <c r="A627" s="3">
        <v>626</v>
      </c>
      <c r="B627" s="3">
        <v>113.39319829999999</v>
      </c>
      <c r="C627" s="3">
        <v>23.039083229999999</v>
      </c>
      <c r="D627" s="3">
        <v>40</v>
      </c>
    </row>
    <row r="628" spans="1:4" x14ac:dyDescent="0.2">
      <c r="A628" s="3">
        <v>627</v>
      </c>
      <c r="B628" s="3">
        <v>113.39507</v>
      </c>
      <c r="C628" s="3">
        <v>23.043265219999999</v>
      </c>
      <c r="D628" s="3">
        <v>40</v>
      </c>
    </row>
    <row r="629" spans="1:4" x14ac:dyDescent="0.2">
      <c r="A629" s="3">
        <v>628</v>
      </c>
      <c r="B629" s="3">
        <v>113.395185</v>
      </c>
      <c r="C629" s="3">
        <v>23.043248219999999</v>
      </c>
      <c r="D629" s="3">
        <v>40</v>
      </c>
    </row>
    <row r="630" spans="1:4" x14ac:dyDescent="0.2">
      <c r="A630" s="3">
        <v>629</v>
      </c>
      <c r="B630" s="3">
        <v>113.39315120000001</v>
      </c>
      <c r="C630" s="3">
        <v>23.041411230000001</v>
      </c>
      <c r="D630" s="3">
        <v>40</v>
      </c>
    </row>
    <row r="631" spans="1:4" x14ac:dyDescent="0.2">
      <c r="A631" s="3">
        <v>630</v>
      </c>
      <c r="B631" s="3">
        <v>113.400471</v>
      </c>
      <c r="C631" s="3">
        <v>23.042281899999999</v>
      </c>
      <c r="D631" s="3">
        <v>49</v>
      </c>
    </row>
    <row r="632" spans="1:4" x14ac:dyDescent="0.2">
      <c r="A632" s="3">
        <v>631</v>
      </c>
      <c r="B632" s="3">
        <v>113.3952451</v>
      </c>
      <c r="C632" s="3">
        <v>23.041899789999999</v>
      </c>
      <c r="D632" s="3">
        <v>40</v>
      </c>
    </row>
    <row r="633" spans="1:4" x14ac:dyDescent="0.2">
      <c r="A633" s="3">
        <v>632</v>
      </c>
      <c r="B633" s="3">
        <v>113.3937804</v>
      </c>
      <c r="C633" s="3">
        <v>23.038401440000001</v>
      </c>
      <c r="D633" s="3">
        <v>40</v>
      </c>
    </row>
    <row r="634" spans="1:4" x14ac:dyDescent="0.2">
      <c r="A634" s="3">
        <v>633</v>
      </c>
      <c r="B634" s="3">
        <v>113.39376729999999</v>
      </c>
      <c r="C634" s="3">
        <v>23.038888230000001</v>
      </c>
      <c r="D634" s="3">
        <v>40</v>
      </c>
    </row>
    <row r="635" spans="1:4" x14ac:dyDescent="0.2">
      <c r="A635" s="3">
        <v>634</v>
      </c>
      <c r="B635" s="3">
        <v>113.3938083</v>
      </c>
      <c r="C635" s="3">
        <v>23.039900790000001</v>
      </c>
      <c r="D635" s="3">
        <v>40</v>
      </c>
    </row>
    <row r="636" spans="1:4" x14ac:dyDescent="0.2">
      <c r="A636" s="3">
        <v>635</v>
      </c>
      <c r="B636" s="3">
        <v>113.3988536</v>
      </c>
      <c r="C636" s="3">
        <v>23.041740919999999</v>
      </c>
      <c r="D636" s="3">
        <v>49</v>
      </c>
    </row>
    <row r="637" spans="1:4" x14ac:dyDescent="0.2">
      <c r="A637" s="3">
        <v>636</v>
      </c>
      <c r="B637" s="3">
        <v>113.3999998</v>
      </c>
      <c r="C637" s="3">
        <v>23.042563699999999</v>
      </c>
      <c r="D637" s="3">
        <v>49</v>
      </c>
    </row>
    <row r="638" spans="1:4" x14ac:dyDescent="0.2">
      <c r="A638" s="3">
        <v>637</v>
      </c>
      <c r="B638" s="3">
        <v>113.3937392</v>
      </c>
      <c r="C638" s="3">
        <v>23.041371160000001</v>
      </c>
      <c r="D638" s="3">
        <v>40</v>
      </c>
    </row>
    <row r="639" spans="1:4" x14ac:dyDescent="0.2">
      <c r="A639" s="3">
        <v>638</v>
      </c>
      <c r="B639" s="3">
        <v>113.3935492</v>
      </c>
      <c r="C639" s="3">
        <v>23.040681490000001</v>
      </c>
      <c r="D639" s="3">
        <v>40</v>
      </c>
    </row>
    <row r="640" spans="1:4" x14ac:dyDescent="0.2">
      <c r="A640" s="3">
        <v>639</v>
      </c>
      <c r="B640" s="3">
        <v>113.394442</v>
      </c>
      <c r="C640" s="3">
        <v>23.04354515</v>
      </c>
      <c r="D640" s="3">
        <v>40</v>
      </c>
    </row>
    <row r="641" spans="1:4" x14ac:dyDescent="0.2">
      <c r="A641" s="3">
        <v>640</v>
      </c>
      <c r="B641" s="3">
        <v>113.40122119999999</v>
      </c>
      <c r="C641" s="3">
        <v>23.042630880000001</v>
      </c>
      <c r="D641" s="3">
        <v>49</v>
      </c>
    </row>
    <row r="642" spans="1:4" x14ac:dyDescent="0.2">
      <c r="A642" s="3">
        <v>641</v>
      </c>
      <c r="B642" s="3">
        <v>113.39159859999999</v>
      </c>
      <c r="C642" s="3">
        <v>23.037054399999999</v>
      </c>
      <c r="D642" s="3">
        <v>40</v>
      </c>
    </row>
    <row r="643" spans="1:4" x14ac:dyDescent="0.2">
      <c r="A643" s="3">
        <v>642</v>
      </c>
      <c r="B643" s="3">
        <v>113.3932054</v>
      </c>
      <c r="C643" s="3">
        <v>23.03854346</v>
      </c>
      <c r="D643" s="3">
        <v>40</v>
      </c>
    </row>
    <row r="644" spans="1:4" x14ac:dyDescent="0.2">
      <c r="A644" s="3">
        <v>643</v>
      </c>
      <c r="B644" s="3">
        <v>113.3992497</v>
      </c>
      <c r="C644" s="3">
        <v>23.04245465</v>
      </c>
      <c r="D644" s="3">
        <v>49</v>
      </c>
    </row>
    <row r="645" spans="1:4" x14ac:dyDescent="0.2">
      <c r="A645" s="3">
        <v>644</v>
      </c>
      <c r="B645" s="3">
        <v>113.3932353</v>
      </c>
      <c r="C645" s="3">
        <v>23.03970395</v>
      </c>
      <c r="D645" s="3">
        <v>40</v>
      </c>
    </row>
    <row r="646" spans="1:4" x14ac:dyDescent="0.2">
      <c r="A646" s="3">
        <v>645</v>
      </c>
      <c r="B646" s="3">
        <v>113.3936532</v>
      </c>
      <c r="C646" s="3">
        <v>23.041238230000001</v>
      </c>
      <c r="D646" s="3">
        <v>40</v>
      </c>
    </row>
    <row r="647" spans="1:4" x14ac:dyDescent="0.2">
      <c r="A647" s="3">
        <v>646</v>
      </c>
      <c r="B647" s="3">
        <v>113.3931154</v>
      </c>
      <c r="C647" s="3">
        <v>23.037831780000001</v>
      </c>
      <c r="D647" s="3">
        <v>40</v>
      </c>
    </row>
    <row r="648" spans="1:4" x14ac:dyDescent="0.2">
      <c r="A648" s="3">
        <v>647</v>
      </c>
      <c r="B648" s="3">
        <v>113.39999880000001</v>
      </c>
      <c r="C648" s="3">
        <v>23.042535709999999</v>
      </c>
      <c r="D648" s="3">
        <v>49</v>
      </c>
    </row>
    <row r="649" spans="1:4" x14ac:dyDescent="0.2">
      <c r="A649" s="3">
        <v>648</v>
      </c>
      <c r="B649" s="3">
        <v>113.40883340000001</v>
      </c>
      <c r="C649" s="3">
        <v>23.038889319999999</v>
      </c>
      <c r="D649" s="3">
        <v>49</v>
      </c>
    </row>
    <row r="650" spans="1:4" x14ac:dyDescent="0.2">
      <c r="A650" s="3">
        <v>649</v>
      </c>
      <c r="B650" s="3">
        <v>113.4097101</v>
      </c>
      <c r="C650" s="3">
        <v>23.038760870000001</v>
      </c>
      <c r="D650" s="3">
        <v>49</v>
      </c>
    </row>
    <row r="651" spans="1:4" x14ac:dyDescent="0.2">
      <c r="A651" s="3">
        <v>650</v>
      </c>
      <c r="B651" s="3">
        <v>113.4107029</v>
      </c>
      <c r="C651" s="3">
        <v>23.03885743</v>
      </c>
      <c r="D651" s="3">
        <v>49</v>
      </c>
    </row>
    <row r="652" spans="1:4" x14ac:dyDescent="0.2">
      <c r="A652" s="3">
        <v>651</v>
      </c>
      <c r="B652" s="3">
        <v>113.4106317</v>
      </c>
      <c r="C652" s="3">
        <v>23.04081454</v>
      </c>
      <c r="D652" s="3">
        <v>49</v>
      </c>
    </row>
    <row r="653" spans="1:4" x14ac:dyDescent="0.2">
      <c r="A653" s="3">
        <v>652</v>
      </c>
      <c r="B653" s="3">
        <v>113.4112593</v>
      </c>
      <c r="C653" s="3">
        <v>23.03950051</v>
      </c>
      <c r="D653" s="3">
        <v>49</v>
      </c>
    </row>
    <row r="654" spans="1:4" x14ac:dyDescent="0.2">
      <c r="A654" s="3">
        <v>653</v>
      </c>
      <c r="B654" s="3">
        <v>113.410686</v>
      </c>
      <c r="C654" s="3">
        <v>23.03734807</v>
      </c>
      <c r="D654" s="3">
        <v>49</v>
      </c>
    </row>
    <row r="655" spans="1:4" x14ac:dyDescent="0.2">
      <c r="A655" s="3">
        <v>654</v>
      </c>
      <c r="B655" s="3">
        <v>113.41078779999999</v>
      </c>
      <c r="C655" s="3">
        <v>23.040917589999999</v>
      </c>
      <c r="D655" s="3">
        <v>49</v>
      </c>
    </row>
    <row r="656" spans="1:4" x14ac:dyDescent="0.2">
      <c r="A656" s="3">
        <v>655</v>
      </c>
      <c r="B656" s="3">
        <v>113.41063389999999</v>
      </c>
      <c r="C656" s="3">
        <v>23.037035169999999</v>
      </c>
      <c r="D656" s="3">
        <v>49</v>
      </c>
    </row>
    <row r="657" spans="1:4" x14ac:dyDescent="0.2">
      <c r="A657" s="3">
        <v>656</v>
      </c>
      <c r="B657" s="3">
        <v>113.4106379</v>
      </c>
      <c r="C657" s="3">
        <v>23.037652909999998</v>
      </c>
      <c r="D657" s="3">
        <v>49</v>
      </c>
    </row>
    <row r="658" spans="1:4" x14ac:dyDescent="0.2">
      <c r="A658" s="3">
        <v>657</v>
      </c>
      <c r="B658" s="3">
        <v>113.4109931</v>
      </c>
      <c r="C658" s="3">
        <v>23.038779640000001</v>
      </c>
      <c r="D658" s="3">
        <v>49</v>
      </c>
    </row>
    <row r="659" spans="1:4" x14ac:dyDescent="0.2">
      <c r="A659" s="3">
        <v>658</v>
      </c>
      <c r="B659" s="3">
        <v>113.4022428</v>
      </c>
      <c r="C659" s="3">
        <v>23.03975835</v>
      </c>
      <c r="D659" s="3">
        <v>49</v>
      </c>
    </row>
    <row r="660" spans="1:4" x14ac:dyDescent="0.2">
      <c r="A660" s="3">
        <v>659</v>
      </c>
      <c r="B660" s="3">
        <v>113.4114453</v>
      </c>
      <c r="C660" s="3">
        <v>23.04104396</v>
      </c>
      <c r="D660" s="3">
        <v>49</v>
      </c>
    </row>
    <row r="661" spans="1:4" x14ac:dyDescent="0.2">
      <c r="A661" s="3">
        <v>660</v>
      </c>
      <c r="B661" s="3">
        <v>113.4112083</v>
      </c>
      <c r="C661" s="3">
        <v>23.039265570000001</v>
      </c>
      <c r="D661" s="3">
        <v>49</v>
      </c>
    </row>
    <row r="662" spans="1:4" x14ac:dyDescent="0.2">
      <c r="A662" s="3">
        <v>661</v>
      </c>
      <c r="B662" s="3">
        <v>113.40203270000001</v>
      </c>
      <c r="C662" s="3">
        <v>23.039656340000001</v>
      </c>
      <c r="D662" s="3">
        <v>49</v>
      </c>
    </row>
    <row r="663" spans="1:4" x14ac:dyDescent="0.2">
      <c r="A663" s="3">
        <v>662</v>
      </c>
      <c r="B663" s="3">
        <v>113.4115164</v>
      </c>
      <c r="C663" s="3">
        <v>23.041552790000001</v>
      </c>
      <c r="D663" s="3">
        <v>49</v>
      </c>
    </row>
    <row r="664" spans="1:4" x14ac:dyDescent="0.2">
      <c r="A664" s="3">
        <v>663</v>
      </c>
      <c r="B664" s="3">
        <v>113.4113754</v>
      </c>
      <c r="C664" s="3">
        <v>23.03930467</v>
      </c>
      <c r="D664" s="3">
        <v>49</v>
      </c>
    </row>
    <row r="665" spans="1:4" x14ac:dyDescent="0.2">
      <c r="A665" s="3">
        <v>664</v>
      </c>
      <c r="B665" s="3">
        <v>113.4020017</v>
      </c>
      <c r="C665" s="3">
        <v>23.03963834</v>
      </c>
      <c r="D665" s="3">
        <v>49</v>
      </c>
    </row>
    <row r="666" spans="1:4" x14ac:dyDescent="0.2">
      <c r="A666" s="3">
        <v>665</v>
      </c>
      <c r="B666" s="3">
        <v>113.4153432</v>
      </c>
      <c r="C666" s="3">
        <v>23.037745300000001</v>
      </c>
      <c r="D666" s="3">
        <v>49</v>
      </c>
    </row>
    <row r="667" spans="1:4" x14ac:dyDescent="0.2">
      <c r="A667" s="3">
        <v>666</v>
      </c>
      <c r="B667" s="3">
        <v>113.4133952</v>
      </c>
      <c r="C667" s="3">
        <v>23.038826289999999</v>
      </c>
      <c r="D667" s="3">
        <v>49</v>
      </c>
    </row>
    <row r="668" spans="1:4" x14ac:dyDescent="0.2">
      <c r="A668" s="3">
        <v>667</v>
      </c>
      <c r="B668" s="3">
        <v>113.4145846</v>
      </c>
      <c r="C668" s="3">
        <v>23.036007430000002</v>
      </c>
      <c r="D668" s="3">
        <v>49</v>
      </c>
    </row>
    <row r="669" spans="1:4" x14ac:dyDescent="0.2">
      <c r="A669" s="3">
        <v>668</v>
      </c>
      <c r="B669" s="3">
        <v>113.41287370000001</v>
      </c>
      <c r="C669" s="3">
        <v>23.038944860000001</v>
      </c>
      <c r="D669" s="3">
        <v>49</v>
      </c>
    </row>
    <row r="670" spans="1:4" x14ac:dyDescent="0.2">
      <c r="A670" s="3">
        <v>669</v>
      </c>
      <c r="B670" s="3">
        <v>113.4122541</v>
      </c>
      <c r="C670" s="3">
        <v>23.039459189999999</v>
      </c>
      <c r="D670" s="3">
        <v>49</v>
      </c>
    </row>
    <row r="671" spans="1:4" x14ac:dyDescent="0.2">
      <c r="A671" s="3">
        <v>670</v>
      </c>
      <c r="B671" s="3">
        <v>113.41358750000001</v>
      </c>
      <c r="C671" s="3">
        <v>23.03776989</v>
      </c>
      <c r="D671" s="3">
        <v>49</v>
      </c>
    </row>
    <row r="672" spans="1:4" x14ac:dyDescent="0.2">
      <c r="A672" s="3">
        <v>671</v>
      </c>
      <c r="B672" s="3">
        <v>113.41229420000001</v>
      </c>
      <c r="C672" s="3">
        <v>23.039228319999999</v>
      </c>
      <c r="D672" s="3">
        <v>49</v>
      </c>
    </row>
    <row r="673" spans="1:4" x14ac:dyDescent="0.2">
      <c r="A673" s="3">
        <v>672</v>
      </c>
      <c r="B673" s="3">
        <v>113.4116946</v>
      </c>
      <c r="C673" s="3">
        <v>23.03970271</v>
      </c>
      <c r="D673" s="3">
        <v>49</v>
      </c>
    </row>
    <row r="674" spans="1:4" x14ac:dyDescent="0.2">
      <c r="A674" s="3">
        <v>673</v>
      </c>
      <c r="B674" s="3">
        <v>113.45014759999999</v>
      </c>
      <c r="C674" s="3">
        <v>23.042761779999999</v>
      </c>
      <c r="D674" s="3">
        <v>50</v>
      </c>
    </row>
    <row r="675" spans="1:4" x14ac:dyDescent="0.2">
      <c r="A675" s="3">
        <v>674</v>
      </c>
      <c r="B675" s="3">
        <v>113.4508064</v>
      </c>
      <c r="C675" s="3">
        <v>23.041587759999999</v>
      </c>
      <c r="D675" s="3">
        <v>50</v>
      </c>
    </row>
    <row r="676" spans="1:4" x14ac:dyDescent="0.2">
      <c r="A676" s="3">
        <v>675</v>
      </c>
      <c r="B676" s="3">
        <v>113.4426634</v>
      </c>
      <c r="C676" s="3">
        <v>23.040351050000002</v>
      </c>
      <c r="D676" s="3">
        <v>50</v>
      </c>
    </row>
    <row r="677" spans="1:4" x14ac:dyDescent="0.2">
      <c r="A677" s="3">
        <v>676</v>
      </c>
      <c r="B677" s="3">
        <v>113.4564187</v>
      </c>
      <c r="C677" s="3">
        <v>23.042034730000001</v>
      </c>
      <c r="D677" s="3">
        <v>50</v>
      </c>
    </row>
    <row r="678" spans="1:4" x14ac:dyDescent="0.2">
      <c r="A678" s="3">
        <v>677</v>
      </c>
      <c r="B678" s="3">
        <v>113.4547342</v>
      </c>
      <c r="C678" s="3">
        <v>23.038580159999999</v>
      </c>
      <c r="D678" s="3">
        <v>50</v>
      </c>
    </row>
    <row r="679" spans="1:4" x14ac:dyDescent="0.2">
      <c r="A679" s="3">
        <v>678</v>
      </c>
      <c r="B679" s="3">
        <v>113.4527587</v>
      </c>
      <c r="C679" s="3">
        <v>23.039726030000001</v>
      </c>
      <c r="D679" s="3">
        <v>50</v>
      </c>
    </row>
    <row r="680" spans="1:4" x14ac:dyDescent="0.2">
      <c r="A680" s="3">
        <v>679</v>
      </c>
      <c r="B680" s="3">
        <v>113.2636595</v>
      </c>
      <c r="C680" s="3">
        <v>23.033673960000002</v>
      </c>
      <c r="D680" s="3">
        <v>36</v>
      </c>
    </row>
    <row r="681" spans="1:4" x14ac:dyDescent="0.2">
      <c r="A681" s="3">
        <v>680</v>
      </c>
      <c r="B681" s="3">
        <v>113.26270940000001</v>
      </c>
      <c r="C681" s="3">
        <v>23.03270204</v>
      </c>
      <c r="D681" s="3">
        <v>36</v>
      </c>
    </row>
    <row r="682" spans="1:4" x14ac:dyDescent="0.2">
      <c r="A682" s="3">
        <v>681</v>
      </c>
      <c r="B682" s="3">
        <v>113.2744138</v>
      </c>
      <c r="C682" s="3">
        <v>23.028240650000001</v>
      </c>
      <c r="D682" s="3">
        <v>15</v>
      </c>
    </row>
    <row r="683" spans="1:4" x14ac:dyDescent="0.2">
      <c r="A683" s="3">
        <v>682</v>
      </c>
      <c r="B683" s="3">
        <v>113.2749542</v>
      </c>
      <c r="C683" s="3">
        <v>23.027276480000001</v>
      </c>
      <c r="D683" s="3">
        <v>15</v>
      </c>
    </row>
    <row r="684" spans="1:4" x14ac:dyDescent="0.2">
      <c r="A684" s="3">
        <v>683</v>
      </c>
      <c r="B684" s="3">
        <v>113.2744328</v>
      </c>
      <c r="C684" s="3">
        <v>23.028004729999999</v>
      </c>
      <c r="D684" s="3">
        <v>15</v>
      </c>
    </row>
    <row r="685" spans="1:4" x14ac:dyDescent="0.2">
      <c r="A685" s="3">
        <v>684</v>
      </c>
      <c r="B685" s="3">
        <v>113.2745855</v>
      </c>
      <c r="C685" s="3">
        <v>23.028420390000001</v>
      </c>
      <c r="D685" s="3">
        <v>15</v>
      </c>
    </row>
    <row r="686" spans="1:4" x14ac:dyDescent="0.2">
      <c r="A686" s="3">
        <v>685</v>
      </c>
      <c r="B686" s="3">
        <v>113.28576959999999</v>
      </c>
      <c r="C686" s="3">
        <v>23.033193369999999</v>
      </c>
      <c r="D686" s="3">
        <v>37</v>
      </c>
    </row>
    <row r="687" spans="1:4" x14ac:dyDescent="0.2">
      <c r="A687" s="3">
        <v>686</v>
      </c>
      <c r="B687" s="3">
        <v>113.2858944</v>
      </c>
      <c r="C687" s="3">
        <v>23.033254159999998</v>
      </c>
      <c r="D687" s="3">
        <v>37</v>
      </c>
    </row>
    <row r="688" spans="1:4" x14ac:dyDescent="0.2">
      <c r="A688" s="3">
        <v>687</v>
      </c>
      <c r="B688" s="3">
        <v>113.2899839</v>
      </c>
      <c r="C688" s="3">
        <v>23.032044710000001</v>
      </c>
      <c r="D688" s="3">
        <v>8</v>
      </c>
    </row>
    <row r="689" spans="1:4" x14ac:dyDescent="0.2">
      <c r="A689" s="3">
        <v>688</v>
      </c>
      <c r="B689" s="3">
        <v>113.286793</v>
      </c>
      <c r="C689" s="3">
        <v>23.03342082</v>
      </c>
      <c r="D689" s="3">
        <v>37</v>
      </c>
    </row>
    <row r="690" spans="1:4" x14ac:dyDescent="0.2">
      <c r="A690" s="3">
        <v>689</v>
      </c>
      <c r="B690" s="3">
        <v>113.2865334</v>
      </c>
      <c r="C690" s="3">
        <v>23.033529139999999</v>
      </c>
      <c r="D690" s="3">
        <v>37</v>
      </c>
    </row>
    <row r="691" spans="1:4" x14ac:dyDescent="0.2">
      <c r="A691" s="3">
        <v>690</v>
      </c>
      <c r="B691" s="3">
        <v>113.29913790000001</v>
      </c>
      <c r="C691" s="3">
        <v>23.028948320000001</v>
      </c>
      <c r="D691" s="3">
        <v>8</v>
      </c>
    </row>
    <row r="692" spans="1:4" x14ac:dyDescent="0.2">
      <c r="A692" s="3">
        <v>691</v>
      </c>
      <c r="B692" s="3">
        <v>113.29599949999999</v>
      </c>
      <c r="C692" s="3">
        <v>23.030625839999999</v>
      </c>
      <c r="D692" s="3">
        <v>8</v>
      </c>
    </row>
    <row r="693" spans="1:4" x14ac:dyDescent="0.2">
      <c r="A693" s="3">
        <v>692</v>
      </c>
      <c r="B693" s="3">
        <v>113.2963319</v>
      </c>
      <c r="C693" s="3">
        <v>23.030648280000001</v>
      </c>
      <c r="D693" s="3">
        <v>8</v>
      </c>
    </row>
    <row r="694" spans="1:4" x14ac:dyDescent="0.2">
      <c r="A694" s="3">
        <v>693</v>
      </c>
      <c r="B694" s="3">
        <v>113.2988265</v>
      </c>
      <c r="C694" s="3">
        <v>23.028402079999999</v>
      </c>
      <c r="D694" s="3">
        <v>8</v>
      </c>
    </row>
    <row r="695" spans="1:4" x14ac:dyDescent="0.2">
      <c r="A695" s="3">
        <v>694</v>
      </c>
      <c r="B695" s="3">
        <v>113.29826559999999</v>
      </c>
      <c r="C695" s="3">
        <v>23.027869259999999</v>
      </c>
      <c r="D695" s="3">
        <v>8</v>
      </c>
    </row>
    <row r="696" spans="1:4" x14ac:dyDescent="0.2">
      <c r="A696" s="3">
        <v>695</v>
      </c>
      <c r="B696" s="3">
        <v>113.2959496</v>
      </c>
      <c r="C696" s="3">
        <v>23.030336040000002</v>
      </c>
      <c r="D696" s="3">
        <v>8</v>
      </c>
    </row>
    <row r="697" spans="1:4" x14ac:dyDescent="0.2">
      <c r="A697" s="3">
        <v>696</v>
      </c>
      <c r="B697" s="3">
        <v>113.2986509</v>
      </c>
      <c r="C697" s="3">
        <v>23.026779080000001</v>
      </c>
      <c r="D697" s="3">
        <v>8</v>
      </c>
    </row>
    <row r="698" spans="1:4" x14ac:dyDescent="0.2">
      <c r="A698" s="3">
        <v>697</v>
      </c>
      <c r="B698" s="3">
        <v>113.2935629</v>
      </c>
      <c r="C698" s="3">
        <v>23.028932510000001</v>
      </c>
      <c r="D698" s="3">
        <v>8</v>
      </c>
    </row>
    <row r="699" spans="1:4" x14ac:dyDescent="0.2">
      <c r="A699" s="3">
        <v>698</v>
      </c>
      <c r="B699" s="3">
        <v>113.2968673</v>
      </c>
      <c r="C699" s="3">
        <v>23.025750510000002</v>
      </c>
      <c r="D699" s="3">
        <v>8</v>
      </c>
    </row>
    <row r="700" spans="1:4" x14ac:dyDescent="0.2">
      <c r="A700" s="3">
        <v>699</v>
      </c>
      <c r="B700" s="3">
        <v>113.2932315</v>
      </c>
      <c r="C700" s="3">
        <v>23.02956176</v>
      </c>
      <c r="D700" s="3">
        <v>8</v>
      </c>
    </row>
    <row r="701" spans="1:4" x14ac:dyDescent="0.2">
      <c r="A701" s="3">
        <v>700</v>
      </c>
      <c r="B701" s="3">
        <v>113.29535300000001</v>
      </c>
      <c r="C701" s="3">
        <v>23.025714010000002</v>
      </c>
      <c r="D701" s="3">
        <v>8</v>
      </c>
    </row>
    <row r="702" spans="1:4" x14ac:dyDescent="0.2">
      <c r="A702" s="3">
        <v>701</v>
      </c>
      <c r="B702" s="3">
        <v>113.2970964</v>
      </c>
      <c r="C702" s="3">
        <v>23.03247923</v>
      </c>
      <c r="D702" s="3">
        <v>8</v>
      </c>
    </row>
    <row r="703" spans="1:4" x14ac:dyDescent="0.2">
      <c r="A703" s="3">
        <v>702</v>
      </c>
      <c r="B703" s="3">
        <v>113.30074</v>
      </c>
      <c r="C703" s="3">
        <v>23.027400239999999</v>
      </c>
      <c r="D703" s="3">
        <v>8</v>
      </c>
    </row>
    <row r="704" spans="1:4" x14ac:dyDescent="0.2">
      <c r="A704" s="3">
        <v>703</v>
      </c>
      <c r="B704" s="3">
        <v>113.2972252</v>
      </c>
      <c r="C704" s="3">
        <v>23.03254398</v>
      </c>
      <c r="D704" s="3">
        <v>8</v>
      </c>
    </row>
    <row r="705" spans="1:4" x14ac:dyDescent="0.2">
      <c r="A705" s="3">
        <v>704</v>
      </c>
      <c r="B705" s="3">
        <v>113.3004004</v>
      </c>
      <c r="C705" s="3">
        <v>23.030748379999999</v>
      </c>
      <c r="D705" s="3">
        <v>8</v>
      </c>
    </row>
    <row r="706" spans="1:4" x14ac:dyDescent="0.2">
      <c r="A706" s="3">
        <v>705</v>
      </c>
      <c r="B706" s="3">
        <v>113.3009126</v>
      </c>
      <c r="C706" s="3">
        <v>23.027469910000001</v>
      </c>
      <c r="D706" s="3">
        <v>8</v>
      </c>
    </row>
    <row r="707" spans="1:4" x14ac:dyDescent="0.2">
      <c r="A707" s="3">
        <v>706</v>
      </c>
      <c r="B707" s="3">
        <v>113.293998</v>
      </c>
      <c r="C707" s="3">
        <v>23.03217141</v>
      </c>
      <c r="D707" s="3">
        <v>8</v>
      </c>
    </row>
    <row r="708" spans="1:4" x14ac:dyDescent="0.2">
      <c r="A708" s="3">
        <v>707</v>
      </c>
      <c r="B708" s="3">
        <v>113.3001998</v>
      </c>
      <c r="C708" s="3">
        <v>23.03055681</v>
      </c>
      <c r="D708" s="3">
        <v>8</v>
      </c>
    </row>
    <row r="709" spans="1:4" x14ac:dyDescent="0.2">
      <c r="A709" s="3">
        <v>708</v>
      </c>
      <c r="B709" s="3">
        <v>113.3009952</v>
      </c>
      <c r="C709" s="3">
        <v>23.031516020000002</v>
      </c>
      <c r="D709" s="3">
        <v>8</v>
      </c>
    </row>
    <row r="710" spans="1:4" x14ac:dyDescent="0.2">
      <c r="A710" s="3">
        <v>709</v>
      </c>
      <c r="B710" s="3">
        <v>113.2986305</v>
      </c>
      <c r="C710" s="3">
        <v>23.032903470000001</v>
      </c>
      <c r="D710" s="3">
        <v>8</v>
      </c>
    </row>
    <row r="711" spans="1:4" x14ac:dyDescent="0.2">
      <c r="A711" s="3">
        <v>710</v>
      </c>
      <c r="B711" s="3">
        <v>113.30102549999999</v>
      </c>
      <c r="C711" s="3">
        <v>23.026001350000001</v>
      </c>
      <c r="D711" s="3">
        <v>8</v>
      </c>
    </row>
    <row r="712" spans="1:4" x14ac:dyDescent="0.2">
      <c r="A712" s="3">
        <v>711</v>
      </c>
      <c r="B712" s="3">
        <v>113.3012131</v>
      </c>
      <c r="C712" s="3">
        <v>23.02635287</v>
      </c>
      <c r="D712" s="3">
        <v>8</v>
      </c>
    </row>
    <row r="713" spans="1:4" x14ac:dyDescent="0.2">
      <c r="A713" s="3">
        <v>712</v>
      </c>
      <c r="B713" s="3">
        <v>113.2971469</v>
      </c>
      <c r="C713" s="3">
        <v>23.023937830000001</v>
      </c>
      <c r="D713" s="3">
        <v>8</v>
      </c>
    </row>
    <row r="714" spans="1:4" x14ac:dyDescent="0.2">
      <c r="A714" s="3">
        <v>713</v>
      </c>
      <c r="B714" s="3">
        <v>113.2994874</v>
      </c>
      <c r="C714" s="3">
        <v>23.026321849999999</v>
      </c>
      <c r="D714" s="3">
        <v>8</v>
      </c>
    </row>
    <row r="715" spans="1:4" x14ac:dyDescent="0.2">
      <c r="A715" s="3">
        <v>714</v>
      </c>
      <c r="B715" s="3">
        <v>113.2970574</v>
      </c>
      <c r="C715" s="3">
        <v>23.03364079</v>
      </c>
      <c r="D715" s="3">
        <v>8</v>
      </c>
    </row>
    <row r="716" spans="1:4" x14ac:dyDescent="0.2">
      <c r="A716" s="3">
        <v>715</v>
      </c>
      <c r="B716" s="3">
        <v>113.2975861</v>
      </c>
      <c r="C716" s="3">
        <v>23.023880120000001</v>
      </c>
      <c r="D716" s="3">
        <v>8</v>
      </c>
    </row>
    <row r="717" spans="1:4" x14ac:dyDescent="0.2">
      <c r="A717" s="3">
        <v>716</v>
      </c>
      <c r="B717" s="3">
        <v>113.2977975</v>
      </c>
      <c r="C717" s="3">
        <v>23.026902459999999</v>
      </c>
      <c r="D717" s="3">
        <v>8</v>
      </c>
    </row>
    <row r="718" spans="1:4" x14ac:dyDescent="0.2">
      <c r="A718" s="3">
        <v>717</v>
      </c>
      <c r="B718" s="3">
        <v>113.2977975</v>
      </c>
      <c r="C718" s="3">
        <v>23.026894469999998</v>
      </c>
      <c r="D718" s="3">
        <v>8</v>
      </c>
    </row>
    <row r="719" spans="1:4" x14ac:dyDescent="0.2">
      <c r="A719" s="3">
        <v>718</v>
      </c>
      <c r="B719" s="3">
        <v>113.301627</v>
      </c>
      <c r="C719" s="3">
        <v>23.031954729999999</v>
      </c>
      <c r="D719" s="3">
        <v>8</v>
      </c>
    </row>
    <row r="720" spans="1:4" x14ac:dyDescent="0.2">
      <c r="A720" s="3">
        <v>719</v>
      </c>
      <c r="B720" s="3">
        <v>113.3004732</v>
      </c>
      <c r="C720" s="3">
        <v>23.03134799</v>
      </c>
      <c r="D720" s="3">
        <v>8</v>
      </c>
    </row>
    <row r="721" spans="1:4" x14ac:dyDescent="0.2">
      <c r="A721" s="3">
        <v>720</v>
      </c>
      <c r="B721" s="3">
        <v>113.3010316</v>
      </c>
      <c r="C721" s="3">
        <v>23.024709900000001</v>
      </c>
      <c r="D721" s="3">
        <v>8</v>
      </c>
    </row>
    <row r="722" spans="1:4" x14ac:dyDescent="0.2">
      <c r="A722" s="3">
        <v>721</v>
      </c>
      <c r="B722" s="3">
        <v>113.2984498</v>
      </c>
      <c r="C722" s="3">
        <v>23.033662450000001</v>
      </c>
      <c r="D722" s="3">
        <v>8</v>
      </c>
    </row>
    <row r="723" spans="1:4" x14ac:dyDescent="0.2">
      <c r="A723" s="3">
        <v>722</v>
      </c>
      <c r="B723" s="3">
        <v>113.29527280000001</v>
      </c>
      <c r="C723" s="3">
        <v>23.031016860000001</v>
      </c>
      <c r="D723" s="3">
        <v>8</v>
      </c>
    </row>
    <row r="724" spans="1:4" x14ac:dyDescent="0.2">
      <c r="A724" s="3">
        <v>723</v>
      </c>
      <c r="B724" s="3">
        <v>113.3009148</v>
      </c>
      <c r="C724" s="3">
        <v>23.02482805</v>
      </c>
      <c r="D724" s="3">
        <v>8</v>
      </c>
    </row>
    <row r="725" spans="1:4" x14ac:dyDescent="0.2">
      <c r="A725" s="3">
        <v>724</v>
      </c>
      <c r="B725" s="3">
        <v>113.2976862</v>
      </c>
      <c r="C725" s="3">
        <v>23.03365973</v>
      </c>
      <c r="D725" s="3">
        <v>8</v>
      </c>
    </row>
    <row r="726" spans="1:4" x14ac:dyDescent="0.2">
      <c r="A726" s="3">
        <v>725</v>
      </c>
      <c r="B726" s="3">
        <v>113.2988311</v>
      </c>
      <c r="C726" s="3">
        <v>23.033367930000001</v>
      </c>
      <c r="D726" s="3">
        <v>8</v>
      </c>
    </row>
    <row r="727" spans="1:4" x14ac:dyDescent="0.2">
      <c r="A727" s="3">
        <v>726</v>
      </c>
      <c r="B727" s="3">
        <v>113.30087159999999</v>
      </c>
      <c r="C727" s="3">
        <v>23.029595059999998</v>
      </c>
      <c r="D727" s="3">
        <v>8</v>
      </c>
    </row>
    <row r="728" spans="1:4" x14ac:dyDescent="0.2">
      <c r="A728" s="3">
        <v>727</v>
      </c>
      <c r="B728" s="3">
        <v>113.2985716</v>
      </c>
      <c r="C728" s="3">
        <v>23.033492320000001</v>
      </c>
      <c r="D728" s="3">
        <v>8</v>
      </c>
    </row>
    <row r="729" spans="1:4" x14ac:dyDescent="0.2">
      <c r="A729" s="3">
        <v>728</v>
      </c>
      <c r="B729" s="3">
        <v>113.2988311</v>
      </c>
      <c r="C729" s="3">
        <v>23.033367930000001</v>
      </c>
      <c r="D729" s="3">
        <v>8</v>
      </c>
    </row>
    <row r="730" spans="1:4" x14ac:dyDescent="0.2">
      <c r="A730" s="3">
        <v>729</v>
      </c>
      <c r="B730" s="3">
        <v>113.30631990000001</v>
      </c>
      <c r="C730" s="3">
        <v>23.03136465</v>
      </c>
      <c r="D730" s="3">
        <v>8</v>
      </c>
    </row>
    <row r="731" spans="1:4" x14ac:dyDescent="0.2">
      <c r="A731" s="3">
        <v>730</v>
      </c>
      <c r="B731" s="3">
        <v>113.30496979999999</v>
      </c>
      <c r="C731" s="3">
        <v>23.027559719999999</v>
      </c>
      <c r="D731" s="3">
        <v>8</v>
      </c>
    </row>
    <row r="732" spans="1:4" x14ac:dyDescent="0.2">
      <c r="A732" s="3">
        <v>731</v>
      </c>
      <c r="B732" s="3">
        <v>113.30520540000001</v>
      </c>
      <c r="C732" s="3">
        <v>23.026920579999999</v>
      </c>
      <c r="D732" s="3">
        <v>8</v>
      </c>
    </row>
    <row r="733" spans="1:4" x14ac:dyDescent="0.2">
      <c r="A733" s="3">
        <v>732</v>
      </c>
      <c r="B733" s="3">
        <v>113.30638500000001</v>
      </c>
      <c r="C733" s="3">
        <v>23.028462780000002</v>
      </c>
      <c r="D733" s="3">
        <v>8</v>
      </c>
    </row>
    <row r="734" spans="1:4" x14ac:dyDescent="0.2">
      <c r="A734" s="3">
        <v>733</v>
      </c>
      <c r="B734" s="3">
        <v>113.3072483</v>
      </c>
      <c r="C734" s="3">
        <v>23.0285042</v>
      </c>
      <c r="D734" s="3">
        <v>8</v>
      </c>
    </row>
    <row r="735" spans="1:4" x14ac:dyDescent="0.2">
      <c r="A735" s="3">
        <v>734</v>
      </c>
      <c r="B735" s="3">
        <v>113.3098061</v>
      </c>
      <c r="C735" s="3">
        <v>23.02907626</v>
      </c>
      <c r="D735" s="3">
        <v>31</v>
      </c>
    </row>
    <row r="736" spans="1:4" x14ac:dyDescent="0.2">
      <c r="A736" s="3">
        <v>735</v>
      </c>
      <c r="B736" s="3">
        <v>113.3064858</v>
      </c>
      <c r="C736" s="3">
        <v>23.028646519999999</v>
      </c>
      <c r="D736" s="3">
        <v>8</v>
      </c>
    </row>
    <row r="737" spans="1:4" x14ac:dyDescent="0.2">
      <c r="A737" s="3">
        <v>736</v>
      </c>
      <c r="B737" s="3">
        <v>113.30594979999999</v>
      </c>
      <c r="C737" s="3">
        <v>23.029311199999999</v>
      </c>
      <c r="D737" s="3">
        <v>8</v>
      </c>
    </row>
    <row r="738" spans="1:4" x14ac:dyDescent="0.2">
      <c r="A738" s="3">
        <v>737</v>
      </c>
      <c r="B738" s="3">
        <v>113.30589190000001</v>
      </c>
      <c r="C738" s="3">
        <v>23.029262330000002</v>
      </c>
      <c r="D738" s="3">
        <v>8</v>
      </c>
    </row>
    <row r="739" spans="1:4" x14ac:dyDescent="0.2">
      <c r="A739" s="3">
        <v>738</v>
      </c>
      <c r="B739" s="3">
        <v>113.30731520000001</v>
      </c>
      <c r="C739" s="3">
        <v>23.028377129999999</v>
      </c>
      <c r="D739" s="3">
        <v>8</v>
      </c>
    </row>
    <row r="740" spans="1:4" x14ac:dyDescent="0.2">
      <c r="A740" s="3">
        <v>739</v>
      </c>
      <c r="B740" s="3">
        <v>113.30594480000001</v>
      </c>
      <c r="C740" s="3">
        <v>23.029289219999999</v>
      </c>
      <c r="D740" s="3">
        <v>8</v>
      </c>
    </row>
    <row r="741" spans="1:4" x14ac:dyDescent="0.2">
      <c r="A741" s="3">
        <v>740</v>
      </c>
      <c r="B741" s="3">
        <v>113.30592179999999</v>
      </c>
      <c r="C741" s="3">
        <v>23.029721080000002</v>
      </c>
      <c r="D741" s="3">
        <v>8</v>
      </c>
    </row>
    <row r="742" spans="1:4" x14ac:dyDescent="0.2">
      <c r="A742" s="3">
        <v>741</v>
      </c>
      <c r="B742" s="3">
        <v>113.3044787</v>
      </c>
      <c r="C742" s="3">
        <v>23.02807138</v>
      </c>
      <c r="D742" s="3">
        <v>8</v>
      </c>
    </row>
    <row r="743" spans="1:4" x14ac:dyDescent="0.2">
      <c r="A743" s="3">
        <v>742</v>
      </c>
      <c r="B743" s="3">
        <v>113.3056175</v>
      </c>
      <c r="C743" s="3">
        <v>23.02894796</v>
      </c>
      <c r="D743" s="3">
        <v>8</v>
      </c>
    </row>
    <row r="744" spans="1:4" x14ac:dyDescent="0.2">
      <c r="A744" s="3">
        <v>743</v>
      </c>
      <c r="B744" s="3">
        <v>113.3084738</v>
      </c>
      <c r="C744" s="3">
        <v>23.028465969999999</v>
      </c>
      <c r="D744" s="3">
        <v>31</v>
      </c>
    </row>
    <row r="745" spans="1:4" x14ac:dyDescent="0.2">
      <c r="A745" s="3">
        <v>744</v>
      </c>
      <c r="B745" s="3">
        <v>113.30566330000001</v>
      </c>
      <c r="C745" s="3">
        <v>23.0300574</v>
      </c>
      <c r="D745" s="3">
        <v>8</v>
      </c>
    </row>
    <row r="746" spans="1:4" x14ac:dyDescent="0.2">
      <c r="A746" s="3">
        <v>745</v>
      </c>
      <c r="B746" s="3">
        <v>113.308412</v>
      </c>
      <c r="C746" s="3">
        <v>23.02872897</v>
      </c>
      <c r="D746" s="3">
        <v>31</v>
      </c>
    </row>
    <row r="747" spans="1:4" x14ac:dyDescent="0.2">
      <c r="A747" s="3">
        <v>746</v>
      </c>
      <c r="B747" s="3">
        <v>113.305786</v>
      </c>
      <c r="C747" s="3">
        <v>23.0309308</v>
      </c>
      <c r="D747" s="3">
        <v>8</v>
      </c>
    </row>
    <row r="748" spans="1:4" x14ac:dyDescent="0.2">
      <c r="A748" s="3">
        <v>747</v>
      </c>
      <c r="B748" s="3">
        <v>113.30362239999999</v>
      </c>
      <c r="C748" s="3">
        <v>23.028497720000001</v>
      </c>
      <c r="D748" s="3">
        <v>8</v>
      </c>
    </row>
    <row r="749" spans="1:4" x14ac:dyDescent="0.2">
      <c r="A749" s="3">
        <v>748</v>
      </c>
      <c r="B749" s="3">
        <v>113.3087951</v>
      </c>
      <c r="C749" s="3">
        <v>23.029479949999999</v>
      </c>
      <c r="D749" s="3">
        <v>8</v>
      </c>
    </row>
    <row r="750" spans="1:4" x14ac:dyDescent="0.2">
      <c r="A750" s="3">
        <v>749</v>
      </c>
      <c r="B750" s="3">
        <v>113.3060488</v>
      </c>
      <c r="C750" s="3">
        <v>23.026977030000001</v>
      </c>
      <c r="D750" s="3">
        <v>8</v>
      </c>
    </row>
    <row r="751" spans="1:4" x14ac:dyDescent="0.2">
      <c r="A751" s="3">
        <v>750</v>
      </c>
      <c r="B751" s="3">
        <v>113.308851</v>
      </c>
      <c r="C751" s="3">
        <v>23.029978629999999</v>
      </c>
      <c r="D751" s="3">
        <v>8</v>
      </c>
    </row>
    <row r="752" spans="1:4" x14ac:dyDescent="0.2">
      <c r="A752" s="3">
        <v>751</v>
      </c>
      <c r="B752" s="3">
        <v>113.3049109</v>
      </c>
      <c r="C752" s="3">
        <v>23.02827752</v>
      </c>
      <c r="D752" s="3">
        <v>8</v>
      </c>
    </row>
    <row r="753" spans="1:4" x14ac:dyDescent="0.2">
      <c r="A753" s="3">
        <v>752</v>
      </c>
      <c r="B753" s="3">
        <v>113.3056314</v>
      </c>
      <c r="C753" s="3">
        <v>23.029147850000001</v>
      </c>
      <c r="D753" s="3">
        <v>8</v>
      </c>
    </row>
    <row r="754" spans="1:4" x14ac:dyDescent="0.2">
      <c r="A754" s="3">
        <v>753</v>
      </c>
      <c r="B754" s="3">
        <v>113.3105467</v>
      </c>
      <c r="C754" s="3">
        <v>23.027681489999999</v>
      </c>
      <c r="D754" s="3">
        <v>31</v>
      </c>
    </row>
    <row r="755" spans="1:4" x14ac:dyDescent="0.2">
      <c r="A755" s="3">
        <v>754</v>
      </c>
      <c r="B755" s="3">
        <v>113.3092893</v>
      </c>
      <c r="C755" s="3">
        <v>23.027348960000001</v>
      </c>
      <c r="D755" s="3">
        <v>31</v>
      </c>
    </row>
    <row r="756" spans="1:4" x14ac:dyDescent="0.2">
      <c r="A756" s="3">
        <v>755</v>
      </c>
      <c r="B756" s="3">
        <v>113.3090497</v>
      </c>
      <c r="C756" s="3">
        <v>23.028912720000001</v>
      </c>
      <c r="D756" s="3">
        <v>31</v>
      </c>
    </row>
    <row r="757" spans="1:4" x14ac:dyDescent="0.2">
      <c r="A757" s="3">
        <v>756</v>
      </c>
      <c r="B757" s="3">
        <v>113.30351659999999</v>
      </c>
      <c r="C757" s="3">
        <v>23.027777220000001</v>
      </c>
      <c r="D757" s="3">
        <v>8</v>
      </c>
    </row>
    <row r="758" spans="1:4" x14ac:dyDescent="0.2">
      <c r="A758" s="3">
        <v>757</v>
      </c>
      <c r="B758" s="3">
        <v>113.30530829999999</v>
      </c>
      <c r="C758" s="3">
        <v>23.02594581</v>
      </c>
      <c r="D758" s="3">
        <v>8</v>
      </c>
    </row>
    <row r="759" spans="1:4" x14ac:dyDescent="0.2">
      <c r="A759" s="3">
        <v>758</v>
      </c>
      <c r="B759" s="3">
        <v>113.30675599999999</v>
      </c>
      <c r="C759" s="3">
        <v>23.031845650000001</v>
      </c>
      <c r="D759" s="3">
        <v>8</v>
      </c>
    </row>
    <row r="760" spans="1:4" x14ac:dyDescent="0.2">
      <c r="A760" s="3">
        <v>759</v>
      </c>
      <c r="B760" s="3">
        <v>113.3096805</v>
      </c>
      <c r="C760" s="3">
        <v>23.027316249999998</v>
      </c>
      <c r="D760" s="3">
        <v>31</v>
      </c>
    </row>
    <row r="761" spans="1:4" x14ac:dyDescent="0.2">
      <c r="A761" s="3">
        <v>760</v>
      </c>
      <c r="B761" s="3">
        <v>113.3041472</v>
      </c>
      <c r="C761" s="3">
        <v>23.03140153</v>
      </c>
      <c r="D761" s="3">
        <v>8</v>
      </c>
    </row>
    <row r="762" spans="1:4" x14ac:dyDescent="0.2">
      <c r="A762" s="3">
        <v>761</v>
      </c>
      <c r="B762" s="3">
        <v>113.30884229999999</v>
      </c>
      <c r="C762" s="3">
        <v>23.02617729</v>
      </c>
      <c r="D762" s="3">
        <v>31</v>
      </c>
    </row>
    <row r="763" spans="1:4" x14ac:dyDescent="0.2">
      <c r="A763" s="3">
        <v>762</v>
      </c>
      <c r="B763" s="3">
        <v>113.3094909</v>
      </c>
      <c r="C763" s="3">
        <v>23.027634460000002</v>
      </c>
      <c r="D763" s="3">
        <v>31</v>
      </c>
    </row>
    <row r="764" spans="1:4" x14ac:dyDescent="0.2">
      <c r="A764" s="3">
        <v>763</v>
      </c>
      <c r="B764" s="3">
        <v>113.3078299</v>
      </c>
      <c r="C764" s="3">
        <v>23.031999630000001</v>
      </c>
      <c r="D764" s="3">
        <v>8</v>
      </c>
    </row>
    <row r="765" spans="1:4" x14ac:dyDescent="0.2">
      <c r="A765" s="3">
        <v>764</v>
      </c>
      <c r="B765" s="3">
        <v>113.3073394</v>
      </c>
      <c r="C765" s="3">
        <v>23.024461779999999</v>
      </c>
      <c r="D765" s="3">
        <v>31</v>
      </c>
    </row>
    <row r="766" spans="1:4" x14ac:dyDescent="0.2">
      <c r="A766" s="3">
        <v>765</v>
      </c>
      <c r="B766" s="3">
        <v>113.3105767</v>
      </c>
      <c r="C766" s="3">
        <v>23.027298600000002</v>
      </c>
      <c r="D766" s="3">
        <v>31</v>
      </c>
    </row>
    <row r="767" spans="1:4" x14ac:dyDescent="0.2">
      <c r="A767" s="3">
        <v>766</v>
      </c>
      <c r="B767" s="3">
        <v>113.3093294</v>
      </c>
      <c r="C767" s="3">
        <v>23.024726019999999</v>
      </c>
      <c r="D767" s="3">
        <v>31</v>
      </c>
    </row>
    <row r="768" spans="1:4" x14ac:dyDescent="0.2">
      <c r="A768" s="3">
        <v>767</v>
      </c>
      <c r="B768" s="3">
        <v>113.30640320000001</v>
      </c>
      <c r="C768" s="3">
        <v>23.025108199999998</v>
      </c>
      <c r="D768" s="3">
        <v>31</v>
      </c>
    </row>
    <row r="769" spans="1:4" x14ac:dyDescent="0.2">
      <c r="A769" s="3">
        <v>768</v>
      </c>
      <c r="B769" s="3">
        <v>113.3032262</v>
      </c>
      <c r="C769" s="3">
        <v>23.027274949999999</v>
      </c>
      <c r="D769" s="3">
        <v>8</v>
      </c>
    </row>
    <row r="770" spans="1:4" x14ac:dyDescent="0.2">
      <c r="A770" s="3">
        <v>769</v>
      </c>
      <c r="B770" s="3">
        <v>113.30678140000001</v>
      </c>
      <c r="C770" s="3">
        <v>23.025068529999999</v>
      </c>
      <c r="D770" s="3">
        <v>31</v>
      </c>
    </row>
    <row r="771" spans="1:4" x14ac:dyDescent="0.2">
      <c r="A771" s="3">
        <v>770</v>
      </c>
      <c r="B771" s="3">
        <v>113.30678140000001</v>
      </c>
      <c r="C771" s="3">
        <v>23.025068529999999</v>
      </c>
      <c r="D771" s="3">
        <v>31</v>
      </c>
    </row>
    <row r="772" spans="1:4" x14ac:dyDescent="0.2">
      <c r="A772" s="3">
        <v>771</v>
      </c>
      <c r="B772" s="3">
        <v>113.31064739999999</v>
      </c>
      <c r="C772" s="3">
        <v>23.030402129999999</v>
      </c>
      <c r="D772" s="3">
        <v>31</v>
      </c>
    </row>
    <row r="773" spans="1:4" x14ac:dyDescent="0.2">
      <c r="A773" s="3">
        <v>772</v>
      </c>
      <c r="B773" s="3">
        <v>113.3105576</v>
      </c>
      <c r="C773" s="3">
        <v>23.029539660000001</v>
      </c>
      <c r="D773" s="3">
        <v>31</v>
      </c>
    </row>
    <row r="774" spans="1:4" x14ac:dyDescent="0.2">
      <c r="A774" s="3">
        <v>773</v>
      </c>
      <c r="B774" s="3">
        <v>113.3101066</v>
      </c>
      <c r="C774" s="3">
        <v>23.02780525</v>
      </c>
      <c r="D774" s="3">
        <v>31</v>
      </c>
    </row>
    <row r="775" spans="1:4" x14ac:dyDescent="0.2">
      <c r="A775" s="3">
        <v>774</v>
      </c>
      <c r="B775" s="3">
        <v>113.31056959999999</v>
      </c>
      <c r="C775" s="3">
        <v>23.029584620000001</v>
      </c>
      <c r="D775" s="3">
        <v>31</v>
      </c>
    </row>
    <row r="776" spans="1:4" x14ac:dyDescent="0.2">
      <c r="A776" s="3">
        <v>775</v>
      </c>
      <c r="B776" s="3">
        <v>113.3103143</v>
      </c>
      <c r="C776" s="3">
        <v>23.026825290000001</v>
      </c>
      <c r="D776" s="3">
        <v>31</v>
      </c>
    </row>
    <row r="777" spans="1:4" x14ac:dyDescent="0.2">
      <c r="A777" s="3">
        <v>776</v>
      </c>
      <c r="B777" s="3">
        <v>113.3103322</v>
      </c>
      <c r="C777" s="3">
        <v>23.027453980000001</v>
      </c>
      <c r="D777" s="3">
        <v>31</v>
      </c>
    </row>
    <row r="778" spans="1:4" x14ac:dyDescent="0.2">
      <c r="A778" s="3">
        <v>777</v>
      </c>
      <c r="B778" s="3">
        <v>113.3035137</v>
      </c>
      <c r="C778" s="3">
        <v>23.02746136</v>
      </c>
      <c r="D778" s="3">
        <v>8</v>
      </c>
    </row>
    <row r="779" spans="1:4" x14ac:dyDescent="0.2">
      <c r="A779" s="3">
        <v>778</v>
      </c>
      <c r="B779" s="3">
        <v>113.3021541</v>
      </c>
      <c r="C779" s="3">
        <v>23.029738770000002</v>
      </c>
      <c r="D779" s="3">
        <v>8</v>
      </c>
    </row>
    <row r="780" spans="1:4" x14ac:dyDescent="0.2">
      <c r="A780" s="3">
        <v>779</v>
      </c>
      <c r="B780" s="3">
        <v>113.3089222</v>
      </c>
      <c r="C780" s="3">
        <v>23.024653799999999</v>
      </c>
      <c r="D780" s="3">
        <v>31</v>
      </c>
    </row>
    <row r="781" spans="1:4" x14ac:dyDescent="0.2">
      <c r="A781" s="3">
        <v>780</v>
      </c>
      <c r="B781" s="3">
        <v>113.3048727</v>
      </c>
      <c r="C781" s="3">
        <v>23.032397809999999</v>
      </c>
      <c r="D781" s="3">
        <v>8</v>
      </c>
    </row>
    <row r="782" spans="1:4" x14ac:dyDescent="0.2">
      <c r="A782" s="3">
        <v>781</v>
      </c>
      <c r="B782" s="3">
        <v>113.31064139999999</v>
      </c>
      <c r="C782" s="3">
        <v>23.0302592</v>
      </c>
      <c r="D782" s="3">
        <v>31</v>
      </c>
    </row>
    <row r="783" spans="1:4" x14ac:dyDescent="0.2">
      <c r="A783" s="3">
        <v>782</v>
      </c>
      <c r="B783" s="3">
        <v>113.3091148</v>
      </c>
      <c r="C783" s="3">
        <v>23.02492033</v>
      </c>
      <c r="D783" s="3">
        <v>31</v>
      </c>
    </row>
    <row r="784" spans="1:4" x14ac:dyDescent="0.2">
      <c r="A784" s="3">
        <v>783</v>
      </c>
      <c r="B784" s="3">
        <v>113.30844020000001</v>
      </c>
      <c r="C784" s="3">
        <v>23.024525740000001</v>
      </c>
      <c r="D784" s="3">
        <v>31</v>
      </c>
    </row>
    <row r="785" spans="1:4" x14ac:dyDescent="0.2">
      <c r="A785" s="3">
        <v>784</v>
      </c>
      <c r="B785" s="3">
        <v>113.3071897</v>
      </c>
      <c r="C785" s="3">
        <v>23.02406822</v>
      </c>
      <c r="D785" s="3">
        <v>31</v>
      </c>
    </row>
    <row r="786" spans="1:4" x14ac:dyDescent="0.2">
      <c r="A786" s="3">
        <v>785</v>
      </c>
      <c r="B786" s="3">
        <v>113.3104021</v>
      </c>
      <c r="C786" s="3">
        <v>23.027079019999999</v>
      </c>
      <c r="D786" s="3">
        <v>31</v>
      </c>
    </row>
    <row r="787" spans="1:4" x14ac:dyDescent="0.2">
      <c r="A787" s="3">
        <v>786</v>
      </c>
      <c r="B787" s="3">
        <v>113.3086318</v>
      </c>
      <c r="C787" s="3">
        <v>23.02480327</v>
      </c>
      <c r="D787" s="3">
        <v>31</v>
      </c>
    </row>
    <row r="788" spans="1:4" x14ac:dyDescent="0.2">
      <c r="A788" s="3">
        <v>787</v>
      </c>
      <c r="B788" s="3">
        <v>113.3100019</v>
      </c>
      <c r="C788" s="3">
        <v>23.026111180000001</v>
      </c>
      <c r="D788" s="3">
        <v>31</v>
      </c>
    </row>
    <row r="789" spans="1:4" x14ac:dyDescent="0.2">
      <c r="A789" s="3">
        <v>788</v>
      </c>
      <c r="B789" s="3">
        <v>113.3104369</v>
      </c>
      <c r="C789" s="3">
        <v>23.028646269999999</v>
      </c>
      <c r="D789" s="3">
        <v>31</v>
      </c>
    </row>
    <row r="790" spans="1:4" x14ac:dyDescent="0.2">
      <c r="A790" s="3">
        <v>789</v>
      </c>
      <c r="B790" s="3">
        <v>113.3019967</v>
      </c>
      <c r="C790" s="3">
        <v>23.024935119999999</v>
      </c>
      <c r="D790" s="3">
        <v>8</v>
      </c>
    </row>
    <row r="791" spans="1:4" x14ac:dyDescent="0.2">
      <c r="A791" s="3">
        <v>790</v>
      </c>
      <c r="B791" s="3">
        <v>113.3045303</v>
      </c>
      <c r="C791" s="3">
        <v>23.032695289999999</v>
      </c>
      <c r="D791" s="3">
        <v>8</v>
      </c>
    </row>
    <row r="792" spans="1:4" x14ac:dyDescent="0.2">
      <c r="A792" s="3">
        <v>791</v>
      </c>
      <c r="B792" s="3">
        <v>113.3030851</v>
      </c>
      <c r="C792" s="3">
        <v>23.03252093</v>
      </c>
      <c r="D792" s="3">
        <v>8</v>
      </c>
    </row>
    <row r="793" spans="1:4" x14ac:dyDescent="0.2">
      <c r="A793" s="3">
        <v>792</v>
      </c>
      <c r="B793" s="3">
        <v>113.3103393</v>
      </c>
      <c r="C793" s="3">
        <v>23.025590780000002</v>
      </c>
      <c r="D793" s="3">
        <v>31</v>
      </c>
    </row>
    <row r="794" spans="1:4" x14ac:dyDescent="0.2">
      <c r="A794" s="3">
        <v>793</v>
      </c>
      <c r="B794" s="3">
        <v>113.3021044</v>
      </c>
      <c r="C794" s="3">
        <v>23.026930069999999</v>
      </c>
      <c r="D794" s="3">
        <v>8</v>
      </c>
    </row>
    <row r="795" spans="1:4" x14ac:dyDescent="0.2">
      <c r="A795" s="3">
        <v>794</v>
      </c>
      <c r="B795" s="3">
        <v>113.3066747</v>
      </c>
      <c r="C795" s="3">
        <v>23.023932219999999</v>
      </c>
      <c r="D795" s="3">
        <v>31</v>
      </c>
    </row>
    <row r="796" spans="1:4" x14ac:dyDescent="0.2">
      <c r="A796" s="3">
        <v>795</v>
      </c>
      <c r="B796" s="3">
        <v>113.3075487</v>
      </c>
      <c r="C796" s="3">
        <v>23.028270750000001</v>
      </c>
      <c r="D796" s="3">
        <v>8</v>
      </c>
    </row>
    <row r="797" spans="1:4" x14ac:dyDescent="0.2">
      <c r="A797" s="3">
        <v>796</v>
      </c>
      <c r="B797" s="3">
        <v>113.3021839</v>
      </c>
      <c r="C797" s="3">
        <v>23.03179883</v>
      </c>
      <c r="D797" s="3">
        <v>8</v>
      </c>
    </row>
    <row r="798" spans="1:4" x14ac:dyDescent="0.2">
      <c r="A798" s="3">
        <v>797</v>
      </c>
      <c r="B798" s="3">
        <v>113.30206750000001</v>
      </c>
      <c r="C798" s="3">
        <v>23.026548300000002</v>
      </c>
      <c r="D798" s="3">
        <v>8</v>
      </c>
    </row>
    <row r="799" spans="1:4" x14ac:dyDescent="0.2">
      <c r="A799" s="3">
        <v>798</v>
      </c>
      <c r="B799" s="3">
        <v>113.3034588</v>
      </c>
      <c r="C799" s="3">
        <v>23.027023639999999</v>
      </c>
      <c r="D799" s="3">
        <v>8</v>
      </c>
    </row>
    <row r="800" spans="1:4" x14ac:dyDescent="0.2">
      <c r="A800" s="3">
        <v>799</v>
      </c>
      <c r="B800" s="3">
        <v>113.30872960000001</v>
      </c>
      <c r="C800" s="3">
        <v>23.024113379999999</v>
      </c>
      <c r="D800" s="3">
        <v>31</v>
      </c>
    </row>
    <row r="801" spans="1:4" x14ac:dyDescent="0.2">
      <c r="A801" s="3">
        <v>800</v>
      </c>
      <c r="B801" s="3">
        <v>113.3112185</v>
      </c>
      <c r="C801" s="3">
        <v>23.026173889999999</v>
      </c>
      <c r="D801" s="3">
        <v>31</v>
      </c>
    </row>
    <row r="802" spans="1:4" x14ac:dyDescent="0.2">
      <c r="A802" s="3">
        <v>801</v>
      </c>
      <c r="B802" s="3">
        <v>113.3032977</v>
      </c>
      <c r="C802" s="3">
        <v>23.03245059</v>
      </c>
      <c r="D802" s="3">
        <v>8</v>
      </c>
    </row>
    <row r="803" spans="1:4" x14ac:dyDescent="0.2">
      <c r="A803" s="3">
        <v>802</v>
      </c>
      <c r="B803" s="3">
        <v>113.30987829999999</v>
      </c>
      <c r="C803" s="3">
        <v>23.024246210000001</v>
      </c>
      <c r="D803" s="3">
        <v>31</v>
      </c>
    </row>
    <row r="804" spans="1:4" x14ac:dyDescent="0.2">
      <c r="A804" s="3">
        <v>803</v>
      </c>
      <c r="B804" s="3">
        <v>113.30541100000001</v>
      </c>
      <c r="C804" s="3">
        <v>23.027620899999999</v>
      </c>
      <c r="D804" s="3">
        <v>8</v>
      </c>
    </row>
    <row r="805" spans="1:4" x14ac:dyDescent="0.2">
      <c r="A805" s="3">
        <v>804</v>
      </c>
      <c r="B805" s="3">
        <v>113.3045765</v>
      </c>
      <c r="C805" s="3">
        <v>23.028537</v>
      </c>
      <c r="D805" s="3">
        <v>8</v>
      </c>
    </row>
    <row r="806" spans="1:4" x14ac:dyDescent="0.2">
      <c r="A806" s="3">
        <v>805</v>
      </c>
      <c r="B806" s="3">
        <v>113.3030462</v>
      </c>
      <c r="C806" s="3">
        <v>23.03282587</v>
      </c>
      <c r="D806" s="3">
        <v>8</v>
      </c>
    </row>
    <row r="807" spans="1:4" x14ac:dyDescent="0.2">
      <c r="A807" s="3">
        <v>806</v>
      </c>
      <c r="B807" s="3">
        <v>113.3110507</v>
      </c>
      <c r="C807" s="3">
        <v>23.027765509999998</v>
      </c>
      <c r="D807" s="3">
        <v>31</v>
      </c>
    </row>
    <row r="808" spans="1:4" x14ac:dyDescent="0.2">
      <c r="A808" s="3">
        <v>807</v>
      </c>
      <c r="B808" s="3">
        <v>113.3108951</v>
      </c>
      <c r="C808" s="3">
        <v>23.026735250000002</v>
      </c>
      <c r="D808" s="3">
        <v>31</v>
      </c>
    </row>
    <row r="809" spans="1:4" x14ac:dyDescent="0.2">
      <c r="A809" s="3">
        <v>808</v>
      </c>
      <c r="B809" s="3">
        <v>113.30191790000001</v>
      </c>
      <c r="C809" s="3">
        <v>23.025013220000002</v>
      </c>
      <c r="D809" s="3">
        <v>8</v>
      </c>
    </row>
    <row r="810" spans="1:4" x14ac:dyDescent="0.2">
      <c r="A810" s="3">
        <v>809</v>
      </c>
      <c r="B810" s="3">
        <v>113.3046116</v>
      </c>
      <c r="C810" s="3">
        <v>23.027040589999999</v>
      </c>
      <c r="D810" s="3">
        <v>8</v>
      </c>
    </row>
    <row r="811" spans="1:4" x14ac:dyDescent="0.2">
      <c r="A811" s="3">
        <v>810</v>
      </c>
      <c r="B811" s="3">
        <v>113.3100159</v>
      </c>
      <c r="C811" s="3">
        <v>23.02703975</v>
      </c>
      <c r="D811" s="3">
        <v>31</v>
      </c>
    </row>
    <row r="812" spans="1:4" x14ac:dyDescent="0.2">
      <c r="A812" s="3">
        <v>811</v>
      </c>
      <c r="B812" s="3">
        <v>113.3044586</v>
      </c>
      <c r="C812" s="3">
        <v>23.030211489999999</v>
      </c>
      <c r="D812" s="3">
        <v>8</v>
      </c>
    </row>
    <row r="813" spans="1:4" x14ac:dyDescent="0.2">
      <c r="A813" s="3">
        <v>812</v>
      </c>
      <c r="B813" s="3">
        <v>113.3056246</v>
      </c>
      <c r="C813" s="3">
        <v>23.02656498</v>
      </c>
      <c r="D813" s="3">
        <v>8</v>
      </c>
    </row>
    <row r="814" spans="1:4" x14ac:dyDescent="0.2">
      <c r="A814" s="3">
        <v>813</v>
      </c>
      <c r="B814" s="3">
        <v>113.3058899</v>
      </c>
      <c r="C814" s="3">
        <v>23.029724130000002</v>
      </c>
      <c r="D814" s="3">
        <v>8</v>
      </c>
    </row>
    <row r="815" spans="1:4" x14ac:dyDescent="0.2">
      <c r="A815" s="3">
        <v>814</v>
      </c>
      <c r="B815" s="3">
        <v>113.3115</v>
      </c>
      <c r="C815" s="3">
        <v>23.024935899999999</v>
      </c>
      <c r="D815" s="3">
        <v>31</v>
      </c>
    </row>
    <row r="816" spans="1:4" x14ac:dyDescent="0.2">
      <c r="A816" s="3">
        <v>815</v>
      </c>
      <c r="B816" s="3">
        <v>113.31147900000001</v>
      </c>
      <c r="C816" s="3">
        <v>23.025851540000001</v>
      </c>
      <c r="D816" s="3">
        <v>31</v>
      </c>
    </row>
    <row r="817" spans="1:4" x14ac:dyDescent="0.2">
      <c r="A817" s="3">
        <v>816</v>
      </c>
      <c r="B817" s="3">
        <v>113.3102315</v>
      </c>
      <c r="C817" s="3">
        <v>23.026107750000001</v>
      </c>
      <c r="D817" s="3">
        <v>31</v>
      </c>
    </row>
    <row r="818" spans="1:4" x14ac:dyDescent="0.2">
      <c r="A818" s="3">
        <v>817</v>
      </c>
      <c r="B818" s="3">
        <v>113.3077885</v>
      </c>
      <c r="C818" s="3">
        <v>23.02393219</v>
      </c>
      <c r="D818" s="3">
        <v>31</v>
      </c>
    </row>
    <row r="819" spans="1:4" x14ac:dyDescent="0.2">
      <c r="A819" s="3">
        <v>818</v>
      </c>
      <c r="B819" s="3">
        <v>113.3104051</v>
      </c>
      <c r="C819" s="3">
        <v>23.02589652</v>
      </c>
      <c r="D819" s="3">
        <v>31</v>
      </c>
    </row>
    <row r="820" spans="1:4" x14ac:dyDescent="0.2">
      <c r="A820" s="3">
        <v>819</v>
      </c>
      <c r="B820" s="3">
        <v>113.3056316</v>
      </c>
      <c r="C820" s="3">
        <v>23.026534980000001</v>
      </c>
      <c r="D820" s="3">
        <v>8</v>
      </c>
    </row>
    <row r="821" spans="1:4" x14ac:dyDescent="0.2">
      <c r="A821" s="3">
        <v>820</v>
      </c>
      <c r="B821" s="3">
        <v>113.3092733</v>
      </c>
      <c r="C821" s="3">
        <v>23.027430949999999</v>
      </c>
      <c r="D821" s="3">
        <v>31</v>
      </c>
    </row>
    <row r="822" spans="1:4" x14ac:dyDescent="0.2">
      <c r="A822" s="3">
        <v>821</v>
      </c>
      <c r="B822" s="3">
        <v>113.3045067</v>
      </c>
      <c r="C822" s="3">
        <v>23.027997360000001</v>
      </c>
      <c r="D822" s="3">
        <v>8</v>
      </c>
    </row>
    <row r="823" spans="1:4" x14ac:dyDescent="0.2">
      <c r="A823" s="3">
        <v>822</v>
      </c>
      <c r="B823" s="3">
        <v>113.3035452</v>
      </c>
      <c r="C823" s="3">
        <v>23.032788</v>
      </c>
      <c r="D823" s="3">
        <v>8</v>
      </c>
    </row>
    <row r="824" spans="1:4" x14ac:dyDescent="0.2">
      <c r="A824" s="3">
        <v>823</v>
      </c>
      <c r="B824" s="3">
        <v>113.3090426</v>
      </c>
      <c r="C824" s="3">
        <v>23.030538029999999</v>
      </c>
      <c r="D824" s="3">
        <v>8</v>
      </c>
    </row>
    <row r="825" spans="1:4" x14ac:dyDescent="0.2">
      <c r="A825" s="3">
        <v>824</v>
      </c>
      <c r="B825" s="3">
        <v>113.30314439999999</v>
      </c>
      <c r="C825" s="3">
        <v>23.027355060000001</v>
      </c>
      <c r="D825" s="3">
        <v>8</v>
      </c>
    </row>
    <row r="826" spans="1:4" x14ac:dyDescent="0.2">
      <c r="A826" s="3">
        <v>825</v>
      </c>
      <c r="B826" s="3">
        <v>113.3059011</v>
      </c>
      <c r="C826" s="3">
        <v>23.0260447</v>
      </c>
      <c r="D826" s="3">
        <v>8</v>
      </c>
    </row>
    <row r="827" spans="1:4" x14ac:dyDescent="0.2">
      <c r="A827" s="3">
        <v>826</v>
      </c>
      <c r="B827" s="3">
        <v>113.3088362</v>
      </c>
      <c r="C827" s="3">
        <v>23.027470739999998</v>
      </c>
      <c r="D827" s="3">
        <v>31</v>
      </c>
    </row>
    <row r="828" spans="1:4" x14ac:dyDescent="0.2">
      <c r="A828" s="3">
        <v>827</v>
      </c>
      <c r="B828" s="3">
        <v>113.30354149999999</v>
      </c>
      <c r="C828" s="3">
        <v>23.029794299999999</v>
      </c>
      <c r="D828" s="3">
        <v>8</v>
      </c>
    </row>
    <row r="829" spans="1:4" x14ac:dyDescent="0.2">
      <c r="A829" s="3">
        <v>828</v>
      </c>
      <c r="B829" s="3">
        <v>113.31101889999999</v>
      </c>
      <c r="C829" s="3">
        <v>23.02548256</v>
      </c>
      <c r="D829" s="3">
        <v>31</v>
      </c>
    </row>
    <row r="830" spans="1:4" x14ac:dyDescent="0.2">
      <c r="A830" s="3">
        <v>829</v>
      </c>
      <c r="B830" s="3">
        <v>113.31040110000001</v>
      </c>
      <c r="C830" s="3">
        <v>23.027028040000001</v>
      </c>
      <c r="D830" s="3">
        <v>31</v>
      </c>
    </row>
    <row r="831" spans="1:4" x14ac:dyDescent="0.2">
      <c r="A831" s="3">
        <v>830</v>
      </c>
      <c r="B831" s="3">
        <v>113.3111995</v>
      </c>
      <c r="C831" s="3">
        <v>23.026196909999999</v>
      </c>
      <c r="D831" s="3">
        <v>31</v>
      </c>
    </row>
    <row r="832" spans="1:4" x14ac:dyDescent="0.2">
      <c r="A832" s="3">
        <v>831</v>
      </c>
      <c r="B832" s="3">
        <v>113.30476520000001</v>
      </c>
      <c r="C832" s="3">
        <v>23.028542659999999</v>
      </c>
      <c r="D832" s="3">
        <v>8</v>
      </c>
    </row>
    <row r="833" spans="1:4" x14ac:dyDescent="0.2">
      <c r="A833" s="3">
        <v>832</v>
      </c>
      <c r="B833" s="3">
        <v>113.30365810000001</v>
      </c>
      <c r="C833" s="3">
        <v>23.03199515</v>
      </c>
      <c r="D833" s="3">
        <v>8</v>
      </c>
    </row>
    <row r="834" spans="1:4" x14ac:dyDescent="0.2">
      <c r="A834" s="3">
        <v>833</v>
      </c>
      <c r="B834" s="3">
        <v>113.30879950000001</v>
      </c>
      <c r="C834" s="3">
        <v>23.024682009999999</v>
      </c>
      <c r="D834" s="3">
        <v>31</v>
      </c>
    </row>
    <row r="835" spans="1:4" x14ac:dyDescent="0.2">
      <c r="A835" s="3">
        <v>834</v>
      </c>
      <c r="B835" s="3">
        <v>113.30601969999999</v>
      </c>
      <c r="C835" s="3">
        <v>23.029010209999999</v>
      </c>
      <c r="D835" s="3">
        <v>8</v>
      </c>
    </row>
    <row r="836" spans="1:4" x14ac:dyDescent="0.2">
      <c r="A836" s="3">
        <v>835</v>
      </c>
      <c r="B836" s="3">
        <v>113.3067715</v>
      </c>
      <c r="C836" s="3">
        <v>23.023950030000002</v>
      </c>
      <c r="D836" s="3">
        <v>31</v>
      </c>
    </row>
    <row r="837" spans="1:4" x14ac:dyDescent="0.2">
      <c r="A837" s="3">
        <v>836</v>
      </c>
      <c r="B837" s="3">
        <v>113.3059847</v>
      </c>
      <c r="C837" s="3">
        <v>23.029157210000001</v>
      </c>
      <c r="D837" s="3">
        <v>8</v>
      </c>
    </row>
    <row r="838" spans="1:4" x14ac:dyDescent="0.2">
      <c r="A838" s="3">
        <v>837</v>
      </c>
      <c r="B838" s="3">
        <v>113.3034894</v>
      </c>
      <c r="C838" s="3">
        <v>23.032170369999999</v>
      </c>
      <c r="D838" s="3">
        <v>8</v>
      </c>
    </row>
    <row r="839" spans="1:4" x14ac:dyDescent="0.2">
      <c r="A839" s="3">
        <v>838</v>
      </c>
      <c r="B839" s="3">
        <v>113.30974449999999</v>
      </c>
      <c r="C839" s="3">
        <v>23.025504909999999</v>
      </c>
      <c r="D839" s="3">
        <v>31</v>
      </c>
    </row>
    <row r="840" spans="1:4" x14ac:dyDescent="0.2">
      <c r="A840" s="3">
        <v>839</v>
      </c>
      <c r="B840" s="3">
        <v>113.3026035</v>
      </c>
      <c r="C840" s="3">
        <v>23.02693519</v>
      </c>
      <c r="D840" s="3">
        <v>8</v>
      </c>
    </row>
    <row r="841" spans="1:4" x14ac:dyDescent="0.2">
      <c r="A841" s="3">
        <v>840</v>
      </c>
      <c r="B841" s="3">
        <v>113.3086986</v>
      </c>
      <c r="C841" s="3">
        <v>23.024854120000001</v>
      </c>
      <c r="D841" s="3">
        <v>31</v>
      </c>
    </row>
    <row r="842" spans="1:4" x14ac:dyDescent="0.2">
      <c r="A842" s="3">
        <v>841</v>
      </c>
      <c r="B842" s="3">
        <v>113.30318490000001</v>
      </c>
      <c r="C842" s="3">
        <v>23.03291759</v>
      </c>
      <c r="D842" s="3">
        <v>8</v>
      </c>
    </row>
    <row r="843" spans="1:4" x14ac:dyDescent="0.2">
      <c r="A843" s="3">
        <v>842</v>
      </c>
      <c r="B843" s="3">
        <v>113.309009</v>
      </c>
      <c r="C843" s="3">
        <v>23.025113439999998</v>
      </c>
      <c r="D843" s="3">
        <v>31</v>
      </c>
    </row>
    <row r="844" spans="1:4" x14ac:dyDescent="0.2">
      <c r="A844" s="3">
        <v>843</v>
      </c>
      <c r="B844" s="3">
        <v>113.30320589999999</v>
      </c>
      <c r="C844" s="3">
        <v>23.032768610000002</v>
      </c>
      <c r="D844" s="3">
        <v>8</v>
      </c>
    </row>
    <row r="845" spans="1:4" x14ac:dyDescent="0.2">
      <c r="A845" s="3">
        <v>844</v>
      </c>
      <c r="B845" s="3">
        <v>113.30974449999999</v>
      </c>
      <c r="C845" s="3">
        <v>23.025504909999999</v>
      </c>
      <c r="D845" s="3">
        <v>31</v>
      </c>
    </row>
    <row r="846" spans="1:4" x14ac:dyDescent="0.2">
      <c r="A846" s="3">
        <v>845</v>
      </c>
      <c r="B846" s="3">
        <v>113.3034464</v>
      </c>
      <c r="C846" s="3">
        <v>23.032853150000001</v>
      </c>
      <c r="D846" s="3">
        <v>8</v>
      </c>
    </row>
    <row r="847" spans="1:4" x14ac:dyDescent="0.2">
      <c r="A847" s="3">
        <v>846</v>
      </c>
      <c r="B847" s="3">
        <v>113.3093142</v>
      </c>
      <c r="C847" s="3">
        <v>23.027400889999999</v>
      </c>
      <c r="D847" s="3">
        <v>31</v>
      </c>
    </row>
    <row r="848" spans="1:4" x14ac:dyDescent="0.2">
      <c r="A848" s="3">
        <v>847</v>
      </c>
      <c r="B848" s="3">
        <v>113.3138089</v>
      </c>
      <c r="C848" s="3">
        <v>23.030431199999999</v>
      </c>
      <c r="D848" s="3">
        <v>31</v>
      </c>
    </row>
    <row r="849" spans="1:4" x14ac:dyDescent="0.2">
      <c r="A849" s="3">
        <v>848</v>
      </c>
      <c r="B849" s="3">
        <v>113.31394</v>
      </c>
      <c r="C849" s="3">
        <v>23.025499079999999</v>
      </c>
      <c r="D849" s="3">
        <v>31</v>
      </c>
    </row>
    <row r="850" spans="1:4" x14ac:dyDescent="0.2">
      <c r="A850" s="3">
        <v>849</v>
      </c>
      <c r="B850" s="3">
        <v>113.3188517</v>
      </c>
      <c r="C850" s="3">
        <v>23.028502459999999</v>
      </c>
      <c r="D850" s="3">
        <v>30</v>
      </c>
    </row>
    <row r="851" spans="1:4" x14ac:dyDescent="0.2">
      <c r="A851" s="3">
        <v>850</v>
      </c>
      <c r="B851" s="3">
        <v>113.31694659999999</v>
      </c>
      <c r="C851" s="3">
        <v>23.029824519999998</v>
      </c>
      <c r="D851" s="3">
        <v>31</v>
      </c>
    </row>
    <row r="852" spans="1:4" x14ac:dyDescent="0.2">
      <c r="A852" s="3">
        <v>851</v>
      </c>
      <c r="B852" s="3">
        <v>113.3145605</v>
      </c>
      <c r="C852" s="3">
        <v>23.02979406</v>
      </c>
      <c r="D852" s="3">
        <v>31</v>
      </c>
    </row>
    <row r="853" spans="1:4" x14ac:dyDescent="0.2">
      <c r="A853" s="3">
        <v>852</v>
      </c>
      <c r="B853" s="3">
        <v>113.31851829999999</v>
      </c>
      <c r="C853" s="3">
        <v>23.029604620000001</v>
      </c>
      <c r="D853" s="3">
        <v>30</v>
      </c>
    </row>
    <row r="854" spans="1:4" x14ac:dyDescent="0.2">
      <c r="A854" s="3">
        <v>853</v>
      </c>
      <c r="B854" s="3">
        <v>113.3144896</v>
      </c>
      <c r="C854" s="3">
        <v>23.029570289999999</v>
      </c>
      <c r="D854" s="3">
        <v>31</v>
      </c>
    </row>
    <row r="855" spans="1:4" x14ac:dyDescent="0.2">
      <c r="A855" s="3">
        <v>854</v>
      </c>
      <c r="B855" s="3">
        <v>113.3141373</v>
      </c>
      <c r="C855" s="3">
        <v>23.02956395</v>
      </c>
      <c r="D855" s="3">
        <v>31</v>
      </c>
    </row>
    <row r="856" spans="1:4" x14ac:dyDescent="0.2">
      <c r="A856" s="3">
        <v>855</v>
      </c>
      <c r="B856" s="3">
        <v>113.3169135</v>
      </c>
      <c r="C856" s="3">
        <v>23.031218979999998</v>
      </c>
      <c r="D856" s="3">
        <v>31</v>
      </c>
    </row>
    <row r="857" spans="1:4" x14ac:dyDescent="0.2">
      <c r="A857" s="3">
        <v>856</v>
      </c>
      <c r="B857" s="3">
        <v>113.3184796</v>
      </c>
      <c r="C857" s="3">
        <v>23.02675893</v>
      </c>
      <c r="D857" s="3">
        <v>30</v>
      </c>
    </row>
    <row r="858" spans="1:4" x14ac:dyDescent="0.2">
      <c r="A858" s="3">
        <v>857</v>
      </c>
      <c r="B858" s="3">
        <v>113.31288790000001</v>
      </c>
      <c r="C858" s="3">
        <v>23.029422369999999</v>
      </c>
      <c r="D858" s="3">
        <v>31</v>
      </c>
    </row>
    <row r="859" spans="1:4" x14ac:dyDescent="0.2">
      <c r="A859" s="3">
        <v>858</v>
      </c>
      <c r="B859" s="3">
        <v>113.3160932</v>
      </c>
      <c r="C859" s="3">
        <v>23.031146570000001</v>
      </c>
      <c r="D859" s="3">
        <v>31</v>
      </c>
    </row>
    <row r="860" spans="1:4" x14ac:dyDescent="0.2">
      <c r="A860" s="3">
        <v>859</v>
      </c>
      <c r="B860" s="3">
        <v>113.3121963</v>
      </c>
      <c r="C860" s="3">
        <v>23.028631000000001</v>
      </c>
      <c r="D860" s="3">
        <v>31</v>
      </c>
    </row>
    <row r="861" spans="1:4" x14ac:dyDescent="0.2">
      <c r="A861" s="3">
        <v>860</v>
      </c>
      <c r="B861" s="3">
        <v>113.3124789</v>
      </c>
      <c r="C861" s="3">
        <v>23.026627340000001</v>
      </c>
      <c r="D861" s="3">
        <v>31</v>
      </c>
    </row>
    <row r="862" spans="1:4" x14ac:dyDescent="0.2">
      <c r="A862" s="3">
        <v>861</v>
      </c>
      <c r="B862" s="3">
        <v>113.3156103</v>
      </c>
      <c r="C862" s="3">
        <v>23.02960315</v>
      </c>
      <c r="D862" s="3">
        <v>31</v>
      </c>
    </row>
    <row r="863" spans="1:4" x14ac:dyDescent="0.2">
      <c r="A863" s="3">
        <v>862</v>
      </c>
      <c r="B863" s="3">
        <v>113.31230119999999</v>
      </c>
      <c r="C863" s="3">
        <v>23.02820299</v>
      </c>
      <c r="D863" s="3">
        <v>31</v>
      </c>
    </row>
    <row r="864" spans="1:4" x14ac:dyDescent="0.2">
      <c r="A864" s="3">
        <v>863</v>
      </c>
      <c r="B864" s="3">
        <v>113.3128729</v>
      </c>
      <c r="C864" s="3">
        <v>23.029204490000001</v>
      </c>
      <c r="D864" s="3">
        <v>31</v>
      </c>
    </row>
    <row r="865" spans="1:4" x14ac:dyDescent="0.2">
      <c r="A865" s="3">
        <v>864</v>
      </c>
      <c r="B865" s="3">
        <v>113.31584410000001</v>
      </c>
      <c r="C865" s="3">
        <v>23.025128639999998</v>
      </c>
      <c r="D865" s="3">
        <v>31</v>
      </c>
    </row>
    <row r="866" spans="1:4" x14ac:dyDescent="0.2">
      <c r="A866" s="3">
        <v>865</v>
      </c>
      <c r="B866" s="3">
        <v>113.31693660000001</v>
      </c>
      <c r="C866" s="3">
        <v>23.0296956</v>
      </c>
      <c r="D866" s="3">
        <v>31</v>
      </c>
    </row>
    <row r="867" spans="1:4" x14ac:dyDescent="0.2">
      <c r="A867" s="3">
        <v>866</v>
      </c>
      <c r="B867" s="3">
        <v>113.3126676</v>
      </c>
      <c r="C867" s="3">
        <v>23.025591429999999</v>
      </c>
      <c r="D867" s="3">
        <v>31</v>
      </c>
    </row>
    <row r="868" spans="1:4" x14ac:dyDescent="0.2">
      <c r="A868" s="3">
        <v>867</v>
      </c>
      <c r="B868" s="3">
        <v>113.31252670000001</v>
      </c>
      <c r="C868" s="3">
        <v>23.028439469999999</v>
      </c>
      <c r="D868" s="3">
        <v>31</v>
      </c>
    </row>
    <row r="869" spans="1:4" x14ac:dyDescent="0.2">
      <c r="A869" s="3">
        <v>868</v>
      </c>
      <c r="B869" s="3">
        <v>113.3199675</v>
      </c>
      <c r="C869" s="3">
        <v>23.027073949999998</v>
      </c>
      <c r="D869" s="3">
        <v>30</v>
      </c>
    </row>
    <row r="870" spans="1:4" x14ac:dyDescent="0.2">
      <c r="A870" s="3">
        <v>869</v>
      </c>
      <c r="B870" s="3">
        <v>113.3147603</v>
      </c>
      <c r="C870" s="3">
        <v>23.02571244</v>
      </c>
      <c r="D870" s="3">
        <v>31</v>
      </c>
    </row>
    <row r="871" spans="1:4" x14ac:dyDescent="0.2">
      <c r="A871" s="3">
        <v>870</v>
      </c>
      <c r="B871" s="3">
        <v>113.3119598</v>
      </c>
      <c r="C871" s="3">
        <v>23.028624449999999</v>
      </c>
      <c r="D871" s="3">
        <v>31</v>
      </c>
    </row>
    <row r="872" spans="1:4" x14ac:dyDescent="0.2">
      <c r="A872" s="3">
        <v>871</v>
      </c>
      <c r="B872" s="3">
        <v>113.3117742</v>
      </c>
      <c r="C872" s="3">
        <v>23.028834700000001</v>
      </c>
      <c r="D872" s="3">
        <v>31</v>
      </c>
    </row>
    <row r="873" spans="1:4" x14ac:dyDescent="0.2">
      <c r="A873" s="3">
        <v>872</v>
      </c>
      <c r="B873" s="3">
        <v>113.315765</v>
      </c>
      <c r="C873" s="3">
        <v>23.029449929999998</v>
      </c>
      <c r="D873" s="3">
        <v>31</v>
      </c>
    </row>
    <row r="874" spans="1:4" x14ac:dyDescent="0.2">
      <c r="A874" s="3">
        <v>873</v>
      </c>
      <c r="B874" s="3">
        <v>113.3123152</v>
      </c>
      <c r="C874" s="3">
        <v>23.027441289999999</v>
      </c>
      <c r="D874" s="3">
        <v>31</v>
      </c>
    </row>
    <row r="875" spans="1:4" x14ac:dyDescent="0.2">
      <c r="A875" s="3">
        <v>874</v>
      </c>
      <c r="B875" s="3">
        <v>113.31983390000001</v>
      </c>
      <c r="C875" s="3">
        <v>23.026101629999999</v>
      </c>
      <c r="D875" s="3">
        <v>30</v>
      </c>
    </row>
    <row r="876" spans="1:4" x14ac:dyDescent="0.2">
      <c r="A876" s="3">
        <v>875</v>
      </c>
      <c r="B876" s="3">
        <v>113.31242709999999</v>
      </c>
      <c r="C876" s="3">
        <v>23.025936730000002</v>
      </c>
      <c r="D876" s="3">
        <v>31</v>
      </c>
    </row>
    <row r="877" spans="1:4" x14ac:dyDescent="0.2">
      <c r="A877" s="3">
        <v>876</v>
      </c>
      <c r="B877" s="3">
        <v>113.3132621</v>
      </c>
      <c r="C877" s="3">
        <v>23.029450650000001</v>
      </c>
      <c r="D877" s="3">
        <v>31</v>
      </c>
    </row>
    <row r="878" spans="1:4" x14ac:dyDescent="0.2">
      <c r="A878" s="3">
        <v>877</v>
      </c>
      <c r="B878" s="3">
        <v>113.313445</v>
      </c>
      <c r="C878" s="3">
        <v>23.025171159999999</v>
      </c>
      <c r="D878" s="3">
        <v>31</v>
      </c>
    </row>
    <row r="879" spans="1:4" x14ac:dyDescent="0.2">
      <c r="A879" s="3">
        <v>878</v>
      </c>
      <c r="B879" s="3">
        <v>113.31207449999999</v>
      </c>
      <c r="C879" s="3">
        <v>23.029252960000001</v>
      </c>
      <c r="D879" s="3">
        <v>31</v>
      </c>
    </row>
    <row r="880" spans="1:4" x14ac:dyDescent="0.2">
      <c r="A880" s="3">
        <v>879</v>
      </c>
      <c r="B880" s="3">
        <v>113.3119172</v>
      </c>
      <c r="C880" s="3">
        <v>23.024759199999998</v>
      </c>
      <c r="D880" s="3">
        <v>31</v>
      </c>
    </row>
    <row r="881" spans="1:4" x14ac:dyDescent="0.2">
      <c r="A881" s="3">
        <v>880</v>
      </c>
      <c r="B881" s="3">
        <v>113.3130902</v>
      </c>
      <c r="C881" s="3">
        <v>23.032796529999999</v>
      </c>
      <c r="D881" s="3">
        <v>4</v>
      </c>
    </row>
    <row r="882" spans="1:4" x14ac:dyDescent="0.2">
      <c r="A882" s="3">
        <v>881</v>
      </c>
      <c r="B882" s="3">
        <v>113.31218149999999</v>
      </c>
      <c r="C882" s="3">
        <v>23.02732859</v>
      </c>
      <c r="D882" s="3">
        <v>31</v>
      </c>
    </row>
    <row r="883" spans="1:4" x14ac:dyDescent="0.2">
      <c r="A883" s="3">
        <v>882</v>
      </c>
      <c r="B883" s="3">
        <v>113.3121637</v>
      </c>
      <c r="C883" s="3">
        <v>23.024676769999999</v>
      </c>
      <c r="D883" s="3">
        <v>31</v>
      </c>
    </row>
    <row r="884" spans="1:4" x14ac:dyDescent="0.2">
      <c r="A884" s="3">
        <v>883</v>
      </c>
      <c r="B884" s="3">
        <v>113.3117226</v>
      </c>
      <c r="C884" s="3">
        <v>23.024252780000001</v>
      </c>
      <c r="D884" s="3">
        <v>31</v>
      </c>
    </row>
    <row r="885" spans="1:4" x14ac:dyDescent="0.2">
      <c r="A885" s="3">
        <v>884</v>
      </c>
      <c r="B885" s="3">
        <v>113.314455</v>
      </c>
      <c r="C885" s="3">
        <v>23.025488119999999</v>
      </c>
      <c r="D885" s="3">
        <v>31</v>
      </c>
    </row>
    <row r="886" spans="1:4" x14ac:dyDescent="0.2">
      <c r="A886" s="3">
        <v>885</v>
      </c>
      <c r="B886" s="3">
        <v>113.3160932</v>
      </c>
      <c r="C886" s="3">
        <v>23.031146570000001</v>
      </c>
      <c r="D886" s="3">
        <v>31</v>
      </c>
    </row>
    <row r="887" spans="1:4" x14ac:dyDescent="0.2">
      <c r="A887" s="3">
        <v>886</v>
      </c>
      <c r="B887" s="3">
        <v>113.31532869999999</v>
      </c>
      <c r="C887" s="3">
        <v>23.032201570000002</v>
      </c>
      <c r="D887" s="3">
        <v>4</v>
      </c>
    </row>
    <row r="888" spans="1:4" x14ac:dyDescent="0.2">
      <c r="A888" s="3">
        <v>887</v>
      </c>
      <c r="B888" s="3">
        <v>113.3212987</v>
      </c>
      <c r="C888" s="3">
        <v>23.028362850000001</v>
      </c>
      <c r="D888" s="3">
        <v>30</v>
      </c>
    </row>
    <row r="889" spans="1:4" x14ac:dyDescent="0.2">
      <c r="A889" s="3">
        <v>888</v>
      </c>
      <c r="B889" s="3">
        <v>113.3123014</v>
      </c>
      <c r="C889" s="3">
        <v>23.02465252</v>
      </c>
      <c r="D889" s="3">
        <v>31</v>
      </c>
    </row>
    <row r="890" spans="1:4" x14ac:dyDescent="0.2">
      <c r="A890" s="3">
        <v>889</v>
      </c>
      <c r="B890" s="3">
        <v>113.3148367</v>
      </c>
      <c r="C890" s="3">
        <v>23.032235480000001</v>
      </c>
      <c r="D890" s="3">
        <v>4</v>
      </c>
    </row>
    <row r="891" spans="1:4" x14ac:dyDescent="0.2">
      <c r="A891" s="3">
        <v>890</v>
      </c>
      <c r="B891" s="3">
        <v>113.3213605</v>
      </c>
      <c r="C891" s="3">
        <v>23.028874510000001</v>
      </c>
      <c r="D891" s="3">
        <v>30</v>
      </c>
    </row>
    <row r="892" spans="1:4" x14ac:dyDescent="0.2">
      <c r="A892" s="3">
        <v>891</v>
      </c>
      <c r="B892" s="3">
        <v>113.32477950000001</v>
      </c>
      <c r="C892" s="3">
        <v>23.029339759999999</v>
      </c>
      <c r="D892" s="3">
        <v>30</v>
      </c>
    </row>
    <row r="893" spans="1:4" x14ac:dyDescent="0.2">
      <c r="A893" s="3">
        <v>892</v>
      </c>
      <c r="B893" s="3">
        <v>113.3272068</v>
      </c>
      <c r="C893" s="3">
        <v>23.025058980000001</v>
      </c>
      <c r="D893" s="3">
        <v>30</v>
      </c>
    </row>
    <row r="894" spans="1:4" x14ac:dyDescent="0.2">
      <c r="A894" s="3">
        <v>893</v>
      </c>
      <c r="B894" s="3">
        <v>113.3275388</v>
      </c>
      <c r="C894" s="3">
        <v>23.029440449999999</v>
      </c>
      <c r="D894" s="3">
        <v>30</v>
      </c>
    </row>
    <row r="895" spans="1:4" x14ac:dyDescent="0.2">
      <c r="A895" s="3">
        <v>894</v>
      </c>
      <c r="B895" s="3">
        <v>113.33155259999999</v>
      </c>
      <c r="C895" s="3">
        <v>23.029515809999999</v>
      </c>
      <c r="D895" s="3">
        <v>30</v>
      </c>
    </row>
    <row r="896" spans="1:4" x14ac:dyDescent="0.2">
      <c r="A896" s="3">
        <v>895</v>
      </c>
      <c r="B896" s="3">
        <v>113.32764349999999</v>
      </c>
      <c r="C896" s="3">
        <v>23.030259900000001</v>
      </c>
      <c r="D896" s="3">
        <v>30</v>
      </c>
    </row>
    <row r="897" spans="1:4" x14ac:dyDescent="0.2">
      <c r="A897" s="3">
        <v>896</v>
      </c>
      <c r="B897" s="3">
        <v>113.32445420000001</v>
      </c>
      <c r="C897" s="3">
        <v>23.028560720000002</v>
      </c>
      <c r="D897" s="3">
        <v>30</v>
      </c>
    </row>
    <row r="898" spans="1:4" x14ac:dyDescent="0.2">
      <c r="A898" s="3">
        <v>897</v>
      </c>
      <c r="B898" s="3">
        <v>113.324952</v>
      </c>
      <c r="C898" s="3">
        <v>23.03084978</v>
      </c>
      <c r="D898" s="3">
        <v>30</v>
      </c>
    </row>
    <row r="899" spans="1:4" x14ac:dyDescent="0.2">
      <c r="A899" s="3">
        <v>898</v>
      </c>
      <c r="B899" s="3">
        <v>113.32575060000001</v>
      </c>
      <c r="C899" s="3">
        <v>23.027036899999999</v>
      </c>
      <c r="D899" s="3">
        <v>30</v>
      </c>
    </row>
    <row r="900" spans="1:4" x14ac:dyDescent="0.2">
      <c r="A900" s="3">
        <v>899</v>
      </c>
      <c r="B900" s="3">
        <v>113.32471169999999</v>
      </c>
      <c r="C900" s="3">
        <v>23.027721589999999</v>
      </c>
      <c r="D900" s="3">
        <v>30</v>
      </c>
    </row>
    <row r="901" spans="1:4" x14ac:dyDescent="0.2">
      <c r="A901" s="3">
        <v>900</v>
      </c>
      <c r="B901" s="3">
        <v>113.3249263</v>
      </c>
      <c r="C901" s="3">
        <v>23.02727737</v>
      </c>
      <c r="D901" s="3">
        <v>30</v>
      </c>
    </row>
    <row r="902" spans="1:4" x14ac:dyDescent="0.2">
      <c r="A902" s="3">
        <v>901</v>
      </c>
      <c r="B902" s="3">
        <v>113.3273015</v>
      </c>
      <c r="C902" s="3">
        <v>23.02584646</v>
      </c>
      <c r="D902" s="3">
        <v>30</v>
      </c>
    </row>
    <row r="903" spans="1:4" x14ac:dyDescent="0.2">
      <c r="A903" s="3">
        <v>902</v>
      </c>
      <c r="B903" s="3">
        <v>113.32558299999999</v>
      </c>
      <c r="C903" s="3">
        <v>23.02599567</v>
      </c>
      <c r="D903" s="3">
        <v>30</v>
      </c>
    </row>
    <row r="904" spans="1:4" x14ac:dyDescent="0.2">
      <c r="A904" s="3">
        <v>903</v>
      </c>
      <c r="B904" s="3">
        <v>113.32444030000001</v>
      </c>
      <c r="C904" s="3">
        <v>23.02718934</v>
      </c>
      <c r="D904" s="3">
        <v>30</v>
      </c>
    </row>
    <row r="905" spans="1:4" x14ac:dyDescent="0.2">
      <c r="A905" s="3">
        <v>904</v>
      </c>
      <c r="B905" s="3">
        <v>113.3236477</v>
      </c>
      <c r="C905" s="3">
        <v>23.030043630000002</v>
      </c>
      <c r="D905" s="3">
        <v>30</v>
      </c>
    </row>
    <row r="906" spans="1:4" x14ac:dyDescent="0.2">
      <c r="A906" s="3">
        <v>905</v>
      </c>
      <c r="B906" s="3">
        <v>113.3289281</v>
      </c>
      <c r="C906" s="3">
        <v>23.027816510000001</v>
      </c>
      <c r="D906" s="3">
        <v>30</v>
      </c>
    </row>
    <row r="907" spans="1:4" x14ac:dyDescent="0.2">
      <c r="A907" s="3">
        <v>906</v>
      </c>
      <c r="B907" s="3">
        <v>113.32491229999999</v>
      </c>
      <c r="C907" s="3">
        <v>23.02740335</v>
      </c>
      <c r="D907" s="3">
        <v>30</v>
      </c>
    </row>
    <row r="908" spans="1:4" x14ac:dyDescent="0.2">
      <c r="A908" s="3">
        <v>907</v>
      </c>
      <c r="B908" s="3">
        <v>113.32402190000001</v>
      </c>
      <c r="C908" s="3">
        <v>23.030717620000001</v>
      </c>
      <c r="D908" s="3">
        <v>30</v>
      </c>
    </row>
    <row r="909" spans="1:4" x14ac:dyDescent="0.2">
      <c r="A909" s="3">
        <v>908</v>
      </c>
      <c r="B909" s="3">
        <v>113.3279891</v>
      </c>
      <c r="C909" s="3">
        <v>23.02529139</v>
      </c>
      <c r="D909" s="3">
        <v>30</v>
      </c>
    </row>
    <row r="910" spans="1:4" x14ac:dyDescent="0.2">
      <c r="A910" s="3">
        <v>909</v>
      </c>
      <c r="B910" s="3">
        <v>113.3290488</v>
      </c>
      <c r="C910" s="3">
        <v>23.028256089999999</v>
      </c>
      <c r="D910" s="3">
        <v>30</v>
      </c>
    </row>
    <row r="911" spans="1:4" x14ac:dyDescent="0.2">
      <c r="A911" s="3">
        <v>910</v>
      </c>
      <c r="B911" s="3">
        <v>113.3296787</v>
      </c>
      <c r="C911" s="3">
        <v>23.02609283</v>
      </c>
      <c r="D911" s="3">
        <v>30</v>
      </c>
    </row>
    <row r="912" spans="1:4" x14ac:dyDescent="0.2">
      <c r="A912" s="3">
        <v>911</v>
      </c>
      <c r="B912" s="3">
        <v>113.3302703</v>
      </c>
      <c r="C912" s="3">
        <v>23.027700020000001</v>
      </c>
      <c r="D912" s="3">
        <v>30</v>
      </c>
    </row>
    <row r="913" spans="1:4" x14ac:dyDescent="0.2">
      <c r="A913" s="3">
        <v>912</v>
      </c>
      <c r="B913" s="3">
        <v>113.3250559</v>
      </c>
      <c r="C913" s="3">
        <v>23.028985389999999</v>
      </c>
      <c r="D913" s="3">
        <v>30</v>
      </c>
    </row>
    <row r="914" spans="1:4" x14ac:dyDescent="0.2">
      <c r="A914" s="3">
        <v>913</v>
      </c>
      <c r="B914" s="3">
        <v>113.3294779</v>
      </c>
      <c r="C914" s="3">
        <v>23.028940980000002</v>
      </c>
      <c r="D914" s="3">
        <v>30</v>
      </c>
    </row>
    <row r="915" spans="1:4" x14ac:dyDescent="0.2">
      <c r="A915" s="3">
        <v>914</v>
      </c>
      <c r="B915" s="3">
        <v>113.3315276</v>
      </c>
      <c r="C915" s="3">
        <v>23.030114600000001</v>
      </c>
      <c r="D915" s="3">
        <v>30</v>
      </c>
    </row>
    <row r="916" spans="1:4" x14ac:dyDescent="0.2">
      <c r="A916" s="3">
        <v>915</v>
      </c>
      <c r="B916" s="3">
        <v>113.3241809</v>
      </c>
      <c r="C916" s="3">
        <v>23.026212260000001</v>
      </c>
      <c r="D916" s="3">
        <v>30</v>
      </c>
    </row>
    <row r="917" spans="1:4" x14ac:dyDescent="0.2">
      <c r="A917" s="3">
        <v>916</v>
      </c>
      <c r="B917" s="3">
        <v>113.3254663</v>
      </c>
      <c r="C917" s="3">
        <v>23.02543614</v>
      </c>
      <c r="D917" s="3">
        <v>30</v>
      </c>
    </row>
    <row r="918" spans="1:4" x14ac:dyDescent="0.2">
      <c r="A918" s="3">
        <v>917</v>
      </c>
      <c r="B918" s="3">
        <v>113.32481420000001</v>
      </c>
      <c r="C918" s="3">
        <v>23.031652699999999</v>
      </c>
      <c r="D918" s="3">
        <v>30</v>
      </c>
    </row>
    <row r="919" spans="1:4" x14ac:dyDescent="0.2">
      <c r="A919" s="3">
        <v>918</v>
      </c>
      <c r="B919" s="3">
        <v>113.3267187</v>
      </c>
      <c r="C919" s="3">
        <v>23.02578759</v>
      </c>
      <c r="D919" s="3">
        <v>30</v>
      </c>
    </row>
    <row r="920" spans="1:4" x14ac:dyDescent="0.2">
      <c r="A920" s="3">
        <v>919</v>
      </c>
      <c r="B920" s="3">
        <v>113.32729860000001</v>
      </c>
      <c r="C920" s="3">
        <v>23.024516040000002</v>
      </c>
      <c r="D920" s="3">
        <v>30</v>
      </c>
    </row>
    <row r="921" spans="1:4" x14ac:dyDescent="0.2">
      <c r="A921" s="3">
        <v>920</v>
      </c>
      <c r="B921" s="3">
        <v>113.32891789999999</v>
      </c>
      <c r="C921" s="3">
        <v>23.030072560000001</v>
      </c>
      <c r="D921" s="3">
        <v>30</v>
      </c>
    </row>
    <row r="922" spans="1:4" x14ac:dyDescent="0.2">
      <c r="A922" s="3">
        <v>921</v>
      </c>
      <c r="B922" s="3">
        <v>113.32546840000001</v>
      </c>
      <c r="C922" s="3">
        <v>23.024047729999999</v>
      </c>
      <c r="D922" s="3">
        <v>30</v>
      </c>
    </row>
    <row r="923" spans="1:4" x14ac:dyDescent="0.2">
      <c r="A923" s="3">
        <v>922</v>
      </c>
      <c r="B923" s="3">
        <v>113.3249742</v>
      </c>
      <c r="C923" s="3">
        <v>23.027278280000001</v>
      </c>
      <c r="D923" s="3">
        <v>30</v>
      </c>
    </row>
    <row r="924" spans="1:4" x14ac:dyDescent="0.2">
      <c r="A924" s="3">
        <v>923</v>
      </c>
      <c r="B924" s="3">
        <v>113.3227275</v>
      </c>
      <c r="C924" s="3">
        <v>23.03198755</v>
      </c>
      <c r="D924" s="3">
        <v>24</v>
      </c>
    </row>
    <row r="925" spans="1:4" x14ac:dyDescent="0.2">
      <c r="A925" s="3">
        <v>924</v>
      </c>
      <c r="B925" s="3">
        <v>113.329561</v>
      </c>
      <c r="C925" s="3">
        <v>23.024507740000001</v>
      </c>
      <c r="D925" s="3">
        <v>30</v>
      </c>
    </row>
    <row r="926" spans="1:4" x14ac:dyDescent="0.2">
      <c r="A926" s="3">
        <v>925</v>
      </c>
      <c r="B926" s="3">
        <v>113.32195539999999</v>
      </c>
      <c r="C926" s="3">
        <v>23.027976760000001</v>
      </c>
      <c r="D926" s="3">
        <v>30</v>
      </c>
    </row>
    <row r="927" spans="1:4" x14ac:dyDescent="0.2">
      <c r="A927" s="3">
        <v>926</v>
      </c>
      <c r="B927" s="3">
        <v>113.3217689</v>
      </c>
      <c r="C927" s="3">
        <v>23.026388799999999</v>
      </c>
      <c r="D927" s="3">
        <v>30</v>
      </c>
    </row>
    <row r="928" spans="1:4" x14ac:dyDescent="0.2">
      <c r="A928" s="3">
        <v>927</v>
      </c>
      <c r="B928" s="3">
        <v>113.3298392</v>
      </c>
      <c r="C928" s="3">
        <v>23.028252599999998</v>
      </c>
      <c r="D928" s="3">
        <v>30</v>
      </c>
    </row>
    <row r="929" spans="1:4" x14ac:dyDescent="0.2">
      <c r="A929" s="3">
        <v>928</v>
      </c>
      <c r="B929" s="3">
        <v>113.3243354</v>
      </c>
      <c r="C929" s="3">
        <v>23.029036739999999</v>
      </c>
      <c r="D929" s="3">
        <v>30</v>
      </c>
    </row>
    <row r="930" spans="1:4" x14ac:dyDescent="0.2">
      <c r="A930" s="3">
        <v>929</v>
      </c>
      <c r="B930" s="3">
        <v>113.3299739</v>
      </c>
      <c r="C930" s="3">
        <v>23.029008009999998</v>
      </c>
      <c r="D930" s="3">
        <v>30</v>
      </c>
    </row>
    <row r="931" spans="1:4" x14ac:dyDescent="0.2">
      <c r="A931" s="3">
        <v>930</v>
      </c>
      <c r="B931" s="3">
        <v>113.32534440000001</v>
      </c>
      <c r="C931" s="3">
        <v>23.027542459999999</v>
      </c>
      <c r="D931" s="3">
        <v>30</v>
      </c>
    </row>
    <row r="932" spans="1:4" x14ac:dyDescent="0.2">
      <c r="A932" s="3">
        <v>931</v>
      </c>
      <c r="B932" s="3">
        <v>113.32173880000001</v>
      </c>
      <c r="C932" s="3">
        <v>23.028105119999999</v>
      </c>
      <c r="D932" s="3">
        <v>30</v>
      </c>
    </row>
    <row r="933" spans="1:4" x14ac:dyDescent="0.2">
      <c r="A933" s="3">
        <v>932</v>
      </c>
      <c r="B933" s="3">
        <v>113.329874</v>
      </c>
      <c r="C933" s="3">
        <v>23.029955789999999</v>
      </c>
      <c r="D933" s="3">
        <v>30</v>
      </c>
    </row>
    <row r="934" spans="1:4" x14ac:dyDescent="0.2">
      <c r="A934" s="3">
        <v>933</v>
      </c>
      <c r="B934" s="3">
        <v>113.3294653</v>
      </c>
      <c r="C934" s="3">
        <v>23.023659290000001</v>
      </c>
      <c r="D934" s="3">
        <v>30</v>
      </c>
    </row>
    <row r="935" spans="1:4" x14ac:dyDescent="0.2">
      <c r="A935" s="3">
        <v>934</v>
      </c>
      <c r="B935" s="3">
        <v>113.32840539999999</v>
      </c>
      <c r="C935" s="3">
        <v>23.023711280000001</v>
      </c>
      <c r="D935" s="3">
        <v>30</v>
      </c>
    </row>
    <row r="936" spans="1:4" x14ac:dyDescent="0.2">
      <c r="A936" s="3">
        <v>935</v>
      </c>
      <c r="B936" s="3">
        <v>113.3248924</v>
      </c>
      <c r="C936" s="3">
        <v>23.026957580000001</v>
      </c>
      <c r="D936" s="3">
        <v>30</v>
      </c>
    </row>
    <row r="937" spans="1:4" x14ac:dyDescent="0.2">
      <c r="A937" s="3">
        <v>936</v>
      </c>
      <c r="B937" s="3">
        <v>113.3256927</v>
      </c>
      <c r="C937" s="3">
        <v>23.026996029999999</v>
      </c>
      <c r="D937" s="3">
        <v>30</v>
      </c>
    </row>
    <row r="938" spans="1:4" x14ac:dyDescent="0.2">
      <c r="A938" s="3">
        <v>937</v>
      </c>
      <c r="B938" s="3">
        <v>113.32666879999999</v>
      </c>
      <c r="C938" s="3">
        <v>23.025758700000001</v>
      </c>
      <c r="D938" s="3">
        <v>30</v>
      </c>
    </row>
    <row r="939" spans="1:4" x14ac:dyDescent="0.2">
      <c r="A939" s="3">
        <v>938</v>
      </c>
      <c r="B939" s="3">
        <v>113.3247576</v>
      </c>
      <c r="C939" s="3">
        <v>23.0277265</v>
      </c>
      <c r="D939" s="3">
        <v>30</v>
      </c>
    </row>
    <row r="940" spans="1:4" x14ac:dyDescent="0.2">
      <c r="A940" s="3">
        <v>939</v>
      </c>
      <c r="B940" s="3">
        <v>113.329087</v>
      </c>
      <c r="C940" s="3">
        <v>23.023739970000001</v>
      </c>
      <c r="D940" s="3">
        <v>30</v>
      </c>
    </row>
    <row r="941" spans="1:4" x14ac:dyDescent="0.2">
      <c r="A941" s="3">
        <v>940</v>
      </c>
      <c r="B941" s="3">
        <v>113.3253945</v>
      </c>
      <c r="C941" s="3">
        <v>23.02545027</v>
      </c>
      <c r="D941" s="3">
        <v>30</v>
      </c>
    </row>
    <row r="942" spans="1:4" x14ac:dyDescent="0.2">
      <c r="A942" s="3">
        <v>941</v>
      </c>
      <c r="B942" s="3">
        <v>113.3298411</v>
      </c>
      <c r="C942" s="3">
        <v>23.029988840000001</v>
      </c>
      <c r="D942" s="3">
        <v>30</v>
      </c>
    </row>
    <row r="943" spans="1:4" x14ac:dyDescent="0.2">
      <c r="A943" s="3">
        <v>942</v>
      </c>
      <c r="B943" s="3">
        <v>113.32460210000001</v>
      </c>
      <c r="C943" s="3">
        <v>23.025107930000001</v>
      </c>
      <c r="D943" s="3">
        <v>30</v>
      </c>
    </row>
    <row r="944" spans="1:4" x14ac:dyDescent="0.2">
      <c r="A944" s="3">
        <v>943</v>
      </c>
      <c r="B944" s="3">
        <v>113.32460810000001</v>
      </c>
      <c r="C944" s="3">
        <v>23.025536729999999</v>
      </c>
      <c r="D944" s="3">
        <v>30</v>
      </c>
    </row>
    <row r="945" spans="1:4" x14ac:dyDescent="0.2">
      <c r="A945" s="3">
        <v>944</v>
      </c>
      <c r="B945" s="3">
        <v>113.32641529999999</v>
      </c>
      <c r="C945" s="3">
        <v>23.02565723</v>
      </c>
      <c r="D945" s="3">
        <v>30</v>
      </c>
    </row>
    <row r="946" spans="1:4" x14ac:dyDescent="0.2">
      <c r="A946" s="3">
        <v>945</v>
      </c>
      <c r="B946" s="3">
        <v>113.3219084</v>
      </c>
      <c r="C946" s="3">
        <v>23.029340260000001</v>
      </c>
      <c r="D946" s="3">
        <v>30</v>
      </c>
    </row>
    <row r="947" spans="1:4" x14ac:dyDescent="0.2">
      <c r="A947" s="3">
        <v>946</v>
      </c>
      <c r="B947" s="3">
        <v>113.3276535</v>
      </c>
      <c r="C947" s="3">
        <v>23.0302209</v>
      </c>
      <c r="D947" s="3">
        <v>30</v>
      </c>
    </row>
    <row r="948" spans="1:4" x14ac:dyDescent="0.2">
      <c r="A948" s="3">
        <v>947</v>
      </c>
      <c r="B948" s="3">
        <v>113.3306468</v>
      </c>
      <c r="C948" s="3">
        <v>23.024122850000001</v>
      </c>
      <c r="D948" s="3">
        <v>30</v>
      </c>
    </row>
    <row r="949" spans="1:4" x14ac:dyDescent="0.2">
      <c r="A949" s="3">
        <v>948</v>
      </c>
      <c r="B949" s="3">
        <v>113.3302803</v>
      </c>
      <c r="C949" s="3">
        <v>23.028213780000002</v>
      </c>
      <c r="D949" s="3">
        <v>30</v>
      </c>
    </row>
    <row r="950" spans="1:4" x14ac:dyDescent="0.2">
      <c r="A950" s="3">
        <v>949</v>
      </c>
      <c r="B950" s="3">
        <v>113.330423</v>
      </c>
      <c r="C950" s="3">
        <v>23.028869220000001</v>
      </c>
      <c r="D950" s="3">
        <v>30</v>
      </c>
    </row>
    <row r="951" spans="1:4" x14ac:dyDescent="0.2">
      <c r="A951" s="3">
        <v>950</v>
      </c>
      <c r="B951" s="3">
        <v>113.3300067</v>
      </c>
      <c r="C951" s="3">
        <v>23.030541289999999</v>
      </c>
      <c r="D951" s="3">
        <v>30</v>
      </c>
    </row>
    <row r="952" spans="1:4" x14ac:dyDescent="0.2">
      <c r="A952" s="3">
        <v>951</v>
      </c>
      <c r="B952" s="3">
        <v>113.3344888</v>
      </c>
      <c r="C952" s="3">
        <v>23.028190890000001</v>
      </c>
      <c r="D952" s="3">
        <v>30</v>
      </c>
    </row>
    <row r="953" spans="1:4" x14ac:dyDescent="0.2">
      <c r="A953" s="3">
        <v>952</v>
      </c>
      <c r="B953" s="3">
        <v>113.3365328</v>
      </c>
      <c r="C953" s="3">
        <v>23.028036180000001</v>
      </c>
      <c r="D953" s="3">
        <v>13</v>
      </c>
    </row>
    <row r="954" spans="1:4" x14ac:dyDescent="0.2">
      <c r="A954" s="3">
        <v>953</v>
      </c>
      <c r="B954" s="3">
        <v>113.3376087</v>
      </c>
      <c r="C954" s="3">
        <v>23.027960239999999</v>
      </c>
      <c r="D954" s="3">
        <v>13</v>
      </c>
    </row>
    <row r="955" spans="1:4" x14ac:dyDescent="0.2">
      <c r="A955" s="3">
        <v>954</v>
      </c>
      <c r="B955" s="3">
        <v>113.3364031</v>
      </c>
      <c r="C955" s="3">
        <v>23.027155799999999</v>
      </c>
      <c r="D955" s="3">
        <v>13</v>
      </c>
    </row>
    <row r="956" spans="1:4" x14ac:dyDescent="0.2">
      <c r="A956" s="3">
        <v>955</v>
      </c>
      <c r="B956" s="3">
        <v>113.33884930000001</v>
      </c>
      <c r="C956" s="3">
        <v>23.02890558</v>
      </c>
      <c r="D956" s="3">
        <v>13</v>
      </c>
    </row>
    <row r="957" spans="1:4" x14ac:dyDescent="0.2">
      <c r="A957" s="3">
        <v>956</v>
      </c>
      <c r="B957" s="3">
        <v>113.3391946</v>
      </c>
      <c r="C957" s="3">
        <v>23.02928979</v>
      </c>
      <c r="D957" s="3">
        <v>13</v>
      </c>
    </row>
    <row r="958" spans="1:4" x14ac:dyDescent="0.2">
      <c r="A958" s="3">
        <v>957</v>
      </c>
      <c r="B958" s="3">
        <v>113.3346514</v>
      </c>
      <c r="C958" s="3">
        <v>23.029902849999999</v>
      </c>
      <c r="D958" s="3">
        <v>30</v>
      </c>
    </row>
    <row r="959" spans="1:4" x14ac:dyDescent="0.2">
      <c r="A959" s="3">
        <v>958</v>
      </c>
      <c r="B959" s="3">
        <v>113.3333461</v>
      </c>
      <c r="C959" s="3">
        <v>23.02838294</v>
      </c>
      <c r="D959" s="3">
        <v>30</v>
      </c>
    </row>
    <row r="960" spans="1:4" x14ac:dyDescent="0.2">
      <c r="A960" s="3">
        <v>959</v>
      </c>
      <c r="B960" s="3">
        <v>113.33291</v>
      </c>
      <c r="C960" s="3">
        <v>23.028291790000001</v>
      </c>
      <c r="D960" s="3">
        <v>30</v>
      </c>
    </row>
    <row r="961" spans="1:4" x14ac:dyDescent="0.2">
      <c r="A961" s="3">
        <v>960</v>
      </c>
      <c r="B961" s="3">
        <v>113.3411967</v>
      </c>
      <c r="C961" s="3">
        <v>23.029695019999998</v>
      </c>
      <c r="D961" s="3">
        <v>13</v>
      </c>
    </row>
    <row r="962" spans="1:4" x14ac:dyDescent="0.2">
      <c r="A962" s="3">
        <v>961</v>
      </c>
      <c r="B962" s="3">
        <v>113.33203260000001</v>
      </c>
      <c r="C962" s="3">
        <v>23.030236599999999</v>
      </c>
      <c r="D962" s="3">
        <v>30</v>
      </c>
    </row>
    <row r="963" spans="1:4" x14ac:dyDescent="0.2">
      <c r="A963" s="3">
        <v>962</v>
      </c>
      <c r="B963" s="3">
        <v>113.3377244</v>
      </c>
      <c r="C963" s="3">
        <v>23.030034130000001</v>
      </c>
      <c r="D963" s="3">
        <v>13</v>
      </c>
    </row>
    <row r="964" spans="1:4" x14ac:dyDescent="0.2">
      <c r="A964" s="3">
        <v>963</v>
      </c>
      <c r="B964" s="3">
        <v>113.3397253</v>
      </c>
      <c r="C964" s="3">
        <v>23.03343104</v>
      </c>
      <c r="D964" s="3">
        <v>13</v>
      </c>
    </row>
    <row r="965" spans="1:4" x14ac:dyDescent="0.2">
      <c r="A965" s="3">
        <v>964</v>
      </c>
      <c r="B965" s="3">
        <v>113.33466079999999</v>
      </c>
      <c r="C965" s="3">
        <v>23.024210289999999</v>
      </c>
      <c r="D965" s="3">
        <v>30</v>
      </c>
    </row>
    <row r="966" spans="1:4" x14ac:dyDescent="0.2">
      <c r="A966" s="3">
        <v>965</v>
      </c>
      <c r="B966" s="3">
        <v>113.3386098</v>
      </c>
      <c r="C966" s="3">
        <v>23.027034820000001</v>
      </c>
      <c r="D966" s="3">
        <v>13</v>
      </c>
    </row>
    <row r="967" spans="1:4" x14ac:dyDescent="0.2">
      <c r="A967" s="3">
        <v>966</v>
      </c>
      <c r="B967" s="3">
        <v>113.3410181</v>
      </c>
      <c r="C967" s="3">
        <v>23.029811290000001</v>
      </c>
      <c r="D967" s="3">
        <v>13</v>
      </c>
    </row>
    <row r="968" spans="1:4" x14ac:dyDescent="0.2">
      <c r="A968" s="3">
        <v>967</v>
      </c>
      <c r="B968" s="3">
        <v>113.3318281</v>
      </c>
      <c r="C968" s="3">
        <v>23.02894654</v>
      </c>
      <c r="D968" s="3">
        <v>30</v>
      </c>
    </row>
    <row r="969" spans="1:4" x14ac:dyDescent="0.2">
      <c r="A969" s="3">
        <v>968</v>
      </c>
      <c r="B969" s="3">
        <v>113.3480593</v>
      </c>
      <c r="C969" s="3">
        <v>23.028766610000002</v>
      </c>
      <c r="D969" s="3">
        <v>13</v>
      </c>
    </row>
    <row r="970" spans="1:4" x14ac:dyDescent="0.2">
      <c r="A970" s="3">
        <v>969</v>
      </c>
      <c r="B970" s="3">
        <v>113.3451934</v>
      </c>
      <c r="C970" s="3">
        <v>23.028207680000001</v>
      </c>
      <c r="D970" s="3">
        <v>13</v>
      </c>
    </row>
    <row r="971" spans="1:4" x14ac:dyDescent="0.2">
      <c r="A971" s="3">
        <v>970</v>
      </c>
      <c r="B971" s="3">
        <v>113.3459367</v>
      </c>
      <c r="C971" s="3">
        <v>23.033506129999999</v>
      </c>
      <c r="D971" s="3">
        <v>13</v>
      </c>
    </row>
    <row r="972" spans="1:4" x14ac:dyDescent="0.2">
      <c r="A972" s="3">
        <v>971</v>
      </c>
      <c r="B972" s="3">
        <v>113.348022</v>
      </c>
      <c r="C972" s="3">
        <v>23.033568599999999</v>
      </c>
      <c r="D972" s="3">
        <v>13</v>
      </c>
    </row>
    <row r="973" spans="1:4" x14ac:dyDescent="0.2">
      <c r="A973" s="3">
        <v>972</v>
      </c>
      <c r="B973" s="3">
        <v>113.3467706</v>
      </c>
      <c r="C973" s="3">
        <v>23.027835159999999</v>
      </c>
      <c r="D973" s="3">
        <v>13</v>
      </c>
    </row>
    <row r="974" spans="1:4" x14ac:dyDescent="0.2">
      <c r="A974" s="3">
        <v>973</v>
      </c>
      <c r="B974" s="3">
        <v>113.3441634</v>
      </c>
      <c r="C974" s="3">
        <v>23.02679307</v>
      </c>
      <c r="D974" s="3">
        <v>13</v>
      </c>
    </row>
    <row r="975" spans="1:4" x14ac:dyDescent="0.2">
      <c r="A975" s="3">
        <v>974</v>
      </c>
      <c r="B975" s="3">
        <v>113.3601559</v>
      </c>
      <c r="C975" s="3">
        <v>23.029512860000001</v>
      </c>
      <c r="D975" s="3">
        <v>13</v>
      </c>
    </row>
    <row r="976" spans="1:4" x14ac:dyDescent="0.2">
      <c r="A976" s="3">
        <v>975</v>
      </c>
      <c r="B976" s="3">
        <v>113.3530799</v>
      </c>
      <c r="C976" s="3">
        <v>23.026674440000001</v>
      </c>
      <c r="D976" s="3">
        <v>13</v>
      </c>
    </row>
    <row r="977" spans="1:4" x14ac:dyDescent="0.2">
      <c r="A977" s="3">
        <v>976</v>
      </c>
      <c r="B977" s="3">
        <v>113.3767323</v>
      </c>
      <c r="C977" s="3">
        <v>23.02941354</v>
      </c>
      <c r="D977" s="3">
        <v>40</v>
      </c>
    </row>
    <row r="978" spans="1:4" x14ac:dyDescent="0.2">
      <c r="A978" s="3">
        <v>977</v>
      </c>
      <c r="B978" s="3">
        <v>113.37838240000001</v>
      </c>
      <c r="C978" s="3">
        <v>23.02415251</v>
      </c>
      <c r="D978" s="3">
        <v>41</v>
      </c>
    </row>
    <row r="979" spans="1:4" x14ac:dyDescent="0.2">
      <c r="A979" s="3">
        <v>978</v>
      </c>
      <c r="B979" s="3">
        <v>113.3786472</v>
      </c>
      <c r="C979" s="3">
        <v>23.024090340000001</v>
      </c>
      <c r="D979" s="3">
        <v>41</v>
      </c>
    </row>
    <row r="980" spans="1:4" x14ac:dyDescent="0.2">
      <c r="A980" s="3">
        <v>979</v>
      </c>
      <c r="B980" s="3">
        <v>113.3781096</v>
      </c>
      <c r="C980" s="3">
        <v>23.02386285</v>
      </c>
      <c r="D980" s="3">
        <v>41</v>
      </c>
    </row>
    <row r="981" spans="1:4" x14ac:dyDescent="0.2">
      <c r="A981" s="3">
        <v>980</v>
      </c>
      <c r="B981" s="3">
        <v>113.37909860000001</v>
      </c>
      <c r="C981" s="3">
        <v>23.027233649999999</v>
      </c>
      <c r="D981" s="3">
        <v>41</v>
      </c>
    </row>
    <row r="982" spans="1:4" x14ac:dyDescent="0.2">
      <c r="A982" s="3">
        <v>981</v>
      </c>
      <c r="B982" s="3">
        <v>113.3812252</v>
      </c>
      <c r="C982" s="3">
        <v>23.027074249999998</v>
      </c>
      <c r="D982" s="3">
        <v>41</v>
      </c>
    </row>
    <row r="983" spans="1:4" x14ac:dyDescent="0.2">
      <c r="A983" s="3">
        <v>982</v>
      </c>
      <c r="B983" s="3">
        <v>113.3812382</v>
      </c>
      <c r="C983" s="3">
        <v>23.02706624</v>
      </c>
      <c r="D983" s="3">
        <v>41</v>
      </c>
    </row>
    <row r="984" spans="1:4" x14ac:dyDescent="0.2">
      <c r="A984" s="3">
        <v>983</v>
      </c>
      <c r="B984" s="3">
        <v>113.4094997</v>
      </c>
      <c r="C984" s="3">
        <v>23.027641540000001</v>
      </c>
      <c r="D984" s="3">
        <v>49</v>
      </c>
    </row>
    <row r="985" spans="1:4" x14ac:dyDescent="0.2">
      <c r="A985" s="3">
        <v>984</v>
      </c>
      <c r="B985" s="3">
        <v>113.40937630000001</v>
      </c>
      <c r="C985" s="3">
        <v>23.0315248</v>
      </c>
      <c r="D985" s="3">
        <v>49</v>
      </c>
    </row>
    <row r="986" spans="1:4" x14ac:dyDescent="0.2">
      <c r="A986" s="3">
        <v>985</v>
      </c>
      <c r="B986" s="3">
        <v>113.4230534</v>
      </c>
      <c r="C986" s="3">
        <v>23.028422079999999</v>
      </c>
      <c r="D986" s="3">
        <v>49</v>
      </c>
    </row>
    <row r="987" spans="1:4" x14ac:dyDescent="0.2">
      <c r="A987" s="3">
        <v>986</v>
      </c>
      <c r="B987" s="3">
        <v>113.4221719</v>
      </c>
      <c r="C987" s="3">
        <v>23.031747630000002</v>
      </c>
      <c r="D987" s="3">
        <v>49</v>
      </c>
    </row>
    <row r="988" spans="1:4" x14ac:dyDescent="0.2">
      <c r="A988" s="3">
        <v>987</v>
      </c>
      <c r="B988" s="3">
        <v>113.42751490000001</v>
      </c>
      <c r="C988" s="3">
        <v>23.032095179999999</v>
      </c>
      <c r="D988" s="3">
        <v>49</v>
      </c>
    </row>
    <row r="989" spans="1:4" x14ac:dyDescent="0.2">
      <c r="A989" s="3">
        <v>988</v>
      </c>
      <c r="B989" s="3">
        <v>113.4578298</v>
      </c>
      <c r="C989" s="3">
        <v>23.026129040000001</v>
      </c>
      <c r="D989" s="3">
        <v>50</v>
      </c>
    </row>
    <row r="990" spans="1:4" x14ac:dyDescent="0.2">
      <c r="A990" s="3">
        <v>989</v>
      </c>
      <c r="B990" s="3">
        <v>113.4581012</v>
      </c>
      <c r="C990" s="3">
        <v>23.031869230000002</v>
      </c>
      <c r="D990" s="3">
        <v>50</v>
      </c>
    </row>
    <row r="991" spans="1:4" x14ac:dyDescent="0.2">
      <c r="A991" s="3">
        <v>990</v>
      </c>
      <c r="B991" s="3">
        <v>113.4567316</v>
      </c>
      <c r="C991" s="3">
        <v>23.026916</v>
      </c>
      <c r="D991" s="3">
        <v>50</v>
      </c>
    </row>
    <row r="992" spans="1:4" x14ac:dyDescent="0.2">
      <c r="A992" s="3">
        <v>991</v>
      </c>
      <c r="B992" s="3">
        <v>113.45337790000001</v>
      </c>
      <c r="C992" s="3">
        <v>23.032106760000001</v>
      </c>
      <c r="D992" s="3">
        <v>50</v>
      </c>
    </row>
    <row r="993" spans="1:4" x14ac:dyDescent="0.2">
      <c r="A993" s="3">
        <v>992</v>
      </c>
      <c r="B993" s="3">
        <v>113.2782705</v>
      </c>
      <c r="C993" s="3">
        <v>23.017736809999999</v>
      </c>
      <c r="D993" s="3">
        <v>15</v>
      </c>
    </row>
    <row r="994" spans="1:4" x14ac:dyDescent="0.2">
      <c r="A994" s="3">
        <v>993</v>
      </c>
      <c r="B994" s="3">
        <v>113.28073500000001</v>
      </c>
      <c r="C994" s="3">
        <v>23.020036780000002</v>
      </c>
      <c r="D994" s="3">
        <v>15</v>
      </c>
    </row>
    <row r="995" spans="1:4" x14ac:dyDescent="0.2">
      <c r="A995" s="3">
        <v>994</v>
      </c>
      <c r="B995" s="3">
        <v>113.2781475</v>
      </c>
      <c r="C995" s="3">
        <v>23.020484769999999</v>
      </c>
      <c r="D995" s="3">
        <v>15</v>
      </c>
    </row>
    <row r="996" spans="1:4" x14ac:dyDescent="0.2">
      <c r="A996" s="3">
        <v>995</v>
      </c>
      <c r="B996" s="3">
        <v>113.2814193</v>
      </c>
      <c r="C996" s="3">
        <v>23.015424899999999</v>
      </c>
      <c r="D996" s="3">
        <v>15</v>
      </c>
    </row>
    <row r="997" spans="1:4" x14ac:dyDescent="0.2">
      <c r="A997" s="3">
        <v>996</v>
      </c>
      <c r="B997" s="3">
        <v>113.2888837</v>
      </c>
      <c r="C997" s="3">
        <v>23.016441100000002</v>
      </c>
      <c r="D997" s="3">
        <v>15</v>
      </c>
    </row>
    <row r="998" spans="1:4" x14ac:dyDescent="0.2">
      <c r="A998" s="3">
        <v>997</v>
      </c>
      <c r="B998" s="3">
        <v>113.2871866</v>
      </c>
      <c r="C998" s="3">
        <v>23.01471733</v>
      </c>
      <c r="D998" s="3">
        <v>15</v>
      </c>
    </row>
    <row r="999" spans="1:4" x14ac:dyDescent="0.2">
      <c r="A999" s="3">
        <v>998</v>
      </c>
      <c r="B999" s="3">
        <v>113.2837219</v>
      </c>
      <c r="C999" s="3">
        <v>23.015787710000001</v>
      </c>
      <c r="D999" s="3">
        <v>15</v>
      </c>
    </row>
    <row r="1000" spans="1:4" x14ac:dyDescent="0.2">
      <c r="A1000" s="3">
        <v>999</v>
      </c>
      <c r="B1000" s="3">
        <v>113.28269040000001</v>
      </c>
      <c r="C1000" s="3">
        <v>23.016559749999999</v>
      </c>
      <c r="D1000" s="3">
        <v>15</v>
      </c>
    </row>
    <row r="1001" spans="1:4" x14ac:dyDescent="0.2">
      <c r="A1001" s="3">
        <v>1000</v>
      </c>
      <c r="B1001" s="3">
        <v>113.2823989</v>
      </c>
      <c r="C1001" s="3">
        <v>23.01515874</v>
      </c>
      <c r="D1001" s="3">
        <v>15</v>
      </c>
    </row>
    <row r="1002" spans="1:4" x14ac:dyDescent="0.2">
      <c r="A1002" s="3">
        <v>1001</v>
      </c>
      <c r="B1002" s="3">
        <v>113.2903963</v>
      </c>
      <c r="C1002" s="3">
        <v>23.015335310000001</v>
      </c>
      <c r="D1002" s="3">
        <v>15</v>
      </c>
    </row>
    <row r="1003" spans="1:4" x14ac:dyDescent="0.2">
      <c r="A1003" s="3">
        <v>1002</v>
      </c>
      <c r="B1003" s="3">
        <v>113.2889656</v>
      </c>
      <c r="C1003" s="3">
        <v>23.01578027</v>
      </c>
      <c r="D1003" s="3">
        <v>15</v>
      </c>
    </row>
    <row r="1004" spans="1:4" x14ac:dyDescent="0.2">
      <c r="A1004" s="3">
        <v>1003</v>
      </c>
      <c r="B1004" s="3">
        <v>113.2915395</v>
      </c>
      <c r="C1004" s="3">
        <v>23.013774229999999</v>
      </c>
      <c r="D1004" s="3">
        <v>15</v>
      </c>
    </row>
    <row r="1005" spans="1:4" x14ac:dyDescent="0.2">
      <c r="A1005" s="3">
        <v>1004</v>
      </c>
      <c r="B1005" s="3">
        <v>113.2892293</v>
      </c>
      <c r="C1005" s="3">
        <v>23.014732330000001</v>
      </c>
      <c r="D1005" s="3">
        <v>15</v>
      </c>
    </row>
    <row r="1006" spans="1:4" x14ac:dyDescent="0.2">
      <c r="A1006" s="3">
        <v>1005</v>
      </c>
      <c r="B1006" s="3">
        <v>113.2818487</v>
      </c>
      <c r="C1006" s="3">
        <v>23.01548932</v>
      </c>
      <c r="D1006" s="3">
        <v>15</v>
      </c>
    </row>
    <row r="1007" spans="1:4" x14ac:dyDescent="0.2">
      <c r="A1007" s="3">
        <v>1006</v>
      </c>
      <c r="B1007" s="3">
        <v>113.2819166</v>
      </c>
      <c r="C1007" s="3">
        <v>23.015401270000002</v>
      </c>
      <c r="D1007" s="3">
        <v>15</v>
      </c>
    </row>
    <row r="1008" spans="1:4" x14ac:dyDescent="0.2">
      <c r="A1008" s="3">
        <v>1007</v>
      </c>
      <c r="B1008" s="3">
        <v>113.29701849999999</v>
      </c>
      <c r="C1008" s="3">
        <v>23.01774172</v>
      </c>
      <c r="D1008" s="3">
        <v>11</v>
      </c>
    </row>
    <row r="1009" spans="1:4" x14ac:dyDescent="0.2">
      <c r="A1009" s="3">
        <v>1008</v>
      </c>
      <c r="B1009" s="3">
        <v>113.2997762</v>
      </c>
      <c r="C1009" s="3">
        <v>23.021161589999998</v>
      </c>
      <c r="D1009" s="3">
        <v>8</v>
      </c>
    </row>
    <row r="1010" spans="1:4" x14ac:dyDescent="0.2">
      <c r="A1010" s="3">
        <v>1009</v>
      </c>
      <c r="B1010" s="3">
        <v>113.2977412</v>
      </c>
      <c r="C1010" s="3">
        <v>23.018215309999999</v>
      </c>
      <c r="D1010" s="3">
        <v>11</v>
      </c>
    </row>
    <row r="1011" spans="1:4" x14ac:dyDescent="0.2">
      <c r="A1011" s="3">
        <v>1010</v>
      </c>
      <c r="B1011" s="3">
        <v>113.29787469999999</v>
      </c>
      <c r="C1011" s="3">
        <v>23.02130975</v>
      </c>
      <c r="D1011" s="3">
        <v>8</v>
      </c>
    </row>
    <row r="1012" spans="1:4" x14ac:dyDescent="0.2">
      <c r="A1012" s="3">
        <v>1011</v>
      </c>
      <c r="B1012" s="3">
        <v>113.29319839999999</v>
      </c>
      <c r="C1012" s="3">
        <v>23.017237139999999</v>
      </c>
      <c r="D1012" s="3">
        <v>15</v>
      </c>
    </row>
    <row r="1013" spans="1:4" x14ac:dyDescent="0.2">
      <c r="A1013" s="3">
        <v>1012</v>
      </c>
      <c r="B1013" s="3">
        <v>113.2983748</v>
      </c>
      <c r="C1013" s="3">
        <v>23.021211950000001</v>
      </c>
      <c r="D1013" s="3">
        <v>8</v>
      </c>
    </row>
    <row r="1014" spans="1:4" x14ac:dyDescent="0.2">
      <c r="A1014" s="3">
        <v>1013</v>
      </c>
      <c r="B1014" s="3">
        <v>113.3017098</v>
      </c>
      <c r="C1014" s="3">
        <v>23.018003620000002</v>
      </c>
      <c r="D1014" s="3">
        <v>31</v>
      </c>
    </row>
    <row r="1015" spans="1:4" x14ac:dyDescent="0.2">
      <c r="A1015" s="3">
        <v>1014</v>
      </c>
      <c r="B1015" s="3">
        <v>113.3014044</v>
      </c>
      <c r="C1015" s="3">
        <v>23.017484369999998</v>
      </c>
      <c r="D1015" s="3">
        <v>11</v>
      </c>
    </row>
    <row r="1016" spans="1:4" x14ac:dyDescent="0.2">
      <c r="A1016" s="3">
        <v>1015</v>
      </c>
      <c r="B1016" s="3">
        <v>113.30091849999999</v>
      </c>
      <c r="C1016" s="3">
        <v>23.014013720000001</v>
      </c>
      <c r="D1016" s="3">
        <v>11</v>
      </c>
    </row>
    <row r="1017" spans="1:4" x14ac:dyDescent="0.2">
      <c r="A1017" s="3">
        <v>1016</v>
      </c>
      <c r="B1017" s="3">
        <v>113.2983079</v>
      </c>
      <c r="C1017" s="3">
        <v>23.02125904</v>
      </c>
      <c r="D1017" s="3">
        <v>8</v>
      </c>
    </row>
    <row r="1018" spans="1:4" x14ac:dyDescent="0.2">
      <c r="A1018" s="3">
        <v>1017</v>
      </c>
      <c r="B1018" s="3">
        <v>113.2964691</v>
      </c>
      <c r="C1018" s="3">
        <v>23.02360809</v>
      </c>
      <c r="D1018" s="3">
        <v>8</v>
      </c>
    </row>
    <row r="1019" spans="1:4" x14ac:dyDescent="0.2">
      <c r="A1019" s="3">
        <v>1018</v>
      </c>
      <c r="B1019" s="3">
        <v>113.3014044</v>
      </c>
      <c r="C1019" s="3">
        <v>23.017484369999998</v>
      </c>
      <c r="D1019" s="3">
        <v>11</v>
      </c>
    </row>
    <row r="1020" spans="1:4" x14ac:dyDescent="0.2">
      <c r="A1020" s="3">
        <v>1019</v>
      </c>
      <c r="B1020" s="3">
        <v>113.2964691</v>
      </c>
      <c r="C1020" s="3">
        <v>23.02360809</v>
      </c>
      <c r="D1020" s="3">
        <v>8</v>
      </c>
    </row>
    <row r="1021" spans="1:4" x14ac:dyDescent="0.2">
      <c r="A1021" s="3">
        <v>1020</v>
      </c>
      <c r="B1021" s="3">
        <v>113.2996952</v>
      </c>
      <c r="C1021" s="3">
        <v>23.022860000000001</v>
      </c>
      <c r="D1021" s="3">
        <v>8</v>
      </c>
    </row>
    <row r="1022" spans="1:4" x14ac:dyDescent="0.2">
      <c r="A1022" s="3">
        <v>1021</v>
      </c>
      <c r="B1022" s="3">
        <v>113.2996952</v>
      </c>
      <c r="C1022" s="3">
        <v>23.022860000000001</v>
      </c>
      <c r="D1022" s="3">
        <v>8</v>
      </c>
    </row>
    <row r="1023" spans="1:4" x14ac:dyDescent="0.2">
      <c r="A1023" s="3">
        <v>1022</v>
      </c>
      <c r="B1023" s="3">
        <v>113.3064933</v>
      </c>
      <c r="C1023" s="3">
        <v>23.02097582</v>
      </c>
      <c r="D1023" s="3">
        <v>31</v>
      </c>
    </row>
    <row r="1024" spans="1:4" x14ac:dyDescent="0.2">
      <c r="A1024" s="3">
        <v>1023</v>
      </c>
      <c r="B1024" s="3">
        <v>113.3067929</v>
      </c>
      <c r="C1024" s="3">
        <v>23.018548330000002</v>
      </c>
      <c r="D1024" s="3">
        <v>31</v>
      </c>
    </row>
    <row r="1025" spans="1:4" x14ac:dyDescent="0.2">
      <c r="A1025" s="3">
        <v>1024</v>
      </c>
      <c r="B1025" s="3">
        <v>113.3058846</v>
      </c>
      <c r="C1025" s="3">
        <v>23.018849840000001</v>
      </c>
      <c r="D1025" s="3">
        <v>31</v>
      </c>
    </row>
    <row r="1026" spans="1:4" x14ac:dyDescent="0.2">
      <c r="A1026" s="3">
        <v>1025</v>
      </c>
      <c r="B1026" s="3">
        <v>113.306702</v>
      </c>
      <c r="C1026" s="3">
        <v>23.019682</v>
      </c>
      <c r="D1026" s="3">
        <v>31</v>
      </c>
    </row>
    <row r="1027" spans="1:4" x14ac:dyDescent="0.2">
      <c r="A1027" s="3">
        <v>1026</v>
      </c>
      <c r="B1027" s="3">
        <v>113.30711719999999</v>
      </c>
      <c r="C1027" s="3">
        <v>23.01904652</v>
      </c>
      <c r="D1027" s="3">
        <v>31</v>
      </c>
    </row>
    <row r="1028" spans="1:4" x14ac:dyDescent="0.2">
      <c r="A1028" s="3">
        <v>1027</v>
      </c>
      <c r="B1028" s="3">
        <v>113.3057939</v>
      </c>
      <c r="C1028" s="3">
        <v>23.017967389999999</v>
      </c>
      <c r="D1028" s="3">
        <v>31</v>
      </c>
    </row>
    <row r="1029" spans="1:4" x14ac:dyDescent="0.2">
      <c r="A1029" s="3">
        <v>1028</v>
      </c>
      <c r="B1029" s="3">
        <v>113.30558910000001</v>
      </c>
      <c r="C1029" s="3">
        <v>23.019638029999999</v>
      </c>
      <c r="D1029" s="3">
        <v>31</v>
      </c>
    </row>
    <row r="1030" spans="1:4" x14ac:dyDescent="0.2">
      <c r="A1030" s="3">
        <v>1029</v>
      </c>
      <c r="B1030" s="3">
        <v>113.30859529999999</v>
      </c>
      <c r="C1030" s="3">
        <v>23.017641430000001</v>
      </c>
      <c r="D1030" s="3">
        <v>31</v>
      </c>
    </row>
    <row r="1031" spans="1:4" x14ac:dyDescent="0.2">
      <c r="A1031" s="3">
        <v>1030</v>
      </c>
      <c r="B1031" s="3">
        <v>113.3075175</v>
      </c>
      <c r="C1031" s="3">
        <v>23.017222579999999</v>
      </c>
      <c r="D1031" s="3">
        <v>31</v>
      </c>
    </row>
    <row r="1032" spans="1:4" x14ac:dyDescent="0.2">
      <c r="A1032" s="3">
        <v>1031</v>
      </c>
      <c r="B1032" s="3">
        <v>113.3055153</v>
      </c>
      <c r="C1032" s="3">
        <v>23.019037430000001</v>
      </c>
      <c r="D1032" s="3">
        <v>31</v>
      </c>
    </row>
    <row r="1033" spans="1:4" x14ac:dyDescent="0.2">
      <c r="A1033" s="3">
        <v>1032</v>
      </c>
      <c r="B1033" s="3">
        <v>113.3079525</v>
      </c>
      <c r="C1033" s="3">
        <v>23.019650739999999</v>
      </c>
      <c r="D1033" s="3">
        <v>31</v>
      </c>
    </row>
    <row r="1034" spans="1:4" x14ac:dyDescent="0.2">
      <c r="A1034" s="3">
        <v>1033</v>
      </c>
      <c r="B1034" s="3">
        <v>113.3083338</v>
      </c>
      <c r="C1034" s="3">
        <v>23.019003319999999</v>
      </c>
      <c r="D1034" s="3">
        <v>31</v>
      </c>
    </row>
    <row r="1035" spans="1:4" x14ac:dyDescent="0.2">
      <c r="A1035" s="3">
        <v>1034</v>
      </c>
      <c r="B1035" s="3">
        <v>113.30581669999999</v>
      </c>
      <c r="C1035" s="3">
        <v>23.02021337</v>
      </c>
      <c r="D1035" s="3">
        <v>31</v>
      </c>
    </row>
    <row r="1036" spans="1:4" x14ac:dyDescent="0.2">
      <c r="A1036" s="3">
        <v>1035</v>
      </c>
      <c r="B1036" s="3">
        <v>113.30723089999999</v>
      </c>
      <c r="C1036" s="3">
        <v>23.020181829999999</v>
      </c>
      <c r="D1036" s="3">
        <v>31</v>
      </c>
    </row>
    <row r="1037" spans="1:4" x14ac:dyDescent="0.2">
      <c r="A1037" s="3">
        <v>1036</v>
      </c>
      <c r="B1037" s="3">
        <v>113.30819200000001</v>
      </c>
      <c r="C1037" s="3">
        <v>23.019693279999998</v>
      </c>
      <c r="D1037" s="3">
        <v>31</v>
      </c>
    </row>
    <row r="1038" spans="1:4" x14ac:dyDescent="0.2">
      <c r="A1038" s="3">
        <v>1037</v>
      </c>
      <c r="B1038" s="3">
        <v>113.3087599</v>
      </c>
      <c r="C1038" s="3">
        <v>23.018608709999999</v>
      </c>
      <c r="D1038" s="3">
        <v>31</v>
      </c>
    </row>
    <row r="1039" spans="1:4" x14ac:dyDescent="0.2">
      <c r="A1039" s="3">
        <v>1038</v>
      </c>
      <c r="B1039" s="3">
        <v>113.3079644</v>
      </c>
      <c r="C1039" s="3">
        <v>23.020875190000002</v>
      </c>
      <c r="D1039" s="3">
        <v>31</v>
      </c>
    </row>
    <row r="1040" spans="1:4" x14ac:dyDescent="0.2">
      <c r="A1040" s="3">
        <v>1039</v>
      </c>
      <c r="B1040" s="3">
        <v>113.3074307</v>
      </c>
      <c r="C1040" s="3">
        <v>23.016979849999998</v>
      </c>
      <c r="D1040" s="3">
        <v>31</v>
      </c>
    </row>
    <row r="1041" spans="1:4" x14ac:dyDescent="0.2">
      <c r="A1041" s="3">
        <v>1040</v>
      </c>
      <c r="B1041" s="3">
        <v>113.309262</v>
      </c>
      <c r="C1041" s="3">
        <v>23.016981489999999</v>
      </c>
      <c r="D1041" s="3">
        <v>31</v>
      </c>
    </row>
    <row r="1042" spans="1:4" x14ac:dyDescent="0.2">
      <c r="A1042" s="3">
        <v>1041</v>
      </c>
      <c r="B1042" s="3">
        <v>113.30928780000001</v>
      </c>
      <c r="C1042" s="3">
        <v>23.020073100000001</v>
      </c>
      <c r="D1042" s="3">
        <v>31</v>
      </c>
    </row>
    <row r="1043" spans="1:4" x14ac:dyDescent="0.2">
      <c r="A1043" s="3">
        <v>1042</v>
      </c>
      <c r="B1043" s="3">
        <v>113.3077847</v>
      </c>
      <c r="C1043" s="3">
        <v>23.020611630000001</v>
      </c>
      <c r="D1043" s="3">
        <v>31</v>
      </c>
    </row>
    <row r="1044" spans="1:4" x14ac:dyDescent="0.2">
      <c r="A1044" s="3">
        <v>1043</v>
      </c>
      <c r="B1044" s="3">
        <v>113.3095922</v>
      </c>
      <c r="C1044" s="3">
        <v>23.019728690000001</v>
      </c>
      <c r="D1044" s="3">
        <v>31</v>
      </c>
    </row>
    <row r="1045" spans="1:4" x14ac:dyDescent="0.2">
      <c r="A1045" s="3">
        <v>1044</v>
      </c>
      <c r="B1045" s="3">
        <v>113.306557</v>
      </c>
      <c r="C1045" s="3">
        <v>23.023137770000002</v>
      </c>
      <c r="D1045" s="3">
        <v>31</v>
      </c>
    </row>
    <row r="1046" spans="1:4" x14ac:dyDescent="0.2">
      <c r="A1046" s="3">
        <v>1045</v>
      </c>
      <c r="B1046" s="3">
        <v>113.3083219</v>
      </c>
      <c r="C1046" s="3">
        <v>23.01715914</v>
      </c>
      <c r="D1046" s="3">
        <v>31</v>
      </c>
    </row>
    <row r="1047" spans="1:4" x14ac:dyDescent="0.2">
      <c r="A1047" s="3">
        <v>1046</v>
      </c>
      <c r="B1047" s="3">
        <v>113.3097369</v>
      </c>
      <c r="C1047" s="3">
        <v>23.01995732</v>
      </c>
      <c r="D1047" s="3">
        <v>31</v>
      </c>
    </row>
    <row r="1048" spans="1:4" x14ac:dyDescent="0.2">
      <c r="A1048" s="3">
        <v>1047</v>
      </c>
      <c r="B1048" s="3">
        <v>113.30880759999999</v>
      </c>
      <c r="C1048" s="3">
        <v>23.02162032</v>
      </c>
      <c r="D1048" s="3">
        <v>31</v>
      </c>
    </row>
    <row r="1049" spans="1:4" x14ac:dyDescent="0.2">
      <c r="A1049" s="3">
        <v>1048</v>
      </c>
      <c r="B1049" s="3">
        <v>113.30969899999999</v>
      </c>
      <c r="C1049" s="3">
        <v>23.019617539999999</v>
      </c>
      <c r="D1049" s="3">
        <v>31</v>
      </c>
    </row>
    <row r="1050" spans="1:4" x14ac:dyDescent="0.2">
      <c r="A1050" s="3">
        <v>1049</v>
      </c>
      <c r="B1050" s="3">
        <v>113.3097449</v>
      </c>
      <c r="C1050" s="3">
        <v>23.020362129999999</v>
      </c>
      <c r="D1050" s="3">
        <v>31</v>
      </c>
    </row>
    <row r="1051" spans="1:4" x14ac:dyDescent="0.2">
      <c r="A1051" s="3">
        <v>1050</v>
      </c>
      <c r="B1051" s="3">
        <v>113.30867019999999</v>
      </c>
      <c r="C1051" s="3">
        <v>23.016781659999999</v>
      </c>
      <c r="D1051" s="3">
        <v>31</v>
      </c>
    </row>
    <row r="1052" spans="1:4" x14ac:dyDescent="0.2">
      <c r="A1052" s="3">
        <v>1051</v>
      </c>
      <c r="B1052" s="3">
        <v>113.3096001</v>
      </c>
      <c r="C1052" s="3">
        <v>23.02052333</v>
      </c>
      <c r="D1052" s="3">
        <v>31</v>
      </c>
    </row>
    <row r="1053" spans="1:4" x14ac:dyDescent="0.2">
      <c r="A1053" s="3">
        <v>1052</v>
      </c>
      <c r="B1053" s="3">
        <v>113.3038267</v>
      </c>
      <c r="C1053" s="3">
        <v>23.01743913</v>
      </c>
      <c r="D1053" s="3">
        <v>31</v>
      </c>
    </row>
    <row r="1054" spans="1:4" x14ac:dyDescent="0.2">
      <c r="A1054" s="3">
        <v>1053</v>
      </c>
      <c r="B1054" s="3">
        <v>113.3093097</v>
      </c>
      <c r="C1054" s="3">
        <v>23.020994659999999</v>
      </c>
      <c r="D1054" s="3">
        <v>31</v>
      </c>
    </row>
    <row r="1055" spans="1:4" x14ac:dyDescent="0.2">
      <c r="A1055" s="3">
        <v>1054</v>
      </c>
      <c r="B1055" s="3">
        <v>113.30602039999999</v>
      </c>
      <c r="C1055" s="3">
        <v>23.01777006</v>
      </c>
      <c r="D1055" s="3">
        <v>31</v>
      </c>
    </row>
    <row r="1056" spans="1:4" x14ac:dyDescent="0.2">
      <c r="A1056" s="3">
        <v>1055</v>
      </c>
      <c r="B1056" s="3">
        <v>113.30927079999999</v>
      </c>
      <c r="C1056" s="3">
        <v>23.020731850000001</v>
      </c>
      <c r="D1056" s="3">
        <v>31</v>
      </c>
    </row>
    <row r="1057" spans="1:4" x14ac:dyDescent="0.2">
      <c r="A1057" s="3">
        <v>1056</v>
      </c>
      <c r="B1057" s="3">
        <v>113.3085844</v>
      </c>
      <c r="C1057" s="3">
        <v>23.016613889999999</v>
      </c>
      <c r="D1057" s="3">
        <v>31</v>
      </c>
    </row>
    <row r="1058" spans="1:4" x14ac:dyDescent="0.2">
      <c r="A1058" s="3">
        <v>1057</v>
      </c>
      <c r="B1058" s="3">
        <v>113.3095392</v>
      </c>
      <c r="C1058" s="3">
        <v>23.021199150000001</v>
      </c>
      <c r="D1058" s="3">
        <v>31</v>
      </c>
    </row>
    <row r="1059" spans="1:4" x14ac:dyDescent="0.2">
      <c r="A1059" s="3">
        <v>1058</v>
      </c>
      <c r="B1059" s="3">
        <v>113.3086191</v>
      </c>
      <c r="C1059" s="3">
        <v>23.020594110000001</v>
      </c>
      <c r="D1059" s="3">
        <v>31</v>
      </c>
    </row>
    <row r="1060" spans="1:4" x14ac:dyDescent="0.2">
      <c r="A1060" s="3">
        <v>1059</v>
      </c>
      <c r="B1060" s="3">
        <v>113.3090323</v>
      </c>
      <c r="C1060" s="3">
        <v>23.020768270000001</v>
      </c>
      <c r="D1060" s="3">
        <v>31</v>
      </c>
    </row>
    <row r="1061" spans="1:4" x14ac:dyDescent="0.2">
      <c r="A1061" s="3">
        <v>1060</v>
      </c>
      <c r="B1061" s="3">
        <v>113.30982160000001</v>
      </c>
      <c r="C1061" s="3">
        <v>23.02105469</v>
      </c>
      <c r="D1061" s="3">
        <v>31</v>
      </c>
    </row>
    <row r="1062" spans="1:4" x14ac:dyDescent="0.2">
      <c r="A1062" s="3">
        <v>1061</v>
      </c>
      <c r="B1062" s="3">
        <v>113.30975979999999</v>
      </c>
      <c r="C1062" s="3">
        <v>23.020695960000001</v>
      </c>
      <c r="D1062" s="3">
        <v>31</v>
      </c>
    </row>
    <row r="1063" spans="1:4" x14ac:dyDescent="0.2">
      <c r="A1063" s="3">
        <v>1062</v>
      </c>
      <c r="B1063" s="3">
        <v>113.3091434</v>
      </c>
      <c r="C1063" s="3">
        <v>23.015439369999999</v>
      </c>
      <c r="D1063" s="3">
        <v>31</v>
      </c>
    </row>
    <row r="1064" spans="1:4" x14ac:dyDescent="0.2">
      <c r="A1064" s="3">
        <v>1063</v>
      </c>
      <c r="B1064" s="3">
        <v>113.3101463</v>
      </c>
      <c r="C1064" s="3">
        <v>23.016485070000002</v>
      </c>
      <c r="D1064" s="3">
        <v>31</v>
      </c>
    </row>
    <row r="1065" spans="1:4" x14ac:dyDescent="0.2">
      <c r="A1065" s="3">
        <v>1064</v>
      </c>
      <c r="B1065" s="3">
        <v>113.3030392</v>
      </c>
      <c r="C1065" s="3">
        <v>23.018175209999999</v>
      </c>
      <c r="D1065" s="3">
        <v>31</v>
      </c>
    </row>
    <row r="1066" spans="1:4" x14ac:dyDescent="0.2">
      <c r="A1066" s="3">
        <v>1065</v>
      </c>
      <c r="B1066" s="3">
        <v>113.30889639999999</v>
      </c>
      <c r="C1066" s="3">
        <v>23.0229116</v>
      </c>
      <c r="D1066" s="3">
        <v>31</v>
      </c>
    </row>
    <row r="1067" spans="1:4" x14ac:dyDescent="0.2">
      <c r="A1067" s="3">
        <v>1066</v>
      </c>
      <c r="B1067" s="3">
        <v>113.30640440000001</v>
      </c>
      <c r="C1067" s="3">
        <v>23.022206449999999</v>
      </c>
      <c r="D1067" s="3">
        <v>31</v>
      </c>
    </row>
    <row r="1068" spans="1:4" x14ac:dyDescent="0.2">
      <c r="A1068" s="3">
        <v>1067</v>
      </c>
      <c r="B1068" s="3">
        <v>113.3072038</v>
      </c>
      <c r="C1068" s="3">
        <v>23.022644809999999</v>
      </c>
      <c r="D1068" s="3">
        <v>31</v>
      </c>
    </row>
    <row r="1069" spans="1:4" x14ac:dyDescent="0.2">
      <c r="A1069" s="3">
        <v>1068</v>
      </c>
      <c r="B1069" s="3">
        <v>113.30853209999999</v>
      </c>
      <c r="C1069" s="3">
        <v>23.023079190000001</v>
      </c>
      <c r="D1069" s="3">
        <v>31</v>
      </c>
    </row>
    <row r="1070" spans="1:4" x14ac:dyDescent="0.2">
      <c r="A1070" s="3">
        <v>1069</v>
      </c>
      <c r="B1070" s="3">
        <v>113.3098406</v>
      </c>
      <c r="C1070" s="3">
        <v>23.02130155</v>
      </c>
      <c r="D1070" s="3">
        <v>31</v>
      </c>
    </row>
    <row r="1071" spans="1:4" x14ac:dyDescent="0.2">
      <c r="A1071" s="3">
        <v>1070</v>
      </c>
      <c r="B1071" s="3">
        <v>113.3100831</v>
      </c>
      <c r="C1071" s="3">
        <v>23.020859290000001</v>
      </c>
      <c r="D1071" s="3">
        <v>31</v>
      </c>
    </row>
    <row r="1072" spans="1:4" x14ac:dyDescent="0.2">
      <c r="A1072" s="3">
        <v>1071</v>
      </c>
      <c r="B1072" s="3">
        <v>113.31053420000001</v>
      </c>
      <c r="C1072" s="3">
        <v>23.02118432</v>
      </c>
      <c r="D1072" s="3">
        <v>31</v>
      </c>
    </row>
    <row r="1073" spans="1:4" x14ac:dyDescent="0.2">
      <c r="A1073" s="3">
        <v>1072</v>
      </c>
      <c r="B1073" s="3">
        <v>113.3082647</v>
      </c>
      <c r="C1073" s="3">
        <v>23.021987159999998</v>
      </c>
      <c r="D1073" s="3">
        <v>31</v>
      </c>
    </row>
    <row r="1074" spans="1:4" x14ac:dyDescent="0.2">
      <c r="A1074" s="3">
        <v>1073</v>
      </c>
      <c r="B1074" s="3">
        <v>113.3095871</v>
      </c>
      <c r="C1074" s="3">
        <v>23.021692850000001</v>
      </c>
      <c r="D1074" s="3">
        <v>31</v>
      </c>
    </row>
    <row r="1075" spans="1:4" x14ac:dyDescent="0.2">
      <c r="A1075" s="3">
        <v>1074</v>
      </c>
      <c r="B1075" s="3">
        <v>113.3069567</v>
      </c>
      <c r="C1075" s="3">
        <v>23.015675269999999</v>
      </c>
      <c r="D1075" s="3">
        <v>31</v>
      </c>
    </row>
    <row r="1076" spans="1:4" x14ac:dyDescent="0.2">
      <c r="A1076" s="3">
        <v>1075</v>
      </c>
      <c r="B1076" s="3">
        <v>113.3108656</v>
      </c>
      <c r="C1076" s="3">
        <v>23.020849850000001</v>
      </c>
      <c r="D1076" s="3">
        <v>31</v>
      </c>
    </row>
    <row r="1077" spans="1:4" x14ac:dyDescent="0.2">
      <c r="A1077" s="3">
        <v>1076</v>
      </c>
      <c r="B1077" s="3">
        <v>113.30381149999999</v>
      </c>
      <c r="C1077" s="3">
        <v>23.02115555</v>
      </c>
      <c r="D1077" s="3">
        <v>31</v>
      </c>
    </row>
    <row r="1078" spans="1:4" x14ac:dyDescent="0.2">
      <c r="A1078" s="3">
        <v>1077</v>
      </c>
      <c r="B1078" s="3">
        <v>113.3098964</v>
      </c>
      <c r="C1078" s="3">
        <v>23.02213609</v>
      </c>
      <c r="D1078" s="3">
        <v>31</v>
      </c>
    </row>
    <row r="1079" spans="1:4" x14ac:dyDescent="0.2">
      <c r="A1079" s="3">
        <v>1078</v>
      </c>
      <c r="B1079" s="3">
        <v>113.3096709</v>
      </c>
      <c r="C1079" s="3">
        <v>23.022340419999999</v>
      </c>
      <c r="D1079" s="3">
        <v>31</v>
      </c>
    </row>
    <row r="1080" spans="1:4" x14ac:dyDescent="0.2">
      <c r="A1080" s="3">
        <v>1079</v>
      </c>
      <c r="B1080" s="3">
        <v>113.309315</v>
      </c>
      <c r="C1080" s="3">
        <v>23.015911849999998</v>
      </c>
      <c r="D1080" s="3">
        <v>31</v>
      </c>
    </row>
    <row r="1081" spans="1:4" x14ac:dyDescent="0.2">
      <c r="A1081" s="3">
        <v>1080</v>
      </c>
      <c r="B1081" s="3">
        <v>113.30876859999999</v>
      </c>
      <c r="C1081" s="3">
        <v>23.023634520000002</v>
      </c>
      <c r="D1081" s="3">
        <v>31</v>
      </c>
    </row>
    <row r="1082" spans="1:4" x14ac:dyDescent="0.2">
      <c r="A1082" s="3">
        <v>1081</v>
      </c>
      <c r="B1082" s="3">
        <v>113.3070525</v>
      </c>
      <c r="C1082" s="3">
        <v>23.015552150000001</v>
      </c>
      <c r="D1082" s="3">
        <v>31</v>
      </c>
    </row>
    <row r="1083" spans="1:4" x14ac:dyDescent="0.2">
      <c r="A1083" s="3">
        <v>1082</v>
      </c>
      <c r="B1083" s="3">
        <v>113.3085191</v>
      </c>
      <c r="C1083" s="3">
        <v>23.022778349999999</v>
      </c>
      <c r="D1083" s="3">
        <v>31</v>
      </c>
    </row>
    <row r="1084" spans="1:4" x14ac:dyDescent="0.2">
      <c r="A1084" s="3">
        <v>1083</v>
      </c>
      <c r="B1084" s="3">
        <v>113.3086429</v>
      </c>
      <c r="C1084" s="3">
        <v>23.022154390000001</v>
      </c>
      <c r="D1084" s="3">
        <v>31</v>
      </c>
    </row>
    <row r="1085" spans="1:4" x14ac:dyDescent="0.2">
      <c r="A1085" s="3">
        <v>1084</v>
      </c>
      <c r="B1085" s="3">
        <v>113.3114923</v>
      </c>
      <c r="C1085" s="3">
        <v>23.020847679999999</v>
      </c>
      <c r="D1085" s="3">
        <v>31</v>
      </c>
    </row>
    <row r="1086" spans="1:4" x14ac:dyDescent="0.2">
      <c r="A1086" s="3">
        <v>1085</v>
      </c>
      <c r="B1086" s="3">
        <v>113.30307209999999</v>
      </c>
      <c r="C1086" s="3">
        <v>23.01825212</v>
      </c>
      <c r="D1086" s="3">
        <v>31</v>
      </c>
    </row>
    <row r="1087" spans="1:4" x14ac:dyDescent="0.2">
      <c r="A1087" s="3">
        <v>1086</v>
      </c>
      <c r="B1087" s="3">
        <v>113.3072966</v>
      </c>
      <c r="C1087" s="3">
        <v>23.022463720000001</v>
      </c>
      <c r="D1087" s="3">
        <v>31</v>
      </c>
    </row>
    <row r="1088" spans="1:4" x14ac:dyDescent="0.2">
      <c r="A1088" s="3">
        <v>1087</v>
      </c>
      <c r="B1088" s="3">
        <v>113.3090266</v>
      </c>
      <c r="C1088" s="3">
        <v>23.0156375</v>
      </c>
      <c r="D1088" s="3">
        <v>31</v>
      </c>
    </row>
    <row r="1089" spans="1:4" x14ac:dyDescent="0.2">
      <c r="A1089" s="3">
        <v>1088</v>
      </c>
      <c r="B1089" s="3">
        <v>113.3019662</v>
      </c>
      <c r="C1089" s="3">
        <v>23.018638889999998</v>
      </c>
      <c r="D1089" s="3">
        <v>31</v>
      </c>
    </row>
    <row r="1090" spans="1:4" x14ac:dyDescent="0.2">
      <c r="A1090" s="3">
        <v>1089</v>
      </c>
      <c r="B1090" s="3">
        <v>113.3076234</v>
      </c>
      <c r="C1090" s="3">
        <v>23.01498436</v>
      </c>
      <c r="D1090" s="3">
        <v>31</v>
      </c>
    </row>
    <row r="1091" spans="1:4" x14ac:dyDescent="0.2">
      <c r="A1091" s="3">
        <v>1090</v>
      </c>
      <c r="B1091" s="3">
        <v>113.3078869</v>
      </c>
      <c r="C1091" s="3">
        <v>23.016063410000001</v>
      </c>
      <c r="D1091" s="3">
        <v>31</v>
      </c>
    </row>
    <row r="1092" spans="1:4" x14ac:dyDescent="0.2">
      <c r="A1092" s="3">
        <v>1091</v>
      </c>
      <c r="B1092" s="3">
        <v>113.3096998</v>
      </c>
      <c r="C1092" s="3">
        <v>23.022741190000001</v>
      </c>
      <c r="D1092" s="3">
        <v>31</v>
      </c>
    </row>
    <row r="1093" spans="1:4" x14ac:dyDescent="0.2">
      <c r="A1093" s="3">
        <v>1092</v>
      </c>
      <c r="B1093" s="3">
        <v>113.30829369999999</v>
      </c>
      <c r="C1093" s="3">
        <v>23.021157460000001</v>
      </c>
      <c r="D1093" s="3">
        <v>31</v>
      </c>
    </row>
    <row r="1094" spans="1:4" x14ac:dyDescent="0.2">
      <c r="A1094" s="3">
        <v>1093</v>
      </c>
      <c r="B1094" s="3">
        <v>113.3069253</v>
      </c>
      <c r="C1094" s="3">
        <v>23.02218452</v>
      </c>
      <c r="D1094" s="3">
        <v>31</v>
      </c>
    </row>
    <row r="1095" spans="1:4" x14ac:dyDescent="0.2">
      <c r="A1095" s="3">
        <v>1094</v>
      </c>
      <c r="B1095" s="3">
        <v>113.309051</v>
      </c>
      <c r="C1095" s="3">
        <v>23.023320139999999</v>
      </c>
      <c r="D1095" s="3">
        <v>31</v>
      </c>
    </row>
    <row r="1096" spans="1:4" x14ac:dyDescent="0.2">
      <c r="A1096" s="3">
        <v>1095</v>
      </c>
      <c r="B1096" s="3">
        <v>113.3109066</v>
      </c>
      <c r="C1096" s="3">
        <v>23.0196173</v>
      </c>
      <c r="D1096" s="3">
        <v>31</v>
      </c>
    </row>
    <row r="1097" spans="1:4" x14ac:dyDescent="0.2">
      <c r="A1097" s="3">
        <v>1096</v>
      </c>
      <c r="B1097" s="3">
        <v>113.307597</v>
      </c>
      <c r="C1097" s="3">
        <v>23.022880990000001</v>
      </c>
      <c r="D1097" s="3">
        <v>31</v>
      </c>
    </row>
    <row r="1098" spans="1:4" x14ac:dyDescent="0.2">
      <c r="A1098" s="3">
        <v>1097</v>
      </c>
      <c r="B1098" s="3">
        <v>113.3109078</v>
      </c>
      <c r="C1098" s="3">
        <v>23.015971879999999</v>
      </c>
      <c r="D1098" s="3">
        <v>31</v>
      </c>
    </row>
    <row r="1099" spans="1:4" x14ac:dyDescent="0.2">
      <c r="A1099" s="3">
        <v>1098</v>
      </c>
      <c r="B1099" s="3">
        <v>113.30642039999999</v>
      </c>
      <c r="C1099" s="3">
        <v>23.020948969999999</v>
      </c>
      <c r="D1099" s="3">
        <v>31</v>
      </c>
    </row>
    <row r="1100" spans="1:4" x14ac:dyDescent="0.2">
      <c r="A1100" s="3">
        <v>1099</v>
      </c>
      <c r="B1100" s="3">
        <v>113.3085875</v>
      </c>
      <c r="C1100" s="3">
        <v>23.014781679999999</v>
      </c>
      <c r="D1100" s="3">
        <v>31</v>
      </c>
    </row>
    <row r="1101" spans="1:4" x14ac:dyDescent="0.2">
      <c r="A1101" s="3">
        <v>1100</v>
      </c>
      <c r="B1101" s="3">
        <v>113.30947020000001</v>
      </c>
      <c r="C1101" s="3">
        <v>23.02303349</v>
      </c>
      <c r="D1101" s="3">
        <v>31</v>
      </c>
    </row>
    <row r="1102" spans="1:4" x14ac:dyDescent="0.2">
      <c r="A1102" s="3">
        <v>1101</v>
      </c>
      <c r="B1102" s="3">
        <v>113.3081119</v>
      </c>
      <c r="C1102" s="3">
        <v>23.02344081</v>
      </c>
      <c r="D1102" s="3">
        <v>31</v>
      </c>
    </row>
    <row r="1103" spans="1:4" x14ac:dyDescent="0.2">
      <c r="A1103" s="3">
        <v>1102</v>
      </c>
      <c r="B1103" s="3">
        <v>113.3098988</v>
      </c>
      <c r="C1103" s="3">
        <v>23.01680039</v>
      </c>
      <c r="D1103" s="3">
        <v>31</v>
      </c>
    </row>
    <row r="1104" spans="1:4" x14ac:dyDescent="0.2">
      <c r="A1104" s="3">
        <v>1103</v>
      </c>
      <c r="B1104" s="3">
        <v>113.3094153</v>
      </c>
      <c r="C1104" s="3">
        <v>23.0234804</v>
      </c>
      <c r="D1104" s="3">
        <v>31</v>
      </c>
    </row>
    <row r="1105" spans="1:4" x14ac:dyDescent="0.2">
      <c r="A1105" s="3">
        <v>1104</v>
      </c>
      <c r="B1105" s="3">
        <v>113.3114693</v>
      </c>
      <c r="C1105" s="3">
        <v>23.021076619999999</v>
      </c>
      <c r="D1105" s="3">
        <v>31</v>
      </c>
    </row>
    <row r="1106" spans="1:4" x14ac:dyDescent="0.2">
      <c r="A1106" s="3">
        <v>1105</v>
      </c>
      <c r="B1106" s="3">
        <v>113.31080799999999</v>
      </c>
      <c r="C1106" s="3">
        <v>23.016443859999999</v>
      </c>
      <c r="D1106" s="3">
        <v>31</v>
      </c>
    </row>
    <row r="1107" spans="1:4" x14ac:dyDescent="0.2">
      <c r="A1107" s="3">
        <v>1106</v>
      </c>
      <c r="B1107" s="3">
        <v>113.3097676</v>
      </c>
      <c r="C1107" s="3">
        <v>23.022991959999999</v>
      </c>
      <c r="D1107" s="3">
        <v>31</v>
      </c>
    </row>
    <row r="1108" spans="1:4" x14ac:dyDescent="0.2">
      <c r="A1108" s="3">
        <v>1107</v>
      </c>
      <c r="B1108" s="3">
        <v>113.31027659999999</v>
      </c>
      <c r="C1108" s="3">
        <v>23.023108959999998</v>
      </c>
      <c r="D1108" s="3">
        <v>31</v>
      </c>
    </row>
    <row r="1109" spans="1:4" x14ac:dyDescent="0.2">
      <c r="A1109" s="3">
        <v>1108</v>
      </c>
      <c r="B1109" s="3">
        <v>113.3093724</v>
      </c>
      <c r="C1109" s="3">
        <v>23.023608419999999</v>
      </c>
      <c r="D1109" s="3">
        <v>31</v>
      </c>
    </row>
    <row r="1110" spans="1:4" x14ac:dyDescent="0.2">
      <c r="A1110" s="3">
        <v>1109</v>
      </c>
      <c r="B1110" s="3">
        <v>113.3017098</v>
      </c>
      <c r="C1110" s="3">
        <v>23.018003620000002</v>
      </c>
      <c r="D1110" s="3">
        <v>31</v>
      </c>
    </row>
    <row r="1111" spans="1:4" x14ac:dyDescent="0.2">
      <c r="A1111" s="3">
        <v>1110</v>
      </c>
      <c r="B1111" s="3">
        <v>113.3078685</v>
      </c>
      <c r="C1111" s="3">
        <v>23.022391710000001</v>
      </c>
      <c r="D1111" s="3">
        <v>31</v>
      </c>
    </row>
    <row r="1112" spans="1:4" x14ac:dyDescent="0.2">
      <c r="A1112" s="3">
        <v>1111</v>
      </c>
      <c r="B1112" s="3">
        <v>113.3097906</v>
      </c>
      <c r="C1112" s="3">
        <v>23.023338760000001</v>
      </c>
      <c r="D1112" s="3">
        <v>31</v>
      </c>
    </row>
    <row r="1113" spans="1:4" x14ac:dyDescent="0.2">
      <c r="A1113" s="3">
        <v>1112</v>
      </c>
      <c r="B1113" s="3">
        <v>113.3081392</v>
      </c>
      <c r="C1113" s="3">
        <v>23.018822749999998</v>
      </c>
      <c r="D1113" s="3">
        <v>31</v>
      </c>
    </row>
    <row r="1114" spans="1:4" x14ac:dyDescent="0.2">
      <c r="A1114" s="3">
        <v>1113</v>
      </c>
      <c r="B1114" s="3">
        <v>113.3084806</v>
      </c>
      <c r="C1114" s="3">
        <v>23.017625649999999</v>
      </c>
      <c r="D1114" s="3">
        <v>31</v>
      </c>
    </row>
    <row r="1115" spans="1:4" x14ac:dyDescent="0.2">
      <c r="A1115" s="3">
        <v>1114</v>
      </c>
      <c r="B1115" s="3">
        <v>113.30926599999999</v>
      </c>
      <c r="C1115" s="3">
        <v>23.016931499999998</v>
      </c>
      <c r="D1115" s="3">
        <v>31</v>
      </c>
    </row>
    <row r="1116" spans="1:4" x14ac:dyDescent="0.2">
      <c r="A1116" s="3">
        <v>1115</v>
      </c>
      <c r="B1116" s="3">
        <v>113.30948619999999</v>
      </c>
      <c r="C1116" s="3">
        <v>23.023167399999998</v>
      </c>
      <c r="D1116" s="3">
        <v>31</v>
      </c>
    </row>
    <row r="1117" spans="1:4" x14ac:dyDescent="0.2">
      <c r="A1117" s="3">
        <v>1116</v>
      </c>
      <c r="B1117" s="3">
        <v>113.3115225</v>
      </c>
      <c r="C1117" s="3">
        <v>23.016431529999998</v>
      </c>
      <c r="D1117" s="3">
        <v>31</v>
      </c>
    </row>
    <row r="1118" spans="1:4" x14ac:dyDescent="0.2">
      <c r="A1118" s="3">
        <v>1117</v>
      </c>
      <c r="B1118" s="3">
        <v>113.30894739999999</v>
      </c>
      <c r="C1118" s="3">
        <v>23.02125822</v>
      </c>
      <c r="D1118" s="3">
        <v>31</v>
      </c>
    </row>
    <row r="1119" spans="1:4" x14ac:dyDescent="0.2">
      <c r="A1119" s="3">
        <v>1118</v>
      </c>
      <c r="B1119" s="3">
        <v>113.308656</v>
      </c>
      <c r="C1119" s="3">
        <v>23.020725980000002</v>
      </c>
      <c r="D1119" s="3">
        <v>31</v>
      </c>
    </row>
    <row r="1120" spans="1:4" x14ac:dyDescent="0.2">
      <c r="A1120" s="3">
        <v>1119</v>
      </c>
      <c r="B1120" s="3">
        <v>113.3079793</v>
      </c>
      <c r="C1120" s="3">
        <v>23.020885159999999</v>
      </c>
      <c r="D1120" s="3">
        <v>31</v>
      </c>
    </row>
    <row r="1121" spans="1:4" x14ac:dyDescent="0.2">
      <c r="A1121" s="3">
        <v>1120</v>
      </c>
      <c r="B1121" s="3">
        <v>113.3044443</v>
      </c>
      <c r="C1121" s="3">
        <v>23.020599669999999</v>
      </c>
      <c r="D1121" s="3">
        <v>31</v>
      </c>
    </row>
    <row r="1122" spans="1:4" x14ac:dyDescent="0.2">
      <c r="A1122" s="3">
        <v>1121</v>
      </c>
      <c r="B1122" s="3">
        <v>113.30590549999999</v>
      </c>
      <c r="C1122" s="3">
        <v>23.020428119999998</v>
      </c>
      <c r="D1122" s="3">
        <v>31</v>
      </c>
    </row>
    <row r="1123" spans="1:4" x14ac:dyDescent="0.2">
      <c r="A1123" s="3">
        <v>1122</v>
      </c>
      <c r="B1123" s="3">
        <v>113.30825400000001</v>
      </c>
      <c r="C1123" s="3">
        <v>23.018326760000001</v>
      </c>
      <c r="D1123" s="3">
        <v>31</v>
      </c>
    </row>
    <row r="1124" spans="1:4" x14ac:dyDescent="0.2">
      <c r="A1124" s="3">
        <v>1123</v>
      </c>
      <c r="B1124" s="3">
        <v>113.30796960000001</v>
      </c>
      <c r="C1124" s="3">
        <v>23.016935879999998</v>
      </c>
      <c r="D1124" s="3">
        <v>31</v>
      </c>
    </row>
    <row r="1125" spans="1:4" x14ac:dyDescent="0.2">
      <c r="A1125" s="3">
        <v>1124</v>
      </c>
      <c r="B1125" s="3">
        <v>113.3110104</v>
      </c>
      <c r="C1125" s="3">
        <v>23.019162309999999</v>
      </c>
      <c r="D1125" s="3">
        <v>31</v>
      </c>
    </row>
    <row r="1126" spans="1:4" x14ac:dyDescent="0.2">
      <c r="A1126" s="3">
        <v>1125</v>
      </c>
      <c r="B1126" s="3">
        <v>113.3063185</v>
      </c>
      <c r="C1126" s="3">
        <v>23.02310722</v>
      </c>
      <c r="D1126" s="3">
        <v>31</v>
      </c>
    </row>
    <row r="1127" spans="1:4" x14ac:dyDescent="0.2">
      <c r="A1127" s="3">
        <v>1126</v>
      </c>
      <c r="B1127" s="3">
        <v>113.31005070000001</v>
      </c>
      <c r="C1127" s="3">
        <v>23.013729439999999</v>
      </c>
      <c r="D1127" s="3">
        <v>31</v>
      </c>
    </row>
    <row r="1128" spans="1:4" x14ac:dyDescent="0.2">
      <c r="A1128" s="3">
        <v>1127</v>
      </c>
      <c r="B1128" s="3">
        <v>113.30745159999999</v>
      </c>
      <c r="C1128" s="3">
        <v>23.01719172</v>
      </c>
      <c r="D1128" s="3">
        <v>31</v>
      </c>
    </row>
    <row r="1129" spans="1:4" x14ac:dyDescent="0.2">
      <c r="A1129" s="3">
        <v>1128</v>
      </c>
      <c r="B1129" s="3">
        <v>113.31089660000001</v>
      </c>
      <c r="C1129" s="3">
        <v>23.019595330000001</v>
      </c>
      <c r="D1129" s="3">
        <v>31</v>
      </c>
    </row>
    <row r="1130" spans="1:4" x14ac:dyDescent="0.2">
      <c r="A1130" s="3">
        <v>1129</v>
      </c>
      <c r="B1130" s="3">
        <v>113.3089078</v>
      </c>
      <c r="C1130" s="3">
        <v>23.016605299999998</v>
      </c>
      <c r="D1130" s="3">
        <v>31</v>
      </c>
    </row>
    <row r="1131" spans="1:4" x14ac:dyDescent="0.2">
      <c r="A1131" s="3">
        <v>1130</v>
      </c>
      <c r="B1131" s="3">
        <v>113.3100503</v>
      </c>
      <c r="C1131" s="3">
        <v>23.020084690000001</v>
      </c>
      <c r="D1131" s="3">
        <v>31</v>
      </c>
    </row>
    <row r="1132" spans="1:4" x14ac:dyDescent="0.2">
      <c r="A1132" s="3">
        <v>1131</v>
      </c>
      <c r="B1132" s="3">
        <v>113.3109777</v>
      </c>
      <c r="C1132" s="3">
        <v>23.015970750000001</v>
      </c>
      <c r="D1132" s="3">
        <v>31</v>
      </c>
    </row>
    <row r="1133" spans="1:4" x14ac:dyDescent="0.2">
      <c r="A1133" s="3">
        <v>1132</v>
      </c>
      <c r="B1133" s="3">
        <v>113.3092432</v>
      </c>
      <c r="C1133" s="3">
        <v>23.015586129999999</v>
      </c>
      <c r="D1133" s="3">
        <v>31</v>
      </c>
    </row>
    <row r="1134" spans="1:4" x14ac:dyDescent="0.2">
      <c r="A1134" s="3">
        <v>1133</v>
      </c>
      <c r="B1134" s="3">
        <v>113.30721870000001</v>
      </c>
      <c r="C1134" s="3">
        <v>23.022460859999999</v>
      </c>
      <c r="D1134" s="3">
        <v>31</v>
      </c>
    </row>
    <row r="1135" spans="1:4" x14ac:dyDescent="0.2">
      <c r="A1135" s="3">
        <v>1134</v>
      </c>
      <c r="B1135" s="3">
        <v>113.3072726</v>
      </c>
      <c r="C1135" s="3">
        <v>23.02265268</v>
      </c>
      <c r="D1135" s="3">
        <v>31</v>
      </c>
    </row>
    <row r="1136" spans="1:4" x14ac:dyDescent="0.2">
      <c r="A1136" s="3">
        <v>1135</v>
      </c>
      <c r="B1136" s="3">
        <v>113.3095062</v>
      </c>
      <c r="C1136" s="3">
        <v>23.021865930000001</v>
      </c>
      <c r="D1136" s="3">
        <v>31</v>
      </c>
    </row>
    <row r="1137" spans="1:4" x14ac:dyDescent="0.2">
      <c r="A1137" s="3">
        <v>1136</v>
      </c>
      <c r="B1137" s="3">
        <v>113.3044427</v>
      </c>
      <c r="C1137" s="3">
        <v>23.0143004</v>
      </c>
      <c r="D1137" s="3">
        <v>11</v>
      </c>
    </row>
    <row r="1138" spans="1:4" x14ac:dyDescent="0.2">
      <c r="A1138" s="3">
        <v>1137</v>
      </c>
      <c r="B1138" s="3">
        <v>113.31097250000001</v>
      </c>
      <c r="C1138" s="3">
        <v>23.01913639</v>
      </c>
      <c r="D1138" s="3">
        <v>31</v>
      </c>
    </row>
    <row r="1139" spans="1:4" x14ac:dyDescent="0.2">
      <c r="A1139" s="3">
        <v>1138</v>
      </c>
      <c r="B1139" s="3">
        <v>113.3056474</v>
      </c>
      <c r="C1139" s="3">
        <v>23.01394239</v>
      </c>
      <c r="D1139" s="3">
        <v>11</v>
      </c>
    </row>
    <row r="1140" spans="1:4" x14ac:dyDescent="0.2">
      <c r="A1140" s="3">
        <v>1139</v>
      </c>
      <c r="B1140" s="3">
        <v>113.30862430000001</v>
      </c>
      <c r="C1140" s="3">
        <v>23.017690349999999</v>
      </c>
      <c r="D1140" s="3">
        <v>31</v>
      </c>
    </row>
    <row r="1141" spans="1:4" x14ac:dyDescent="0.2">
      <c r="A1141" s="3">
        <v>1140</v>
      </c>
      <c r="B1141" s="3">
        <v>113.30456049999999</v>
      </c>
      <c r="C1141" s="3">
        <v>23.01389936</v>
      </c>
      <c r="D1141" s="3">
        <v>11</v>
      </c>
    </row>
    <row r="1142" spans="1:4" x14ac:dyDescent="0.2">
      <c r="A1142" s="3">
        <v>1141</v>
      </c>
      <c r="B1142" s="3">
        <v>113.3103864</v>
      </c>
      <c r="C1142" s="3">
        <v>23.022766910000001</v>
      </c>
      <c r="D1142" s="3">
        <v>31</v>
      </c>
    </row>
    <row r="1143" spans="1:4" x14ac:dyDescent="0.2">
      <c r="A1143" s="3">
        <v>1142</v>
      </c>
      <c r="B1143" s="3">
        <v>113.3064243</v>
      </c>
      <c r="C1143" s="3">
        <v>23.023112019999999</v>
      </c>
      <c r="D1143" s="3">
        <v>31</v>
      </c>
    </row>
    <row r="1144" spans="1:4" x14ac:dyDescent="0.2">
      <c r="A1144" s="3">
        <v>1143</v>
      </c>
      <c r="B1144" s="3">
        <v>113.3022684</v>
      </c>
      <c r="C1144" s="3">
        <v>23.023034460000002</v>
      </c>
      <c r="D1144" s="3">
        <v>8</v>
      </c>
    </row>
    <row r="1145" spans="1:4" x14ac:dyDescent="0.2">
      <c r="A1145" s="3">
        <v>1144</v>
      </c>
      <c r="B1145" s="3">
        <v>113.30731950000001</v>
      </c>
      <c r="C1145" s="3">
        <v>23.022535649999998</v>
      </c>
      <c r="D1145" s="3">
        <v>31</v>
      </c>
    </row>
    <row r="1146" spans="1:4" x14ac:dyDescent="0.2">
      <c r="A1146" s="3">
        <v>1145</v>
      </c>
      <c r="B1146" s="3">
        <v>113.3026097</v>
      </c>
      <c r="C1146" s="3">
        <v>23.023019869999999</v>
      </c>
      <c r="D1146" s="3">
        <v>8</v>
      </c>
    </row>
    <row r="1147" spans="1:4" x14ac:dyDescent="0.2">
      <c r="A1147" s="3">
        <v>1146</v>
      </c>
      <c r="B1147" s="3">
        <v>113.30262569999999</v>
      </c>
      <c r="C1147" s="3">
        <v>23.023072819999999</v>
      </c>
      <c r="D1147" s="3">
        <v>8</v>
      </c>
    </row>
    <row r="1148" spans="1:4" x14ac:dyDescent="0.2">
      <c r="A1148" s="3">
        <v>1147</v>
      </c>
      <c r="B1148" s="3">
        <v>113.3044443</v>
      </c>
      <c r="C1148" s="3">
        <v>23.020599669999999</v>
      </c>
      <c r="D1148" s="3">
        <v>31</v>
      </c>
    </row>
    <row r="1149" spans="1:4" x14ac:dyDescent="0.2">
      <c r="A1149" s="3">
        <v>1148</v>
      </c>
      <c r="B1149" s="3">
        <v>113.3064404</v>
      </c>
      <c r="C1149" s="3">
        <v>23.020986910000001</v>
      </c>
      <c r="D1149" s="3">
        <v>31</v>
      </c>
    </row>
    <row r="1150" spans="1:4" x14ac:dyDescent="0.2">
      <c r="A1150" s="3">
        <v>1149</v>
      </c>
      <c r="B1150" s="3">
        <v>113.3156697</v>
      </c>
      <c r="C1150" s="3">
        <v>23.021458559999999</v>
      </c>
      <c r="D1150" s="3">
        <v>31</v>
      </c>
    </row>
    <row r="1151" spans="1:4" x14ac:dyDescent="0.2">
      <c r="A1151" s="3">
        <v>1150</v>
      </c>
      <c r="B1151" s="3">
        <v>113.3149504</v>
      </c>
      <c r="C1151" s="3">
        <v>23.0180294</v>
      </c>
      <c r="D1151" s="3">
        <v>31</v>
      </c>
    </row>
    <row r="1152" spans="1:4" x14ac:dyDescent="0.2">
      <c r="A1152" s="3">
        <v>1151</v>
      </c>
      <c r="B1152" s="3">
        <v>113.31571580000001</v>
      </c>
      <c r="C1152" s="3">
        <v>23.018949559999999</v>
      </c>
      <c r="D1152" s="3">
        <v>31</v>
      </c>
    </row>
    <row r="1153" spans="1:4" x14ac:dyDescent="0.2">
      <c r="A1153" s="3">
        <v>1152</v>
      </c>
      <c r="B1153" s="3">
        <v>113.3168057</v>
      </c>
      <c r="C1153" s="3">
        <v>23.01792493</v>
      </c>
      <c r="D1153" s="3">
        <v>31</v>
      </c>
    </row>
    <row r="1154" spans="1:4" x14ac:dyDescent="0.2">
      <c r="A1154" s="3">
        <v>1153</v>
      </c>
      <c r="B1154" s="3">
        <v>113.3155831</v>
      </c>
      <c r="C1154" s="3">
        <v>23.018279100000001</v>
      </c>
      <c r="D1154" s="3">
        <v>31</v>
      </c>
    </row>
    <row r="1155" spans="1:4" x14ac:dyDescent="0.2">
      <c r="A1155" s="3">
        <v>1154</v>
      </c>
      <c r="B1155" s="3">
        <v>113.317139</v>
      </c>
      <c r="C1155" s="3">
        <v>23.017091659999998</v>
      </c>
      <c r="D1155" s="3">
        <v>26</v>
      </c>
    </row>
    <row r="1156" spans="1:4" x14ac:dyDescent="0.2">
      <c r="A1156" s="3">
        <v>1155</v>
      </c>
      <c r="B1156" s="3">
        <v>113.3155283</v>
      </c>
      <c r="C1156" s="3">
        <v>23.01785838</v>
      </c>
      <c r="D1156" s="3">
        <v>31</v>
      </c>
    </row>
    <row r="1157" spans="1:4" x14ac:dyDescent="0.2">
      <c r="A1157" s="3">
        <v>1156</v>
      </c>
      <c r="B1157" s="3">
        <v>113.3157169</v>
      </c>
      <c r="C1157" s="3">
        <v>23.017163329999999</v>
      </c>
      <c r="D1157" s="3">
        <v>31</v>
      </c>
    </row>
    <row r="1158" spans="1:4" x14ac:dyDescent="0.2">
      <c r="A1158" s="3">
        <v>1157</v>
      </c>
      <c r="B1158" s="3">
        <v>113.31465110000001</v>
      </c>
      <c r="C1158" s="3">
        <v>23.017475210000001</v>
      </c>
      <c r="D1158" s="3">
        <v>31</v>
      </c>
    </row>
    <row r="1159" spans="1:4" x14ac:dyDescent="0.2">
      <c r="A1159" s="3">
        <v>1158</v>
      </c>
      <c r="B1159" s="3">
        <v>113.3130941</v>
      </c>
      <c r="C1159" s="3">
        <v>23.01946628</v>
      </c>
      <c r="D1159" s="3">
        <v>31</v>
      </c>
    </row>
    <row r="1160" spans="1:4" x14ac:dyDescent="0.2">
      <c r="A1160" s="3">
        <v>1159</v>
      </c>
      <c r="B1160" s="3">
        <v>113.315201</v>
      </c>
      <c r="C1160" s="3">
        <v>23.016938400000001</v>
      </c>
      <c r="D1160" s="3">
        <v>31</v>
      </c>
    </row>
    <row r="1161" spans="1:4" x14ac:dyDescent="0.2">
      <c r="A1161" s="3">
        <v>1160</v>
      </c>
      <c r="B1161" s="3">
        <v>113.31397149999999</v>
      </c>
      <c r="C1161" s="3">
        <v>23.01667883</v>
      </c>
      <c r="D1161" s="3">
        <v>31</v>
      </c>
    </row>
    <row r="1162" spans="1:4" x14ac:dyDescent="0.2">
      <c r="A1162" s="3">
        <v>1161</v>
      </c>
      <c r="B1162" s="3">
        <v>113.31475500000001</v>
      </c>
      <c r="C1162" s="3">
        <v>23.016458449999998</v>
      </c>
      <c r="D1162" s="3">
        <v>31</v>
      </c>
    </row>
    <row r="1163" spans="1:4" x14ac:dyDescent="0.2">
      <c r="A1163" s="3">
        <v>1162</v>
      </c>
      <c r="B1163" s="3">
        <v>113.313733</v>
      </c>
      <c r="C1163" s="3">
        <v>23.017465940000001</v>
      </c>
      <c r="D1163" s="3">
        <v>31</v>
      </c>
    </row>
    <row r="1164" spans="1:4" x14ac:dyDescent="0.2">
      <c r="A1164" s="3">
        <v>1163</v>
      </c>
      <c r="B1164" s="3">
        <v>113.31452710000001</v>
      </c>
      <c r="C1164" s="3">
        <v>23.020945940000001</v>
      </c>
      <c r="D1164" s="3">
        <v>31</v>
      </c>
    </row>
    <row r="1165" spans="1:4" x14ac:dyDescent="0.2">
      <c r="A1165" s="3">
        <v>1164</v>
      </c>
      <c r="B1165" s="3">
        <v>113.31322179999999</v>
      </c>
      <c r="C1165" s="3">
        <v>23.020337659999999</v>
      </c>
      <c r="D1165" s="3">
        <v>31</v>
      </c>
    </row>
    <row r="1166" spans="1:4" x14ac:dyDescent="0.2">
      <c r="A1166" s="3">
        <v>1165</v>
      </c>
      <c r="B1166" s="3">
        <v>113.31895129999999</v>
      </c>
      <c r="C1166" s="3">
        <v>23.01693027</v>
      </c>
      <c r="D1166" s="3">
        <v>26</v>
      </c>
    </row>
    <row r="1167" spans="1:4" x14ac:dyDescent="0.2">
      <c r="A1167" s="3">
        <v>1166</v>
      </c>
      <c r="B1167" s="3">
        <v>113.31259230000001</v>
      </c>
      <c r="C1167" s="3">
        <v>23.017987860000002</v>
      </c>
      <c r="D1167" s="3">
        <v>31</v>
      </c>
    </row>
    <row r="1168" spans="1:4" x14ac:dyDescent="0.2">
      <c r="A1168" s="3">
        <v>1167</v>
      </c>
      <c r="B1168" s="3">
        <v>113.3174386</v>
      </c>
      <c r="C1168" s="3">
        <v>23.014784089999999</v>
      </c>
      <c r="D1168" s="3">
        <v>26</v>
      </c>
    </row>
    <row r="1169" spans="1:4" x14ac:dyDescent="0.2">
      <c r="A1169" s="3">
        <v>1168</v>
      </c>
      <c r="B1169" s="3">
        <v>113.31400549999999</v>
      </c>
      <c r="C1169" s="3">
        <v>23.016901669999999</v>
      </c>
      <c r="D1169" s="3">
        <v>31</v>
      </c>
    </row>
    <row r="1170" spans="1:4" x14ac:dyDescent="0.2">
      <c r="A1170" s="3">
        <v>1169</v>
      </c>
      <c r="B1170" s="3">
        <v>113.31316510000001</v>
      </c>
      <c r="C1170" s="3">
        <v>23.01730508</v>
      </c>
      <c r="D1170" s="3">
        <v>31</v>
      </c>
    </row>
    <row r="1171" spans="1:4" x14ac:dyDescent="0.2">
      <c r="A1171" s="3">
        <v>1170</v>
      </c>
      <c r="B1171" s="3">
        <v>113.3119157</v>
      </c>
      <c r="C1171" s="3">
        <v>23.016666699999998</v>
      </c>
      <c r="D1171" s="3">
        <v>31</v>
      </c>
    </row>
    <row r="1172" spans="1:4" x14ac:dyDescent="0.2">
      <c r="A1172" s="3">
        <v>1171</v>
      </c>
      <c r="B1172" s="3">
        <v>113.312636</v>
      </c>
      <c r="C1172" s="3">
        <v>23.021027459999999</v>
      </c>
      <c r="D1172" s="3">
        <v>31</v>
      </c>
    </row>
    <row r="1173" spans="1:4" x14ac:dyDescent="0.2">
      <c r="A1173" s="3">
        <v>1172</v>
      </c>
      <c r="B1173" s="3">
        <v>113.3130893</v>
      </c>
      <c r="C1173" s="3">
        <v>23.017916960000001</v>
      </c>
      <c r="D1173" s="3">
        <v>31</v>
      </c>
    </row>
    <row r="1174" spans="1:4" x14ac:dyDescent="0.2">
      <c r="A1174" s="3">
        <v>1173</v>
      </c>
      <c r="B1174" s="3">
        <v>113.3129294</v>
      </c>
      <c r="C1174" s="3">
        <v>23.020893969999999</v>
      </c>
      <c r="D1174" s="3">
        <v>31</v>
      </c>
    </row>
    <row r="1175" spans="1:4" x14ac:dyDescent="0.2">
      <c r="A1175" s="3">
        <v>1174</v>
      </c>
      <c r="B1175" s="3">
        <v>113.3126391</v>
      </c>
      <c r="C1175" s="3">
        <v>23.018764440000002</v>
      </c>
      <c r="D1175" s="3">
        <v>31</v>
      </c>
    </row>
    <row r="1176" spans="1:4" x14ac:dyDescent="0.2">
      <c r="A1176" s="3">
        <v>1175</v>
      </c>
      <c r="B1176" s="3">
        <v>113.3137886</v>
      </c>
      <c r="C1176" s="3">
        <v>23.0210233</v>
      </c>
      <c r="D1176" s="3">
        <v>31</v>
      </c>
    </row>
    <row r="1177" spans="1:4" x14ac:dyDescent="0.2">
      <c r="A1177" s="3">
        <v>1176</v>
      </c>
      <c r="B1177" s="3">
        <v>113.3123605</v>
      </c>
      <c r="C1177" s="3">
        <v>23.021274869999999</v>
      </c>
      <c r="D1177" s="3">
        <v>31</v>
      </c>
    </row>
    <row r="1178" spans="1:4" x14ac:dyDescent="0.2">
      <c r="A1178" s="3">
        <v>1177</v>
      </c>
      <c r="B1178" s="3">
        <v>113.3132071</v>
      </c>
      <c r="C1178" s="3">
        <v>23.01670026</v>
      </c>
      <c r="D1178" s="3">
        <v>31</v>
      </c>
    </row>
    <row r="1179" spans="1:4" x14ac:dyDescent="0.2">
      <c r="A1179" s="3">
        <v>1178</v>
      </c>
      <c r="B1179" s="3">
        <v>113.313748</v>
      </c>
      <c r="C1179" s="3">
        <v>23.017132060000002</v>
      </c>
      <c r="D1179" s="3">
        <v>31</v>
      </c>
    </row>
    <row r="1180" spans="1:4" x14ac:dyDescent="0.2">
      <c r="A1180" s="3">
        <v>1179</v>
      </c>
      <c r="B1180" s="3">
        <v>113.3118047</v>
      </c>
      <c r="C1180" s="3">
        <v>23.020920069999999</v>
      </c>
      <c r="D1180" s="3">
        <v>31</v>
      </c>
    </row>
    <row r="1181" spans="1:4" x14ac:dyDescent="0.2">
      <c r="A1181" s="3">
        <v>1180</v>
      </c>
      <c r="B1181" s="3">
        <v>113.3130823</v>
      </c>
      <c r="C1181" s="3">
        <v>23.016804449999999</v>
      </c>
      <c r="D1181" s="3">
        <v>31</v>
      </c>
    </row>
    <row r="1182" spans="1:4" x14ac:dyDescent="0.2">
      <c r="A1182" s="3">
        <v>1181</v>
      </c>
      <c r="B1182" s="3">
        <v>113.3142929</v>
      </c>
      <c r="C1182" s="3">
        <v>23.016752199999999</v>
      </c>
      <c r="D1182" s="3">
        <v>31</v>
      </c>
    </row>
    <row r="1183" spans="1:4" x14ac:dyDescent="0.2">
      <c r="A1183" s="3">
        <v>1182</v>
      </c>
      <c r="B1183" s="3">
        <v>113.31815810000001</v>
      </c>
      <c r="C1183" s="3">
        <v>23.014276930000001</v>
      </c>
      <c r="D1183" s="3">
        <v>26</v>
      </c>
    </row>
    <row r="1184" spans="1:4" x14ac:dyDescent="0.2">
      <c r="A1184" s="3">
        <v>1183</v>
      </c>
      <c r="B1184" s="3">
        <v>113.3127339</v>
      </c>
      <c r="C1184" s="3">
        <v>23.01895618</v>
      </c>
      <c r="D1184" s="3">
        <v>31</v>
      </c>
    </row>
    <row r="1185" spans="1:4" x14ac:dyDescent="0.2">
      <c r="A1185" s="3">
        <v>1184</v>
      </c>
      <c r="B1185" s="3">
        <v>113.3192988</v>
      </c>
      <c r="C1185" s="3">
        <v>23.013762979999999</v>
      </c>
      <c r="D1185" s="3">
        <v>26</v>
      </c>
    </row>
    <row r="1186" spans="1:4" x14ac:dyDescent="0.2">
      <c r="A1186" s="3">
        <v>1185</v>
      </c>
      <c r="B1186" s="3">
        <v>113.3123449</v>
      </c>
      <c r="C1186" s="3">
        <v>23.016596929999999</v>
      </c>
      <c r="D1186" s="3">
        <v>31</v>
      </c>
    </row>
    <row r="1187" spans="1:4" x14ac:dyDescent="0.2">
      <c r="A1187" s="3">
        <v>1186</v>
      </c>
      <c r="B1187" s="3">
        <v>113.3209907</v>
      </c>
      <c r="C1187" s="3">
        <v>23.022566940000001</v>
      </c>
      <c r="D1187" s="3">
        <v>30</v>
      </c>
    </row>
    <row r="1188" spans="1:4" x14ac:dyDescent="0.2">
      <c r="A1188" s="3">
        <v>1187</v>
      </c>
      <c r="B1188" s="3">
        <v>113.3117139</v>
      </c>
      <c r="C1188" s="3">
        <v>23.019404890000001</v>
      </c>
      <c r="D1188" s="3">
        <v>31</v>
      </c>
    </row>
    <row r="1189" spans="1:4" x14ac:dyDescent="0.2">
      <c r="A1189" s="3">
        <v>1188</v>
      </c>
      <c r="B1189" s="3">
        <v>113.3258379</v>
      </c>
      <c r="C1189" s="3">
        <v>23.020704469999998</v>
      </c>
      <c r="D1189" s="3">
        <v>30</v>
      </c>
    </row>
    <row r="1190" spans="1:4" x14ac:dyDescent="0.2">
      <c r="A1190" s="3">
        <v>1189</v>
      </c>
      <c r="B1190" s="3">
        <v>113.3277779</v>
      </c>
      <c r="C1190" s="3">
        <v>23.02029795</v>
      </c>
      <c r="D1190" s="3">
        <v>30</v>
      </c>
    </row>
    <row r="1191" spans="1:4" x14ac:dyDescent="0.2">
      <c r="A1191" s="3">
        <v>1190</v>
      </c>
      <c r="B1191" s="3">
        <v>113.326292</v>
      </c>
      <c r="C1191" s="3">
        <v>23.020414729999999</v>
      </c>
      <c r="D1191" s="3">
        <v>30</v>
      </c>
    </row>
    <row r="1192" spans="1:4" x14ac:dyDescent="0.2">
      <c r="A1192" s="3">
        <v>1191</v>
      </c>
      <c r="B1192" s="3">
        <v>113.327726</v>
      </c>
      <c r="C1192" s="3">
        <v>23.0206439</v>
      </c>
      <c r="D1192" s="3">
        <v>30</v>
      </c>
    </row>
    <row r="1193" spans="1:4" x14ac:dyDescent="0.2">
      <c r="A1193" s="3">
        <v>1192</v>
      </c>
      <c r="B1193" s="3">
        <v>113.32912519999999</v>
      </c>
      <c r="C1193" s="3">
        <v>23.020050489999999</v>
      </c>
      <c r="D1193" s="3">
        <v>30</v>
      </c>
    </row>
    <row r="1194" spans="1:4" x14ac:dyDescent="0.2">
      <c r="A1194" s="3">
        <v>1193</v>
      </c>
      <c r="B1194" s="3">
        <v>113.3261316</v>
      </c>
      <c r="C1194" s="3">
        <v>23.015611109999998</v>
      </c>
      <c r="D1194" s="3">
        <v>26</v>
      </c>
    </row>
    <row r="1195" spans="1:4" x14ac:dyDescent="0.2">
      <c r="A1195" s="3">
        <v>1194</v>
      </c>
      <c r="B1195" s="3">
        <v>113.32938969999999</v>
      </c>
      <c r="C1195" s="3">
        <v>23.019672150000002</v>
      </c>
      <c r="D1195" s="3">
        <v>30</v>
      </c>
    </row>
    <row r="1196" spans="1:4" x14ac:dyDescent="0.2">
      <c r="A1196" s="3">
        <v>1195</v>
      </c>
      <c r="B1196" s="3">
        <v>113.33009629999999</v>
      </c>
      <c r="C1196" s="3">
        <v>23.01840636</v>
      </c>
      <c r="D1196" s="3">
        <v>30</v>
      </c>
    </row>
    <row r="1197" spans="1:4" x14ac:dyDescent="0.2">
      <c r="A1197" s="3">
        <v>1196</v>
      </c>
      <c r="B1197" s="3">
        <v>113.32983</v>
      </c>
      <c r="C1197" s="3">
        <v>23.016804560000001</v>
      </c>
      <c r="D1197" s="3">
        <v>19</v>
      </c>
    </row>
    <row r="1198" spans="1:4" x14ac:dyDescent="0.2">
      <c r="A1198" s="3">
        <v>1197</v>
      </c>
      <c r="B1198" s="3">
        <v>113.328677</v>
      </c>
      <c r="C1198" s="3">
        <v>23.020984940000002</v>
      </c>
      <c r="D1198" s="3">
        <v>30</v>
      </c>
    </row>
    <row r="1199" spans="1:4" x14ac:dyDescent="0.2">
      <c r="A1199" s="3">
        <v>1198</v>
      </c>
      <c r="B1199" s="3">
        <v>113.327208</v>
      </c>
      <c r="C1199" s="3">
        <v>23.022069269999999</v>
      </c>
      <c r="D1199" s="3">
        <v>30</v>
      </c>
    </row>
    <row r="1200" spans="1:4" x14ac:dyDescent="0.2">
      <c r="A1200" s="3">
        <v>1199</v>
      </c>
      <c r="B1200" s="3">
        <v>113.32615509999999</v>
      </c>
      <c r="C1200" s="3">
        <v>23.02165845</v>
      </c>
      <c r="D1200" s="3">
        <v>30</v>
      </c>
    </row>
    <row r="1201" spans="1:4" x14ac:dyDescent="0.2">
      <c r="A1201" s="3">
        <v>1200</v>
      </c>
      <c r="B1201" s="3">
        <v>113.3236416</v>
      </c>
      <c r="C1201" s="3">
        <v>23.017444080000001</v>
      </c>
      <c r="D1201" s="3">
        <v>26</v>
      </c>
    </row>
    <row r="1202" spans="1:4" x14ac:dyDescent="0.2">
      <c r="A1202" s="3">
        <v>1201</v>
      </c>
      <c r="B1202" s="3">
        <v>113.3284968</v>
      </c>
      <c r="C1202" s="3">
        <v>23.015543640000001</v>
      </c>
      <c r="D1202" s="3">
        <v>26</v>
      </c>
    </row>
    <row r="1203" spans="1:4" x14ac:dyDescent="0.2">
      <c r="A1203" s="3">
        <v>1202</v>
      </c>
      <c r="B1203" s="3">
        <v>113.3300157</v>
      </c>
      <c r="C1203" s="3">
        <v>23.01487204</v>
      </c>
      <c r="D1203" s="3">
        <v>19</v>
      </c>
    </row>
    <row r="1204" spans="1:4" x14ac:dyDescent="0.2">
      <c r="A1204" s="3">
        <v>1203</v>
      </c>
      <c r="B1204" s="3">
        <v>113.32663410000001</v>
      </c>
      <c r="C1204" s="3">
        <v>23.02222429</v>
      </c>
      <c r="D1204" s="3">
        <v>30</v>
      </c>
    </row>
    <row r="1205" spans="1:4" x14ac:dyDescent="0.2">
      <c r="A1205" s="3">
        <v>1204</v>
      </c>
      <c r="B1205" s="3">
        <v>113.3268147</v>
      </c>
      <c r="C1205" s="3">
        <v>23.022459850000001</v>
      </c>
      <c r="D1205" s="3">
        <v>30</v>
      </c>
    </row>
    <row r="1206" spans="1:4" x14ac:dyDescent="0.2">
      <c r="A1206" s="3">
        <v>1205</v>
      </c>
      <c r="B1206" s="3">
        <v>113.3304887</v>
      </c>
      <c r="C1206" s="3">
        <v>23.016073630000001</v>
      </c>
      <c r="D1206" s="3">
        <v>19</v>
      </c>
    </row>
    <row r="1207" spans="1:4" x14ac:dyDescent="0.2">
      <c r="A1207" s="3">
        <v>1206</v>
      </c>
      <c r="B1207" s="3">
        <v>113.32885109999999</v>
      </c>
      <c r="C1207" s="3">
        <v>23.015461999999999</v>
      </c>
      <c r="D1207" s="3">
        <v>26</v>
      </c>
    </row>
    <row r="1208" spans="1:4" x14ac:dyDescent="0.2">
      <c r="A1208" s="3">
        <v>1207</v>
      </c>
      <c r="B1208" s="3">
        <v>113.33005369999999</v>
      </c>
      <c r="C1208" s="3">
        <v>23.014357199999999</v>
      </c>
      <c r="D1208" s="3">
        <v>19</v>
      </c>
    </row>
    <row r="1209" spans="1:4" x14ac:dyDescent="0.2">
      <c r="A1209" s="3">
        <v>1208</v>
      </c>
      <c r="B1209" s="3">
        <v>113.3308698</v>
      </c>
      <c r="C1209" s="3">
        <v>23.01741333</v>
      </c>
      <c r="D1209" s="3">
        <v>19</v>
      </c>
    </row>
    <row r="1210" spans="1:4" x14ac:dyDescent="0.2">
      <c r="A1210" s="3">
        <v>1209</v>
      </c>
      <c r="B1210" s="3">
        <v>113.3272139</v>
      </c>
      <c r="C1210" s="3">
        <v>23.02279394</v>
      </c>
      <c r="D1210" s="3">
        <v>30</v>
      </c>
    </row>
    <row r="1211" spans="1:4" x14ac:dyDescent="0.2">
      <c r="A1211" s="3">
        <v>1210</v>
      </c>
      <c r="B1211" s="3">
        <v>113.3293535</v>
      </c>
      <c r="C1211" s="3">
        <v>23.023376620000001</v>
      </c>
      <c r="D1211" s="3">
        <v>30</v>
      </c>
    </row>
    <row r="1212" spans="1:4" x14ac:dyDescent="0.2">
      <c r="A1212" s="3">
        <v>1211</v>
      </c>
      <c r="B1212" s="3">
        <v>113.3306874</v>
      </c>
      <c r="C1212" s="3">
        <v>23.014561910000001</v>
      </c>
      <c r="D1212" s="3">
        <v>19</v>
      </c>
    </row>
    <row r="1213" spans="1:4" x14ac:dyDescent="0.2">
      <c r="A1213" s="3">
        <v>1212</v>
      </c>
      <c r="B1213" s="3">
        <v>113.32953670000001</v>
      </c>
      <c r="C1213" s="3">
        <v>23.01451711</v>
      </c>
      <c r="D1213" s="3">
        <v>26</v>
      </c>
    </row>
    <row r="1214" spans="1:4" x14ac:dyDescent="0.2">
      <c r="A1214" s="3">
        <v>1213</v>
      </c>
      <c r="B1214" s="3">
        <v>113.3281935</v>
      </c>
      <c r="C1214" s="3">
        <v>23.013873929999999</v>
      </c>
      <c r="D1214" s="3">
        <v>26</v>
      </c>
    </row>
    <row r="1215" spans="1:4" x14ac:dyDescent="0.2">
      <c r="A1215" s="3">
        <v>1214</v>
      </c>
      <c r="B1215" s="3">
        <v>113.3286466</v>
      </c>
      <c r="C1215" s="3">
        <v>23.013993020000001</v>
      </c>
      <c r="D1215" s="3">
        <v>26</v>
      </c>
    </row>
    <row r="1216" spans="1:4" x14ac:dyDescent="0.2">
      <c r="A1216" s="3">
        <v>1215</v>
      </c>
      <c r="B1216" s="3">
        <v>113.33127899999999</v>
      </c>
      <c r="C1216" s="3">
        <v>23.01680782</v>
      </c>
      <c r="D1216" s="3">
        <v>19</v>
      </c>
    </row>
    <row r="1217" spans="1:4" x14ac:dyDescent="0.2">
      <c r="A1217" s="3">
        <v>1216</v>
      </c>
      <c r="B1217" s="3">
        <v>113.32944089999999</v>
      </c>
      <c r="C1217" s="3">
        <v>23.014179429999999</v>
      </c>
      <c r="D1217" s="3">
        <v>26</v>
      </c>
    </row>
    <row r="1218" spans="1:4" x14ac:dyDescent="0.2">
      <c r="A1218" s="3">
        <v>1217</v>
      </c>
      <c r="B1218" s="3">
        <v>113.3303112</v>
      </c>
      <c r="C1218" s="3">
        <v>23.013971869999999</v>
      </c>
      <c r="D1218" s="3">
        <v>19</v>
      </c>
    </row>
    <row r="1219" spans="1:4" x14ac:dyDescent="0.2">
      <c r="A1219" s="3">
        <v>1218</v>
      </c>
      <c r="B1219" s="3">
        <v>113.3311264</v>
      </c>
      <c r="C1219" s="3">
        <v>23.016593199999999</v>
      </c>
      <c r="D1219" s="3">
        <v>19</v>
      </c>
    </row>
    <row r="1220" spans="1:4" x14ac:dyDescent="0.2">
      <c r="A1220" s="3">
        <v>1219</v>
      </c>
      <c r="B1220" s="3">
        <v>113.32642559999999</v>
      </c>
      <c r="C1220" s="3">
        <v>23.021537989999999</v>
      </c>
      <c r="D1220" s="3">
        <v>30</v>
      </c>
    </row>
    <row r="1221" spans="1:4" x14ac:dyDescent="0.2">
      <c r="A1221" s="3">
        <v>1220</v>
      </c>
      <c r="B1221" s="3">
        <v>113.3314878</v>
      </c>
      <c r="C1221" s="3">
        <v>23.014353490000001</v>
      </c>
      <c r="D1221" s="3">
        <v>19</v>
      </c>
    </row>
    <row r="1222" spans="1:4" x14ac:dyDescent="0.2">
      <c r="A1222" s="3">
        <v>1221</v>
      </c>
      <c r="B1222" s="3">
        <v>113.32569410000001</v>
      </c>
      <c r="C1222" s="3">
        <v>23.021946209999999</v>
      </c>
      <c r="D1222" s="3">
        <v>30</v>
      </c>
    </row>
    <row r="1223" spans="1:4" x14ac:dyDescent="0.2">
      <c r="A1223" s="3">
        <v>1222</v>
      </c>
      <c r="B1223" s="3">
        <v>113.33147630000001</v>
      </c>
      <c r="C1223" s="3">
        <v>23.022309069999999</v>
      </c>
      <c r="D1223" s="3">
        <v>30</v>
      </c>
    </row>
    <row r="1224" spans="1:4" x14ac:dyDescent="0.2">
      <c r="A1224" s="3">
        <v>1223</v>
      </c>
      <c r="B1224" s="3">
        <v>113.3236745</v>
      </c>
      <c r="C1224" s="3">
        <v>23.017331070000001</v>
      </c>
      <c r="D1224" s="3">
        <v>26</v>
      </c>
    </row>
    <row r="1225" spans="1:4" x14ac:dyDescent="0.2">
      <c r="A1225" s="3">
        <v>1224</v>
      </c>
      <c r="B1225" s="3">
        <v>113.32912</v>
      </c>
      <c r="C1225" s="3">
        <v>23.02343304</v>
      </c>
      <c r="D1225" s="3">
        <v>30</v>
      </c>
    </row>
    <row r="1226" spans="1:4" x14ac:dyDescent="0.2">
      <c r="A1226" s="3">
        <v>1225</v>
      </c>
      <c r="B1226" s="3">
        <v>113.3262739</v>
      </c>
      <c r="C1226" s="3">
        <v>23.021919109999999</v>
      </c>
      <c r="D1226" s="3">
        <v>30</v>
      </c>
    </row>
    <row r="1227" spans="1:4" x14ac:dyDescent="0.2">
      <c r="A1227" s="3">
        <v>1226</v>
      </c>
      <c r="B1227" s="3">
        <v>113.3284695</v>
      </c>
      <c r="C1227" s="3">
        <v>23.020831399999999</v>
      </c>
      <c r="D1227" s="3">
        <v>30</v>
      </c>
    </row>
    <row r="1228" spans="1:4" x14ac:dyDescent="0.2">
      <c r="A1228" s="3">
        <v>1227</v>
      </c>
      <c r="B1228" s="3">
        <v>113.3293585</v>
      </c>
      <c r="C1228" s="3">
        <v>23.0231767</v>
      </c>
      <c r="D1228" s="3">
        <v>30</v>
      </c>
    </row>
    <row r="1229" spans="1:4" x14ac:dyDescent="0.2">
      <c r="A1229" s="3">
        <v>1228</v>
      </c>
      <c r="B1229" s="3">
        <v>113.3315983</v>
      </c>
      <c r="C1229" s="3">
        <v>23.01817063</v>
      </c>
      <c r="D1229" s="3">
        <v>19</v>
      </c>
    </row>
    <row r="1230" spans="1:4" x14ac:dyDescent="0.2">
      <c r="A1230" s="3">
        <v>1229</v>
      </c>
      <c r="B1230" s="3">
        <v>113.3309276</v>
      </c>
      <c r="C1230" s="3">
        <v>23.018687669999998</v>
      </c>
      <c r="D1230" s="3">
        <v>19</v>
      </c>
    </row>
    <row r="1231" spans="1:4" x14ac:dyDescent="0.2">
      <c r="A1231" s="3">
        <v>1230</v>
      </c>
      <c r="B1231" s="3">
        <v>113.3313917</v>
      </c>
      <c r="C1231" s="3">
        <v>23.01815203</v>
      </c>
      <c r="D1231" s="3">
        <v>19</v>
      </c>
    </row>
    <row r="1232" spans="1:4" x14ac:dyDescent="0.2">
      <c r="A1232" s="3">
        <v>1231</v>
      </c>
      <c r="B1232" s="3">
        <v>113.3295607</v>
      </c>
      <c r="C1232" s="3">
        <v>23.014479080000001</v>
      </c>
      <c r="D1232" s="3">
        <v>26</v>
      </c>
    </row>
    <row r="1233" spans="1:4" x14ac:dyDescent="0.2">
      <c r="A1233" s="3">
        <v>1232</v>
      </c>
      <c r="B1233" s="3">
        <v>113.3282614</v>
      </c>
      <c r="C1233" s="3">
        <v>23.01369888</v>
      </c>
      <c r="D1233" s="3">
        <v>26</v>
      </c>
    </row>
    <row r="1234" spans="1:4" x14ac:dyDescent="0.2">
      <c r="A1234" s="3">
        <v>1233</v>
      </c>
      <c r="B1234" s="3">
        <v>113.3309429</v>
      </c>
      <c r="C1234" s="3">
        <v>23.01412062</v>
      </c>
      <c r="D1234" s="3">
        <v>19</v>
      </c>
    </row>
    <row r="1235" spans="1:4" x14ac:dyDescent="0.2">
      <c r="A1235" s="3">
        <v>1234</v>
      </c>
      <c r="B1235" s="3">
        <v>113.327172</v>
      </c>
      <c r="C1235" s="3">
        <v>23.023335790000001</v>
      </c>
      <c r="D1235" s="3">
        <v>30</v>
      </c>
    </row>
    <row r="1236" spans="1:4" x14ac:dyDescent="0.2">
      <c r="A1236" s="3">
        <v>1235</v>
      </c>
      <c r="B1236" s="3">
        <v>113.3295102</v>
      </c>
      <c r="C1236" s="3">
        <v>23.023270369999999</v>
      </c>
      <c r="D1236" s="3">
        <v>30</v>
      </c>
    </row>
    <row r="1237" spans="1:4" x14ac:dyDescent="0.2">
      <c r="A1237" s="3">
        <v>1236</v>
      </c>
      <c r="B1237" s="3">
        <v>113.33142170000001</v>
      </c>
      <c r="C1237" s="3">
        <v>23.018028019999999</v>
      </c>
      <c r="D1237" s="3">
        <v>19</v>
      </c>
    </row>
    <row r="1238" spans="1:4" x14ac:dyDescent="0.2">
      <c r="A1238" s="3">
        <v>1237</v>
      </c>
      <c r="B1238" s="3">
        <v>113.3307746</v>
      </c>
      <c r="C1238" s="3">
        <v>23.0234509</v>
      </c>
      <c r="D1238" s="3">
        <v>30</v>
      </c>
    </row>
    <row r="1239" spans="1:4" x14ac:dyDescent="0.2">
      <c r="A1239" s="3">
        <v>1238</v>
      </c>
      <c r="B1239" s="3">
        <v>113.33275709999999</v>
      </c>
      <c r="C1239" s="3">
        <v>23.016911</v>
      </c>
      <c r="D1239" s="3">
        <v>19</v>
      </c>
    </row>
    <row r="1240" spans="1:4" x14ac:dyDescent="0.2">
      <c r="A1240" s="3">
        <v>1239</v>
      </c>
      <c r="B1240" s="3">
        <v>113.33768019999999</v>
      </c>
      <c r="C1240" s="3">
        <v>23.018303280000001</v>
      </c>
      <c r="D1240" s="3">
        <v>19</v>
      </c>
    </row>
    <row r="1241" spans="1:4" x14ac:dyDescent="0.2">
      <c r="A1241" s="3">
        <v>1240</v>
      </c>
      <c r="B1241" s="3">
        <v>113.3365675</v>
      </c>
      <c r="C1241" s="3">
        <v>23.017311750000001</v>
      </c>
      <c r="D1241" s="3">
        <v>19</v>
      </c>
    </row>
    <row r="1242" spans="1:4" x14ac:dyDescent="0.2">
      <c r="A1242" s="3">
        <v>1241</v>
      </c>
      <c r="B1242" s="3">
        <v>113.3376872</v>
      </c>
      <c r="C1242" s="3">
        <v>23.01876807</v>
      </c>
      <c r="D1242" s="3">
        <v>19</v>
      </c>
    </row>
    <row r="1243" spans="1:4" x14ac:dyDescent="0.2">
      <c r="A1243" s="3">
        <v>1242</v>
      </c>
      <c r="B1243" s="3">
        <v>113.3351724</v>
      </c>
      <c r="C1243" s="3">
        <v>23.014355599999998</v>
      </c>
      <c r="D1243" s="3">
        <v>19</v>
      </c>
    </row>
    <row r="1244" spans="1:4" x14ac:dyDescent="0.2">
      <c r="A1244" s="3">
        <v>1243</v>
      </c>
      <c r="B1244" s="3">
        <v>113.3374785</v>
      </c>
      <c r="C1244" s="3">
        <v>23.02012586</v>
      </c>
      <c r="D1244" s="3">
        <v>19</v>
      </c>
    </row>
    <row r="1245" spans="1:4" x14ac:dyDescent="0.2">
      <c r="A1245" s="3">
        <v>1244</v>
      </c>
      <c r="B1245" s="3">
        <v>113.33872820000001</v>
      </c>
      <c r="C1245" s="3">
        <v>23.018293379999999</v>
      </c>
      <c r="D1245" s="3">
        <v>19</v>
      </c>
    </row>
    <row r="1246" spans="1:4" x14ac:dyDescent="0.2">
      <c r="A1246" s="3">
        <v>1245</v>
      </c>
      <c r="B1246" s="3">
        <v>113.33461610000001</v>
      </c>
      <c r="C1246" s="3">
        <v>23.02049598</v>
      </c>
      <c r="D1246" s="3">
        <v>19</v>
      </c>
    </row>
    <row r="1247" spans="1:4" x14ac:dyDescent="0.2">
      <c r="A1247" s="3">
        <v>1246</v>
      </c>
      <c r="B1247" s="3">
        <v>113.33401449999999</v>
      </c>
      <c r="C1247" s="3">
        <v>23.017541380000001</v>
      </c>
      <c r="D1247" s="3">
        <v>19</v>
      </c>
    </row>
    <row r="1248" spans="1:4" x14ac:dyDescent="0.2">
      <c r="A1248" s="3">
        <v>1247</v>
      </c>
      <c r="B1248" s="3">
        <v>113.3333768</v>
      </c>
      <c r="C1248" s="3">
        <v>23.017205709999999</v>
      </c>
      <c r="D1248" s="3">
        <v>19</v>
      </c>
    </row>
    <row r="1249" spans="1:4" x14ac:dyDescent="0.2">
      <c r="A1249" s="3">
        <v>1248</v>
      </c>
      <c r="B1249" s="3">
        <v>113.33852570000001</v>
      </c>
      <c r="C1249" s="3">
        <v>23.016554500000002</v>
      </c>
      <c r="D1249" s="3">
        <v>19</v>
      </c>
    </row>
    <row r="1250" spans="1:4" x14ac:dyDescent="0.2">
      <c r="A1250" s="3">
        <v>1249</v>
      </c>
      <c r="B1250" s="3">
        <v>113.34020940000001</v>
      </c>
      <c r="C1250" s="3">
        <v>23.018045820000001</v>
      </c>
      <c r="D1250" s="3">
        <v>19</v>
      </c>
    </row>
    <row r="1251" spans="1:4" x14ac:dyDescent="0.2">
      <c r="A1251" s="3">
        <v>1250</v>
      </c>
      <c r="B1251" s="3">
        <v>113.3359219</v>
      </c>
      <c r="C1251" s="3">
        <v>23.01513388</v>
      </c>
      <c r="D1251" s="3">
        <v>19</v>
      </c>
    </row>
    <row r="1252" spans="1:4" x14ac:dyDescent="0.2">
      <c r="A1252" s="3">
        <v>1251</v>
      </c>
      <c r="B1252" s="3">
        <v>113.3337981</v>
      </c>
      <c r="C1252" s="3">
        <v>23.015737560000002</v>
      </c>
      <c r="D1252" s="3">
        <v>19</v>
      </c>
    </row>
    <row r="1253" spans="1:4" x14ac:dyDescent="0.2">
      <c r="A1253" s="3">
        <v>1252</v>
      </c>
      <c r="B1253" s="3">
        <v>113.3377131</v>
      </c>
      <c r="C1253" s="3">
        <v>23.018760029999999</v>
      </c>
      <c r="D1253" s="3">
        <v>19</v>
      </c>
    </row>
    <row r="1254" spans="1:4" x14ac:dyDescent="0.2">
      <c r="A1254" s="3">
        <v>1253</v>
      </c>
      <c r="B1254" s="3">
        <v>113.33614350000001</v>
      </c>
      <c r="C1254" s="3">
        <v>23.01451574</v>
      </c>
      <c r="D1254" s="3">
        <v>19</v>
      </c>
    </row>
    <row r="1255" spans="1:4" x14ac:dyDescent="0.2">
      <c r="A1255" s="3">
        <v>1254</v>
      </c>
      <c r="B1255" s="3">
        <v>113.33392569999999</v>
      </c>
      <c r="C1255" s="3">
        <v>23.01679386</v>
      </c>
      <c r="D1255" s="3">
        <v>19</v>
      </c>
    </row>
    <row r="1256" spans="1:4" x14ac:dyDescent="0.2">
      <c r="A1256" s="3">
        <v>1255</v>
      </c>
      <c r="B1256" s="3">
        <v>113.33295870000001</v>
      </c>
      <c r="C1256" s="3">
        <v>23.016187930000001</v>
      </c>
      <c r="D1256" s="3">
        <v>19</v>
      </c>
    </row>
    <row r="1257" spans="1:4" x14ac:dyDescent="0.2">
      <c r="A1257" s="3">
        <v>1256</v>
      </c>
      <c r="B1257" s="3">
        <v>113.3336123</v>
      </c>
      <c r="C1257" s="3">
        <v>23.017462160000001</v>
      </c>
      <c r="D1257" s="3">
        <v>19</v>
      </c>
    </row>
    <row r="1258" spans="1:4" x14ac:dyDescent="0.2">
      <c r="A1258" s="3">
        <v>1257</v>
      </c>
      <c r="B1258" s="3">
        <v>113.3351704</v>
      </c>
      <c r="C1258" s="3">
        <v>23.014354610000002</v>
      </c>
      <c r="D1258" s="3">
        <v>19</v>
      </c>
    </row>
    <row r="1259" spans="1:4" x14ac:dyDescent="0.2">
      <c r="A1259" s="3">
        <v>1258</v>
      </c>
      <c r="B1259" s="3">
        <v>113.3328909</v>
      </c>
      <c r="C1259" s="3">
        <v>23.015809220000001</v>
      </c>
      <c r="D1259" s="3">
        <v>19</v>
      </c>
    </row>
    <row r="1260" spans="1:4" x14ac:dyDescent="0.2">
      <c r="A1260" s="3">
        <v>1259</v>
      </c>
      <c r="B1260" s="3">
        <v>113.3348989</v>
      </c>
      <c r="C1260" s="3">
        <v>23.014892880000001</v>
      </c>
      <c r="D1260" s="3">
        <v>19</v>
      </c>
    </row>
    <row r="1261" spans="1:4" x14ac:dyDescent="0.2">
      <c r="A1261" s="3">
        <v>1260</v>
      </c>
      <c r="B1261" s="3">
        <v>113.33451669999999</v>
      </c>
      <c r="C1261" s="3">
        <v>23.014225880000001</v>
      </c>
      <c r="D1261" s="3">
        <v>19</v>
      </c>
    </row>
    <row r="1262" spans="1:4" x14ac:dyDescent="0.2">
      <c r="A1262" s="3">
        <v>1261</v>
      </c>
      <c r="B1262" s="3">
        <v>113.33991109999999</v>
      </c>
      <c r="C1262" s="3">
        <v>23.016339089999999</v>
      </c>
      <c r="D1262" s="3">
        <v>19</v>
      </c>
    </row>
    <row r="1263" spans="1:4" x14ac:dyDescent="0.2">
      <c r="A1263" s="3">
        <v>1262</v>
      </c>
      <c r="B1263" s="3">
        <v>113.3338838</v>
      </c>
      <c r="C1263" s="3">
        <v>23.016642010000002</v>
      </c>
      <c r="D1263" s="3">
        <v>19</v>
      </c>
    </row>
    <row r="1264" spans="1:4" x14ac:dyDescent="0.2">
      <c r="A1264" s="3">
        <v>1263</v>
      </c>
      <c r="B1264" s="3">
        <v>113.332296</v>
      </c>
      <c r="C1264" s="3">
        <v>23.01702182</v>
      </c>
      <c r="D1264" s="3">
        <v>19</v>
      </c>
    </row>
    <row r="1265" spans="1:4" x14ac:dyDescent="0.2">
      <c r="A1265" s="3">
        <v>1264</v>
      </c>
      <c r="B1265" s="3">
        <v>113.3347014</v>
      </c>
      <c r="C1265" s="3">
        <v>23.014404450000001</v>
      </c>
      <c r="D1265" s="3">
        <v>19</v>
      </c>
    </row>
    <row r="1266" spans="1:4" x14ac:dyDescent="0.2">
      <c r="A1266" s="3">
        <v>1265</v>
      </c>
      <c r="B1266" s="3">
        <v>113.33214030000001</v>
      </c>
      <c r="C1266" s="3">
        <v>23.01686917</v>
      </c>
      <c r="D1266" s="3">
        <v>19</v>
      </c>
    </row>
    <row r="1267" spans="1:4" x14ac:dyDescent="0.2">
      <c r="A1267" s="3">
        <v>1266</v>
      </c>
      <c r="B1267" s="3">
        <v>113.3325316</v>
      </c>
      <c r="C1267" s="3">
        <v>23.01629969</v>
      </c>
      <c r="D1267" s="3">
        <v>19</v>
      </c>
    </row>
    <row r="1268" spans="1:4" x14ac:dyDescent="0.2">
      <c r="A1268" s="3">
        <v>1267</v>
      </c>
      <c r="B1268" s="3">
        <v>113.33242970000001</v>
      </c>
      <c r="C1268" s="3">
        <v>23.017016569999999</v>
      </c>
      <c r="D1268" s="3">
        <v>19</v>
      </c>
    </row>
    <row r="1269" spans="1:4" x14ac:dyDescent="0.2">
      <c r="A1269" s="3">
        <v>1268</v>
      </c>
      <c r="B1269" s="3">
        <v>113.3390946</v>
      </c>
      <c r="C1269" s="3">
        <v>23.017022269999998</v>
      </c>
      <c r="D1269" s="3">
        <v>19</v>
      </c>
    </row>
    <row r="1270" spans="1:4" x14ac:dyDescent="0.2">
      <c r="A1270" s="3">
        <v>1269</v>
      </c>
      <c r="B1270" s="3">
        <v>113.3337652</v>
      </c>
      <c r="C1270" s="3">
        <v>23.014880990000002</v>
      </c>
      <c r="D1270" s="3">
        <v>19</v>
      </c>
    </row>
    <row r="1271" spans="1:4" x14ac:dyDescent="0.2">
      <c r="A1271" s="3">
        <v>1270</v>
      </c>
      <c r="B1271" s="3">
        <v>113.3393252</v>
      </c>
      <c r="C1271" s="3">
        <v>23.016513069999998</v>
      </c>
      <c r="D1271" s="3">
        <v>19</v>
      </c>
    </row>
    <row r="1272" spans="1:4" x14ac:dyDescent="0.2">
      <c r="A1272" s="3">
        <v>1271</v>
      </c>
      <c r="B1272" s="3">
        <v>113.3346478</v>
      </c>
      <c r="C1272" s="3">
        <v>23.02360358</v>
      </c>
      <c r="D1272" s="3">
        <v>30</v>
      </c>
    </row>
    <row r="1273" spans="1:4" x14ac:dyDescent="0.2">
      <c r="A1273" s="3">
        <v>1272</v>
      </c>
      <c r="B1273" s="3">
        <v>113.3374975</v>
      </c>
      <c r="C1273" s="3">
        <v>23.020107840000001</v>
      </c>
      <c r="D1273" s="3">
        <v>19</v>
      </c>
    </row>
    <row r="1274" spans="1:4" x14ac:dyDescent="0.2">
      <c r="A1274" s="3">
        <v>1273</v>
      </c>
      <c r="B1274" s="3">
        <v>113.3394461</v>
      </c>
      <c r="C1274" s="3">
        <v>23.014666649999999</v>
      </c>
      <c r="D1274" s="3">
        <v>19</v>
      </c>
    </row>
    <row r="1275" spans="1:4" x14ac:dyDescent="0.2">
      <c r="A1275" s="3">
        <v>1274</v>
      </c>
      <c r="B1275" s="3">
        <v>113.33568529999999</v>
      </c>
      <c r="C1275" s="3">
        <v>23.015858999999999</v>
      </c>
      <c r="D1275" s="3">
        <v>19</v>
      </c>
    </row>
    <row r="1276" spans="1:4" x14ac:dyDescent="0.2">
      <c r="A1276" s="3">
        <v>1275</v>
      </c>
      <c r="B1276" s="3">
        <v>113.33338980000001</v>
      </c>
      <c r="C1276" s="3">
        <v>23.016876830000001</v>
      </c>
      <c r="D1276" s="3">
        <v>19</v>
      </c>
    </row>
    <row r="1277" spans="1:4" x14ac:dyDescent="0.2">
      <c r="A1277" s="3">
        <v>1276</v>
      </c>
      <c r="B1277" s="3">
        <v>113.3319328</v>
      </c>
      <c r="C1277" s="3">
        <v>23.01501537</v>
      </c>
      <c r="D1277" s="3">
        <v>19</v>
      </c>
    </row>
    <row r="1278" spans="1:4" x14ac:dyDescent="0.2">
      <c r="A1278" s="3">
        <v>1277</v>
      </c>
      <c r="B1278" s="3">
        <v>113.33267789999999</v>
      </c>
      <c r="C1278" s="3">
        <v>23.021391210000001</v>
      </c>
      <c r="D1278" s="3">
        <v>30</v>
      </c>
    </row>
    <row r="1279" spans="1:4" x14ac:dyDescent="0.2">
      <c r="A1279" s="3">
        <v>1278</v>
      </c>
      <c r="B1279" s="3">
        <v>113.33363749999999</v>
      </c>
      <c r="C1279" s="3">
        <v>23.0142515</v>
      </c>
      <c r="D1279" s="3">
        <v>19</v>
      </c>
    </row>
    <row r="1280" spans="1:4" x14ac:dyDescent="0.2">
      <c r="A1280" s="3">
        <v>1279</v>
      </c>
      <c r="B1280" s="3">
        <v>113.3337363</v>
      </c>
      <c r="C1280" s="3">
        <v>23.01447722</v>
      </c>
      <c r="D1280" s="3">
        <v>19</v>
      </c>
    </row>
    <row r="1281" spans="1:4" x14ac:dyDescent="0.2">
      <c r="A1281" s="3">
        <v>1280</v>
      </c>
      <c r="B1281" s="3">
        <v>113.34120369999999</v>
      </c>
      <c r="C1281" s="3">
        <v>23.01460453</v>
      </c>
      <c r="D1281" s="3">
        <v>19</v>
      </c>
    </row>
    <row r="1282" spans="1:4" x14ac:dyDescent="0.2">
      <c r="A1282" s="3">
        <v>1281</v>
      </c>
      <c r="B1282" s="3">
        <v>113.3317139</v>
      </c>
      <c r="C1282" s="3">
        <v>23.021003189999998</v>
      </c>
      <c r="D1282" s="3">
        <v>30</v>
      </c>
    </row>
    <row r="1283" spans="1:4" x14ac:dyDescent="0.2">
      <c r="A1283" s="3">
        <v>1282</v>
      </c>
      <c r="B1283" s="3">
        <v>113.3326343</v>
      </c>
      <c r="C1283" s="3">
        <v>23.01657337</v>
      </c>
      <c r="D1283" s="3">
        <v>19</v>
      </c>
    </row>
    <row r="1284" spans="1:4" x14ac:dyDescent="0.2">
      <c r="A1284" s="3">
        <v>1283</v>
      </c>
      <c r="B1284" s="3">
        <v>113.3323455</v>
      </c>
      <c r="C1284" s="3">
        <v>23.022295440000001</v>
      </c>
      <c r="D1284" s="3">
        <v>30</v>
      </c>
    </row>
    <row r="1285" spans="1:4" x14ac:dyDescent="0.2">
      <c r="A1285" s="3">
        <v>1284</v>
      </c>
      <c r="B1285" s="3">
        <v>113.34129059999999</v>
      </c>
      <c r="C1285" s="3">
        <v>23.013885689999999</v>
      </c>
      <c r="D1285" s="3">
        <v>19</v>
      </c>
    </row>
    <row r="1286" spans="1:4" x14ac:dyDescent="0.2">
      <c r="A1286" s="3">
        <v>1285</v>
      </c>
      <c r="B1286" s="3">
        <v>113.3363452</v>
      </c>
      <c r="C1286" s="3">
        <v>23.013859650000001</v>
      </c>
      <c r="D1286" s="3">
        <v>19</v>
      </c>
    </row>
    <row r="1287" spans="1:4" x14ac:dyDescent="0.2">
      <c r="A1287" s="3">
        <v>1286</v>
      </c>
      <c r="B1287" s="3">
        <v>113.33241080000001</v>
      </c>
      <c r="C1287" s="3">
        <v>23.016868670000001</v>
      </c>
      <c r="D1287" s="3">
        <v>19</v>
      </c>
    </row>
    <row r="1288" spans="1:4" x14ac:dyDescent="0.2">
      <c r="A1288" s="3">
        <v>1287</v>
      </c>
      <c r="B1288" s="3">
        <v>113.33938019999999</v>
      </c>
      <c r="C1288" s="3">
        <v>23.015467430000001</v>
      </c>
      <c r="D1288" s="3">
        <v>19</v>
      </c>
    </row>
    <row r="1289" spans="1:4" x14ac:dyDescent="0.2">
      <c r="A1289" s="3">
        <v>1288</v>
      </c>
      <c r="B1289" s="3">
        <v>113.3336594</v>
      </c>
      <c r="C1289" s="3">
        <v>23.014144510000001</v>
      </c>
      <c r="D1289" s="3">
        <v>19</v>
      </c>
    </row>
    <row r="1290" spans="1:4" x14ac:dyDescent="0.2">
      <c r="A1290" s="3">
        <v>1289</v>
      </c>
      <c r="B1290" s="3">
        <v>113.3392934</v>
      </c>
      <c r="C1290" s="3">
        <v>23.014567970000002</v>
      </c>
      <c r="D1290" s="3">
        <v>19</v>
      </c>
    </row>
    <row r="1291" spans="1:4" x14ac:dyDescent="0.2">
      <c r="A1291" s="3">
        <v>1290</v>
      </c>
      <c r="B1291" s="3">
        <v>113.33288779999999</v>
      </c>
      <c r="C1291" s="3">
        <v>23.017273599999999</v>
      </c>
      <c r="D1291" s="3">
        <v>19</v>
      </c>
    </row>
    <row r="1292" spans="1:4" x14ac:dyDescent="0.2">
      <c r="A1292" s="3">
        <v>1291</v>
      </c>
      <c r="B1292" s="3">
        <v>113.3421197</v>
      </c>
      <c r="C1292" s="3">
        <v>23.01977467</v>
      </c>
      <c r="D1292" s="3">
        <v>19</v>
      </c>
    </row>
    <row r="1293" spans="1:4" x14ac:dyDescent="0.2">
      <c r="A1293" s="3">
        <v>1292</v>
      </c>
      <c r="B1293" s="3">
        <v>113.3446213</v>
      </c>
      <c r="C1293" s="3">
        <v>23.015635100000001</v>
      </c>
      <c r="D1293" s="3">
        <v>19</v>
      </c>
    </row>
    <row r="1294" spans="1:4" x14ac:dyDescent="0.2">
      <c r="A1294" s="3">
        <v>1293</v>
      </c>
      <c r="B1294" s="3">
        <v>113.3454868</v>
      </c>
      <c r="C1294" s="3">
        <v>23.015013880000001</v>
      </c>
      <c r="D1294" s="3">
        <v>19</v>
      </c>
    </row>
    <row r="1295" spans="1:4" x14ac:dyDescent="0.2">
      <c r="A1295" s="3">
        <v>1294</v>
      </c>
      <c r="B1295" s="3">
        <v>113.3447741</v>
      </c>
      <c r="C1295" s="3">
        <v>23.015233009999999</v>
      </c>
      <c r="D1295" s="3">
        <v>19</v>
      </c>
    </row>
    <row r="1296" spans="1:4" x14ac:dyDescent="0.2">
      <c r="A1296" s="3">
        <v>1295</v>
      </c>
      <c r="B1296" s="3">
        <v>113.3441353</v>
      </c>
      <c r="C1296" s="3">
        <v>23.01443446</v>
      </c>
      <c r="D1296" s="3">
        <v>19</v>
      </c>
    </row>
    <row r="1297" spans="1:4" x14ac:dyDescent="0.2">
      <c r="A1297" s="3">
        <v>1296</v>
      </c>
      <c r="B1297" s="3">
        <v>113.3455817</v>
      </c>
      <c r="C1297" s="3">
        <v>23.014197079999999</v>
      </c>
      <c r="D1297" s="3">
        <v>19</v>
      </c>
    </row>
    <row r="1298" spans="1:4" x14ac:dyDescent="0.2">
      <c r="A1298" s="3">
        <v>1297</v>
      </c>
      <c r="B1298" s="3">
        <v>113.3436042</v>
      </c>
      <c r="C1298" s="3">
        <v>23.014933169999999</v>
      </c>
      <c r="D1298" s="3">
        <v>19</v>
      </c>
    </row>
    <row r="1299" spans="1:4" x14ac:dyDescent="0.2">
      <c r="A1299" s="3">
        <v>1298</v>
      </c>
      <c r="B1299" s="3">
        <v>113.35051300000001</v>
      </c>
      <c r="C1299" s="3">
        <v>23.015490329999999</v>
      </c>
      <c r="D1299" s="3">
        <v>19</v>
      </c>
    </row>
    <row r="1300" spans="1:4" x14ac:dyDescent="0.2">
      <c r="A1300" s="3">
        <v>1299</v>
      </c>
      <c r="B1300" s="3">
        <v>113.3417627</v>
      </c>
      <c r="C1300" s="3">
        <v>23.014541569999999</v>
      </c>
      <c r="D1300" s="3">
        <v>19</v>
      </c>
    </row>
    <row r="1301" spans="1:4" x14ac:dyDescent="0.2">
      <c r="A1301" s="3">
        <v>1300</v>
      </c>
      <c r="B1301" s="3">
        <v>113.34965149999999</v>
      </c>
      <c r="C1301" s="3">
        <v>23.015054920000001</v>
      </c>
      <c r="D1301" s="3">
        <v>19</v>
      </c>
    </row>
    <row r="1302" spans="1:4" x14ac:dyDescent="0.2">
      <c r="A1302" s="3">
        <v>1301</v>
      </c>
      <c r="B1302" s="3">
        <v>113.3443709</v>
      </c>
      <c r="C1302" s="3">
        <v>23.014422060000001</v>
      </c>
      <c r="D1302" s="3">
        <v>19</v>
      </c>
    </row>
    <row r="1303" spans="1:4" x14ac:dyDescent="0.2">
      <c r="A1303" s="3">
        <v>1302</v>
      </c>
      <c r="B1303" s="3">
        <v>113.3496853</v>
      </c>
      <c r="C1303" s="3">
        <v>23.016625179999998</v>
      </c>
      <c r="D1303" s="3">
        <v>19</v>
      </c>
    </row>
    <row r="1304" spans="1:4" x14ac:dyDescent="0.2">
      <c r="A1304" s="3">
        <v>1303</v>
      </c>
      <c r="B1304" s="3">
        <v>113.35764810000001</v>
      </c>
      <c r="C1304" s="3">
        <v>23.02163779</v>
      </c>
      <c r="D1304" s="3">
        <v>13</v>
      </c>
    </row>
    <row r="1305" spans="1:4" x14ac:dyDescent="0.2">
      <c r="A1305" s="3">
        <v>1304</v>
      </c>
      <c r="B1305" s="3">
        <v>113.3537295</v>
      </c>
      <c r="C1305" s="3">
        <v>23.017867240000001</v>
      </c>
      <c r="D1305" s="3">
        <v>19</v>
      </c>
    </row>
    <row r="1306" spans="1:4" x14ac:dyDescent="0.2">
      <c r="A1306" s="3">
        <v>1305</v>
      </c>
      <c r="B1306" s="3">
        <v>113.3610065</v>
      </c>
      <c r="C1306" s="3">
        <v>23.018224589999999</v>
      </c>
      <c r="D1306" s="3">
        <v>38</v>
      </c>
    </row>
    <row r="1307" spans="1:4" x14ac:dyDescent="0.2">
      <c r="A1307" s="3">
        <v>1306</v>
      </c>
      <c r="B1307" s="3">
        <v>113.35512850000001</v>
      </c>
      <c r="C1307" s="3">
        <v>23.013799880000001</v>
      </c>
      <c r="D1307" s="3">
        <v>38</v>
      </c>
    </row>
    <row r="1308" spans="1:4" x14ac:dyDescent="0.2">
      <c r="A1308" s="3">
        <v>1307</v>
      </c>
      <c r="B1308" s="3">
        <v>113.3563126</v>
      </c>
      <c r="C1308" s="3">
        <v>23.014472829999999</v>
      </c>
      <c r="D1308" s="3">
        <v>38</v>
      </c>
    </row>
    <row r="1309" spans="1:4" x14ac:dyDescent="0.2">
      <c r="A1309" s="3">
        <v>1308</v>
      </c>
      <c r="B1309" s="3">
        <v>113.3556188</v>
      </c>
      <c r="C1309" s="3">
        <v>23.01393109</v>
      </c>
      <c r="D1309" s="3">
        <v>38</v>
      </c>
    </row>
    <row r="1310" spans="1:4" x14ac:dyDescent="0.2">
      <c r="A1310" s="3">
        <v>1309</v>
      </c>
      <c r="B1310" s="3">
        <v>113.3525416</v>
      </c>
      <c r="C1310" s="3">
        <v>23.015632050000001</v>
      </c>
      <c r="D1310" s="3">
        <v>19</v>
      </c>
    </row>
    <row r="1311" spans="1:4" x14ac:dyDescent="0.2">
      <c r="A1311" s="3">
        <v>1310</v>
      </c>
      <c r="B1311" s="3">
        <v>113.3589587</v>
      </c>
      <c r="C1311" s="3">
        <v>23.014378059999999</v>
      </c>
      <c r="D1311" s="3">
        <v>38</v>
      </c>
    </row>
    <row r="1312" spans="1:4" x14ac:dyDescent="0.2">
      <c r="A1312" s="3">
        <v>1311</v>
      </c>
      <c r="B1312" s="3">
        <v>113.3637717</v>
      </c>
      <c r="C1312" s="3">
        <v>23.019369489999999</v>
      </c>
      <c r="D1312" s="3">
        <v>38</v>
      </c>
    </row>
    <row r="1313" spans="1:4" x14ac:dyDescent="0.2">
      <c r="A1313" s="3">
        <v>1312</v>
      </c>
      <c r="B1313" s="3">
        <v>113.3679858</v>
      </c>
      <c r="C1313" s="3">
        <v>23.015356180000001</v>
      </c>
      <c r="D1313" s="3">
        <v>38</v>
      </c>
    </row>
    <row r="1314" spans="1:4" x14ac:dyDescent="0.2">
      <c r="A1314" s="3">
        <v>1313</v>
      </c>
      <c r="B1314" s="3">
        <v>113.367024</v>
      </c>
      <c r="C1314" s="3">
        <v>23.014698559999999</v>
      </c>
      <c r="D1314" s="3">
        <v>38</v>
      </c>
    </row>
    <row r="1315" spans="1:4" x14ac:dyDescent="0.2">
      <c r="A1315" s="3">
        <v>1314</v>
      </c>
      <c r="B1315" s="3">
        <v>113.36780299999999</v>
      </c>
      <c r="C1315" s="3">
        <v>23.014952560000001</v>
      </c>
      <c r="D1315" s="3">
        <v>38</v>
      </c>
    </row>
    <row r="1316" spans="1:4" x14ac:dyDescent="0.2">
      <c r="A1316" s="3">
        <v>1315</v>
      </c>
      <c r="B1316" s="3">
        <v>113.3630857</v>
      </c>
      <c r="C1316" s="3">
        <v>23.018345799999999</v>
      </c>
      <c r="D1316" s="3">
        <v>38</v>
      </c>
    </row>
    <row r="1317" spans="1:4" x14ac:dyDescent="0.2">
      <c r="A1317" s="3">
        <v>1316</v>
      </c>
      <c r="B1317" s="3">
        <v>113.3680159</v>
      </c>
      <c r="C1317" s="3">
        <v>23.013941750000001</v>
      </c>
      <c r="D1317" s="3">
        <v>38</v>
      </c>
    </row>
    <row r="1318" spans="1:4" x14ac:dyDescent="0.2">
      <c r="A1318" s="3">
        <v>1317</v>
      </c>
      <c r="B1318" s="3">
        <v>113.3841705</v>
      </c>
      <c r="C1318" s="3">
        <v>23.014950750000001</v>
      </c>
      <c r="D1318" s="3">
        <v>41</v>
      </c>
    </row>
    <row r="1319" spans="1:4" x14ac:dyDescent="0.2">
      <c r="A1319" s="3">
        <v>1318</v>
      </c>
      <c r="B1319" s="3">
        <v>113.3861515</v>
      </c>
      <c r="C1319" s="3">
        <v>23.016177249999998</v>
      </c>
      <c r="D1319" s="3">
        <v>41</v>
      </c>
    </row>
    <row r="1320" spans="1:4" x14ac:dyDescent="0.2">
      <c r="A1320" s="3">
        <v>1319</v>
      </c>
      <c r="B1320" s="3">
        <v>113.38662530000001</v>
      </c>
      <c r="C1320" s="3">
        <v>23.016864739999999</v>
      </c>
      <c r="D1320" s="3">
        <v>41</v>
      </c>
    </row>
    <row r="1321" spans="1:4" x14ac:dyDescent="0.2">
      <c r="A1321" s="3">
        <v>1320</v>
      </c>
      <c r="B1321" s="3">
        <v>113.3905961</v>
      </c>
      <c r="C1321" s="3">
        <v>23.018830510000001</v>
      </c>
      <c r="D1321" s="3">
        <v>41</v>
      </c>
    </row>
    <row r="1322" spans="1:4" x14ac:dyDescent="0.2">
      <c r="A1322" s="3">
        <v>1321</v>
      </c>
      <c r="B1322" s="3">
        <v>113.3841735</v>
      </c>
      <c r="C1322" s="3">
        <v>23.014658870000002</v>
      </c>
      <c r="D1322" s="3">
        <v>41</v>
      </c>
    </row>
    <row r="1323" spans="1:4" x14ac:dyDescent="0.2">
      <c r="A1323" s="3">
        <v>1322</v>
      </c>
      <c r="B1323" s="3">
        <v>113.382328</v>
      </c>
      <c r="C1323" s="3">
        <v>23.02079827</v>
      </c>
      <c r="D1323" s="3">
        <v>41</v>
      </c>
    </row>
    <row r="1324" spans="1:4" x14ac:dyDescent="0.2">
      <c r="A1324" s="3">
        <v>1323</v>
      </c>
      <c r="B1324" s="3">
        <v>113.38852079999999</v>
      </c>
      <c r="C1324" s="3">
        <v>23.014991810000001</v>
      </c>
      <c r="D1324" s="3">
        <v>41</v>
      </c>
    </row>
    <row r="1325" spans="1:4" x14ac:dyDescent="0.2">
      <c r="A1325" s="3">
        <v>1324</v>
      </c>
      <c r="B1325" s="3">
        <v>113.3904114</v>
      </c>
      <c r="C1325" s="3">
        <v>23.014898259999999</v>
      </c>
      <c r="D1325" s="3">
        <v>41</v>
      </c>
    </row>
    <row r="1326" spans="1:4" x14ac:dyDescent="0.2">
      <c r="A1326" s="3">
        <v>1325</v>
      </c>
      <c r="B1326" s="3">
        <v>113.3837501</v>
      </c>
      <c r="C1326" s="3">
        <v>23.022924530000001</v>
      </c>
      <c r="D1326" s="3">
        <v>41</v>
      </c>
    </row>
    <row r="1327" spans="1:4" x14ac:dyDescent="0.2">
      <c r="A1327" s="3">
        <v>1326</v>
      </c>
      <c r="B1327" s="3">
        <v>113.3907164</v>
      </c>
      <c r="C1327" s="3">
        <v>23.013723689999999</v>
      </c>
      <c r="D1327" s="3">
        <v>41</v>
      </c>
    </row>
    <row r="1328" spans="1:4" x14ac:dyDescent="0.2">
      <c r="A1328" s="3">
        <v>1327</v>
      </c>
      <c r="B1328" s="3">
        <v>113.38627750000001</v>
      </c>
      <c r="C1328" s="3">
        <v>23.01629114</v>
      </c>
      <c r="D1328" s="3">
        <v>41</v>
      </c>
    </row>
    <row r="1329" spans="1:4" x14ac:dyDescent="0.2">
      <c r="A1329" s="3">
        <v>1328</v>
      </c>
      <c r="B1329" s="3">
        <v>113.3840355</v>
      </c>
      <c r="C1329" s="3">
        <v>23.014797890000001</v>
      </c>
      <c r="D1329" s="3">
        <v>41</v>
      </c>
    </row>
    <row r="1330" spans="1:4" x14ac:dyDescent="0.2">
      <c r="A1330" s="3">
        <v>1329</v>
      </c>
      <c r="B1330" s="3">
        <v>113.3825488</v>
      </c>
      <c r="C1330" s="3">
        <v>23.022328470000001</v>
      </c>
      <c r="D1330" s="3">
        <v>41</v>
      </c>
    </row>
    <row r="1331" spans="1:4" x14ac:dyDescent="0.2">
      <c r="A1331" s="3">
        <v>1330</v>
      </c>
      <c r="B1331" s="3">
        <v>113.38621550000001</v>
      </c>
      <c r="C1331" s="3">
        <v>23.01634215</v>
      </c>
      <c r="D1331" s="3">
        <v>41</v>
      </c>
    </row>
    <row r="1332" spans="1:4" x14ac:dyDescent="0.2">
      <c r="A1332" s="3">
        <v>1331</v>
      </c>
      <c r="B1332" s="3">
        <v>113.392135</v>
      </c>
      <c r="C1332" s="3">
        <v>23.016724060000001</v>
      </c>
      <c r="D1332" s="3">
        <v>41</v>
      </c>
    </row>
    <row r="1333" spans="1:4" x14ac:dyDescent="0.2">
      <c r="A1333" s="3">
        <v>1332</v>
      </c>
      <c r="B1333" s="3">
        <v>113.39209870000001</v>
      </c>
      <c r="C1333" s="3">
        <v>23.020409480000001</v>
      </c>
      <c r="D1333" s="3">
        <v>41</v>
      </c>
    </row>
    <row r="1334" spans="1:4" x14ac:dyDescent="0.2">
      <c r="A1334" s="3">
        <v>1333</v>
      </c>
      <c r="B1334" s="3">
        <v>113.392066</v>
      </c>
      <c r="C1334" s="3">
        <v>23.016329249999998</v>
      </c>
      <c r="D1334" s="3">
        <v>41</v>
      </c>
    </row>
    <row r="1335" spans="1:4" x14ac:dyDescent="0.2">
      <c r="A1335" s="3">
        <v>1334</v>
      </c>
      <c r="B1335" s="3">
        <v>113.39631850000001</v>
      </c>
      <c r="C1335" s="3">
        <v>23.022853959999999</v>
      </c>
      <c r="D1335" s="3">
        <v>41</v>
      </c>
    </row>
    <row r="1336" spans="1:4" x14ac:dyDescent="0.2">
      <c r="A1336" s="3">
        <v>1335</v>
      </c>
      <c r="B1336" s="3">
        <v>113.4096806</v>
      </c>
      <c r="C1336" s="3">
        <v>23.01615361</v>
      </c>
      <c r="D1336" s="3">
        <v>41</v>
      </c>
    </row>
    <row r="1337" spans="1:4" x14ac:dyDescent="0.2">
      <c r="A1337" s="3">
        <v>1336</v>
      </c>
      <c r="B1337" s="3">
        <v>113.2557237</v>
      </c>
      <c r="C1337" s="3">
        <v>23.009061119999998</v>
      </c>
      <c r="D1337" s="3">
        <v>23</v>
      </c>
    </row>
    <row r="1338" spans="1:4" x14ac:dyDescent="0.2">
      <c r="A1338" s="3">
        <v>1337</v>
      </c>
      <c r="B1338" s="3">
        <v>113.2609695</v>
      </c>
      <c r="C1338" s="3">
        <v>23.006437519999999</v>
      </c>
      <c r="D1338" s="3">
        <v>23</v>
      </c>
    </row>
    <row r="1339" spans="1:4" x14ac:dyDescent="0.2">
      <c r="A1339" s="3">
        <v>1338</v>
      </c>
      <c r="B1339" s="3">
        <v>113.2532052</v>
      </c>
      <c r="C1339" s="3">
        <v>23.004315120000001</v>
      </c>
      <c r="D1339" s="3">
        <v>23</v>
      </c>
    </row>
    <row r="1340" spans="1:4" x14ac:dyDescent="0.2">
      <c r="A1340" s="3">
        <v>1339</v>
      </c>
      <c r="B1340" s="3">
        <v>113.2556416</v>
      </c>
      <c r="C1340" s="3">
        <v>23.00984781</v>
      </c>
      <c r="D1340" s="3">
        <v>23</v>
      </c>
    </row>
    <row r="1341" spans="1:4" x14ac:dyDescent="0.2">
      <c r="A1341" s="3">
        <v>1340</v>
      </c>
      <c r="B1341" s="3">
        <v>113.26311579999999</v>
      </c>
      <c r="C1341" s="3">
        <v>23.006756970000001</v>
      </c>
      <c r="D1341" s="3">
        <v>23</v>
      </c>
    </row>
    <row r="1342" spans="1:4" x14ac:dyDescent="0.2">
      <c r="A1342" s="3">
        <v>1341</v>
      </c>
      <c r="B1342" s="3">
        <v>113.2747734</v>
      </c>
      <c r="C1342" s="3">
        <v>23.01152948</v>
      </c>
      <c r="D1342" s="3">
        <v>15</v>
      </c>
    </row>
    <row r="1343" spans="1:4" x14ac:dyDescent="0.2">
      <c r="A1343" s="3">
        <v>1342</v>
      </c>
      <c r="B1343" s="3">
        <v>113.2737166</v>
      </c>
      <c r="C1343" s="3">
        <v>23.012840050000001</v>
      </c>
      <c r="D1343" s="3">
        <v>15</v>
      </c>
    </row>
    <row r="1344" spans="1:4" x14ac:dyDescent="0.2">
      <c r="A1344" s="3">
        <v>1343</v>
      </c>
      <c r="B1344" s="3">
        <v>113.27424999999999</v>
      </c>
      <c r="C1344" s="3">
        <v>23.013585160000002</v>
      </c>
      <c r="D1344" s="3">
        <v>15</v>
      </c>
    </row>
    <row r="1345" spans="1:4" x14ac:dyDescent="0.2">
      <c r="A1345" s="3">
        <v>1344</v>
      </c>
      <c r="B1345" s="3">
        <v>113.2865079</v>
      </c>
      <c r="C1345" s="3">
        <v>23.010745020000002</v>
      </c>
      <c r="D1345" s="3">
        <v>15</v>
      </c>
    </row>
    <row r="1346" spans="1:4" x14ac:dyDescent="0.2">
      <c r="A1346" s="3">
        <v>1345</v>
      </c>
      <c r="B1346" s="3">
        <v>113.2887063</v>
      </c>
      <c r="C1346" s="3">
        <v>23.012494069999999</v>
      </c>
      <c r="D1346" s="3">
        <v>15</v>
      </c>
    </row>
    <row r="1347" spans="1:4" x14ac:dyDescent="0.2">
      <c r="A1347" s="3">
        <v>1346</v>
      </c>
      <c r="B1347" s="3">
        <v>113.2892284</v>
      </c>
      <c r="C1347" s="3">
        <v>23.012708199999999</v>
      </c>
      <c r="D1347" s="3">
        <v>15</v>
      </c>
    </row>
    <row r="1348" spans="1:4" x14ac:dyDescent="0.2">
      <c r="A1348" s="3">
        <v>1347</v>
      </c>
      <c r="B1348" s="3">
        <v>113.2871138</v>
      </c>
      <c r="C1348" s="3">
        <v>23.01332704</v>
      </c>
      <c r="D1348" s="3">
        <v>15</v>
      </c>
    </row>
    <row r="1349" spans="1:4" x14ac:dyDescent="0.2">
      <c r="A1349" s="3">
        <v>1348</v>
      </c>
      <c r="B1349" s="3">
        <v>113.2819379</v>
      </c>
      <c r="C1349" s="3">
        <v>23.010474370000001</v>
      </c>
      <c r="D1349" s="3">
        <v>15</v>
      </c>
    </row>
    <row r="1350" spans="1:4" x14ac:dyDescent="0.2">
      <c r="A1350" s="3">
        <v>1349</v>
      </c>
      <c r="B1350" s="3">
        <v>113.29067619999999</v>
      </c>
      <c r="C1350" s="3">
        <v>23.009634349999999</v>
      </c>
      <c r="D1350" s="3">
        <v>15</v>
      </c>
    </row>
    <row r="1351" spans="1:4" x14ac:dyDescent="0.2">
      <c r="A1351" s="3">
        <v>1350</v>
      </c>
      <c r="B1351" s="3">
        <v>113.2916554</v>
      </c>
      <c r="C1351" s="3">
        <v>23.01166396</v>
      </c>
      <c r="D1351" s="3">
        <v>15</v>
      </c>
    </row>
    <row r="1352" spans="1:4" x14ac:dyDescent="0.2">
      <c r="A1352" s="3">
        <v>1351</v>
      </c>
      <c r="B1352" s="3">
        <v>113.29851530000001</v>
      </c>
      <c r="C1352" s="3">
        <v>23.01049635</v>
      </c>
      <c r="D1352" s="3">
        <v>11</v>
      </c>
    </row>
    <row r="1353" spans="1:4" x14ac:dyDescent="0.2">
      <c r="A1353" s="3">
        <v>1352</v>
      </c>
      <c r="B1353" s="3">
        <v>113.2981679</v>
      </c>
      <c r="C1353" s="3">
        <v>23.01122462</v>
      </c>
      <c r="D1353" s="3">
        <v>11</v>
      </c>
    </row>
    <row r="1354" spans="1:4" x14ac:dyDescent="0.2">
      <c r="A1354" s="3">
        <v>1353</v>
      </c>
      <c r="B1354" s="3">
        <v>113.2992629</v>
      </c>
      <c r="C1354" s="3">
        <v>23.010158229999998</v>
      </c>
      <c r="D1354" s="3">
        <v>11</v>
      </c>
    </row>
    <row r="1355" spans="1:4" x14ac:dyDescent="0.2">
      <c r="A1355" s="3">
        <v>1354</v>
      </c>
      <c r="B1355" s="3">
        <v>113.2939085</v>
      </c>
      <c r="C1355" s="3">
        <v>23.0110037</v>
      </c>
      <c r="D1355" s="3">
        <v>11</v>
      </c>
    </row>
    <row r="1356" spans="1:4" x14ac:dyDescent="0.2">
      <c r="A1356" s="3">
        <v>1355</v>
      </c>
      <c r="B1356" s="3">
        <v>113.2982177</v>
      </c>
      <c r="C1356" s="3">
        <v>23.01248399</v>
      </c>
      <c r="D1356" s="3">
        <v>11</v>
      </c>
    </row>
    <row r="1357" spans="1:4" x14ac:dyDescent="0.2">
      <c r="A1357" s="3">
        <v>1356</v>
      </c>
      <c r="B1357" s="3">
        <v>113.2972565</v>
      </c>
      <c r="C1357" s="3">
        <v>23.012311669999999</v>
      </c>
      <c r="D1357" s="3">
        <v>11</v>
      </c>
    </row>
    <row r="1358" spans="1:4" x14ac:dyDescent="0.2">
      <c r="A1358" s="3">
        <v>1357</v>
      </c>
      <c r="B1358" s="3">
        <v>113.29293730000001</v>
      </c>
      <c r="C1358" s="3">
        <v>23.010759350000001</v>
      </c>
      <c r="D1358" s="3">
        <v>11</v>
      </c>
    </row>
    <row r="1359" spans="1:4" x14ac:dyDescent="0.2">
      <c r="A1359" s="3">
        <v>1358</v>
      </c>
      <c r="B1359" s="3">
        <v>113.3007262</v>
      </c>
      <c r="C1359" s="3">
        <v>23.00960495</v>
      </c>
      <c r="D1359" s="3">
        <v>11</v>
      </c>
    </row>
    <row r="1360" spans="1:4" x14ac:dyDescent="0.2">
      <c r="A1360" s="3">
        <v>1359</v>
      </c>
      <c r="B1360" s="3">
        <v>113.3004938</v>
      </c>
      <c r="C1360" s="3">
        <v>23.006971490000002</v>
      </c>
      <c r="D1360" s="3">
        <v>11</v>
      </c>
    </row>
    <row r="1361" spans="1:4" x14ac:dyDescent="0.2">
      <c r="A1361" s="3">
        <v>1360</v>
      </c>
      <c r="B1361" s="3">
        <v>113.2970598</v>
      </c>
      <c r="C1361" s="3">
        <v>23.012197050000001</v>
      </c>
      <c r="D1361" s="3">
        <v>11</v>
      </c>
    </row>
    <row r="1362" spans="1:4" x14ac:dyDescent="0.2">
      <c r="A1362" s="3">
        <v>1361</v>
      </c>
      <c r="B1362" s="3">
        <v>113.2940842</v>
      </c>
      <c r="C1362" s="3">
        <v>23.011279300000002</v>
      </c>
      <c r="D1362" s="3">
        <v>11</v>
      </c>
    </row>
    <row r="1363" spans="1:4" x14ac:dyDescent="0.2">
      <c r="A1363" s="3">
        <v>1362</v>
      </c>
      <c r="B1363" s="3">
        <v>113.298543</v>
      </c>
      <c r="C1363" s="3">
        <v>23.01298122</v>
      </c>
      <c r="D1363" s="3">
        <v>11</v>
      </c>
    </row>
    <row r="1364" spans="1:4" x14ac:dyDescent="0.2">
      <c r="A1364" s="3">
        <v>1363</v>
      </c>
      <c r="B1364" s="3">
        <v>113.2929252</v>
      </c>
      <c r="C1364" s="3">
        <v>23.011422079999999</v>
      </c>
      <c r="D1364" s="3">
        <v>11</v>
      </c>
    </row>
    <row r="1365" spans="1:4" x14ac:dyDescent="0.2">
      <c r="A1365" s="3">
        <v>1364</v>
      </c>
      <c r="B1365" s="3">
        <v>113.2980809</v>
      </c>
      <c r="C1365" s="3">
        <v>23.01273011</v>
      </c>
      <c r="D1365" s="3">
        <v>11</v>
      </c>
    </row>
    <row r="1366" spans="1:4" x14ac:dyDescent="0.2">
      <c r="A1366" s="3">
        <v>1365</v>
      </c>
      <c r="B1366" s="3">
        <v>113.298597</v>
      </c>
      <c r="C1366" s="3">
        <v>23.012623290000001</v>
      </c>
      <c r="D1366" s="3">
        <v>11</v>
      </c>
    </row>
    <row r="1367" spans="1:4" x14ac:dyDescent="0.2">
      <c r="A1367" s="3">
        <v>1366</v>
      </c>
      <c r="B1367" s="3">
        <v>113.2997249</v>
      </c>
      <c r="C1367" s="3">
        <v>23.012797299999999</v>
      </c>
      <c r="D1367" s="3">
        <v>11</v>
      </c>
    </row>
    <row r="1368" spans="1:4" x14ac:dyDescent="0.2">
      <c r="A1368" s="3">
        <v>1367</v>
      </c>
      <c r="B1368" s="3">
        <v>113.2927164</v>
      </c>
      <c r="C1368" s="3">
        <v>23.013684430000001</v>
      </c>
      <c r="D1368" s="3">
        <v>15</v>
      </c>
    </row>
    <row r="1369" spans="1:4" x14ac:dyDescent="0.2">
      <c r="A1369" s="3">
        <v>1368</v>
      </c>
      <c r="B1369" s="3">
        <v>113.29214450000001</v>
      </c>
      <c r="C1369" s="3">
        <v>23.01276073</v>
      </c>
      <c r="D1369" s="3">
        <v>15</v>
      </c>
    </row>
    <row r="1370" spans="1:4" x14ac:dyDescent="0.2">
      <c r="A1370" s="3">
        <v>1369</v>
      </c>
      <c r="B1370" s="3">
        <v>113.30167640000001</v>
      </c>
      <c r="C1370" s="3">
        <v>23.00977323</v>
      </c>
      <c r="D1370" s="3">
        <v>11</v>
      </c>
    </row>
    <row r="1371" spans="1:4" x14ac:dyDescent="0.2">
      <c r="A1371" s="3">
        <v>1370</v>
      </c>
      <c r="B1371" s="3">
        <v>113.3012576</v>
      </c>
      <c r="C1371" s="3">
        <v>23.00388551</v>
      </c>
      <c r="D1371" s="3">
        <v>11</v>
      </c>
    </row>
    <row r="1372" spans="1:4" x14ac:dyDescent="0.2">
      <c r="A1372" s="3">
        <v>1371</v>
      </c>
      <c r="B1372" s="3">
        <v>113.2970558</v>
      </c>
      <c r="C1372" s="3">
        <v>23.01224204</v>
      </c>
      <c r="D1372" s="3">
        <v>11</v>
      </c>
    </row>
    <row r="1373" spans="1:4" x14ac:dyDescent="0.2">
      <c r="A1373" s="3">
        <v>1372</v>
      </c>
      <c r="B1373" s="3">
        <v>113.298598</v>
      </c>
      <c r="C1373" s="3">
        <v>23.012656270000001</v>
      </c>
      <c r="D1373" s="3">
        <v>11</v>
      </c>
    </row>
    <row r="1374" spans="1:4" x14ac:dyDescent="0.2">
      <c r="A1374" s="3">
        <v>1373</v>
      </c>
      <c r="B1374" s="3">
        <v>113.3017083</v>
      </c>
      <c r="C1374" s="3">
        <v>23.01030295</v>
      </c>
      <c r="D1374" s="3">
        <v>11</v>
      </c>
    </row>
    <row r="1375" spans="1:4" x14ac:dyDescent="0.2">
      <c r="A1375" s="3">
        <v>1374</v>
      </c>
      <c r="B1375" s="3">
        <v>113.3014711</v>
      </c>
      <c r="C1375" s="3">
        <v>23.004189010000001</v>
      </c>
      <c r="D1375" s="3">
        <v>11</v>
      </c>
    </row>
    <row r="1376" spans="1:4" x14ac:dyDescent="0.2">
      <c r="A1376" s="3">
        <v>1375</v>
      </c>
      <c r="B1376" s="3">
        <v>113.3013873</v>
      </c>
      <c r="C1376" s="3">
        <v>23.00442005</v>
      </c>
      <c r="D1376" s="3">
        <v>11</v>
      </c>
    </row>
    <row r="1377" spans="1:4" x14ac:dyDescent="0.2">
      <c r="A1377" s="3">
        <v>1376</v>
      </c>
      <c r="B1377" s="3">
        <v>113.30703029999999</v>
      </c>
      <c r="C1377" s="3">
        <v>23.00527464</v>
      </c>
      <c r="D1377" s="3">
        <v>11</v>
      </c>
    </row>
    <row r="1378" spans="1:4" x14ac:dyDescent="0.2">
      <c r="A1378" s="3">
        <v>1377</v>
      </c>
      <c r="B1378" s="3">
        <v>113.3063033</v>
      </c>
      <c r="C1378" s="3">
        <v>23.011633209999999</v>
      </c>
      <c r="D1378" s="3">
        <v>11</v>
      </c>
    </row>
    <row r="1379" spans="1:4" x14ac:dyDescent="0.2">
      <c r="A1379" s="3">
        <v>1378</v>
      </c>
      <c r="B1379" s="3">
        <v>113.3092056</v>
      </c>
      <c r="C1379" s="3">
        <v>23.010819260000002</v>
      </c>
      <c r="D1379" s="3">
        <v>11</v>
      </c>
    </row>
    <row r="1380" spans="1:4" x14ac:dyDescent="0.2">
      <c r="A1380" s="3">
        <v>1379</v>
      </c>
      <c r="B1380" s="3">
        <v>113.3106397</v>
      </c>
      <c r="C1380" s="3">
        <v>23.01057471</v>
      </c>
      <c r="D1380" s="3">
        <v>11</v>
      </c>
    </row>
    <row r="1381" spans="1:4" x14ac:dyDescent="0.2">
      <c r="A1381" s="3">
        <v>1380</v>
      </c>
      <c r="B1381" s="3">
        <v>113.3037712</v>
      </c>
      <c r="C1381" s="3">
        <v>23.011770680000001</v>
      </c>
      <c r="D1381" s="3">
        <v>11</v>
      </c>
    </row>
    <row r="1382" spans="1:4" x14ac:dyDescent="0.2">
      <c r="A1382" s="3">
        <v>1381</v>
      </c>
      <c r="B1382" s="3">
        <v>113.30432209999999</v>
      </c>
      <c r="C1382" s="3">
        <v>23.01235745</v>
      </c>
      <c r="D1382" s="3">
        <v>11</v>
      </c>
    </row>
    <row r="1383" spans="1:4" x14ac:dyDescent="0.2">
      <c r="A1383" s="3">
        <v>1382</v>
      </c>
      <c r="B1383" s="3">
        <v>113.3019597</v>
      </c>
      <c r="C1383" s="3">
        <v>23.011154139999999</v>
      </c>
      <c r="D1383" s="3">
        <v>11</v>
      </c>
    </row>
    <row r="1384" spans="1:4" x14ac:dyDescent="0.2">
      <c r="A1384" s="3">
        <v>1383</v>
      </c>
      <c r="B1384" s="3">
        <v>113.3020975</v>
      </c>
      <c r="C1384" s="3">
        <v>23.011378799999999</v>
      </c>
      <c r="D1384" s="3">
        <v>11</v>
      </c>
    </row>
    <row r="1385" spans="1:4" x14ac:dyDescent="0.2">
      <c r="A1385" s="3">
        <v>1384</v>
      </c>
      <c r="B1385" s="3">
        <v>113.3017783</v>
      </c>
      <c r="C1385" s="3">
        <v>23.007670959999999</v>
      </c>
      <c r="D1385" s="3">
        <v>11</v>
      </c>
    </row>
    <row r="1386" spans="1:4" x14ac:dyDescent="0.2">
      <c r="A1386" s="3">
        <v>1385</v>
      </c>
      <c r="B1386" s="3">
        <v>113.30185</v>
      </c>
      <c r="C1386" s="3">
        <v>23.0103027</v>
      </c>
      <c r="D1386" s="3">
        <v>11</v>
      </c>
    </row>
    <row r="1387" spans="1:4" x14ac:dyDescent="0.2">
      <c r="A1387" s="3">
        <v>1386</v>
      </c>
      <c r="B1387" s="3">
        <v>113.3046095</v>
      </c>
      <c r="C1387" s="3">
        <v>23.012724779999999</v>
      </c>
      <c r="D1387" s="3">
        <v>11</v>
      </c>
    </row>
    <row r="1388" spans="1:4" x14ac:dyDescent="0.2">
      <c r="A1388" s="3">
        <v>1387</v>
      </c>
      <c r="B1388" s="3">
        <v>113.30596679999999</v>
      </c>
      <c r="C1388" s="3">
        <v>23.013693920000001</v>
      </c>
      <c r="D1388" s="3">
        <v>11</v>
      </c>
    </row>
    <row r="1389" spans="1:4" x14ac:dyDescent="0.2">
      <c r="A1389" s="3">
        <v>1388</v>
      </c>
      <c r="B1389" s="3">
        <v>113.3081734</v>
      </c>
      <c r="C1389" s="3">
        <v>23.01361494</v>
      </c>
      <c r="D1389" s="3">
        <v>31</v>
      </c>
    </row>
    <row r="1390" spans="1:4" x14ac:dyDescent="0.2">
      <c r="A1390" s="3">
        <v>1389</v>
      </c>
      <c r="B1390" s="3">
        <v>113.30400469999999</v>
      </c>
      <c r="C1390" s="3">
        <v>23.013120690000001</v>
      </c>
      <c r="D1390" s="3">
        <v>11</v>
      </c>
    </row>
    <row r="1391" spans="1:4" x14ac:dyDescent="0.2">
      <c r="A1391" s="3">
        <v>1390</v>
      </c>
      <c r="B1391" s="3">
        <v>113.3030567</v>
      </c>
      <c r="C1391" s="3">
        <v>23.011011280000002</v>
      </c>
      <c r="D1391" s="3">
        <v>11</v>
      </c>
    </row>
    <row r="1392" spans="1:4" x14ac:dyDescent="0.2">
      <c r="A1392" s="3">
        <v>1391</v>
      </c>
      <c r="B1392" s="3">
        <v>113.3020356</v>
      </c>
      <c r="C1392" s="3">
        <v>23.011705769999999</v>
      </c>
      <c r="D1392" s="3">
        <v>11</v>
      </c>
    </row>
    <row r="1393" spans="1:4" x14ac:dyDescent="0.2">
      <c r="A1393" s="3">
        <v>1392</v>
      </c>
      <c r="B1393" s="3">
        <v>113.3018794</v>
      </c>
      <c r="C1393" s="3">
        <v>23.004307239999999</v>
      </c>
      <c r="D1393" s="3">
        <v>11</v>
      </c>
    </row>
    <row r="1394" spans="1:4" x14ac:dyDescent="0.2">
      <c r="A1394" s="3">
        <v>1393</v>
      </c>
      <c r="B1394" s="3">
        <v>113.3019413</v>
      </c>
      <c r="C1394" s="3">
        <v>23.003774369999999</v>
      </c>
      <c r="D1394" s="3">
        <v>11</v>
      </c>
    </row>
    <row r="1395" spans="1:4" x14ac:dyDescent="0.2">
      <c r="A1395" s="3">
        <v>1394</v>
      </c>
      <c r="B1395" s="3">
        <v>113.30548779999999</v>
      </c>
      <c r="C1395" s="3">
        <v>23.01278018</v>
      </c>
      <c r="D1395" s="3">
        <v>11</v>
      </c>
    </row>
    <row r="1396" spans="1:4" x14ac:dyDescent="0.2">
      <c r="A1396" s="3">
        <v>1395</v>
      </c>
      <c r="B1396" s="3">
        <v>113.3035766</v>
      </c>
      <c r="C1396" s="3">
        <v>23.01140019</v>
      </c>
      <c r="D1396" s="3">
        <v>11</v>
      </c>
    </row>
    <row r="1397" spans="1:4" x14ac:dyDescent="0.2">
      <c r="A1397" s="3">
        <v>1396</v>
      </c>
      <c r="B1397" s="3">
        <v>113.30276619999999</v>
      </c>
      <c r="C1397" s="3">
        <v>23.010464030000001</v>
      </c>
      <c r="D1397" s="3">
        <v>11</v>
      </c>
    </row>
    <row r="1398" spans="1:4" x14ac:dyDescent="0.2">
      <c r="A1398" s="3">
        <v>1397</v>
      </c>
      <c r="B1398" s="3">
        <v>113.3051165</v>
      </c>
      <c r="C1398" s="3">
        <v>23.01307972</v>
      </c>
      <c r="D1398" s="3">
        <v>11</v>
      </c>
    </row>
    <row r="1399" spans="1:4" x14ac:dyDescent="0.2">
      <c r="A1399" s="3">
        <v>1398</v>
      </c>
      <c r="B1399" s="3">
        <v>113.3017083</v>
      </c>
      <c r="C1399" s="3">
        <v>23.01030295</v>
      </c>
      <c r="D1399" s="3">
        <v>11</v>
      </c>
    </row>
    <row r="1400" spans="1:4" x14ac:dyDescent="0.2">
      <c r="A1400" s="3">
        <v>1399</v>
      </c>
      <c r="B1400" s="3">
        <v>113.30400469999999</v>
      </c>
      <c r="C1400" s="3">
        <v>23.013120690000001</v>
      </c>
      <c r="D1400" s="3">
        <v>11</v>
      </c>
    </row>
    <row r="1401" spans="1:4" x14ac:dyDescent="0.2">
      <c r="A1401" s="3">
        <v>1400</v>
      </c>
      <c r="B1401" s="3">
        <v>113.3187411</v>
      </c>
      <c r="C1401" s="3">
        <v>23.011441049999998</v>
      </c>
      <c r="D1401" s="3">
        <v>26</v>
      </c>
    </row>
    <row r="1402" spans="1:4" x14ac:dyDescent="0.2">
      <c r="A1402" s="3">
        <v>1401</v>
      </c>
      <c r="B1402" s="3">
        <v>113.3191085</v>
      </c>
      <c r="C1402" s="3">
        <v>23.00927029</v>
      </c>
      <c r="D1402" s="3">
        <v>26</v>
      </c>
    </row>
    <row r="1403" spans="1:4" x14ac:dyDescent="0.2">
      <c r="A1403" s="3">
        <v>1402</v>
      </c>
      <c r="B1403" s="3">
        <v>113.31456180000001</v>
      </c>
      <c r="C1403" s="3">
        <v>23.010158539999999</v>
      </c>
      <c r="D1403" s="3">
        <v>26</v>
      </c>
    </row>
    <row r="1404" spans="1:4" x14ac:dyDescent="0.2">
      <c r="A1404" s="3">
        <v>1403</v>
      </c>
      <c r="B1404" s="3">
        <v>113.318338</v>
      </c>
      <c r="C1404" s="3">
        <v>23.010744119999998</v>
      </c>
      <c r="D1404" s="3">
        <v>26</v>
      </c>
    </row>
    <row r="1405" spans="1:4" x14ac:dyDescent="0.2">
      <c r="A1405" s="3">
        <v>1404</v>
      </c>
      <c r="B1405" s="3">
        <v>113.3125909</v>
      </c>
      <c r="C1405" s="3">
        <v>23.00914169</v>
      </c>
      <c r="D1405" s="3">
        <v>26</v>
      </c>
    </row>
    <row r="1406" spans="1:4" x14ac:dyDescent="0.2">
      <c r="A1406" s="3">
        <v>1405</v>
      </c>
      <c r="B1406" s="3">
        <v>113.31912130000001</v>
      </c>
      <c r="C1406" s="3">
        <v>23.011135459999998</v>
      </c>
      <c r="D1406" s="3">
        <v>26</v>
      </c>
    </row>
    <row r="1407" spans="1:4" x14ac:dyDescent="0.2">
      <c r="A1407" s="3">
        <v>1406</v>
      </c>
      <c r="B1407" s="3">
        <v>113.319309</v>
      </c>
      <c r="C1407" s="3">
        <v>23.009908630000002</v>
      </c>
      <c r="D1407" s="3">
        <v>26</v>
      </c>
    </row>
    <row r="1408" spans="1:4" x14ac:dyDescent="0.2">
      <c r="A1408" s="3">
        <v>1407</v>
      </c>
      <c r="B1408" s="3">
        <v>113.32109629999999</v>
      </c>
      <c r="C1408" s="3">
        <v>23.010116119999999</v>
      </c>
      <c r="D1408" s="3">
        <v>26</v>
      </c>
    </row>
    <row r="1409" spans="1:4" x14ac:dyDescent="0.2">
      <c r="A1409" s="3">
        <v>1408</v>
      </c>
      <c r="B1409" s="3">
        <v>113.31968209999999</v>
      </c>
      <c r="C1409" s="3">
        <v>23.01245381</v>
      </c>
      <c r="D1409" s="3">
        <v>26</v>
      </c>
    </row>
    <row r="1410" spans="1:4" x14ac:dyDescent="0.2">
      <c r="A1410" s="3">
        <v>1409</v>
      </c>
      <c r="B1410" s="3">
        <v>113.3158569</v>
      </c>
      <c r="C1410" s="3">
        <v>23.013051839999999</v>
      </c>
      <c r="D1410" s="3">
        <v>26</v>
      </c>
    </row>
    <row r="1411" spans="1:4" x14ac:dyDescent="0.2">
      <c r="A1411" s="3">
        <v>1410</v>
      </c>
      <c r="B1411" s="3">
        <v>113.3199735</v>
      </c>
      <c r="C1411" s="3">
        <v>23.011935480000002</v>
      </c>
      <c r="D1411" s="3">
        <v>26</v>
      </c>
    </row>
    <row r="1412" spans="1:4" x14ac:dyDescent="0.2">
      <c r="A1412" s="3">
        <v>1411</v>
      </c>
      <c r="B1412" s="3">
        <v>113.3193697</v>
      </c>
      <c r="C1412" s="3">
        <v>23.013038160000001</v>
      </c>
      <c r="D1412" s="3">
        <v>26</v>
      </c>
    </row>
    <row r="1413" spans="1:4" x14ac:dyDescent="0.2">
      <c r="A1413" s="3">
        <v>1412</v>
      </c>
      <c r="B1413" s="3">
        <v>113.3216362</v>
      </c>
      <c r="C1413" s="3">
        <v>23.009866200000001</v>
      </c>
      <c r="D1413" s="3">
        <v>26</v>
      </c>
    </row>
    <row r="1414" spans="1:4" x14ac:dyDescent="0.2">
      <c r="A1414" s="3">
        <v>1413</v>
      </c>
      <c r="B1414" s="3">
        <v>113.32058619999999</v>
      </c>
      <c r="C1414" s="3">
        <v>23.012431100000001</v>
      </c>
      <c r="D1414" s="3">
        <v>26</v>
      </c>
    </row>
    <row r="1415" spans="1:4" x14ac:dyDescent="0.2">
      <c r="A1415" s="3">
        <v>1414</v>
      </c>
      <c r="B1415" s="3">
        <v>113.319227</v>
      </c>
      <c r="C1415" s="3">
        <v>23.01348024</v>
      </c>
      <c r="D1415" s="3">
        <v>26</v>
      </c>
    </row>
    <row r="1416" spans="1:4" x14ac:dyDescent="0.2">
      <c r="A1416" s="3">
        <v>1415</v>
      </c>
      <c r="B1416" s="3">
        <v>113.32107329999999</v>
      </c>
      <c r="C1416" s="3">
        <v>23.011099739999999</v>
      </c>
      <c r="D1416" s="3">
        <v>26</v>
      </c>
    </row>
    <row r="1417" spans="1:4" x14ac:dyDescent="0.2">
      <c r="A1417" s="3">
        <v>1416</v>
      </c>
      <c r="B1417" s="3">
        <v>113.3213057</v>
      </c>
      <c r="C1417" s="3">
        <v>23.013284349999999</v>
      </c>
      <c r="D1417" s="3">
        <v>26</v>
      </c>
    </row>
    <row r="1418" spans="1:4" x14ac:dyDescent="0.2">
      <c r="A1418" s="3">
        <v>1417</v>
      </c>
      <c r="B1418" s="3">
        <v>113.32794939999999</v>
      </c>
      <c r="C1418" s="3">
        <v>23.008525710000001</v>
      </c>
      <c r="D1418" s="3">
        <v>26</v>
      </c>
    </row>
    <row r="1419" spans="1:4" x14ac:dyDescent="0.2">
      <c r="A1419" s="3">
        <v>1418</v>
      </c>
      <c r="B1419" s="3">
        <v>113.3243777</v>
      </c>
      <c r="C1419" s="3">
        <v>23.00776986</v>
      </c>
      <c r="D1419" s="3">
        <v>26</v>
      </c>
    </row>
    <row r="1420" spans="1:4" x14ac:dyDescent="0.2">
      <c r="A1420" s="3">
        <v>1419</v>
      </c>
      <c r="B1420" s="3">
        <v>113.32399719999999</v>
      </c>
      <c r="C1420" s="3">
        <v>23.011857819999999</v>
      </c>
      <c r="D1420" s="3">
        <v>26</v>
      </c>
    </row>
    <row r="1421" spans="1:4" x14ac:dyDescent="0.2">
      <c r="A1421" s="3">
        <v>1420</v>
      </c>
      <c r="B1421" s="3">
        <v>113.3244109</v>
      </c>
      <c r="C1421" s="3">
        <v>23.004886039999999</v>
      </c>
      <c r="D1421" s="3">
        <v>26</v>
      </c>
    </row>
    <row r="1422" spans="1:4" x14ac:dyDescent="0.2">
      <c r="A1422" s="3">
        <v>1421</v>
      </c>
      <c r="B1422" s="3">
        <v>113.32391749999999</v>
      </c>
      <c r="C1422" s="3">
        <v>23.011043319999999</v>
      </c>
      <c r="D1422" s="3">
        <v>26</v>
      </c>
    </row>
    <row r="1423" spans="1:4" x14ac:dyDescent="0.2">
      <c r="A1423" s="3">
        <v>1422</v>
      </c>
      <c r="B1423" s="3">
        <v>113.3285125</v>
      </c>
      <c r="C1423" s="3">
        <v>23.004767269999999</v>
      </c>
      <c r="D1423" s="3">
        <v>26</v>
      </c>
    </row>
    <row r="1424" spans="1:4" x14ac:dyDescent="0.2">
      <c r="A1424" s="3">
        <v>1423</v>
      </c>
      <c r="B1424" s="3">
        <v>113.3231061</v>
      </c>
      <c r="C1424" s="3">
        <v>23.011498679999999</v>
      </c>
      <c r="D1424" s="3">
        <v>26</v>
      </c>
    </row>
    <row r="1425" spans="1:4" x14ac:dyDescent="0.2">
      <c r="A1425" s="3">
        <v>1424</v>
      </c>
      <c r="B1425" s="3">
        <v>113.3229224</v>
      </c>
      <c r="C1425" s="3">
        <v>23.012786470000002</v>
      </c>
      <c r="D1425" s="3">
        <v>26</v>
      </c>
    </row>
    <row r="1426" spans="1:4" x14ac:dyDescent="0.2">
      <c r="A1426" s="3">
        <v>1425</v>
      </c>
      <c r="B1426" s="3">
        <v>113.3233017</v>
      </c>
      <c r="C1426" s="3">
        <v>23.011579269999999</v>
      </c>
      <c r="D1426" s="3">
        <v>26</v>
      </c>
    </row>
    <row r="1427" spans="1:4" x14ac:dyDescent="0.2">
      <c r="A1427" s="3">
        <v>1426</v>
      </c>
      <c r="B1427" s="3">
        <v>113.3229872</v>
      </c>
      <c r="C1427" s="3">
        <v>23.013261140000001</v>
      </c>
      <c r="D1427" s="3">
        <v>26</v>
      </c>
    </row>
    <row r="1428" spans="1:4" x14ac:dyDescent="0.2">
      <c r="A1428" s="3">
        <v>1427</v>
      </c>
      <c r="B1428" s="3">
        <v>113.32687420000001</v>
      </c>
      <c r="C1428" s="3">
        <v>23.01319174</v>
      </c>
      <c r="D1428" s="3">
        <v>26</v>
      </c>
    </row>
    <row r="1429" spans="1:4" x14ac:dyDescent="0.2">
      <c r="A1429" s="3">
        <v>1428</v>
      </c>
      <c r="B1429" s="3">
        <v>113.3228221</v>
      </c>
      <c r="C1429" s="3">
        <v>23.00504501</v>
      </c>
      <c r="D1429" s="3">
        <v>26</v>
      </c>
    </row>
    <row r="1430" spans="1:4" x14ac:dyDescent="0.2">
      <c r="A1430" s="3">
        <v>1429</v>
      </c>
      <c r="B1430" s="3">
        <v>113.3261787</v>
      </c>
      <c r="C1430" s="3">
        <v>23.013317019999999</v>
      </c>
      <c r="D1430" s="3">
        <v>26</v>
      </c>
    </row>
    <row r="1431" spans="1:4" x14ac:dyDescent="0.2">
      <c r="A1431" s="3">
        <v>1430</v>
      </c>
      <c r="B1431" s="3">
        <v>113.3230002</v>
      </c>
      <c r="C1431" s="3">
        <v>23.012984240000002</v>
      </c>
      <c r="D1431" s="3">
        <v>26</v>
      </c>
    </row>
    <row r="1432" spans="1:4" x14ac:dyDescent="0.2">
      <c r="A1432" s="3">
        <v>1431</v>
      </c>
      <c r="B1432" s="3">
        <v>113.32533239999999</v>
      </c>
      <c r="C1432" s="3">
        <v>23.013359609999998</v>
      </c>
      <c r="D1432" s="3">
        <v>26</v>
      </c>
    </row>
    <row r="1433" spans="1:4" x14ac:dyDescent="0.2">
      <c r="A1433" s="3">
        <v>1432</v>
      </c>
      <c r="B1433" s="3">
        <v>113.32787519999999</v>
      </c>
      <c r="C1433" s="3">
        <v>23.01341674</v>
      </c>
      <c r="D1433" s="3">
        <v>26</v>
      </c>
    </row>
    <row r="1434" spans="1:4" x14ac:dyDescent="0.2">
      <c r="A1434" s="3">
        <v>1433</v>
      </c>
      <c r="B1434" s="3">
        <v>113.3230721</v>
      </c>
      <c r="C1434" s="3">
        <v>23.012263409999999</v>
      </c>
      <c r="D1434" s="3">
        <v>26</v>
      </c>
    </row>
    <row r="1435" spans="1:4" x14ac:dyDescent="0.2">
      <c r="A1435" s="3">
        <v>1434</v>
      </c>
      <c r="B1435" s="3">
        <v>113.3267565</v>
      </c>
      <c r="C1435" s="3">
        <v>23.013550810000002</v>
      </c>
      <c r="D1435" s="3">
        <v>26</v>
      </c>
    </row>
    <row r="1436" spans="1:4" x14ac:dyDescent="0.2">
      <c r="A1436" s="3">
        <v>1435</v>
      </c>
      <c r="B1436" s="3">
        <v>113.3219713</v>
      </c>
      <c r="C1436" s="3">
        <v>23.012979210000001</v>
      </c>
      <c r="D1436" s="3">
        <v>26</v>
      </c>
    </row>
    <row r="1437" spans="1:4" x14ac:dyDescent="0.2">
      <c r="A1437" s="3">
        <v>1436</v>
      </c>
      <c r="B1437" s="3">
        <v>113.33121149999999</v>
      </c>
      <c r="C1437" s="3">
        <v>23.011584209999999</v>
      </c>
      <c r="D1437" s="3">
        <v>19</v>
      </c>
    </row>
    <row r="1438" spans="1:4" x14ac:dyDescent="0.2">
      <c r="A1438" s="3">
        <v>1437</v>
      </c>
      <c r="B1438" s="3">
        <v>113.3286506</v>
      </c>
      <c r="C1438" s="3">
        <v>23.013630169999999</v>
      </c>
      <c r="D1438" s="3">
        <v>26</v>
      </c>
    </row>
    <row r="1439" spans="1:4" x14ac:dyDescent="0.2">
      <c r="A1439" s="3">
        <v>1438</v>
      </c>
      <c r="B1439" s="3">
        <v>113.3256118</v>
      </c>
      <c r="C1439" s="3">
        <v>23.013388070000001</v>
      </c>
      <c r="D1439" s="3">
        <v>26</v>
      </c>
    </row>
    <row r="1440" spans="1:4" x14ac:dyDescent="0.2">
      <c r="A1440" s="3">
        <v>1439</v>
      </c>
      <c r="B1440" s="3">
        <v>113.3220403</v>
      </c>
      <c r="C1440" s="3">
        <v>23.012038480000001</v>
      </c>
      <c r="D1440" s="3">
        <v>26</v>
      </c>
    </row>
    <row r="1441" spans="1:4" x14ac:dyDescent="0.2">
      <c r="A1441" s="3">
        <v>1440</v>
      </c>
      <c r="B1441" s="3">
        <v>113.3219045</v>
      </c>
      <c r="C1441" s="3">
        <v>23.012515539999999</v>
      </c>
      <c r="D1441" s="3">
        <v>26</v>
      </c>
    </row>
    <row r="1442" spans="1:4" x14ac:dyDescent="0.2">
      <c r="A1442" s="3">
        <v>1441</v>
      </c>
      <c r="B1442" s="3">
        <v>113.3296811</v>
      </c>
      <c r="C1442" s="3">
        <v>23.00428526</v>
      </c>
      <c r="D1442" s="3">
        <v>26</v>
      </c>
    </row>
    <row r="1443" spans="1:4" x14ac:dyDescent="0.2">
      <c r="A1443" s="3">
        <v>1442</v>
      </c>
      <c r="B1443" s="3">
        <v>113.3225812</v>
      </c>
      <c r="C1443" s="3">
        <v>23.011616629999999</v>
      </c>
      <c r="D1443" s="3">
        <v>26</v>
      </c>
    </row>
    <row r="1444" spans="1:4" x14ac:dyDescent="0.2">
      <c r="A1444" s="3">
        <v>1443</v>
      </c>
      <c r="B1444" s="3">
        <v>113.33088309999999</v>
      </c>
      <c r="C1444" s="3">
        <v>23.013648929999999</v>
      </c>
      <c r="D1444" s="3">
        <v>19</v>
      </c>
    </row>
    <row r="1445" spans="1:4" x14ac:dyDescent="0.2">
      <c r="A1445" s="3">
        <v>1444</v>
      </c>
      <c r="B1445" s="3">
        <v>113.3283338</v>
      </c>
      <c r="C1445" s="3">
        <v>23.00563223</v>
      </c>
      <c r="D1445" s="3">
        <v>26</v>
      </c>
    </row>
    <row r="1446" spans="1:4" x14ac:dyDescent="0.2">
      <c r="A1446" s="3">
        <v>1445</v>
      </c>
      <c r="B1446" s="3">
        <v>113.3231834</v>
      </c>
      <c r="C1446" s="3">
        <v>23.00553811</v>
      </c>
      <c r="D1446" s="3">
        <v>26</v>
      </c>
    </row>
    <row r="1447" spans="1:4" x14ac:dyDescent="0.2">
      <c r="A1447" s="3">
        <v>1446</v>
      </c>
      <c r="B1447" s="3">
        <v>113.33817000000001</v>
      </c>
      <c r="C1447" s="3">
        <v>23.007764949999999</v>
      </c>
      <c r="D1447" s="3">
        <v>19</v>
      </c>
    </row>
    <row r="1448" spans="1:4" x14ac:dyDescent="0.2">
      <c r="A1448" s="3">
        <v>1447</v>
      </c>
      <c r="B1448" s="3">
        <v>113.3370912</v>
      </c>
      <c r="C1448" s="3">
        <v>23.006984259999999</v>
      </c>
      <c r="D1448" s="3">
        <v>19</v>
      </c>
    </row>
    <row r="1449" spans="1:4" x14ac:dyDescent="0.2">
      <c r="A1449" s="3">
        <v>1448</v>
      </c>
      <c r="B1449" s="3">
        <v>113.3371429</v>
      </c>
      <c r="C1449" s="3">
        <v>23.009285169999998</v>
      </c>
      <c r="D1449" s="3">
        <v>19</v>
      </c>
    </row>
    <row r="1450" spans="1:4" x14ac:dyDescent="0.2">
      <c r="A1450" s="3">
        <v>1449</v>
      </c>
      <c r="B1450" s="3">
        <v>113.3352416</v>
      </c>
      <c r="C1450" s="3">
        <v>23.009261680000002</v>
      </c>
      <c r="D1450" s="3">
        <v>19</v>
      </c>
    </row>
    <row r="1451" spans="1:4" x14ac:dyDescent="0.2">
      <c r="A1451" s="3">
        <v>1450</v>
      </c>
      <c r="B1451" s="3">
        <v>113.3345132</v>
      </c>
      <c r="C1451" s="3">
        <v>23.008027559999999</v>
      </c>
      <c r="D1451" s="3">
        <v>19</v>
      </c>
    </row>
    <row r="1452" spans="1:4" x14ac:dyDescent="0.2">
      <c r="A1452" s="3">
        <v>1451</v>
      </c>
      <c r="B1452" s="3">
        <v>113.33909319999999</v>
      </c>
      <c r="C1452" s="3">
        <v>23.008553930000001</v>
      </c>
      <c r="D1452" s="3">
        <v>19</v>
      </c>
    </row>
    <row r="1453" spans="1:4" x14ac:dyDescent="0.2">
      <c r="A1453" s="3">
        <v>1452</v>
      </c>
      <c r="B1453" s="3">
        <v>113.3351637</v>
      </c>
      <c r="C1453" s="3">
        <v>23.010176430000001</v>
      </c>
      <c r="D1453" s="3">
        <v>19</v>
      </c>
    </row>
    <row r="1454" spans="1:4" x14ac:dyDescent="0.2">
      <c r="A1454" s="3">
        <v>1453</v>
      </c>
      <c r="B1454" s="3">
        <v>113.3383985</v>
      </c>
      <c r="C1454" s="3">
        <v>23.0080654</v>
      </c>
      <c r="D1454" s="3">
        <v>19</v>
      </c>
    </row>
    <row r="1455" spans="1:4" x14ac:dyDescent="0.2">
      <c r="A1455" s="3">
        <v>1454</v>
      </c>
      <c r="B1455" s="3">
        <v>113.3346098</v>
      </c>
      <c r="C1455" s="3">
        <v>23.010100489999999</v>
      </c>
      <c r="D1455" s="3">
        <v>19</v>
      </c>
    </row>
    <row r="1456" spans="1:4" x14ac:dyDescent="0.2">
      <c r="A1456" s="3">
        <v>1455</v>
      </c>
      <c r="B1456" s="3">
        <v>113.3349072</v>
      </c>
      <c r="C1456" s="3">
        <v>23.010531749999998</v>
      </c>
      <c r="D1456" s="3">
        <v>19</v>
      </c>
    </row>
    <row r="1457" spans="1:4" x14ac:dyDescent="0.2">
      <c r="A1457" s="3">
        <v>1456</v>
      </c>
      <c r="B1457" s="3">
        <v>113.3343773</v>
      </c>
      <c r="C1457" s="3">
        <v>23.010042940000002</v>
      </c>
      <c r="D1457" s="3">
        <v>19</v>
      </c>
    </row>
    <row r="1458" spans="1:4" x14ac:dyDescent="0.2">
      <c r="A1458" s="3">
        <v>1457</v>
      </c>
      <c r="B1458" s="3">
        <v>113.33828459999999</v>
      </c>
      <c r="C1458" s="3">
        <v>23.011257229999998</v>
      </c>
      <c r="D1458" s="3">
        <v>19</v>
      </c>
    </row>
    <row r="1459" spans="1:4" x14ac:dyDescent="0.2">
      <c r="A1459" s="3">
        <v>1458</v>
      </c>
      <c r="B1459" s="3">
        <v>113.33791720000001</v>
      </c>
      <c r="C1459" s="3">
        <v>23.011771679999999</v>
      </c>
      <c r="D1459" s="3">
        <v>19</v>
      </c>
    </row>
    <row r="1460" spans="1:4" x14ac:dyDescent="0.2">
      <c r="A1460" s="3">
        <v>1459</v>
      </c>
      <c r="B1460" s="3">
        <v>113.3376188</v>
      </c>
      <c r="C1460" s="3">
        <v>23.012446929999999</v>
      </c>
      <c r="D1460" s="3">
        <v>19</v>
      </c>
    </row>
    <row r="1461" spans="1:4" x14ac:dyDescent="0.2">
      <c r="A1461" s="3">
        <v>1460</v>
      </c>
      <c r="B1461" s="3">
        <v>113.33833970000001</v>
      </c>
      <c r="C1461" s="3">
        <v>23.008158470000001</v>
      </c>
      <c r="D1461" s="3">
        <v>19</v>
      </c>
    </row>
    <row r="1462" spans="1:4" x14ac:dyDescent="0.2">
      <c r="A1462" s="3">
        <v>1461</v>
      </c>
      <c r="B1462" s="3">
        <v>113.3360538</v>
      </c>
      <c r="C1462" s="3">
        <v>23.012849630000002</v>
      </c>
      <c r="D1462" s="3">
        <v>19</v>
      </c>
    </row>
    <row r="1463" spans="1:4" x14ac:dyDescent="0.2">
      <c r="A1463" s="3">
        <v>1462</v>
      </c>
      <c r="B1463" s="3">
        <v>113.3390703</v>
      </c>
      <c r="C1463" s="3">
        <v>23.006918679999998</v>
      </c>
      <c r="D1463" s="3">
        <v>19</v>
      </c>
    </row>
    <row r="1464" spans="1:4" x14ac:dyDescent="0.2">
      <c r="A1464" s="3">
        <v>1463</v>
      </c>
      <c r="B1464" s="3">
        <v>113.3335209</v>
      </c>
      <c r="C1464" s="3">
        <v>23.011097079999999</v>
      </c>
      <c r="D1464" s="3">
        <v>19</v>
      </c>
    </row>
    <row r="1465" spans="1:4" x14ac:dyDescent="0.2">
      <c r="A1465" s="3">
        <v>1464</v>
      </c>
      <c r="B1465" s="3">
        <v>113.3350999</v>
      </c>
      <c r="C1465" s="3">
        <v>23.010257509999999</v>
      </c>
      <c r="D1465" s="3">
        <v>19</v>
      </c>
    </row>
    <row r="1466" spans="1:4" x14ac:dyDescent="0.2">
      <c r="A1466" s="3">
        <v>1465</v>
      </c>
      <c r="B1466" s="3">
        <v>113.3361855</v>
      </c>
      <c r="C1466" s="3">
        <v>23.013560080000001</v>
      </c>
      <c r="D1466" s="3">
        <v>19</v>
      </c>
    </row>
    <row r="1467" spans="1:4" x14ac:dyDescent="0.2">
      <c r="A1467" s="3">
        <v>1466</v>
      </c>
      <c r="B1467" s="3">
        <v>113.3389128</v>
      </c>
      <c r="C1467" s="3">
        <v>23.004597969999999</v>
      </c>
      <c r="D1467" s="3">
        <v>7</v>
      </c>
    </row>
    <row r="1468" spans="1:4" x14ac:dyDescent="0.2">
      <c r="A1468" s="3">
        <v>1467</v>
      </c>
      <c r="B1468" s="3">
        <v>113.33291699999999</v>
      </c>
      <c r="C1468" s="3">
        <v>23.013325250000001</v>
      </c>
      <c r="D1468" s="3">
        <v>19</v>
      </c>
    </row>
    <row r="1469" spans="1:4" x14ac:dyDescent="0.2">
      <c r="A1469" s="3">
        <v>1468</v>
      </c>
      <c r="B1469" s="3">
        <v>113.3413595</v>
      </c>
      <c r="C1469" s="3">
        <v>23.013294819999999</v>
      </c>
      <c r="D1469" s="3">
        <v>19</v>
      </c>
    </row>
    <row r="1470" spans="1:4" x14ac:dyDescent="0.2">
      <c r="A1470" s="3">
        <v>1469</v>
      </c>
      <c r="B1470" s="3">
        <v>113.3354102</v>
      </c>
      <c r="C1470" s="3">
        <v>23.011274490000002</v>
      </c>
      <c r="D1470" s="3">
        <v>19</v>
      </c>
    </row>
    <row r="1471" spans="1:4" x14ac:dyDescent="0.2">
      <c r="A1471" s="3">
        <v>1470</v>
      </c>
      <c r="B1471" s="3">
        <v>113.3347693</v>
      </c>
      <c r="C1471" s="3">
        <v>23.013047920000002</v>
      </c>
      <c r="D1471" s="3">
        <v>19</v>
      </c>
    </row>
    <row r="1472" spans="1:4" x14ac:dyDescent="0.2">
      <c r="A1472" s="3">
        <v>1471</v>
      </c>
      <c r="B1472" s="3">
        <v>113.3348302</v>
      </c>
      <c r="C1472" s="3">
        <v>23.012860880000002</v>
      </c>
      <c r="D1472" s="3">
        <v>19</v>
      </c>
    </row>
    <row r="1473" spans="1:4" x14ac:dyDescent="0.2">
      <c r="A1473" s="3">
        <v>1472</v>
      </c>
      <c r="B1473" s="3">
        <v>113.336446</v>
      </c>
      <c r="C1473" s="3">
        <v>23.013478630000002</v>
      </c>
      <c r="D1473" s="3">
        <v>19</v>
      </c>
    </row>
    <row r="1474" spans="1:4" x14ac:dyDescent="0.2">
      <c r="A1474" s="3">
        <v>1473</v>
      </c>
      <c r="B1474" s="3">
        <v>113.3345948</v>
      </c>
      <c r="C1474" s="3">
        <v>23.010934150000001</v>
      </c>
      <c r="D1474" s="3">
        <v>19</v>
      </c>
    </row>
    <row r="1475" spans="1:4" x14ac:dyDescent="0.2">
      <c r="A1475" s="3">
        <v>1474</v>
      </c>
      <c r="B1475" s="3">
        <v>113.3362843</v>
      </c>
      <c r="C1475" s="3">
        <v>23.01357089</v>
      </c>
      <c r="D1475" s="3">
        <v>19</v>
      </c>
    </row>
    <row r="1476" spans="1:4" x14ac:dyDescent="0.2">
      <c r="A1476" s="3">
        <v>1475</v>
      </c>
      <c r="B1476" s="3">
        <v>113.3335687</v>
      </c>
      <c r="C1476" s="3">
        <v>23.012571359999999</v>
      </c>
      <c r="D1476" s="3">
        <v>19</v>
      </c>
    </row>
    <row r="1477" spans="1:4" x14ac:dyDescent="0.2">
      <c r="A1477" s="3">
        <v>1476</v>
      </c>
      <c r="B1477" s="3">
        <v>113.3479047</v>
      </c>
      <c r="C1477" s="3">
        <v>23.01254587</v>
      </c>
      <c r="D1477" s="3">
        <v>19</v>
      </c>
    </row>
    <row r="1478" spans="1:4" x14ac:dyDescent="0.2">
      <c r="A1478" s="3">
        <v>1477</v>
      </c>
      <c r="B1478" s="3">
        <v>113.344977</v>
      </c>
      <c r="C1478" s="3">
        <v>23.0105127</v>
      </c>
      <c r="D1478" s="3">
        <v>19</v>
      </c>
    </row>
    <row r="1479" spans="1:4" x14ac:dyDescent="0.2">
      <c r="A1479" s="3">
        <v>1478</v>
      </c>
      <c r="B1479" s="3">
        <v>113.34452690000001</v>
      </c>
      <c r="C1479" s="3">
        <v>23.010131640000001</v>
      </c>
      <c r="D1479" s="3">
        <v>19</v>
      </c>
    </row>
    <row r="1480" spans="1:4" x14ac:dyDescent="0.2">
      <c r="A1480" s="3">
        <v>1479</v>
      </c>
      <c r="B1480" s="3">
        <v>113.34365440000001</v>
      </c>
      <c r="C1480" s="3">
        <v>23.01124068</v>
      </c>
      <c r="D1480" s="3">
        <v>19</v>
      </c>
    </row>
    <row r="1481" spans="1:4" x14ac:dyDescent="0.2">
      <c r="A1481" s="3">
        <v>1480</v>
      </c>
      <c r="B1481" s="3">
        <v>113.34311150000001</v>
      </c>
      <c r="C1481" s="3">
        <v>23.009923189999999</v>
      </c>
      <c r="D1481" s="3">
        <v>19</v>
      </c>
    </row>
    <row r="1482" spans="1:4" x14ac:dyDescent="0.2">
      <c r="A1482" s="3">
        <v>1481</v>
      </c>
      <c r="B1482" s="3">
        <v>113.34326419999999</v>
      </c>
      <c r="C1482" s="3">
        <v>23.009674029999999</v>
      </c>
      <c r="D1482" s="3">
        <v>19</v>
      </c>
    </row>
    <row r="1483" spans="1:4" x14ac:dyDescent="0.2">
      <c r="A1483" s="3">
        <v>1482</v>
      </c>
      <c r="B1483" s="3">
        <v>113.343351</v>
      </c>
      <c r="C1483" s="3">
        <v>23.010881359999999</v>
      </c>
      <c r="D1483" s="3">
        <v>19</v>
      </c>
    </row>
    <row r="1484" spans="1:4" x14ac:dyDescent="0.2">
      <c r="A1484" s="3">
        <v>1483</v>
      </c>
      <c r="B1484" s="3">
        <v>113.343317</v>
      </c>
      <c r="C1484" s="3">
        <v>23.01110332</v>
      </c>
      <c r="D1484" s="3">
        <v>19</v>
      </c>
    </row>
    <row r="1485" spans="1:4" x14ac:dyDescent="0.2">
      <c r="A1485" s="3">
        <v>1484</v>
      </c>
      <c r="B1485" s="3">
        <v>113.34207739999999</v>
      </c>
      <c r="C1485" s="3">
        <v>23.010407799999999</v>
      </c>
      <c r="D1485" s="3">
        <v>19</v>
      </c>
    </row>
    <row r="1486" spans="1:4" x14ac:dyDescent="0.2">
      <c r="A1486" s="3">
        <v>1485</v>
      </c>
      <c r="B1486" s="3">
        <v>113.3420186</v>
      </c>
      <c r="C1486" s="3">
        <v>23.00956527</v>
      </c>
      <c r="D1486" s="3">
        <v>19</v>
      </c>
    </row>
    <row r="1487" spans="1:4" x14ac:dyDescent="0.2">
      <c r="A1487" s="3">
        <v>1486</v>
      </c>
      <c r="B1487" s="3">
        <v>113.3458648</v>
      </c>
      <c r="C1487" s="3">
        <v>23.004261889999999</v>
      </c>
      <c r="D1487" s="3">
        <v>7</v>
      </c>
    </row>
    <row r="1488" spans="1:4" x14ac:dyDescent="0.2">
      <c r="A1488" s="3">
        <v>1487</v>
      </c>
      <c r="B1488" s="3">
        <v>113.34760009999999</v>
      </c>
      <c r="C1488" s="3">
        <v>23.013517960000001</v>
      </c>
      <c r="D1488" s="3">
        <v>19</v>
      </c>
    </row>
    <row r="1489" spans="1:4" x14ac:dyDescent="0.2">
      <c r="A1489" s="3">
        <v>1488</v>
      </c>
      <c r="B1489" s="3">
        <v>113.345474</v>
      </c>
      <c r="C1489" s="3">
        <v>23.013030759999999</v>
      </c>
      <c r="D1489" s="3">
        <v>19</v>
      </c>
    </row>
    <row r="1490" spans="1:4" x14ac:dyDescent="0.2">
      <c r="A1490" s="3">
        <v>1489</v>
      </c>
      <c r="B1490" s="3">
        <v>113.3444494</v>
      </c>
      <c r="C1490" s="3">
        <v>23.003885480000001</v>
      </c>
      <c r="D1490" s="3">
        <v>7</v>
      </c>
    </row>
    <row r="1491" spans="1:4" x14ac:dyDescent="0.2">
      <c r="A1491" s="3">
        <v>1490</v>
      </c>
      <c r="B1491" s="3">
        <v>113.3420783</v>
      </c>
      <c r="C1491" s="3">
        <v>23.011795200000002</v>
      </c>
      <c r="D1491" s="3">
        <v>19</v>
      </c>
    </row>
    <row r="1492" spans="1:4" x14ac:dyDescent="0.2">
      <c r="A1492" s="3">
        <v>1491</v>
      </c>
      <c r="B1492" s="3">
        <v>113.34511019999999</v>
      </c>
      <c r="C1492" s="3">
        <v>23.003685430000001</v>
      </c>
      <c r="D1492" s="3">
        <v>7</v>
      </c>
    </row>
    <row r="1493" spans="1:4" x14ac:dyDescent="0.2">
      <c r="A1493" s="3">
        <v>1492</v>
      </c>
      <c r="B1493" s="3">
        <v>113.3455538</v>
      </c>
      <c r="C1493" s="3">
        <v>23.013469440000001</v>
      </c>
      <c r="D1493" s="3">
        <v>19</v>
      </c>
    </row>
    <row r="1494" spans="1:4" x14ac:dyDescent="0.2">
      <c r="A1494" s="3">
        <v>1493</v>
      </c>
      <c r="B1494" s="3">
        <v>113.3556907</v>
      </c>
      <c r="C1494" s="3">
        <v>23.01332124</v>
      </c>
      <c r="D1494" s="3">
        <v>38</v>
      </c>
    </row>
    <row r="1495" spans="1:4" x14ac:dyDescent="0.2">
      <c r="A1495" s="3">
        <v>1494</v>
      </c>
      <c r="B1495" s="3">
        <v>113.3570647</v>
      </c>
      <c r="C1495" s="3">
        <v>23.011642949999999</v>
      </c>
      <c r="D1495" s="3">
        <v>38</v>
      </c>
    </row>
    <row r="1496" spans="1:4" x14ac:dyDescent="0.2">
      <c r="A1496" s="3">
        <v>1495</v>
      </c>
      <c r="B1496" s="3">
        <v>113.3585515</v>
      </c>
      <c r="C1496" s="3">
        <v>23.011933689999999</v>
      </c>
      <c r="D1496" s="3">
        <v>38</v>
      </c>
    </row>
    <row r="1497" spans="1:4" x14ac:dyDescent="0.2">
      <c r="A1497" s="3">
        <v>1496</v>
      </c>
      <c r="B1497" s="3">
        <v>113.3530839</v>
      </c>
      <c r="C1497" s="3">
        <v>23.0124216</v>
      </c>
      <c r="D1497" s="3">
        <v>38</v>
      </c>
    </row>
    <row r="1498" spans="1:4" x14ac:dyDescent="0.2">
      <c r="A1498" s="3">
        <v>1497</v>
      </c>
      <c r="B1498" s="3">
        <v>113.3576029</v>
      </c>
      <c r="C1498" s="3">
        <v>23.011779109999999</v>
      </c>
      <c r="D1498" s="3">
        <v>38</v>
      </c>
    </row>
    <row r="1499" spans="1:4" x14ac:dyDescent="0.2">
      <c r="A1499" s="3">
        <v>1498</v>
      </c>
      <c r="B1499" s="3">
        <v>113.3602599</v>
      </c>
      <c r="C1499" s="3">
        <v>23.012956880000001</v>
      </c>
      <c r="D1499" s="3">
        <v>38</v>
      </c>
    </row>
    <row r="1500" spans="1:4" x14ac:dyDescent="0.2">
      <c r="A1500" s="3">
        <v>1499</v>
      </c>
      <c r="B1500" s="3">
        <v>113.35930430000001</v>
      </c>
      <c r="C1500" s="3">
        <v>23.013387009999999</v>
      </c>
      <c r="D1500" s="3">
        <v>38</v>
      </c>
    </row>
    <row r="1501" spans="1:4" x14ac:dyDescent="0.2">
      <c r="A1501" s="3">
        <v>1500</v>
      </c>
      <c r="B1501" s="3">
        <v>113.3602599</v>
      </c>
      <c r="C1501" s="3">
        <v>23.012956880000001</v>
      </c>
      <c r="D1501" s="3">
        <v>38</v>
      </c>
    </row>
    <row r="1502" spans="1:4" x14ac:dyDescent="0.2">
      <c r="A1502" s="3">
        <v>1501</v>
      </c>
      <c r="B1502" s="3">
        <v>113.3654441</v>
      </c>
      <c r="C1502" s="3">
        <v>23.01238944</v>
      </c>
      <c r="D1502" s="3">
        <v>38</v>
      </c>
    </row>
    <row r="1503" spans="1:4" x14ac:dyDescent="0.2">
      <c r="A1503" s="3">
        <v>1502</v>
      </c>
      <c r="B1503" s="3">
        <v>113.3650169</v>
      </c>
      <c r="C1503" s="3">
        <v>23.00741511</v>
      </c>
      <c r="D1503" s="3">
        <v>38</v>
      </c>
    </row>
    <row r="1504" spans="1:4" x14ac:dyDescent="0.2">
      <c r="A1504" s="3">
        <v>1503</v>
      </c>
      <c r="B1504" s="3">
        <v>113.3703325</v>
      </c>
      <c r="C1504" s="3">
        <v>23.010675639999999</v>
      </c>
      <c r="D1504" s="3">
        <v>41</v>
      </c>
    </row>
    <row r="1505" spans="1:4" x14ac:dyDescent="0.2">
      <c r="A1505" s="3">
        <v>1504</v>
      </c>
      <c r="B1505" s="3">
        <v>113.3632399</v>
      </c>
      <c r="C1505" s="3">
        <v>23.01223925</v>
      </c>
      <c r="D1505" s="3">
        <v>38</v>
      </c>
    </row>
    <row r="1506" spans="1:4" x14ac:dyDescent="0.2">
      <c r="A1506" s="3">
        <v>1505</v>
      </c>
      <c r="B1506" s="3">
        <v>113.37339849999999</v>
      </c>
      <c r="C1506" s="3">
        <v>23.009643029999999</v>
      </c>
      <c r="D1506" s="3">
        <v>41</v>
      </c>
    </row>
    <row r="1507" spans="1:4" x14ac:dyDescent="0.2">
      <c r="A1507" s="3">
        <v>1506</v>
      </c>
      <c r="B1507" s="3">
        <v>113.3760472</v>
      </c>
      <c r="C1507" s="3">
        <v>23.008866000000001</v>
      </c>
      <c r="D1507" s="3">
        <v>41</v>
      </c>
    </row>
    <row r="1508" spans="1:4" x14ac:dyDescent="0.2">
      <c r="A1508" s="3">
        <v>1507</v>
      </c>
      <c r="B1508" s="3">
        <v>113.3812056</v>
      </c>
      <c r="C1508" s="3">
        <v>23.007954529999999</v>
      </c>
      <c r="D1508" s="3">
        <v>41</v>
      </c>
    </row>
    <row r="1509" spans="1:4" x14ac:dyDescent="0.2">
      <c r="A1509" s="3">
        <v>1508</v>
      </c>
      <c r="B1509" s="3">
        <v>113.38092349999999</v>
      </c>
      <c r="C1509" s="3">
        <v>23.01106137</v>
      </c>
      <c r="D1509" s="3">
        <v>41</v>
      </c>
    </row>
    <row r="1510" spans="1:4" x14ac:dyDescent="0.2">
      <c r="A1510" s="3">
        <v>1509</v>
      </c>
      <c r="B1510" s="3">
        <v>113.3787071</v>
      </c>
      <c r="C1510" s="3">
        <v>23.009625549999999</v>
      </c>
      <c r="D1510" s="3">
        <v>41</v>
      </c>
    </row>
    <row r="1511" spans="1:4" x14ac:dyDescent="0.2">
      <c r="A1511" s="3">
        <v>1510</v>
      </c>
      <c r="B1511" s="3">
        <v>113.3786552</v>
      </c>
      <c r="C1511" s="3">
        <v>23.009284730000001</v>
      </c>
      <c r="D1511" s="3">
        <v>41</v>
      </c>
    </row>
    <row r="1512" spans="1:4" x14ac:dyDescent="0.2">
      <c r="A1512" s="3">
        <v>1511</v>
      </c>
      <c r="B1512" s="3">
        <v>113.3795006</v>
      </c>
      <c r="C1512" s="3">
        <v>23.00944505</v>
      </c>
      <c r="D1512" s="3">
        <v>41</v>
      </c>
    </row>
    <row r="1513" spans="1:4" x14ac:dyDescent="0.2">
      <c r="A1513" s="3">
        <v>1512</v>
      </c>
      <c r="B1513" s="3">
        <v>113.3782045</v>
      </c>
      <c r="C1513" s="3">
        <v>23.0099178</v>
      </c>
      <c r="D1513" s="3">
        <v>41</v>
      </c>
    </row>
    <row r="1514" spans="1:4" x14ac:dyDescent="0.2">
      <c r="A1514" s="3">
        <v>1513</v>
      </c>
      <c r="B1514" s="3">
        <v>113.3773051</v>
      </c>
      <c r="C1514" s="3">
        <v>23.010997039999999</v>
      </c>
      <c r="D1514" s="3">
        <v>41</v>
      </c>
    </row>
    <row r="1515" spans="1:4" x14ac:dyDescent="0.2">
      <c r="A1515" s="3">
        <v>1514</v>
      </c>
      <c r="B1515" s="3">
        <v>113.3788083</v>
      </c>
      <c r="C1515" s="3">
        <v>23.006549799999998</v>
      </c>
      <c r="D1515" s="3">
        <v>41</v>
      </c>
    </row>
    <row r="1516" spans="1:4" x14ac:dyDescent="0.2">
      <c r="A1516" s="3">
        <v>1515</v>
      </c>
      <c r="B1516" s="3">
        <v>113.3754759</v>
      </c>
      <c r="C1516" s="3">
        <v>23.006199639999998</v>
      </c>
      <c r="D1516" s="3">
        <v>41</v>
      </c>
    </row>
    <row r="1517" spans="1:4" x14ac:dyDescent="0.2">
      <c r="A1517" s="3">
        <v>1516</v>
      </c>
      <c r="B1517" s="3">
        <v>113.3796505</v>
      </c>
      <c r="C1517" s="3">
        <v>23.009639849999999</v>
      </c>
      <c r="D1517" s="3">
        <v>41</v>
      </c>
    </row>
    <row r="1518" spans="1:4" x14ac:dyDescent="0.2">
      <c r="A1518" s="3">
        <v>1517</v>
      </c>
      <c r="B1518" s="3">
        <v>113.37750130000001</v>
      </c>
      <c r="C1518" s="3">
        <v>23.006120989999999</v>
      </c>
      <c r="D1518" s="3">
        <v>41</v>
      </c>
    </row>
    <row r="1519" spans="1:4" x14ac:dyDescent="0.2">
      <c r="A1519" s="3">
        <v>1518</v>
      </c>
      <c r="B1519" s="3">
        <v>113.3777438</v>
      </c>
      <c r="C1519" s="3">
        <v>23.010190040000001</v>
      </c>
      <c r="D1519" s="3">
        <v>41</v>
      </c>
    </row>
    <row r="1520" spans="1:4" x14ac:dyDescent="0.2">
      <c r="A1520" s="3">
        <v>1519</v>
      </c>
      <c r="B1520" s="3">
        <v>113.3737933</v>
      </c>
      <c r="C1520" s="3">
        <v>23.007159739999999</v>
      </c>
      <c r="D1520" s="3">
        <v>41</v>
      </c>
    </row>
    <row r="1521" spans="1:4" x14ac:dyDescent="0.2">
      <c r="A1521" s="3">
        <v>1520</v>
      </c>
      <c r="B1521" s="3">
        <v>113.3766845</v>
      </c>
      <c r="C1521" s="3">
        <v>23.01153931</v>
      </c>
      <c r="D1521" s="3">
        <v>41</v>
      </c>
    </row>
    <row r="1522" spans="1:4" x14ac:dyDescent="0.2">
      <c r="A1522" s="3">
        <v>1521</v>
      </c>
      <c r="B1522" s="3">
        <v>113.37688180000001</v>
      </c>
      <c r="C1522" s="3">
        <v>23.005506759999999</v>
      </c>
      <c r="D1522" s="3">
        <v>41</v>
      </c>
    </row>
    <row r="1523" spans="1:4" x14ac:dyDescent="0.2">
      <c r="A1523" s="3">
        <v>1522</v>
      </c>
      <c r="B1523" s="3">
        <v>113.3785625</v>
      </c>
      <c r="C1523" s="3">
        <v>23.00542647</v>
      </c>
      <c r="D1523" s="3">
        <v>41</v>
      </c>
    </row>
    <row r="1524" spans="1:4" x14ac:dyDescent="0.2">
      <c r="A1524" s="3">
        <v>1523</v>
      </c>
      <c r="B1524" s="3">
        <v>113.37978529999999</v>
      </c>
      <c r="C1524" s="3">
        <v>23.010814249999999</v>
      </c>
      <c r="D1524" s="3">
        <v>41</v>
      </c>
    </row>
    <row r="1525" spans="1:4" x14ac:dyDescent="0.2">
      <c r="A1525" s="3">
        <v>1524</v>
      </c>
      <c r="B1525" s="3">
        <v>113.3736495</v>
      </c>
      <c r="C1525" s="3">
        <v>23.006391199999999</v>
      </c>
      <c r="D1525" s="3">
        <v>41</v>
      </c>
    </row>
    <row r="1526" spans="1:4" x14ac:dyDescent="0.2">
      <c r="A1526" s="3">
        <v>1525</v>
      </c>
      <c r="B1526" s="3">
        <v>113.37598149999999</v>
      </c>
      <c r="C1526" s="3">
        <v>23.005056700000001</v>
      </c>
      <c r="D1526" s="3">
        <v>41</v>
      </c>
    </row>
    <row r="1527" spans="1:4" x14ac:dyDescent="0.2">
      <c r="A1527" s="3">
        <v>1526</v>
      </c>
      <c r="B1527" s="3">
        <v>113.380472</v>
      </c>
      <c r="C1527" s="3">
        <v>23.008937589999999</v>
      </c>
      <c r="D1527" s="3">
        <v>41</v>
      </c>
    </row>
    <row r="1528" spans="1:4" x14ac:dyDescent="0.2">
      <c r="A1528" s="3">
        <v>1527</v>
      </c>
      <c r="B1528" s="3">
        <v>113.37826870000001</v>
      </c>
      <c r="C1528" s="3">
        <v>23.005452680000001</v>
      </c>
      <c r="D1528" s="3">
        <v>41</v>
      </c>
    </row>
    <row r="1529" spans="1:4" x14ac:dyDescent="0.2">
      <c r="A1529" s="3">
        <v>1528</v>
      </c>
      <c r="B1529" s="3">
        <v>113.3801861</v>
      </c>
      <c r="C1529" s="3">
        <v>23.009491539999999</v>
      </c>
      <c r="D1529" s="3">
        <v>41</v>
      </c>
    </row>
    <row r="1530" spans="1:4" x14ac:dyDescent="0.2">
      <c r="A1530" s="3">
        <v>1529</v>
      </c>
      <c r="B1530" s="3">
        <v>113.3733088</v>
      </c>
      <c r="C1530" s="3">
        <v>23.00748205</v>
      </c>
      <c r="D1530" s="3">
        <v>41</v>
      </c>
    </row>
    <row r="1531" spans="1:4" x14ac:dyDescent="0.2">
      <c r="A1531" s="3">
        <v>1530</v>
      </c>
      <c r="B1531" s="3">
        <v>113.38064989999999</v>
      </c>
      <c r="C1531" s="3">
        <v>23.007598049999999</v>
      </c>
      <c r="D1531" s="3">
        <v>41</v>
      </c>
    </row>
    <row r="1532" spans="1:4" x14ac:dyDescent="0.2">
      <c r="A1532" s="3">
        <v>1531</v>
      </c>
      <c r="B1532" s="3">
        <v>113.37608640000001</v>
      </c>
      <c r="C1532" s="3">
        <v>23.005600380000001</v>
      </c>
      <c r="D1532" s="3">
        <v>41</v>
      </c>
    </row>
    <row r="1533" spans="1:4" x14ac:dyDescent="0.2">
      <c r="A1533" s="3">
        <v>1532</v>
      </c>
      <c r="B1533" s="3">
        <v>113.3811225</v>
      </c>
      <c r="C1533" s="3">
        <v>23.0097618</v>
      </c>
      <c r="D1533" s="3">
        <v>41</v>
      </c>
    </row>
    <row r="1534" spans="1:4" x14ac:dyDescent="0.2">
      <c r="A1534" s="3">
        <v>1533</v>
      </c>
      <c r="B1534" s="3">
        <v>113.3797307</v>
      </c>
      <c r="C1534" s="3">
        <v>23.005735489999999</v>
      </c>
      <c r="D1534" s="3">
        <v>41</v>
      </c>
    </row>
    <row r="1535" spans="1:4" x14ac:dyDescent="0.2">
      <c r="A1535" s="3">
        <v>1534</v>
      </c>
      <c r="B1535" s="3">
        <v>113.3784636</v>
      </c>
      <c r="C1535" s="3">
        <v>23.00539156</v>
      </c>
      <c r="D1535" s="3">
        <v>41</v>
      </c>
    </row>
    <row r="1536" spans="1:4" x14ac:dyDescent="0.2">
      <c r="A1536" s="3">
        <v>1535</v>
      </c>
      <c r="B1536" s="3">
        <v>113.37949690000001</v>
      </c>
      <c r="C1536" s="3">
        <v>23.005262859999998</v>
      </c>
      <c r="D1536" s="3">
        <v>41</v>
      </c>
    </row>
    <row r="1537" spans="1:4" x14ac:dyDescent="0.2">
      <c r="A1537" s="3">
        <v>1536</v>
      </c>
      <c r="B1537" s="3">
        <v>113.3784297</v>
      </c>
      <c r="C1537" s="3">
        <v>23.004293059999998</v>
      </c>
      <c r="D1537" s="3">
        <v>41</v>
      </c>
    </row>
    <row r="1538" spans="1:4" x14ac:dyDescent="0.2">
      <c r="A1538" s="3">
        <v>1537</v>
      </c>
      <c r="B1538" s="3">
        <v>113.38101279999999</v>
      </c>
      <c r="C1538" s="3">
        <v>23.006902109999999</v>
      </c>
      <c r="D1538" s="3">
        <v>41</v>
      </c>
    </row>
    <row r="1539" spans="1:4" x14ac:dyDescent="0.2">
      <c r="A1539" s="3">
        <v>1538</v>
      </c>
      <c r="B1539" s="3">
        <v>113.37932189999999</v>
      </c>
      <c r="C1539" s="3">
        <v>23.005711789999999</v>
      </c>
      <c r="D1539" s="3">
        <v>41</v>
      </c>
    </row>
    <row r="1540" spans="1:4" x14ac:dyDescent="0.2">
      <c r="A1540" s="3">
        <v>1539</v>
      </c>
      <c r="B1540" s="3">
        <v>113.3758002</v>
      </c>
      <c r="C1540" s="3">
        <v>23.012411669999999</v>
      </c>
      <c r="D1540" s="3">
        <v>41</v>
      </c>
    </row>
    <row r="1541" spans="1:4" x14ac:dyDescent="0.2">
      <c r="A1541" s="3">
        <v>1540</v>
      </c>
      <c r="B1541" s="3">
        <v>113.3812755</v>
      </c>
      <c r="C1541" s="3">
        <v>23.007875510000002</v>
      </c>
      <c r="D1541" s="3">
        <v>41</v>
      </c>
    </row>
    <row r="1542" spans="1:4" x14ac:dyDescent="0.2">
      <c r="A1542" s="3">
        <v>1541</v>
      </c>
      <c r="B1542" s="3">
        <v>113.3814083</v>
      </c>
      <c r="C1542" s="3">
        <v>23.009533709999999</v>
      </c>
      <c r="D1542" s="3">
        <v>41</v>
      </c>
    </row>
    <row r="1543" spans="1:4" x14ac:dyDescent="0.2">
      <c r="A1543" s="3">
        <v>1542</v>
      </c>
      <c r="B1543" s="3">
        <v>113.38023389999999</v>
      </c>
      <c r="C1543" s="3">
        <v>23.011672570000002</v>
      </c>
      <c r="D1543" s="3">
        <v>41</v>
      </c>
    </row>
    <row r="1544" spans="1:4" x14ac:dyDescent="0.2">
      <c r="A1544" s="3">
        <v>1543</v>
      </c>
      <c r="B1544" s="3">
        <v>113.3749375</v>
      </c>
      <c r="C1544" s="3">
        <v>23.00441189</v>
      </c>
      <c r="D1544" s="3">
        <v>41</v>
      </c>
    </row>
    <row r="1545" spans="1:4" x14ac:dyDescent="0.2">
      <c r="A1545" s="3">
        <v>1544</v>
      </c>
      <c r="B1545" s="3">
        <v>113.3791801</v>
      </c>
      <c r="C1545" s="3">
        <v>23.005245089999999</v>
      </c>
      <c r="D1545" s="3">
        <v>41</v>
      </c>
    </row>
    <row r="1546" spans="1:4" x14ac:dyDescent="0.2">
      <c r="A1546" s="3">
        <v>1545</v>
      </c>
      <c r="B1546" s="3">
        <v>113.374303</v>
      </c>
      <c r="C1546" s="3">
        <v>23.005852829999998</v>
      </c>
      <c r="D1546" s="3">
        <v>41</v>
      </c>
    </row>
    <row r="1547" spans="1:4" x14ac:dyDescent="0.2">
      <c r="A1547" s="3">
        <v>1546</v>
      </c>
      <c r="B1547" s="3">
        <v>113.376571</v>
      </c>
      <c r="C1547" s="3">
        <v>23.00526412</v>
      </c>
      <c r="D1547" s="3">
        <v>41</v>
      </c>
    </row>
    <row r="1548" spans="1:4" x14ac:dyDescent="0.2">
      <c r="A1548" s="3">
        <v>1547</v>
      </c>
      <c r="B1548" s="3">
        <v>113.37454580000001</v>
      </c>
      <c r="C1548" s="3">
        <v>23.004319280000001</v>
      </c>
      <c r="D1548" s="3">
        <v>41</v>
      </c>
    </row>
    <row r="1549" spans="1:4" x14ac:dyDescent="0.2">
      <c r="A1549" s="3">
        <v>1548</v>
      </c>
      <c r="B1549" s="3">
        <v>113.3810916</v>
      </c>
      <c r="C1549" s="3">
        <v>23.008981160000001</v>
      </c>
      <c r="D1549" s="3">
        <v>41</v>
      </c>
    </row>
    <row r="1550" spans="1:4" x14ac:dyDescent="0.2">
      <c r="A1550" s="3">
        <v>1549</v>
      </c>
      <c r="B1550" s="3">
        <v>113.37670199999999</v>
      </c>
      <c r="C1550" s="3">
        <v>23.004005549999999</v>
      </c>
      <c r="D1550" s="3">
        <v>41</v>
      </c>
    </row>
    <row r="1551" spans="1:4" x14ac:dyDescent="0.2">
      <c r="A1551" s="3">
        <v>1550</v>
      </c>
      <c r="B1551" s="3">
        <v>113.380627</v>
      </c>
      <c r="C1551" s="3">
        <v>23.006178680000001</v>
      </c>
      <c r="D1551" s="3">
        <v>41</v>
      </c>
    </row>
    <row r="1552" spans="1:4" x14ac:dyDescent="0.2">
      <c r="A1552" s="3">
        <v>1551</v>
      </c>
      <c r="B1552" s="3">
        <v>113.38123830000001</v>
      </c>
      <c r="C1552" s="3">
        <v>23.0118978</v>
      </c>
      <c r="D1552" s="3">
        <v>41</v>
      </c>
    </row>
    <row r="1553" spans="1:4" x14ac:dyDescent="0.2">
      <c r="A1553" s="3">
        <v>1552</v>
      </c>
      <c r="B1553" s="3">
        <v>113.3803947</v>
      </c>
      <c r="C1553" s="3">
        <v>23.01316581</v>
      </c>
      <c r="D1553" s="3">
        <v>41</v>
      </c>
    </row>
    <row r="1554" spans="1:4" x14ac:dyDescent="0.2">
      <c r="A1554" s="3">
        <v>1553</v>
      </c>
      <c r="B1554" s="3">
        <v>113.37312590000001</v>
      </c>
      <c r="C1554" s="3">
        <v>23.00876667</v>
      </c>
      <c r="D1554" s="3">
        <v>41</v>
      </c>
    </row>
    <row r="1555" spans="1:4" x14ac:dyDescent="0.2">
      <c r="A1555" s="3">
        <v>1554</v>
      </c>
      <c r="B1555" s="3">
        <v>113.378518</v>
      </c>
      <c r="C1555" s="3">
        <v>23.012977240000001</v>
      </c>
      <c r="D1555" s="3">
        <v>41</v>
      </c>
    </row>
    <row r="1556" spans="1:4" x14ac:dyDescent="0.2">
      <c r="A1556" s="3">
        <v>1555</v>
      </c>
      <c r="B1556" s="3">
        <v>113.3813007</v>
      </c>
      <c r="C1556" s="3">
        <v>23.004675880000001</v>
      </c>
      <c r="D1556" s="3">
        <v>41</v>
      </c>
    </row>
    <row r="1557" spans="1:4" x14ac:dyDescent="0.2">
      <c r="A1557" s="3">
        <v>1556</v>
      </c>
      <c r="B1557" s="3">
        <v>113.3812667</v>
      </c>
      <c r="C1557" s="3">
        <v>23.005294639999999</v>
      </c>
      <c r="D1557" s="3">
        <v>41</v>
      </c>
    </row>
    <row r="1558" spans="1:4" x14ac:dyDescent="0.2">
      <c r="A1558" s="3">
        <v>1557</v>
      </c>
      <c r="B1558" s="3">
        <v>113.37880130000001</v>
      </c>
      <c r="C1558" s="3">
        <v>23.005659189999999</v>
      </c>
      <c r="D1558" s="3">
        <v>41</v>
      </c>
    </row>
    <row r="1559" spans="1:4" x14ac:dyDescent="0.2">
      <c r="A1559" s="3">
        <v>1558</v>
      </c>
      <c r="B1559" s="3">
        <v>113.37881779999999</v>
      </c>
      <c r="C1559" s="3">
        <v>23.012974020000001</v>
      </c>
      <c r="D1559" s="3">
        <v>41</v>
      </c>
    </row>
    <row r="1560" spans="1:4" x14ac:dyDescent="0.2">
      <c r="A1560" s="3">
        <v>1559</v>
      </c>
      <c r="B1560" s="3">
        <v>113.3750318</v>
      </c>
      <c r="C1560" s="3">
        <v>23.012754189999999</v>
      </c>
      <c r="D1560" s="3">
        <v>41</v>
      </c>
    </row>
    <row r="1561" spans="1:4" x14ac:dyDescent="0.2">
      <c r="A1561" s="3">
        <v>1560</v>
      </c>
      <c r="B1561" s="3">
        <v>113.3812212</v>
      </c>
      <c r="C1561" s="3">
        <v>23.012887379999999</v>
      </c>
      <c r="D1561" s="3">
        <v>41</v>
      </c>
    </row>
    <row r="1562" spans="1:4" x14ac:dyDescent="0.2">
      <c r="A1562" s="3">
        <v>1561</v>
      </c>
      <c r="B1562" s="3">
        <v>113.38676169999999</v>
      </c>
      <c r="C1562" s="3">
        <v>23.009603819999999</v>
      </c>
      <c r="D1562" s="3">
        <v>41</v>
      </c>
    </row>
    <row r="1563" spans="1:4" x14ac:dyDescent="0.2">
      <c r="A1563" s="3">
        <v>1562</v>
      </c>
      <c r="B1563" s="3">
        <v>113.3871776</v>
      </c>
      <c r="C1563" s="3">
        <v>23.008680049999999</v>
      </c>
      <c r="D1563" s="3">
        <v>41</v>
      </c>
    </row>
    <row r="1564" spans="1:4" x14ac:dyDescent="0.2">
      <c r="A1564" s="3">
        <v>1563</v>
      </c>
      <c r="B1564" s="3">
        <v>113.3873346</v>
      </c>
      <c r="C1564" s="3">
        <v>23.008143220000001</v>
      </c>
      <c r="D1564" s="3">
        <v>41</v>
      </c>
    </row>
    <row r="1565" spans="1:4" x14ac:dyDescent="0.2">
      <c r="A1565" s="3">
        <v>1564</v>
      </c>
      <c r="B1565" s="3">
        <v>113.3887864</v>
      </c>
      <c r="C1565" s="3">
        <v>23.005539800000001</v>
      </c>
      <c r="D1565" s="3">
        <v>41</v>
      </c>
    </row>
    <row r="1566" spans="1:4" x14ac:dyDescent="0.2">
      <c r="A1566" s="3">
        <v>1565</v>
      </c>
      <c r="B1566" s="3">
        <v>113.3863259</v>
      </c>
      <c r="C1566" s="3">
        <v>23.00950405</v>
      </c>
      <c r="D1566" s="3">
        <v>41</v>
      </c>
    </row>
    <row r="1567" spans="1:4" x14ac:dyDescent="0.2">
      <c r="A1567" s="3">
        <v>1566</v>
      </c>
      <c r="B1567" s="3">
        <v>113.38562810000001</v>
      </c>
      <c r="C1567" s="3">
        <v>23.009932190000001</v>
      </c>
      <c r="D1567" s="3">
        <v>41</v>
      </c>
    </row>
    <row r="1568" spans="1:4" x14ac:dyDescent="0.2">
      <c r="A1568" s="3">
        <v>1567</v>
      </c>
      <c r="B1568" s="3">
        <v>113.3875716</v>
      </c>
      <c r="C1568" s="3">
        <v>23.007721310000001</v>
      </c>
      <c r="D1568" s="3">
        <v>41</v>
      </c>
    </row>
    <row r="1569" spans="1:4" x14ac:dyDescent="0.2">
      <c r="A1569" s="3">
        <v>1568</v>
      </c>
      <c r="B1569" s="3">
        <v>113.3858843</v>
      </c>
      <c r="C1569" s="3">
        <v>23.006836409999998</v>
      </c>
      <c r="D1569" s="3">
        <v>41</v>
      </c>
    </row>
    <row r="1570" spans="1:4" x14ac:dyDescent="0.2">
      <c r="A1570" s="3">
        <v>1569</v>
      </c>
      <c r="B1570" s="3">
        <v>113.3888864</v>
      </c>
      <c r="C1570" s="3">
        <v>23.004486230000001</v>
      </c>
      <c r="D1570" s="3">
        <v>41</v>
      </c>
    </row>
    <row r="1571" spans="1:4" x14ac:dyDescent="0.2">
      <c r="A1571" s="3">
        <v>1570</v>
      </c>
      <c r="B1571" s="3">
        <v>113.3861862</v>
      </c>
      <c r="C1571" s="3">
        <v>23.00641645</v>
      </c>
      <c r="D1571" s="3">
        <v>41</v>
      </c>
    </row>
    <row r="1572" spans="1:4" x14ac:dyDescent="0.2">
      <c r="A1572" s="3">
        <v>1571</v>
      </c>
      <c r="B1572" s="3">
        <v>113.38786349999999</v>
      </c>
      <c r="C1572" s="3">
        <v>23.007310369999999</v>
      </c>
      <c r="D1572" s="3">
        <v>41</v>
      </c>
    </row>
    <row r="1573" spans="1:4" x14ac:dyDescent="0.2">
      <c r="A1573" s="3">
        <v>1572</v>
      </c>
      <c r="B1573" s="3">
        <v>113.3839919</v>
      </c>
      <c r="C1573" s="3">
        <v>23.009232319999999</v>
      </c>
      <c r="D1573" s="3">
        <v>41</v>
      </c>
    </row>
    <row r="1574" spans="1:4" x14ac:dyDescent="0.2">
      <c r="A1574" s="3">
        <v>1573</v>
      </c>
      <c r="B1574" s="3">
        <v>113.3832053</v>
      </c>
      <c r="C1574" s="3">
        <v>23.00990346</v>
      </c>
      <c r="D1574" s="3">
        <v>41</v>
      </c>
    </row>
    <row r="1575" spans="1:4" x14ac:dyDescent="0.2">
      <c r="A1575" s="3">
        <v>1574</v>
      </c>
      <c r="B1575" s="3">
        <v>113.38221660000001</v>
      </c>
      <c r="C1575" s="3">
        <v>23.012748819999999</v>
      </c>
      <c r="D1575" s="3">
        <v>41</v>
      </c>
    </row>
    <row r="1576" spans="1:4" x14ac:dyDescent="0.2">
      <c r="A1576" s="3">
        <v>1575</v>
      </c>
      <c r="B1576" s="3">
        <v>113.385845</v>
      </c>
      <c r="C1576" s="3">
        <v>23.010731740000001</v>
      </c>
      <c r="D1576" s="3">
        <v>41</v>
      </c>
    </row>
    <row r="1577" spans="1:4" x14ac:dyDescent="0.2">
      <c r="A1577" s="3">
        <v>1576</v>
      </c>
      <c r="B1577" s="3">
        <v>113.38761359999999</v>
      </c>
      <c r="C1577" s="3">
        <v>23.007183520000002</v>
      </c>
      <c r="D1577" s="3">
        <v>41</v>
      </c>
    </row>
    <row r="1578" spans="1:4" x14ac:dyDescent="0.2">
      <c r="A1578" s="3">
        <v>1577</v>
      </c>
      <c r="B1578" s="3">
        <v>113.3838351</v>
      </c>
      <c r="C1578" s="3">
        <v>23.007392200000002</v>
      </c>
      <c r="D1578" s="3">
        <v>41</v>
      </c>
    </row>
    <row r="1579" spans="1:4" x14ac:dyDescent="0.2">
      <c r="A1579" s="3">
        <v>1578</v>
      </c>
      <c r="B1579" s="3">
        <v>113.3835643</v>
      </c>
      <c r="C1579" s="3">
        <v>23.007700209999999</v>
      </c>
      <c r="D1579" s="3">
        <v>41</v>
      </c>
    </row>
    <row r="1580" spans="1:4" x14ac:dyDescent="0.2">
      <c r="A1580" s="3">
        <v>1579</v>
      </c>
      <c r="B1580" s="3">
        <v>113.3862542</v>
      </c>
      <c r="C1580" s="3">
        <v>23.005968620000001</v>
      </c>
      <c r="D1580" s="3">
        <v>41</v>
      </c>
    </row>
    <row r="1581" spans="1:4" x14ac:dyDescent="0.2">
      <c r="A1581" s="3">
        <v>1580</v>
      </c>
      <c r="B1581" s="3">
        <v>113.3858753</v>
      </c>
      <c r="C1581" s="3">
        <v>23.00604375</v>
      </c>
      <c r="D1581" s="3">
        <v>41</v>
      </c>
    </row>
    <row r="1582" spans="1:4" x14ac:dyDescent="0.2">
      <c r="A1582" s="3">
        <v>1581</v>
      </c>
      <c r="B1582" s="3">
        <v>113.38270060000001</v>
      </c>
      <c r="C1582" s="3">
        <v>23.008677290000001</v>
      </c>
      <c r="D1582" s="3">
        <v>41</v>
      </c>
    </row>
    <row r="1583" spans="1:4" x14ac:dyDescent="0.2">
      <c r="A1583" s="3">
        <v>1582</v>
      </c>
      <c r="B1583" s="3">
        <v>113.38787840000001</v>
      </c>
      <c r="C1583" s="3">
        <v>23.008303940000001</v>
      </c>
      <c r="D1583" s="3">
        <v>41</v>
      </c>
    </row>
    <row r="1584" spans="1:4" x14ac:dyDescent="0.2">
      <c r="A1584" s="3">
        <v>1583</v>
      </c>
      <c r="B1584" s="3">
        <v>113.3826036</v>
      </c>
      <c r="C1584" s="3">
        <v>23.009635930000002</v>
      </c>
      <c r="D1584" s="3">
        <v>41</v>
      </c>
    </row>
    <row r="1585" spans="1:4" x14ac:dyDescent="0.2">
      <c r="A1585" s="3">
        <v>1584</v>
      </c>
      <c r="B1585" s="3">
        <v>113.3848198</v>
      </c>
      <c r="C1585" s="3">
        <v>23.006053260000002</v>
      </c>
      <c r="D1585" s="3">
        <v>41</v>
      </c>
    </row>
    <row r="1586" spans="1:4" x14ac:dyDescent="0.2">
      <c r="A1586" s="3">
        <v>1585</v>
      </c>
      <c r="B1586" s="3">
        <v>113.3843857</v>
      </c>
      <c r="C1586" s="3">
        <v>23.01010973</v>
      </c>
      <c r="D1586" s="3">
        <v>41</v>
      </c>
    </row>
    <row r="1587" spans="1:4" x14ac:dyDescent="0.2">
      <c r="A1587" s="3">
        <v>1586</v>
      </c>
      <c r="B1587" s="3">
        <v>113.38225679999999</v>
      </c>
      <c r="C1587" s="3">
        <v>23.00981006</v>
      </c>
      <c r="D1587" s="3">
        <v>41</v>
      </c>
    </row>
    <row r="1588" spans="1:4" x14ac:dyDescent="0.2">
      <c r="A1588" s="3">
        <v>1587</v>
      </c>
      <c r="B1588" s="3">
        <v>113.3849033</v>
      </c>
      <c r="C1588" s="3">
        <v>23.012473440000001</v>
      </c>
      <c r="D1588" s="3">
        <v>41</v>
      </c>
    </row>
    <row r="1589" spans="1:4" x14ac:dyDescent="0.2">
      <c r="A1589" s="3">
        <v>1588</v>
      </c>
      <c r="B1589" s="3">
        <v>113.3824348</v>
      </c>
      <c r="C1589" s="3">
        <v>23.00810869</v>
      </c>
      <c r="D1589" s="3">
        <v>41</v>
      </c>
    </row>
    <row r="1590" spans="1:4" x14ac:dyDescent="0.2">
      <c r="A1590" s="3">
        <v>1589</v>
      </c>
      <c r="B1590" s="3">
        <v>113.3817621</v>
      </c>
      <c r="C1590" s="3">
        <v>23.010180210000001</v>
      </c>
      <c r="D1590" s="3">
        <v>41</v>
      </c>
    </row>
    <row r="1591" spans="1:4" x14ac:dyDescent="0.2">
      <c r="A1591" s="3">
        <v>1590</v>
      </c>
      <c r="B1591" s="3">
        <v>113.381973</v>
      </c>
      <c r="C1591" s="3">
        <v>23.009483379999999</v>
      </c>
      <c r="D1591" s="3">
        <v>41</v>
      </c>
    </row>
    <row r="1592" spans="1:4" x14ac:dyDescent="0.2">
      <c r="A1592" s="3">
        <v>1591</v>
      </c>
      <c r="B1592" s="3">
        <v>113.381987</v>
      </c>
      <c r="C1592" s="3">
        <v>23.008781670000001</v>
      </c>
      <c r="D1592" s="3">
        <v>41</v>
      </c>
    </row>
    <row r="1593" spans="1:4" x14ac:dyDescent="0.2">
      <c r="A1593" s="3">
        <v>1592</v>
      </c>
      <c r="B1593" s="3">
        <v>113.38523720000001</v>
      </c>
      <c r="C1593" s="3">
        <v>23.011936510000002</v>
      </c>
      <c r="D1593" s="3">
        <v>41</v>
      </c>
    </row>
    <row r="1594" spans="1:4" x14ac:dyDescent="0.2">
      <c r="A1594" s="3">
        <v>1593</v>
      </c>
      <c r="B1594" s="3">
        <v>113.3854371</v>
      </c>
      <c r="C1594" s="3">
        <v>23.012068360000001</v>
      </c>
      <c r="D1594" s="3">
        <v>41</v>
      </c>
    </row>
    <row r="1595" spans="1:4" x14ac:dyDescent="0.2">
      <c r="A1595" s="3">
        <v>1594</v>
      </c>
      <c r="B1595" s="3">
        <v>113.3842746</v>
      </c>
      <c r="C1595" s="3">
        <v>23.01233083</v>
      </c>
      <c r="D1595" s="3">
        <v>41</v>
      </c>
    </row>
    <row r="1596" spans="1:4" x14ac:dyDescent="0.2">
      <c r="A1596" s="3">
        <v>1595</v>
      </c>
      <c r="B1596" s="3">
        <v>113.38181609999999</v>
      </c>
      <c r="C1596" s="3">
        <v>23.009505470000001</v>
      </c>
      <c r="D1596" s="3">
        <v>41</v>
      </c>
    </row>
    <row r="1597" spans="1:4" x14ac:dyDescent="0.2">
      <c r="A1597" s="3">
        <v>1596</v>
      </c>
      <c r="B1597" s="3">
        <v>113.3820851</v>
      </c>
      <c r="C1597" s="3">
        <v>23.007184299999999</v>
      </c>
      <c r="D1597" s="3">
        <v>41</v>
      </c>
    </row>
    <row r="1598" spans="1:4" x14ac:dyDescent="0.2">
      <c r="A1598" s="3">
        <v>1597</v>
      </c>
      <c r="B1598" s="3">
        <v>113.38161409999999</v>
      </c>
      <c r="C1598" s="3">
        <v>23.01070507</v>
      </c>
      <c r="D1598" s="3">
        <v>41</v>
      </c>
    </row>
    <row r="1599" spans="1:4" x14ac:dyDescent="0.2">
      <c r="A1599" s="3">
        <v>1598</v>
      </c>
      <c r="B1599" s="3">
        <v>113.38188630000001</v>
      </c>
      <c r="C1599" s="3">
        <v>23.006013930000002</v>
      </c>
      <c r="D1599" s="3">
        <v>41</v>
      </c>
    </row>
    <row r="1600" spans="1:4" x14ac:dyDescent="0.2">
      <c r="A1600" s="3">
        <v>1599</v>
      </c>
      <c r="B1600" s="3">
        <v>113.383388</v>
      </c>
      <c r="C1600" s="3">
        <v>23.012522229999998</v>
      </c>
      <c r="D1600" s="3">
        <v>41</v>
      </c>
    </row>
    <row r="1601" spans="1:4" x14ac:dyDescent="0.2">
      <c r="A1601" s="3">
        <v>1600</v>
      </c>
      <c r="B1601" s="3">
        <v>113.381609</v>
      </c>
      <c r="C1601" s="3">
        <v>23.012706210000001</v>
      </c>
      <c r="D1601" s="3">
        <v>41</v>
      </c>
    </row>
    <row r="1602" spans="1:4" x14ac:dyDescent="0.2">
      <c r="A1602" s="3">
        <v>1601</v>
      </c>
      <c r="B1602" s="3">
        <v>113.3817705</v>
      </c>
      <c r="C1602" s="3">
        <v>23.00411583</v>
      </c>
      <c r="D1602" s="3">
        <v>41</v>
      </c>
    </row>
    <row r="1603" spans="1:4" x14ac:dyDescent="0.2">
      <c r="A1603" s="3">
        <v>1602</v>
      </c>
      <c r="B1603" s="3">
        <v>113.3827458</v>
      </c>
      <c r="C1603" s="3">
        <v>23.00664914</v>
      </c>
      <c r="D1603" s="3">
        <v>41</v>
      </c>
    </row>
    <row r="1604" spans="1:4" x14ac:dyDescent="0.2">
      <c r="A1604" s="3">
        <v>1603</v>
      </c>
      <c r="B1604" s="3">
        <v>113.3821559</v>
      </c>
      <c r="C1604" s="3">
        <v>23.00904246</v>
      </c>
      <c r="D1604" s="3">
        <v>41</v>
      </c>
    </row>
    <row r="1605" spans="1:4" x14ac:dyDescent="0.2">
      <c r="A1605" s="3">
        <v>1604</v>
      </c>
      <c r="B1605" s="3">
        <v>113.39504119999999</v>
      </c>
      <c r="C1605" s="3">
        <v>23.011036130000001</v>
      </c>
      <c r="D1605" s="3">
        <v>41</v>
      </c>
    </row>
    <row r="1606" spans="1:4" x14ac:dyDescent="0.2">
      <c r="A1606" s="3">
        <v>1605</v>
      </c>
      <c r="B1606" s="3">
        <v>113.4009815</v>
      </c>
      <c r="C1606" s="3">
        <v>23.007431029999999</v>
      </c>
      <c r="D1606" s="3">
        <v>41</v>
      </c>
    </row>
    <row r="1607" spans="1:4" x14ac:dyDescent="0.2">
      <c r="A1607" s="3">
        <v>1606</v>
      </c>
      <c r="B1607" s="3">
        <v>113.3924306</v>
      </c>
      <c r="C1607" s="3">
        <v>23.00717714</v>
      </c>
      <c r="D1607" s="3">
        <v>41</v>
      </c>
    </row>
    <row r="1608" spans="1:4" x14ac:dyDescent="0.2">
      <c r="A1608" s="3">
        <v>1607</v>
      </c>
      <c r="B1608" s="3">
        <v>113.4014797</v>
      </c>
      <c r="C1608" s="3">
        <v>23.006930350000001</v>
      </c>
      <c r="D1608" s="3">
        <v>41</v>
      </c>
    </row>
    <row r="1609" spans="1:4" x14ac:dyDescent="0.2">
      <c r="A1609" s="3">
        <v>1608</v>
      </c>
      <c r="B1609" s="3">
        <v>113.4224</v>
      </c>
      <c r="C1609" s="3">
        <v>23.006365859999999</v>
      </c>
      <c r="D1609" s="3">
        <v>41</v>
      </c>
    </row>
    <row r="1610" spans="1:4" x14ac:dyDescent="0.2">
      <c r="A1610" s="3">
        <v>1609</v>
      </c>
      <c r="B1610" s="3">
        <v>113.4969421</v>
      </c>
      <c r="C1610" s="3">
        <v>23.003904599999998</v>
      </c>
      <c r="D1610" s="3">
        <v>1</v>
      </c>
    </row>
    <row r="1611" spans="1:4" x14ac:dyDescent="0.2">
      <c r="A1611" s="3">
        <v>1610</v>
      </c>
      <c r="B1611" s="3">
        <v>113.2656111</v>
      </c>
      <c r="C1611" s="3">
        <v>22.999798139999999</v>
      </c>
      <c r="D1611" s="3">
        <v>23</v>
      </c>
    </row>
    <row r="1612" spans="1:4" x14ac:dyDescent="0.2">
      <c r="A1612" s="3">
        <v>1611</v>
      </c>
      <c r="B1612" s="3">
        <v>113.2705699</v>
      </c>
      <c r="C1612" s="3">
        <v>23.002348739999999</v>
      </c>
      <c r="D1612" s="3">
        <v>23</v>
      </c>
    </row>
    <row r="1613" spans="1:4" x14ac:dyDescent="0.2">
      <c r="A1613" s="3">
        <v>1612</v>
      </c>
      <c r="B1613" s="3">
        <v>113.26562319999999</v>
      </c>
      <c r="C1613" s="3">
        <v>22.998164840000001</v>
      </c>
      <c r="D1613" s="3">
        <v>23</v>
      </c>
    </row>
    <row r="1614" spans="1:4" x14ac:dyDescent="0.2">
      <c r="A1614" s="3">
        <v>1613</v>
      </c>
      <c r="B1614" s="3">
        <v>113.2651237</v>
      </c>
      <c r="C1614" s="3">
        <v>22.997797380000002</v>
      </c>
      <c r="D1614" s="3">
        <v>23</v>
      </c>
    </row>
    <row r="1615" spans="1:4" x14ac:dyDescent="0.2">
      <c r="A1615" s="3">
        <v>1614</v>
      </c>
      <c r="B1615" s="3">
        <v>113.2656319</v>
      </c>
      <c r="C1615" s="3">
        <v>23.002807820000001</v>
      </c>
      <c r="D1615" s="3">
        <v>23</v>
      </c>
    </row>
    <row r="1616" spans="1:4" x14ac:dyDescent="0.2">
      <c r="A1616" s="3">
        <v>1615</v>
      </c>
      <c r="B1616" s="3">
        <v>113.2707777</v>
      </c>
      <c r="C1616" s="3">
        <v>23.00191173</v>
      </c>
      <c r="D1616" s="3">
        <v>23</v>
      </c>
    </row>
    <row r="1617" spans="1:4" x14ac:dyDescent="0.2">
      <c r="A1617" s="3">
        <v>1616</v>
      </c>
      <c r="B1617" s="3">
        <v>113.2633864</v>
      </c>
      <c r="C1617" s="3">
        <v>22.994754969999999</v>
      </c>
      <c r="D1617" s="3">
        <v>23</v>
      </c>
    </row>
    <row r="1618" spans="1:4" x14ac:dyDescent="0.2">
      <c r="A1618" s="3">
        <v>1617</v>
      </c>
      <c r="B1618" s="3">
        <v>113.26496710000001</v>
      </c>
      <c r="C1618" s="3">
        <v>22.99388119</v>
      </c>
      <c r="D1618" s="3">
        <v>23</v>
      </c>
    </row>
    <row r="1619" spans="1:4" x14ac:dyDescent="0.2">
      <c r="A1619" s="3">
        <v>1618</v>
      </c>
      <c r="B1619" s="3">
        <v>113.2634403</v>
      </c>
      <c r="C1619" s="3">
        <v>22.99480591</v>
      </c>
      <c r="D1619" s="3">
        <v>23</v>
      </c>
    </row>
    <row r="1620" spans="1:4" x14ac:dyDescent="0.2">
      <c r="A1620" s="3">
        <v>1619</v>
      </c>
      <c r="B1620" s="3">
        <v>113.2778354</v>
      </c>
      <c r="C1620" s="3">
        <v>22.999045410000001</v>
      </c>
      <c r="D1620" s="3">
        <v>23</v>
      </c>
    </row>
    <row r="1621" spans="1:4" x14ac:dyDescent="0.2">
      <c r="A1621" s="3">
        <v>1620</v>
      </c>
      <c r="B1621" s="3">
        <v>113.2778354</v>
      </c>
      <c r="C1621" s="3">
        <v>22.999045410000001</v>
      </c>
      <c r="D1621" s="3">
        <v>23</v>
      </c>
    </row>
    <row r="1622" spans="1:4" x14ac:dyDescent="0.2">
      <c r="A1622" s="3">
        <v>1621</v>
      </c>
      <c r="B1622" s="3">
        <v>113.2774617</v>
      </c>
      <c r="C1622" s="3">
        <v>23.000760100000001</v>
      </c>
      <c r="D1622" s="3">
        <v>23</v>
      </c>
    </row>
    <row r="1623" spans="1:4" x14ac:dyDescent="0.2">
      <c r="A1623" s="3">
        <v>1622</v>
      </c>
      <c r="B1623" s="3">
        <v>113.2852096</v>
      </c>
      <c r="C1623" s="3">
        <v>23.001191980000002</v>
      </c>
      <c r="D1623" s="3">
        <v>15</v>
      </c>
    </row>
    <row r="1624" spans="1:4" x14ac:dyDescent="0.2">
      <c r="A1624" s="3">
        <v>1623</v>
      </c>
      <c r="B1624" s="3">
        <v>113.2834417</v>
      </c>
      <c r="C1624" s="3">
        <v>22.994849139999999</v>
      </c>
      <c r="D1624" s="3">
        <v>23</v>
      </c>
    </row>
    <row r="1625" spans="1:4" x14ac:dyDescent="0.2">
      <c r="A1625" s="3">
        <v>1624</v>
      </c>
      <c r="B1625" s="3">
        <v>113.2969192</v>
      </c>
      <c r="C1625" s="3">
        <v>22.99618121</v>
      </c>
      <c r="D1625" s="3">
        <v>11</v>
      </c>
    </row>
    <row r="1626" spans="1:4" x14ac:dyDescent="0.2">
      <c r="A1626" s="3">
        <v>1625</v>
      </c>
      <c r="B1626" s="3">
        <v>113.2962823</v>
      </c>
      <c r="C1626" s="3">
        <v>22.996158269999999</v>
      </c>
      <c r="D1626" s="3">
        <v>11</v>
      </c>
    </row>
    <row r="1627" spans="1:4" x14ac:dyDescent="0.2">
      <c r="A1627" s="3">
        <v>1626</v>
      </c>
      <c r="B1627" s="3">
        <v>113.2981389</v>
      </c>
      <c r="C1627" s="3">
        <v>22.996024240000001</v>
      </c>
      <c r="D1627" s="3">
        <v>11</v>
      </c>
    </row>
    <row r="1628" spans="1:4" x14ac:dyDescent="0.2">
      <c r="A1628" s="3">
        <v>1627</v>
      </c>
      <c r="B1628" s="3">
        <v>113.2998228</v>
      </c>
      <c r="C1628" s="3">
        <v>22.996414210000001</v>
      </c>
      <c r="D1628" s="3">
        <v>11</v>
      </c>
    </row>
    <row r="1629" spans="1:4" x14ac:dyDescent="0.2">
      <c r="A1629" s="3">
        <v>1628</v>
      </c>
      <c r="B1629" s="3">
        <v>113.2959175</v>
      </c>
      <c r="C1629" s="3">
        <v>23.002619079999999</v>
      </c>
      <c r="D1629" s="3">
        <v>11</v>
      </c>
    </row>
    <row r="1630" spans="1:4" x14ac:dyDescent="0.2">
      <c r="A1630" s="3">
        <v>1629</v>
      </c>
      <c r="B1630" s="3">
        <v>113.3007111</v>
      </c>
      <c r="C1630" s="3">
        <v>22.99590091</v>
      </c>
      <c r="D1630" s="3">
        <v>11</v>
      </c>
    </row>
    <row r="1631" spans="1:4" x14ac:dyDescent="0.2">
      <c r="A1631" s="3">
        <v>1630</v>
      </c>
      <c r="B1631" s="3">
        <v>113.2967225</v>
      </c>
      <c r="C1631" s="3">
        <v>22.996345460000001</v>
      </c>
      <c r="D1631" s="3">
        <v>11</v>
      </c>
    </row>
    <row r="1632" spans="1:4" x14ac:dyDescent="0.2">
      <c r="A1632" s="3">
        <v>1631</v>
      </c>
      <c r="B1632" s="3">
        <v>113.3004901</v>
      </c>
      <c r="C1632" s="3">
        <v>23.003319080000001</v>
      </c>
      <c r="D1632" s="3">
        <v>11</v>
      </c>
    </row>
    <row r="1633" spans="1:4" x14ac:dyDescent="0.2">
      <c r="A1633" s="3">
        <v>1632</v>
      </c>
      <c r="B1633" s="3">
        <v>113.3020478</v>
      </c>
      <c r="C1633" s="3">
        <v>22.993721529999998</v>
      </c>
      <c r="D1633" s="3">
        <v>11</v>
      </c>
    </row>
    <row r="1634" spans="1:4" x14ac:dyDescent="0.2">
      <c r="A1634" s="3">
        <v>1633</v>
      </c>
      <c r="B1634" s="3">
        <v>113.30283009999999</v>
      </c>
      <c r="C1634" s="3">
        <v>22.996591909999999</v>
      </c>
      <c r="D1634" s="3">
        <v>11</v>
      </c>
    </row>
    <row r="1635" spans="1:4" x14ac:dyDescent="0.2">
      <c r="A1635" s="3">
        <v>1634</v>
      </c>
      <c r="B1635" s="3">
        <v>113.31805919999999</v>
      </c>
      <c r="C1635" s="3">
        <v>23.00100686</v>
      </c>
      <c r="D1635" s="3">
        <v>16</v>
      </c>
    </row>
    <row r="1636" spans="1:4" x14ac:dyDescent="0.2">
      <c r="A1636" s="3">
        <v>1635</v>
      </c>
      <c r="B1636" s="3">
        <v>113.31765300000001</v>
      </c>
      <c r="C1636" s="3">
        <v>23.002535980000001</v>
      </c>
      <c r="D1636" s="3">
        <v>26</v>
      </c>
    </row>
    <row r="1637" spans="1:4" x14ac:dyDescent="0.2">
      <c r="A1637" s="3">
        <v>1636</v>
      </c>
      <c r="B1637" s="3">
        <v>113.3171909</v>
      </c>
      <c r="C1637" s="3">
        <v>23.002460889999998</v>
      </c>
      <c r="D1637" s="3">
        <v>26</v>
      </c>
    </row>
    <row r="1638" spans="1:4" x14ac:dyDescent="0.2">
      <c r="A1638" s="3">
        <v>1637</v>
      </c>
      <c r="B1638" s="3">
        <v>113.3184534</v>
      </c>
      <c r="C1638" s="3">
        <v>23.000832190000001</v>
      </c>
      <c r="D1638" s="3">
        <v>16</v>
      </c>
    </row>
    <row r="1639" spans="1:4" x14ac:dyDescent="0.2">
      <c r="A1639" s="3">
        <v>1638</v>
      </c>
      <c r="B1639" s="3">
        <v>113.3180672</v>
      </c>
      <c r="C1639" s="3">
        <v>23.001008850000002</v>
      </c>
      <c r="D1639" s="3">
        <v>16</v>
      </c>
    </row>
    <row r="1640" spans="1:4" x14ac:dyDescent="0.2">
      <c r="A1640" s="3">
        <v>1639</v>
      </c>
      <c r="B1640" s="3">
        <v>113.3181659</v>
      </c>
      <c r="C1640" s="3">
        <v>23.002253119999999</v>
      </c>
      <c r="D1640" s="3">
        <v>26</v>
      </c>
    </row>
    <row r="1641" spans="1:4" x14ac:dyDescent="0.2">
      <c r="A1641" s="3">
        <v>1640</v>
      </c>
      <c r="B1641" s="3">
        <v>113.31794840000001</v>
      </c>
      <c r="C1641" s="3">
        <v>23.001663789999998</v>
      </c>
      <c r="D1641" s="3">
        <v>16</v>
      </c>
    </row>
    <row r="1642" spans="1:4" x14ac:dyDescent="0.2">
      <c r="A1642" s="3">
        <v>1641</v>
      </c>
      <c r="B1642" s="3">
        <v>113.3281796</v>
      </c>
      <c r="C1642" s="3">
        <v>22.997949850000001</v>
      </c>
      <c r="D1642" s="3">
        <v>16</v>
      </c>
    </row>
    <row r="1643" spans="1:4" x14ac:dyDescent="0.2">
      <c r="A1643" s="3">
        <v>1642</v>
      </c>
      <c r="B1643" s="3">
        <v>113.3295538</v>
      </c>
      <c r="C1643" s="3">
        <v>22.998384049999999</v>
      </c>
      <c r="D1643" s="3">
        <v>16</v>
      </c>
    </row>
    <row r="1644" spans="1:4" x14ac:dyDescent="0.2">
      <c r="A1644" s="3">
        <v>1643</v>
      </c>
      <c r="B1644" s="3">
        <v>113.3253455</v>
      </c>
      <c r="C1644" s="3">
        <v>22.996056070000002</v>
      </c>
      <c r="D1644" s="3">
        <v>16</v>
      </c>
    </row>
    <row r="1645" spans="1:4" x14ac:dyDescent="0.2">
      <c r="A1645" s="3">
        <v>1644</v>
      </c>
      <c r="B1645" s="3">
        <v>113.3278574</v>
      </c>
      <c r="C1645" s="3">
        <v>22.996014299999999</v>
      </c>
      <c r="D1645" s="3">
        <v>16</v>
      </c>
    </row>
    <row r="1646" spans="1:4" x14ac:dyDescent="0.2">
      <c r="A1646" s="3">
        <v>1645</v>
      </c>
      <c r="B1646" s="3">
        <v>113.32977440000001</v>
      </c>
      <c r="C1646" s="3">
        <v>22.997047210000002</v>
      </c>
      <c r="D1646" s="3">
        <v>16</v>
      </c>
    </row>
    <row r="1647" spans="1:4" x14ac:dyDescent="0.2">
      <c r="A1647" s="3">
        <v>1646</v>
      </c>
      <c r="B1647" s="3">
        <v>113.3258055</v>
      </c>
      <c r="C1647" s="3">
        <v>22.99685985</v>
      </c>
      <c r="D1647" s="3">
        <v>16</v>
      </c>
    </row>
    <row r="1648" spans="1:4" x14ac:dyDescent="0.2">
      <c r="A1648" s="3">
        <v>1647</v>
      </c>
      <c r="B1648" s="3">
        <v>113.33009079999999</v>
      </c>
      <c r="C1648" s="3">
        <v>22.996927660000001</v>
      </c>
      <c r="D1648" s="3">
        <v>16</v>
      </c>
    </row>
    <row r="1649" spans="1:4" x14ac:dyDescent="0.2">
      <c r="A1649" s="3">
        <v>1648</v>
      </c>
      <c r="B1649" s="3">
        <v>113.3301357</v>
      </c>
      <c r="C1649" s="3">
        <v>22.99651776</v>
      </c>
      <c r="D1649" s="3">
        <v>16</v>
      </c>
    </row>
    <row r="1650" spans="1:4" x14ac:dyDescent="0.2">
      <c r="A1650" s="3">
        <v>1649</v>
      </c>
      <c r="B1650" s="3">
        <v>113.3255312</v>
      </c>
      <c r="C1650" s="3">
        <v>22.995457980000001</v>
      </c>
      <c r="D1650" s="3">
        <v>16</v>
      </c>
    </row>
    <row r="1651" spans="1:4" x14ac:dyDescent="0.2">
      <c r="A1651" s="3">
        <v>1650</v>
      </c>
      <c r="B1651" s="3">
        <v>113.32186350000001</v>
      </c>
      <c r="C1651" s="3">
        <v>22.998827540000001</v>
      </c>
      <c r="D1651" s="3">
        <v>16</v>
      </c>
    </row>
    <row r="1652" spans="1:4" x14ac:dyDescent="0.2">
      <c r="A1652" s="3">
        <v>1651</v>
      </c>
      <c r="B1652" s="3">
        <v>113.3280322</v>
      </c>
      <c r="C1652" s="3">
        <v>22.994405660000002</v>
      </c>
      <c r="D1652" s="3">
        <v>16</v>
      </c>
    </row>
    <row r="1653" spans="1:4" x14ac:dyDescent="0.2">
      <c r="A1653" s="3">
        <v>1652</v>
      </c>
      <c r="B1653" s="3">
        <v>113.32993</v>
      </c>
      <c r="C1653" s="3">
        <v>22.999050050000001</v>
      </c>
      <c r="D1653" s="3">
        <v>16</v>
      </c>
    </row>
    <row r="1654" spans="1:4" x14ac:dyDescent="0.2">
      <c r="A1654" s="3">
        <v>1653</v>
      </c>
      <c r="B1654" s="3">
        <v>113.3285171</v>
      </c>
      <c r="C1654" s="3">
        <v>22.995375320000001</v>
      </c>
      <c r="D1654" s="3">
        <v>16</v>
      </c>
    </row>
    <row r="1655" spans="1:4" x14ac:dyDescent="0.2">
      <c r="A1655" s="3">
        <v>1654</v>
      </c>
      <c r="B1655" s="3">
        <v>113.32903810000001</v>
      </c>
      <c r="C1655" s="3">
        <v>22.994094879999999</v>
      </c>
      <c r="D1655" s="3">
        <v>16</v>
      </c>
    </row>
    <row r="1656" spans="1:4" x14ac:dyDescent="0.2">
      <c r="A1656" s="3">
        <v>1655</v>
      </c>
      <c r="B1656" s="3">
        <v>113.32983350000001</v>
      </c>
      <c r="C1656" s="3">
        <v>22.994008409999999</v>
      </c>
      <c r="D1656" s="3">
        <v>16</v>
      </c>
    </row>
    <row r="1657" spans="1:4" x14ac:dyDescent="0.2">
      <c r="A1657" s="3">
        <v>1656</v>
      </c>
      <c r="B1657" s="3">
        <v>113.3304011</v>
      </c>
      <c r="C1657" s="3">
        <v>22.997828689999999</v>
      </c>
      <c r="D1657" s="3">
        <v>16</v>
      </c>
    </row>
    <row r="1658" spans="1:4" x14ac:dyDescent="0.2">
      <c r="A1658" s="3">
        <v>1657</v>
      </c>
      <c r="B1658" s="3">
        <v>113.3298585</v>
      </c>
      <c r="C1658" s="3">
        <v>22.994044349999999</v>
      </c>
      <c r="D1658" s="3">
        <v>16</v>
      </c>
    </row>
    <row r="1659" spans="1:4" x14ac:dyDescent="0.2">
      <c r="A1659" s="3">
        <v>1658</v>
      </c>
      <c r="B1659" s="3">
        <v>113.32459299999999</v>
      </c>
      <c r="C1659" s="3">
        <v>22.997410930000001</v>
      </c>
      <c r="D1659" s="3">
        <v>16</v>
      </c>
    </row>
    <row r="1660" spans="1:4" x14ac:dyDescent="0.2">
      <c r="A1660" s="3">
        <v>1659</v>
      </c>
      <c r="B1660" s="3">
        <v>113.3289034</v>
      </c>
      <c r="C1660" s="3">
        <v>22.994709870000001</v>
      </c>
      <c r="D1660" s="3">
        <v>16</v>
      </c>
    </row>
    <row r="1661" spans="1:4" x14ac:dyDescent="0.2">
      <c r="A1661" s="3">
        <v>1660</v>
      </c>
      <c r="B1661" s="3">
        <v>113.3237434</v>
      </c>
      <c r="C1661" s="3">
        <v>23.002851199999998</v>
      </c>
      <c r="D1661" s="3">
        <v>26</v>
      </c>
    </row>
    <row r="1662" spans="1:4" x14ac:dyDescent="0.2">
      <c r="A1662" s="3">
        <v>1661</v>
      </c>
      <c r="B1662" s="3">
        <v>113.3300251</v>
      </c>
      <c r="C1662" s="3">
        <v>22.993974059999999</v>
      </c>
      <c r="D1662" s="3">
        <v>16</v>
      </c>
    </row>
    <row r="1663" spans="1:4" x14ac:dyDescent="0.2">
      <c r="A1663" s="3">
        <v>1662</v>
      </c>
      <c r="B1663" s="3">
        <v>113.336502</v>
      </c>
      <c r="C1663" s="3">
        <v>22.99727953</v>
      </c>
      <c r="D1663" s="3">
        <v>7</v>
      </c>
    </row>
    <row r="1664" spans="1:4" x14ac:dyDescent="0.2">
      <c r="A1664" s="3">
        <v>1663</v>
      </c>
      <c r="B1664" s="3">
        <v>113.33664570000001</v>
      </c>
      <c r="C1664" s="3">
        <v>22.996565579999999</v>
      </c>
      <c r="D1664" s="3">
        <v>7</v>
      </c>
    </row>
    <row r="1665" spans="1:4" x14ac:dyDescent="0.2">
      <c r="A1665" s="3">
        <v>1664</v>
      </c>
      <c r="B1665" s="3">
        <v>113.3374591</v>
      </c>
      <c r="C1665" s="3">
        <v>22.996741010000001</v>
      </c>
      <c r="D1665" s="3">
        <v>7</v>
      </c>
    </row>
    <row r="1666" spans="1:4" x14ac:dyDescent="0.2">
      <c r="A1666" s="3">
        <v>1665</v>
      </c>
      <c r="B1666" s="3">
        <v>113.3380648</v>
      </c>
      <c r="C1666" s="3">
        <v>22.998798019999999</v>
      </c>
      <c r="D1666" s="3">
        <v>7</v>
      </c>
    </row>
    <row r="1667" spans="1:4" x14ac:dyDescent="0.2">
      <c r="A1667" s="3">
        <v>1666</v>
      </c>
      <c r="B1667" s="3">
        <v>113.337521</v>
      </c>
      <c r="C1667" s="3">
        <v>22.996650939999999</v>
      </c>
      <c r="D1667" s="3">
        <v>7</v>
      </c>
    </row>
    <row r="1668" spans="1:4" x14ac:dyDescent="0.2">
      <c r="A1668" s="3">
        <v>1667</v>
      </c>
      <c r="B1668" s="3">
        <v>113.33838009999999</v>
      </c>
      <c r="C1668" s="3">
        <v>22.99993795</v>
      </c>
      <c r="D1668" s="3">
        <v>7</v>
      </c>
    </row>
    <row r="1669" spans="1:4" x14ac:dyDescent="0.2">
      <c r="A1669" s="3">
        <v>1668</v>
      </c>
      <c r="B1669" s="3">
        <v>113.3331486</v>
      </c>
      <c r="C1669" s="3">
        <v>22.997696579999999</v>
      </c>
      <c r="D1669" s="3">
        <v>7</v>
      </c>
    </row>
    <row r="1670" spans="1:4" x14ac:dyDescent="0.2">
      <c r="A1670" s="3">
        <v>1669</v>
      </c>
      <c r="B1670" s="3">
        <v>113.34006189999999</v>
      </c>
      <c r="C1670" s="3">
        <v>23.000189809999998</v>
      </c>
      <c r="D1670" s="3">
        <v>7</v>
      </c>
    </row>
    <row r="1671" spans="1:4" x14ac:dyDescent="0.2">
      <c r="A1671" s="3">
        <v>1670</v>
      </c>
      <c r="B1671" s="3">
        <v>113.3353554</v>
      </c>
      <c r="C1671" s="3">
        <v>22.99443188</v>
      </c>
      <c r="D1671" s="3">
        <v>7</v>
      </c>
    </row>
    <row r="1672" spans="1:4" x14ac:dyDescent="0.2">
      <c r="A1672" s="3">
        <v>1671</v>
      </c>
      <c r="B1672" s="3">
        <v>113.3333743</v>
      </c>
      <c r="C1672" s="3">
        <v>22.995887939999999</v>
      </c>
      <c r="D1672" s="3">
        <v>7</v>
      </c>
    </row>
    <row r="1673" spans="1:4" x14ac:dyDescent="0.2">
      <c r="A1673" s="3">
        <v>1672</v>
      </c>
      <c r="B1673" s="3">
        <v>113.33354199999999</v>
      </c>
      <c r="C1673" s="3">
        <v>22.995035990000002</v>
      </c>
      <c r="D1673" s="3">
        <v>7</v>
      </c>
    </row>
    <row r="1674" spans="1:4" x14ac:dyDescent="0.2">
      <c r="A1674" s="3">
        <v>1673</v>
      </c>
      <c r="B1674" s="3">
        <v>113.3399005</v>
      </c>
      <c r="C1674" s="3">
        <v>22.99511429</v>
      </c>
      <c r="D1674" s="3">
        <v>7</v>
      </c>
    </row>
    <row r="1675" spans="1:4" x14ac:dyDescent="0.2">
      <c r="A1675" s="3">
        <v>1674</v>
      </c>
      <c r="B1675" s="3">
        <v>113.3324738</v>
      </c>
      <c r="C1675" s="3">
        <v>22.999641</v>
      </c>
      <c r="D1675" s="3">
        <v>7</v>
      </c>
    </row>
    <row r="1676" spans="1:4" x14ac:dyDescent="0.2">
      <c r="A1676" s="3">
        <v>1675</v>
      </c>
      <c r="B1676" s="3">
        <v>113.3408756</v>
      </c>
      <c r="C1676" s="3">
        <v>22.996961750000001</v>
      </c>
      <c r="D1676" s="3">
        <v>7</v>
      </c>
    </row>
    <row r="1677" spans="1:4" x14ac:dyDescent="0.2">
      <c r="A1677" s="3">
        <v>1676</v>
      </c>
      <c r="B1677" s="3">
        <v>113.3407101</v>
      </c>
      <c r="C1677" s="3">
        <v>22.99433818</v>
      </c>
      <c r="D1677" s="3">
        <v>7</v>
      </c>
    </row>
    <row r="1678" spans="1:4" x14ac:dyDescent="0.2">
      <c r="A1678" s="3">
        <v>1677</v>
      </c>
      <c r="B1678" s="3">
        <v>113.3382199</v>
      </c>
      <c r="C1678" s="3">
        <v>22.993705940000002</v>
      </c>
      <c r="D1678" s="3">
        <v>7</v>
      </c>
    </row>
    <row r="1679" spans="1:4" x14ac:dyDescent="0.2">
      <c r="A1679" s="3">
        <v>1678</v>
      </c>
      <c r="B1679" s="3">
        <v>113.34093660000001</v>
      </c>
      <c r="C1679" s="3">
        <v>22.99437176</v>
      </c>
      <c r="D1679" s="3">
        <v>7</v>
      </c>
    </row>
    <row r="1680" spans="1:4" x14ac:dyDescent="0.2">
      <c r="A1680" s="3">
        <v>1679</v>
      </c>
      <c r="B1680" s="3">
        <v>113.3327082</v>
      </c>
      <c r="C1680" s="3">
        <v>23.001281850000002</v>
      </c>
      <c r="D1680" s="3">
        <v>7</v>
      </c>
    </row>
    <row r="1681" spans="1:4" x14ac:dyDescent="0.2">
      <c r="A1681" s="3">
        <v>1680</v>
      </c>
      <c r="B1681" s="3">
        <v>113.33302260000001</v>
      </c>
      <c r="C1681" s="3">
        <v>23.000753490000001</v>
      </c>
      <c r="D1681" s="3">
        <v>7</v>
      </c>
    </row>
    <row r="1682" spans="1:4" x14ac:dyDescent="0.2">
      <c r="A1682" s="3">
        <v>1681</v>
      </c>
      <c r="B1682" s="3">
        <v>113.3453951</v>
      </c>
      <c r="C1682" s="3">
        <v>22.997605570000001</v>
      </c>
      <c r="D1682" s="3">
        <v>7</v>
      </c>
    </row>
    <row r="1683" spans="1:4" x14ac:dyDescent="0.2">
      <c r="A1683" s="3">
        <v>1682</v>
      </c>
      <c r="B1683" s="3">
        <v>113.34581540000001</v>
      </c>
      <c r="C1683" s="3">
        <v>22.99730598</v>
      </c>
      <c r="D1683" s="3">
        <v>7</v>
      </c>
    </row>
    <row r="1684" spans="1:4" x14ac:dyDescent="0.2">
      <c r="A1684" s="3">
        <v>1683</v>
      </c>
      <c r="B1684" s="3">
        <v>113.3445555</v>
      </c>
      <c r="C1684" s="3">
        <v>23.000274860000001</v>
      </c>
      <c r="D1684" s="3">
        <v>7</v>
      </c>
    </row>
    <row r="1685" spans="1:4" x14ac:dyDescent="0.2">
      <c r="A1685" s="3">
        <v>1684</v>
      </c>
      <c r="B1685" s="3">
        <v>113.3435475</v>
      </c>
      <c r="C1685" s="3">
        <v>22.99857634</v>
      </c>
      <c r="D1685" s="3">
        <v>7</v>
      </c>
    </row>
    <row r="1686" spans="1:4" x14ac:dyDescent="0.2">
      <c r="A1686" s="3">
        <v>1685</v>
      </c>
      <c r="B1686" s="3">
        <v>113.3441931</v>
      </c>
      <c r="C1686" s="3">
        <v>23.001093130000001</v>
      </c>
      <c r="D1686" s="3">
        <v>7</v>
      </c>
    </row>
    <row r="1687" spans="1:4" x14ac:dyDescent="0.2">
      <c r="A1687" s="3">
        <v>1686</v>
      </c>
      <c r="B1687" s="3">
        <v>113.34455749999999</v>
      </c>
      <c r="C1687" s="3">
        <v>23.000371810000001</v>
      </c>
      <c r="D1687" s="3">
        <v>7</v>
      </c>
    </row>
    <row r="1688" spans="1:4" x14ac:dyDescent="0.2">
      <c r="A1688" s="3">
        <v>1687</v>
      </c>
      <c r="B1688" s="3">
        <v>113.3424725</v>
      </c>
      <c r="C1688" s="3">
        <v>22.997327760000001</v>
      </c>
      <c r="D1688" s="3">
        <v>7</v>
      </c>
    </row>
    <row r="1689" spans="1:4" x14ac:dyDescent="0.2">
      <c r="A1689" s="3">
        <v>1688</v>
      </c>
      <c r="B1689" s="3">
        <v>113.3419574</v>
      </c>
      <c r="C1689" s="3">
        <v>22.998355220000001</v>
      </c>
      <c r="D1689" s="3">
        <v>7</v>
      </c>
    </row>
    <row r="1690" spans="1:4" x14ac:dyDescent="0.2">
      <c r="A1690" s="3">
        <v>1689</v>
      </c>
      <c r="B1690" s="3">
        <v>113.3433666</v>
      </c>
      <c r="C1690" s="3">
        <v>23.001180529999999</v>
      </c>
      <c r="D1690" s="3">
        <v>7</v>
      </c>
    </row>
    <row r="1691" spans="1:4" x14ac:dyDescent="0.2">
      <c r="A1691" s="3">
        <v>1690</v>
      </c>
      <c r="B1691" s="3">
        <v>113.3428976</v>
      </c>
      <c r="C1691" s="3">
        <v>22.999166219999999</v>
      </c>
      <c r="D1691" s="3">
        <v>7</v>
      </c>
    </row>
    <row r="1692" spans="1:4" x14ac:dyDescent="0.2">
      <c r="A1692" s="3">
        <v>1691</v>
      </c>
      <c r="B1692" s="3">
        <v>113.3432799</v>
      </c>
      <c r="C1692" s="3">
        <v>22.99908958</v>
      </c>
      <c r="D1692" s="3">
        <v>7</v>
      </c>
    </row>
    <row r="1693" spans="1:4" x14ac:dyDescent="0.2">
      <c r="A1693" s="3">
        <v>1692</v>
      </c>
      <c r="B1693" s="3">
        <v>113.3429435</v>
      </c>
      <c r="C1693" s="3">
        <v>22.999680919999999</v>
      </c>
      <c r="D1693" s="3">
        <v>7</v>
      </c>
    </row>
    <row r="1694" spans="1:4" x14ac:dyDescent="0.2">
      <c r="A1694" s="3">
        <v>1693</v>
      </c>
      <c r="B1694" s="3">
        <v>113.34251740000001</v>
      </c>
      <c r="C1694" s="3">
        <v>22.998452199999999</v>
      </c>
      <c r="D1694" s="3">
        <v>7</v>
      </c>
    </row>
    <row r="1695" spans="1:4" x14ac:dyDescent="0.2">
      <c r="A1695" s="3">
        <v>1694</v>
      </c>
      <c r="B1695" s="3">
        <v>113.34250040000001</v>
      </c>
      <c r="C1695" s="3">
        <v>22.99883006</v>
      </c>
      <c r="D1695" s="3">
        <v>7</v>
      </c>
    </row>
    <row r="1696" spans="1:4" x14ac:dyDescent="0.2">
      <c r="A1696" s="3">
        <v>1695</v>
      </c>
      <c r="B1696" s="3">
        <v>113.34320510000001</v>
      </c>
      <c r="C1696" s="3">
        <v>22.997735299999999</v>
      </c>
      <c r="D1696" s="3">
        <v>7</v>
      </c>
    </row>
    <row r="1697" spans="1:4" x14ac:dyDescent="0.2">
      <c r="A1697" s="3">
        <v>1696</v>
      </c>
      <c r="B1697" s="3">
        <v>113.3435573</v>
      </c>
      <c r="C1697" s="3">
        <v>23.00018962</v>
      </c>
      <c r="D1697" s="3">
        <v>7</v>
      </c>
    </row>
    <row r="1698" spans="1:4" x14ac:dyDescent="0.2">
      <c r="A1698" s="3">
        <v>1697</v>
      </c>
      <c r="B1698" s="3">
        <v>113.3422419</v>
      </c>
      <c r="C1698" s="3">
        <v>22.9981738</v>
      </c>
      <c r="D1698" s="3">
        <v>7</v>
      </c>
    </row>
    <row r="1699" spans="1:4" x14ac:dyDescent="0.2">
      <c r="A1699" s="3">
        <v>1698</v>
      </c>
      <c r="B1699" s="3">
        <v>113.3491547</v>
      </c>
      <c r="C1699" s="3">
        <v>22.995264290000001</v>
      </c>
      <c r="D1699" s="3">
        <v>7</v>
      </c>
    </row>
    <row r="1700" spans="1:4" x14ac:dyDescent="0.2">
      <c r="A1700" s="3">
        <v>1699</v>
      </c>
      <c r="B1700" s="3">
        <v>113.3428825</v>
      </c>
      <c r="C1700" s="3">
        <v>23.001873079999999</v>
      </c>
      <c r="D1700" s="3">
        <v>7</v>
      </c>
    </row>
    <row r="1701" spans="1:4" x14ac:dyDescent="0.2">
      <c r="A1701" s="3">
        <v>1700</v>
      </c>
      <c r="B1701" s="3">
        <v>113.34952509999999</v>
      </c>
      <c r="C1701" s="3">
        <v>22.994681929999999</v>
      </c>
      <c r="D1701" s="3">
        <v>7</v>
      </c>
    </row>
    <row r="1702" spans="1:4" x14ac:dyDescent="0.2">
      <c r="A1702" s="3">
        <v>1701</v>
      </c>
      <c r="B1702" s="3">
        <v>113.3480357</v>
      </c>
      <c r="C1702" s="3">
        <v>22.993730790000001</v>
      </c>
      <c r="D1702" s="3">
        <v>7</v>
      </c>
    </row>
    <row r="1703" spans="1:4" x14ac:dyDescent="0.2">
      <c r="A1703" s="3">
        <v>1702</v>
      </c>
      <c r="B1703" s="3">
        <v>113.34269690000001</v>
      </c>
      <c r="C1703" s="3">
        <v>23.000060189999999</v>
      </c>
      <c r="D1703" s="3">
        <v>7</v>
      </c>
    </row>
    <row r="1704" spans="1:4" x14ac:dyDescent="0.2">
      <c r="A1704" s="3">
        <v>1703</v>
      </c>
      <c r="B1704" s="3">
        <v>113.3452886</v>
      </c>
      <c r="C1704" s="3">
        <v>22.994266199999998</v>
      </c>
      <c r="D1704" s="3">
        <v>7</v>
      </c>
    </row>
    <row r="1705" spans="1:4" x14ac:dyDescent="0.2">
      <c r="A1705" s="3">
        <v>1704</v>
      </c>
      <c r="B1705" s="3">
        <v>113.34325870000001</v>
      </c>
      <c r="C1705" s="3">
        <v>23.00302692</v>
      </c>
      <c r="D1705" s="3">
        <v>7</v>
      </c>
    </row>
    <row r="1706" spans="1:4" x14ac:dyDescent="0.2">
      <c r="A1706" s="3">
        <v>1705</v>
      </c>
      <c r="B1706" s="3">
        <v>113.34444860000001</v>
      </c>
      <c r="C1706" s="3">
        <v>23.001551490000001</v>
      </c>
      <c r="D1706" s="3">
        <v>7</v>
      </c>
    </row>
    <row r="1707" spans="1:4" x14ac:dyDescent="0.2">
      <c r="A1707" s="3">
        <v>1706</v>
      </c>
      <c r="B1707" s="3">
        <v>113.3483212</v>
      </c>
      <c r="C1707" s="3">
        <v>22.993777300000001</v>
      </c>
      <c r="D1707" s="3">
        <v>7</v>
      </c>
    </row>
    <row r="1708" spans="1:4" x14ac:dyDescent="0.2">
      <c r="A1708" s="3">
        <v>1707</v>
      </c>
      <c r="B1708" s="3">
        <v>113.35073800000001</v>
      </c>
      <c r="C1708" s="3">
        <v>22.995002830000001</v>
      </c>
      <c r="D1708" s="3">
        <v>7</v>
      </c>
    </row>
    <row r="1709" spans="1:4" x14ac:dyDescent="0.2">
      <c r="A1709" s="3">
        <v>1708</v>
      </c>
      <c r="B1709" s="3">
        <v>113.3428724</v>
      </c>
      <c r="C1709" s="3">
        <v>23.003197520000001</v>
      </c>
      <c r="D1709" s="3">
        <v>7</v>
      </c>
    </row>
    <row r="1710" spans="1:4" x14ac:dyDescent="0.2">
      <c r="A1710" s="3">
        <v>1709</v>
      </c>
      <c r="B1710" s="3">
        <v>113.3500123</v>
      </c>
      <c r="C1710" s="3">
        <v>22.994202349999998</v>
      </c>
      <c r="D1710" s="3">
        <v>7</v>
      </c>
    </row>
    <row r="1711" spans="1:4" x14ac:dyDescent="0.2">
      <c r="A1711" s="3">
        <v>1710</v>
      </c>
      <c r="B1711" s="3">
        <v>113.35108529999999</v>
      </c>
      <c r="C1711" s="3">
        <v>22.995589020000001</v>
      </c>
      <c r="D1711" s="3">
        <v>7</v>
      </c>
    </row>
    <row r="1712" spans="1:4" x14ac:dyDescent="0.2">
      <c r="A1712" s="3">
        <v>1711</v>
      </c>
      <c r="B1712" s="3">
        <v>113.34444860000001</v>
      </c>
      <c r="C1712" s="3">
        <v>23.001551490000001</v>
      </c>
      <c r="D1712" s="3">
        <v>7</v>
      </c>
    </row>
    <row r="1713" spans="1:4" x14ac:dyDescent="0.2">
      <c r="A1713" s="3">
        <v>1712</v>
      </c>
      <c r="B1713" s="3">
        <v>113.3488582</v>
      </c>
      <c r="C1713" s="3">
        <v>22.99471801</v>
      </c>
      <c r="D1713" s="3">
        <v>7</v>
      </c>
    </row>
    <row r="1714" spans="1:4" x14ac:dyDescent="0.2">
      <c r="A1714" s="3">
        <v>1713</v>
      </c>
      <c r="B1714" s="3">
        <v>113.34299230000001</v>
      </c>
      <c r="C1714" s="3">
        <v>23.0018429</v>
      </c>
      <c r="D1714" s="3">
        <v>7</v>
      </c>
    </row>
    <row r="1715" spans="1:4" x14ac:dyDescent="0.2">
      <c r="A1715" s="3">
        <v>1714</v>
      </c>
      <c r="B1715" s="3">
        <v>113.34329289999999</v>
      </c>
      <c r="C1715" s="3">
        <v>22.99896562</v>
      </c>
      <c r="D1715" s="3">
        <v>7</v>
      </c>
    </row>
    <row r="1716" spans="1:4" x14ac:dyDescent="0.2">
      <c r="A1716" s="3">
        <v>1715</v>
      </c>
      <c r="B1716" s="3">
        <v>113.34444860000001</v>
      </c>
      <c r="C1716" s="3">
        <v>23.001551490000001</v>
      </c>
      <c r="D1716" s="3">
        <v>7</v>
      </c>
    </row>
    <row r="1717" spans="1:4" x14ac:dyDescent="0.2">
      <c r="A1717" s="3">
        <v>1716</v>
      </c>
      <c r="B1717" s="3">
        <v>113.34551399999999</v>
      </c>
      <c r="C1717" s="3">
        <v>22.997150560000001</v>
      </c>
      <c r="D1717" s="3">
        <v>7</v>
      </c>
    </row>
    <row r="1718" spans="1:4" x14ac:dyDescent="0.2">
      <c r="A1718" s="3">
        <v>1717</v>
      </c>
      <c r="B1718" s="3">
        <v>113.3436882</v>
      </c>
      <c r="C1718" s="3">
        <v>22.997856410000001</v>
      </c>
      <c r="D1718" s="3">
        <v>7</v>
      </c>
    </row>
    <row r="1719" spans="1:4" x14ac:dyDescent="0.2">
      <c r="A1719" s="3">
        <v>1718</v>
      </c>
      <c r="B1719" s="3">
        <v>113.3488582</v>
      </c>
      <c r="C1719" s="3">
        <v>22.99471801</v>
      </c>
      <c r="D1719" s="3">
        <v>7</v>
      </c>
    </row>
    <row r="1720" spans="1:4" x14ac:dyDescent="0.2">
      <c r="A1720" s="3">
        <v>1719</v>
      </c>
      <c r="B1720" s="3">
        <v>113.3491078</v>
      </c>
      <c r="C1720" s="3">
        <v>22.99479457</v>
      </c>
      <c r="D1720" s="3">
        <v>7</v>
      </c>
    </row>
    <row r="1721" spans="1:4" x14ac:dyDescent="0.2">
      <c r="A1721" s="3">
        <v>1720</v>
      </c>
      <c r="B1721" s="3">
        <v>113.34250040000001</v>
      </c>
      <c r="C1721" s="3">
        <v>22.99883006</v>
      </c>
      <c r="D1721" s="3">
        <v>7</v>
      </c>
    </row>
    <row r="1722" spans="1:4" x14ac:dyDescent="0.2">
      <c r="A1722" s="3">
        <v>1721</v>
      </c>
      <c r="B1722" s="3">
        <v>113.34576559999999</v>
      </c>
      <c r="C1722" s="3">
        <v>22.995291940000001</v>
      </c>
      <c r="D1722" s="3">
        <v>7</v>
      </c>
    </row>
    <row r="1723" spans="1:4" x14ac:dyDescent="0.2">
      <c r="A1723" s="3">
        <v>1722</v>
      </c>
      <c r="B1723" s="3">
        <v>113.3474128</v>
      </c>
      <c r="C1723" s="3">
        <v>22.994097669999999</v>
      </c>
      <c r="D1723" s="3">
        <v>7</v>
      </c>
    </row>
    <row r="1724" spans="1:4" x14ac:dyDescent="0.2">
      <c r="A1724" s="3">
        <v>1723</v>
      </c>
      <c r="B1724" s="3">
        <v>113.343673</v>
      </c>
      <c r="C1724" s="3">
        <v>23.001361920000001</v>
      </c>
      <c r="D1724" s="3">
        <v>7</v>
      </c>
    </row>
    <row r="1725" spans="1:4" x14ac:dyDescent="0.2">
      <c r="A1725" s="3">
        <v>1724</v>
      </c>
      <c r="B1725" s="3">
        <v>113.3595672</v>
      </c>
      <c r="C1725" s="3">
        <v>22.99400503</v>
      </c>
      <c r="D1725" s="3">
        <v>38</v>
      </c>
    </row>
    <row r="1726" spans="1:4" x14ac:dyDescent="0.2">
      <c r="A1726" s="3">
        <v>1725</v>
      </c>
      <c r="B1726" s="3">
        <v>113.35696780000001</v>
      </c>
      <c r="C1726" s="3">
        <v>22.99685749</v>
      </c>
      <c r="D1726" s="3">
        <v>38</v>
      </c>
    </row>
    <row r="1727" spans="1:4" x14ac:dyDescent="0.2">
      <c r="A1727" s="3">
        <v>1726</v>
      </c>
      <c r="B1727" s="3">
        <v>113.3553854</v>
      </c>
      <c r="C1727" s="3">
        <v>22.995290499999999</v>
      </c>
      <c r="D1727" s="3">
        <v>38</v>
      </c>
    </row>
    <row r="1728" spans="1:4" x14ac:dyDescent="0.2">
      <c r="A1728" s="3">
        <v>1727</v>
      </c>
      <c r="B1728" s="3">
        <v>113.3562969</v>
      </c>
      <c r="C1728" s="3">
        <v>22.996102789999998</v>
      </c>
      <c r="D1728" s="3">
        <v>38</v>
      </c>
    </row>
    <row r="1729" spans="1:4" x14ac:dyDescent="0.2">
      <c r="A1729" s="3">
        <v>1728</v>
      </c>
      <c r="B1729" s="3">
        <v>113.3565545</v>
      </c>
      <c r="C1729" s="3">
        <v>22.995814540000001</v>
      </c>
      <c r="D1729" s="3">
        <v>38</v>
      </c>
    </row>
    <row r="1730" spans="1:4" x14ac:dyDescent="0.2">
      <c r="A1730" s="3">
        <v>1729</v>
      </c>
      <c r="B1730" s="3">
        <v>113.36070340000001</v>
      </c>
      <c r="C1730" s="3">
        <v>22.99719709</v>
      </c>
      <c r="D1730" s="3">
        <v>38</v>
      </c>
    </row>
    <row r="1731" spans="1:4" x14ac:dyDescent="0.2">
      <c r="A1731" s="3">
        <v>1730</v>
      </c>
      <c r="B1731" s="3">
        <v>113.35244779999999</v>
      </c>
      <c r="C1731" s="3">
        <v>22.999982970000001</v>
      </c>
      <c r="D1731" s="3">
        <v>38</v>
      </c>
    </row>
    <row r="1732" spans="1:4" x14ac:dyDescent="0.2">
      <c r="A1732" s="3">
        <v>1731</v>
      </c>
      <c r="B1732" s="3">
        <v>113.3590298</v>
      </c>
      <c r="C1732" s="3">
        <v>22.996291790000001</v>
      </c>
      <c r="D1732" s="3">
        <v>38</v>
      </c>
    </row>
    <row r="1733" spans="1:4" x14ac:dyDescent="0.2">
      <c r="A1733" s="3">
        <v>1732</v>
      </c>
      <c r="B1733" s="3">
        <v>113.3551657</v>
      </c>
      <c r="C1733" s="3">
        <v>22.995361800000001</v>
      </c>
      <c r="D1733" s="3">
        <v>38</v>
      </c>
    </row>
    <row r="1734" spans="1:4" x14ac:dyDescent="0.2">
      <c r="A1734" s="3">
        <v>1733</v>
      </c>
      <c r="B1734" s="3">
        <v>113.35998739999999</v>
      </c>
      <c r="C1734" s="3">
        <v>22.996868209999999</v>
      </c>
      <c r="D1734" s="3">
        <v>38</v>
      </c>
    </row>
    <row r="1735" spans="1:4" x14ac:dyDescent="0.2">
      <c r="A1735" s="3">
        <v>1734</v>
      </c>
      <c r="B1735" s="3">
        <v>113.36158399999999</v>
      </c>
      <c r="C1735" s="3">
        <v>22.998667269999999</v>
      </c>
      <c r="D1735" s="3">
        <v>38</v>
      </c>
    </row>
    <row r="1736" spans="1:4" x14ac:dyDescent="0.2">
      <c r="A1736" s="3">
        <v>1735</v>
      </c>
      <c r="B1736" s="3">
        <v>113.3607873</v>
      </c>
      <c r="C1736" s="3">
        <v>22.997164990000002</v>
      </c>
      <c r="D1736" s="3">
        <v>38</v>
      </c>
    </row>
    <row r="1737" spans="1:4" x14ac:dyDescent="0.2">
      <c r="A1737" s="3">
        <v>1736</v>
      </c>
      <c r="B1737" s="3">
        <v>113.3546855</v>
      </c>
      <c r="C1737" s="3">
        <v>22.99454287</v>
      </c>
      <c r="D1737" s="3">
        <v>38</v>
      </c>
    </row>
    <row r="1738" spans="1:4" x14ac:dyDescent="0.2">
      <c r="A1738" s="3">
        <v>1737</v>
      </c>
      <c r="B1738" s="3">
        <v>113.353773</v>
      </c>
      <c r="C1738" s="3">
        <v>22.994894110000001</v>
      </c>
      <c r="D1738" s="3">
        <v>38</v>
      </c>
    </row>
    <row r="1739" spans="1:4" x14ac:dyDescent="0.2">
      <c r="A1739" s="3">
        <v>1738</v>
      </c>
      <c r="B1739" s="3">
        <v>113.36134749999999</v>
      </c>
      <c r="C1739" s="3">
        <v>22.997184229999998</v>
      </c>
      <c r="D1739" s="3">
        <v>38</v>
      </c>
    </row>
    <row r="1740" spans="1:4" x14ac:dyDescent="0.2">
      <c r="A1740" s="3">
        <v>1739</v>
      </c>
      <c r="B1740" s="3">
        <v>113.35216149999999</v>
      </c>
      <c r="C1740" s="3">
        <v>22.995819220000001</v>
      </c>
      <c r="D1740" s="3">
        <v>7</v>
      </c>
    </row>
    <row r="1741" spans="1:4" x14ac:dyDescent="0.2">
      <c r="A1741" s="3">
        <v>1740</v>
      </c>
      <c r="B1741" s="3">
        <v>113.3529284</v>
      </c>
      <c r="C1741" s="3">
        <v>22.994741479999998</v>
      </c>
      <c r="D1741" s="3">
        <v>7</v>
      </c>
    </row>
    <row r="1742" spans="1:4" x14ac:dyDescent="0.2">
      <c r="A1742" s="3">
        <v>1741</v>
      </c>
      <c r="B1742" s="3">
        <v>113.3614804</v>
      </c>
      <c r="C1742" s="3">
        <v>22.99518492</v>
      </c>
      <c r="D1742" s="3">
        <v>38</v>
      </c>
    </row>
    <row r="1743" spans="1:4" x14ac:dyDescent="0.2">
      <c r="A1743" s="3">
        <v>1742</v>
      </c>
      <c r="B1743" s="3">
        <v>113.360905</v>
      </c>
      <c r="C1743" s="3">
        <v>22.997693600000002</v>
      </c>
      <c r="D1743" s="3">
        <v>38</v>
      </c>
    </row>
    <row r="1744" spans="1:4" x14ac:dyDescent="0.2">
      <c r="A1744" s="3">
        <v>1743</v>
      </c>
      <c r="B1744" s="3">
        <v>113.3612917</v>
      </c>
      <c r="C1744" s="3">
        <v>22.99428056</v>
      </c>
      <c r="D1744" s="3">
        <v>38</v>
      </c>
    </row>
    <row r="1745" spans="1:4" x14ac:dyDescent="0.2">
      <c r="A1745" s="3">
        <v>1744</v>
      </c>
      <c r="B1745" s="3">
        <v>113.3557378</v>
      </c>
      <c r="C1745" s="3">
        <v>22.995840730000001</v>
      </c>
      <c r="D1745" s="3">
        <v>38</v>
      </c>
    </row>
    <row r="1746" spans="1:4" x14ac:dyDescent="0.2">
      <c r="A1746" s="3">
        <v>1745</v>
      </c>
      <c r="B1746" s="3">
        <v>113.3569669</v>
      </c>
      <c r="C1746" s="3">
        <v>22.99641368</v>
      </c>
      <c r="D1746" s="3">
        <v>38</v>
      </c>
    </row>
    <row r="1747" spans="1:4" x14ac:dyDescent="0.2">
      <c r="A1747" s="3">
        <v>1746</v>
      </c>
      <c r="B1747" s="3">
        <v>113.3660893</v>
      </c>
      <c r="C1747" s="3">
        <v>22.99735716</v>
      </c>
      <c r="D1747" s="3">
        <v>38</v>
      </c>
    </row>
    <row r="1748" spans="1:4" x14ac:dyDescent="0.2">
      <c r="A1748" s="3">
        <v>1747</v>
      </c>
      <c r="B1748" s="3">
        <v>113.36538830000001</v>
      </c>
      <c r="C1748" s="3">
        <v>22.99445626</v>
      </c>
      <c r="D1748" s="3">
        <v>38</v>
      </c>
    </row>
    <row r="1749" spans="1:4" x14ac:dyDescent="0.2">
      <c r="A1749" s="3">
        <v>1748</v>
      </c>
      <c r="B1749" s="3">
        <v>113.3651254</v>
      </c>
      <c r="C1749" s="3">
        <v>22.998681749999999</v>
      </c>
      <c r="D1749" s="3">
        <v>38</v>
      </c>
    </row>
    <row r="1750" spans="1:4" x14ac:dyDescent="0.2">
      <c r="A1750" s="3">
        <v>1749</v>
      </c>
      <c r="B1750" s="3">
        <v>113.36474800000001</v>
      </c>
      <c r="C1750" s="3">
        <v>22.99726982</v>
      </c>
      <c r="D1750" s="3">
        <v>38</v>
      </c>
    </row>
    <row r="1751" spans="1:4" x14ac:dyDescent="0.2">
      <c r="A1751" s="3">
        <v>1750</v>
      </c>
      <c r="B1751" s="3">
        <v>113.36921169999999</v>
      </c>
      <c r="C1751" s="3">
        <v>22.99695578</v>
      </c>
      <c r="D1751" s="3">
        <v>38</v>
      </c>
    </row>
    <row r="1752" spans="1:4" x14ac:dyDescent="0.2">
      <c r="A1752" s="3">
        <v>1751</v>
      </c>
      <c r="B1752" s="3">
        <v>113.3669184</v>
      </c>
      <c r="C1752" s="3">
        <v>22.995313070000002</v>
      </c>
      <c r="D1752" s="3">
        <v>38</v>
      </c>
    </row>
    <row r="1753" spans="1:4" x14ac:dyDescent="0.2">
      <c r="A1753" s="3">
        <v>1752</v>
      </c>
      <c r="B1753" s="3">
        <v>113.3626567</v>
      </c>
      <c r="C1753" s="3">
        <v>22.99741341</v>
      </c>
      <c r="D1753" s="3">
        <v>38</v>
      </c>
    </row>
    <row r="1754" spans="1:4" x14ac:dyDescent="0.2">
      <c r="A1754" s="3">
        <v>1753</v>
      </c>
      <c r="B1754" s="3">
        <v>113.36592469999999</v>
      </c>
      <c r="C1754" s="3">
        <v>22.99457456</v>
      </c>
      <c r="D1754" s="3">
        <v>38</v>
      </c>
    </row>
    <row r="1755" spans="1:4" x14ac:dyDescent="0.2">
      <c r="A1755" s="3">
        <v>1754</v>
      </c>
      <c r="B1755" s="3">
        <v>113.36242</v>
      </c>
      <c r="C1755" s="3">
        <v>22.996880950000001</v>
      </c>
      <c r="D1755" s="3">
        <v>38</v>
      </c>
    </row>
    <row r="1756" spans="1:4" x14ac:dyDescent="0.2">
      <c r="A1756" s="3">
        <v>1755</v>
      </c>
      <c r="B1756" s="3">
        <v>113.3669934</v>
      </c>
      <c r="C1756" s="3">
        <v>22.99435939</v>
      </c>
      <c r="D1756" s="3">
        <v>38</v>
      </c>
    </row>
    <row r="1757" spans="1:4" x14ac:dyDescent="0.2">
      <c r="A1757" s="3">
        <v>1756</v>
      </c>
      <c r="B1757" s="3">
        <v>113.36473719999999</v>
      </c>
      <c r="C1757" s="3">
        <v>22.994331110000001</v>
      </c>
      <c r="D1757" s="3">
        <v>38</v>
      </c>
    </row>
    <row r="1758" spans="1:4" x14ac:dyDescent="0.2">
      <c r="A1758" s="3">
        <v>1757</v>
      </c>
      <c r="B1758" s="3">
        <v>113.3636276</v>
      </c>
      <c r="C1758" s="3">
        <v>22.99467435</v>
      </c>
      <c r="D1758" s="3">
        <v>38</v>
      </c>
    </row>
    <row r="1759" spans="1:4" x14ac:dyDescent="0.2">
      <c r="A1759" s="3">
        <v>1758</v>
      </c>
      <c r="B1759" s="3">
        <v>113.3646104</v>
      </c>
      <c r="C1759" s="3">
        <v>22.994092370000001</v>
      </c>
      <c r="D1759" s="3">
        <v>38</v>
      </c>
    </row>
    <row r="1760" spans="1:4" x14ac:dyDescent="0.2">
      <c r="A1760" s="3">
        <v>1759</v>
      </c>
      <c r="B1760" s="3">
        <v>113.37083010000001</v>
      </c>
      <c r="C1760" s="3">
        <v>22.994733020000002</v>
      </c>
      <c r="D1760" s="3">
        <v>38</v>
      </c>
    </row>
    <row r="1761" spans="1:4" x14ac:dyDescent="0.2">
      <c r="A1761" s="3">
        <v>1760</v>
      </c>
      <c r="B1761" s="3">
        <v>113.3715313</v>
      </c>
      <c r="C1761" s="3">
        <v>22.99515512</v>
      </c>
      <c r="D1761" s="3">
        <v>38</v>
      </c>
    </row>
    <row r="1762" spans="1:4" x14ac:dyDescent="0.2">
      <c r="A1762" s="3">
        <v>1761</v>
      </c>
      <c r="B1762" s="3">
        <v>113.3623401</v>
      </c>
      <c r="C1762" s="3">
        <v>22.997521769999999</v>
      </c>
      <c r="D1762" s="3">
        <v>38</v>
      </c>
    </row>
    <row r="1763" spans="1:4" x14ac:dyDescent="0.2">
      <c r="A1763" s="3">
        <v>1762</v>
      </c>
      <c r="B1763" s="3">
        <v>113.36596059999999</v>
      </c>
      <c r="C1763" s="3">
        <v>22.99452454</v>
      </c>
      <c r="D1763" s="3">
        <v>38</v>
      </c>
    </row>
    <row r="1764" spans="1:4" x14ac:dyDescent="0.2">
      <c r="A1764" s="3">
        <v>1763</v>
      </c>
      <c r="B1764" s="3">
        <v>113.362414</v>
      </c>
      <c r="C1764" s="3">
        <v>22.996834969999998</v>
      </c>
      <c r="D1764" s="3">
        <v>38</v>
      </c>
    </row>
    <row r="1765" spans="1:4" x14ac:dyDescent="0.2">
      <c r="A1765" s="3">
        <v>1764</v>
      </c>
      <c r="B1765" s="3">
        <v>113.361604</v>
      </c>
      <c r="C1765" s="3">
        <v>22.998594279999999</v>
      </c>
      <c r="D1765" s="3">
        <v>38</v>
      </c>
    </row>
    <row r="1766" spans="1:4" x14ac:dyDescent="0.2">
      <c r="A1766" s="3">
        <v>1765</v>
      </c>
      <c r="B1766" s="3">
        <v>113.3782033</v>
      </c>
      <c r="C1766" s="3">
        <v>22.997736069999998</v>
      </c>
      <c r="D1766" s="3">
        <v>39</v>
      </c>
    </row>
    <row r="1767" spans="1:4" x14ac:dyDescent="0.2">
      <c r="A1767" s="3">
        <v>1766</v>
      </c>
      <c r="B1767" s="3">
        <v>113.38112219999999</v>
      </c>
      <c r="C1767" s="3">
        <v>22.99908941</v>
      </c>
      <c r="D1767" s="3">
        <v>41</v>
      </c>
    </row>
    <row r="1768" spans="1:4" x14ac:dyDescent="0.2">
      <c r="A1768" s="3">
        <v>1767</v>
      </c>
      <c r="B1768" s="3">
        <v>113.3757928</v>
      </c>
      <c r="C1768" s="3">
        <v>23.003534519999999</v>
      </c>
      <c r="D1768" s="3">
        <v>41</v>
      </c>
    </row>
    <row r="1769" spans="1:4" x14ac:dyDescent="0.2">
      <c r="A1769" s="3">
        <v>1768</v>
      </c>
      <c r="B1769" s="3">
        <v>113.3837508</v>
      </c>
      <c r="C1769" s="3">
        <v>22.998858930000001</v>
      </c>
      <c r="D1769" s="3">
        <v>41</v>
      </c>
    </row>
    <row r="1770" spans="1:4" x14ac:dyDescent="0.2">
      <c r="A1770" s="3">
        <v>1769</v>
      </c>
      <c r="B1770" s="3">
        <v>113.38384790000001</v>
      </c>
      <c r="C1770" s="3">
        <v>22.99595514</v>
      </c>
      <c r="D1770" s="3">
        <v>39</v>
      </c>
    </row>
    <row r="1771" spans="1:4" x14ac:dyDescent="0.2">
      <c r="A1771" s="3">
        <v>1770</v>
      </c>
      <c r="B1771" s="3">
        <v>113.3851205</v>
      </c>
      <c r="C1771" s="3">
        <v>22.993724440000001</v>
      </c>
      <c r="D1771" s="3">
        <v>39</v>
      </c>
    </row>
    <row r="1772" spans="1:4" x14ac:dyDescent="0.2">
      <c r="A1772" s="3">
        <v>1771</v>
      </c>
      <c r="B1772" s="3">
        <v>113.38187360000001</v>
      </c>
      <c r="C1772" s="3">
        <v>23.001566860000001</v>
      </c>
      <c r="D1772" s="3">
        <v>41</v>
      </c>
    </row>
    <row r="1773" spans="1:4" x14ac:dyDescent="0.2">
      <c r="A1773" s="3">
        <v>1772</v>
      </c>
      <c r="B1773" s="3">
        <v>113.38892300000001</v>
      </c>
      <c r="C1773" s="3">
        <v>22.995108269999999</v>
      </c>
      <c r="D1773" s="3">
        <v>39</v>
      </c>
    </row>
    <row r="1774" spans="1:4" x14ac:dyDescent="0.2">
      <c r="A1774" s="3">
        <v>1773</v>
      </c>
      <c r="B1774" s="3">
        <v>113.3909786</v>
      </c>
      <c r="C1774" s="3">
        <v>22.99463287</v>
      </c>
      <c r="D1774" s="3">
        <v>39</v>
      </c>
    </row>
    <row r="1775" spans="1:4" x14ac:dyDescent="0.2">
      <c r="A1775" s="3">
        <v>1774</v>
      </c>
      <c r="B1775" s="3">
        <v>113.38404679999999</v>
      </c>
      <c r="C1775" s="3">
        <v>22.995894060000001</v>
      </c>
      <c r="D1775" s="3">
        <v>39</v>
      </c>
    </row>
    <row r="1776" spans="1:4" x14ac:dyDescent="0.2">
      <c r="A1776" s="3">
        <v>1775</v>
      </c>
      <c r="B1776" s="3">
        <v>113.4449396</v>
      </c>
      <c r="C1776" s="3">
        <v>22.997337219999999</v>
      </c>
      <c r="D1776" s="3">
        <v>12</v>
      </c>
    </row>
    <row r="1777" spans="1:4" x14ac:dyDescent="0.2">
      <c r="A1777" s="3">
        <v>1776</v>
      </c>
      <c r="B1777" s="3">
        <v>113.4949696</v>
      </c>
      <c r="C1777" s="3">
        <v>22.996970659999999</v>
      </c>
      <c r="D1777" s="3">
        <v>1</v>
      </c>
    </row>
    <row r="1778" spans="1:4" x14ac:dyDescent="0.2">
      <c r="A1778" s="3">
        <v>1777</v>
      </c>
      <c r="B1778" s="3">
        <v>113.4979312</v>
      </c>
      <c r="C1778" s="3">
        <v>22.99427073</v>
      </c>
      <c r="D1778" s="3">
        <v>1</v>
      </c>
    </row>
    <row r="1779" spans="1:4" x14ac:dyDescent="0.2">
      <c r="A1779" s="3">
        <v>1778</v>
      </c>
      <c r="B1779" s="3">
        <v>113.2601344</v>
      </c>
      <c r="C1779" s="3">
        <v>22.98701441</v>
      </c>
      <c r="D1779" s="3">
        <v>23</v>
      </c>
    </row>
    <row r="1780" spans="1:4" x14ac:dyDescent="0.2">
      <c r="A1780" s="3">
        <v>1779</v>
      </c>
      <c r="B1780" s="3">
        <v>113.26172889999999</v>
      </c>
      <c r="C1780" s="3">
        <v>22.992066250000001</v>
      </c>
      <c r="D1780" s="3">
        <v>23</v>
      </c>
    </row>
    <row r="1781" spans="1:4" x14ac:dyDescent="0.2">
      <c r="A1781" s="3">
        <v>1780</v>
      </c>
      <c r="B1781" s="3">
        <v>113.26172680000001</v>
      </c>
      <c r="C1781" s="3">
        <v>22.992293149999998</v>
      </c>
      <c r="D1781" s="3">
        <v>23</v>
      </c>
    </row>
    <row r="1782" spans="1:4" x14ac:dyDescent="0.2">
      <c r="A1782" s="3">
        <v>1781</v>
      </c>
      <c r="B1782" s="3">
        <v>113.2614051</v>
      </c>
      <c r="C1782" s="3">
        <v>22.992293360000001</v>
      </c>
      <c r="D1782" s="3">
        <v>23</v>
      </c>
    </row>
    <row r="1783" spans="1:4" x14ac:dyDescent="0.2">
      <c r="A1783" s="3">
        <v>1782</v>
      </c>
      <c r="B1783" s="3">
        <v>113.26553010000001</v>
      </c>
      <c r="C1783" s="3">
        <v>22.98489064</v>
      </c>
      <c r="D1783" s="3">
        <v>23</v>
      </c>
    </row>
    <row r="1784" spans="1:4" x14ac:dyDescent="0.2">
      <c r="A1784" s="3">
        <v>1783</v>
      </c>
      <c r="B1784" s="3">
        <v>113.27128519999999</v>
      </c>
      <c r="C1784" s="3">
        <v>22.986282989999999</v>
      </c>
      <c r="D1784" s="3">
        <v>23</v>
      </c>
    </row>
    <row r="1785" spans="1:4" x14ac:dyDescent="0.2">
      <c r="A1785" s="3">
        <v>1784</v>
      </c>
      <c r="B1785" s="3">
        <v>113.2700304</v>
      </c>
      <c r="C1785" s="3">
        <v>22.989555769999999</v>
      </c>
      <c r="D1785" s="3">
        <v>23</v>
      </c>
    </row>
    <row r="1786" spans="1:4" x14ac:dyDescent="0.2">
      <c r="A1786" s="3">
        <v>1785</v>
      </c>
      <c r="B1786" s="3">
        <v>113.2657226</v>
      </c>
      <c r="C1786" s="3">
        <v>22.990959870000001</v>
      </c>
      <c r="D1786" s="3">
        <v>23</v>
      </c>
    </row>
    <row r="1787" spans="1:4" x14ac:dyDescent="0.2">
      <c r="A1787" s="3">
        <v>1786</v>
      </c>
      <c r="B1787" s="3">
        <v>113.2706866</v>
      </c>
      <c r="C1787" s="3">
        <v>22.990234860000001</v>
      </c>
      <c r="D1787" s="3">
        <v>23</v>
      </c>
    </row>
    <row r="1788" spans="1:4" x14ac:dyDescent="0.2">
      <c r="A1788" s="3">
        <v>1787</v>
      </c>
      <c r="B1788" s="3">
        <v>113.2700394</v>
      </c>
      <c r="C1788" s="3">
        <v>22.98959675</v>
      </c>
      <c r="D1788" s="3">
        <v>23</v>
      </c>
    </row>
    <row r="1789" spans="1:4" x14ac:dyDescent="0.2">
      <c r="A1789" s="3">
        <v>1788</v>
      </c>
      <c r="B1789" s="3">
        <v>113.269289</v>
      </c>
      <c r="C1789" s="3">
        <v>22.992519179999999</v>
      </c>
      <c r="D1789" s="3">
        <v>23</v>
      </c>
    </row>
    <row r="1790" spans="1:4" x14ac:dyDescent="0.2">
      <c r="A1790" s="3">
        <v>1789</v>
      </c>
      <c r="B1790" s="3">
        <v>113.2703449</v>
      </c>
      <c r="C1790" s="3">
        <v>22.990992859999999</v>
      </c>
      <c r="D1790" s="3">
        <v>23</v>
      </c>
    </row>
    <row r="1791" spans="1:4" x14ac:dyDescent="0.2">
      <c r="A1791" s="3">
        <v>1790</v>
      </c>
      <c r="B1791" s="3">
        <v>113.2721264</v>
      </c>
      <c r="C1791" s="3">
        <v>22.984839780000001</v>
      </c>
      <c r="D1791" s="3">
        <v>23</v>
      </c>
    </row>
    <row r="1792" spans="1:4" x14ac:dyDescent="0.2">
      <c r="A1792" s="3">
        <v>1791</v>
      </c>
      <c r="B1792" s="3">
        <v>113.27269920000001</v>
      </c>
      <c r="C1792" s="3">
        <v>22.992023100000001</v>
      </c>
      <c r="D1792" s="3">
        <v>23</v>
      </c>
    </row>
    <row r="1793" spans="1:4" x14ac:dyDescent="0.2">
      <c r="A1793" s="3">
        <v>1792</v>
      </c>
      <c r="B1793" s="3">
        <v>113.2718812</v>
      </c>
      <c r="C1793" s="3">
        <v>22.991436180000001</v>
      </c>
      <c r="D1793" s="3">
        <v>23</v>
      </c>
    </row>
    <row r="1794" spans="1:4" x14ac:dyDescent="0.2">
      <c r="A1794" s="3">
        <v>1793</v>
      </c>
      <c r="B1794" s="3">
        <v>113.30161200000001</v>
      </c>
      <c r="C1794" s="3">
        <v>22.9876699</v>
      </c>
      <c r="D1794" s="3">
        <v>29</v>
      </c>
    </row>
    <row r="1795" spans="1:4" x14ac:dyDescent="0.2">
      <c r="A1795" s="3">
        <v>1794</v>
      </c>
      <c r="B1795" s="3">
        <v>113.2973276</v>
      </c>
      <c r="C1795" s="3">
        <v>22.993416719999999</v>
      </c>
      <c r="D1795" s="3">
        <v>11</v>
      </c>
    </row>
    <row r="1796" spans="1:4" x14ac:dyDescent="0.2">
      <c r="A1796" s="3">
        <v>1795</v>
      </c>
      <c r="B1796" s="3">
        <v>113.3012627</v>
      </c>
      <c r="C1796" s="3">
        <v>22.98686885</v>
      </c>
      <c r="D1796" s="3">
        <v>29</v>
      </c>
    </row>
    <row r="1797" spans="1:4" x14ac:dyDescent="0.2">
      <c r="A1797" s="3">
        <v>1796</v>
      </c>
      <c r="B1797" s="3">
        <v>113.3006749</v>
      </c>
      <c r="C1797" s="3">
        <v>22.985369519999999</v>
      </c>
      <c r="D1797" s="3">
        <v>29</v>
      </c>
    </row>
    <row r="1798" spans="1:4" x14ac:dyDescent="0.2">
      <c r="A1798" s="3">
        <v>1797</v>
      </c>
      <c r="B1798" s="3">
        <v>113.2920649</v>
      </c>
      <c r="C1798" s="3">
        <v>22.99320831</v>
      </c>
      <c r="D1798" s="3">
        <v>11</v>
      </c>
    </row>
    <row r="1799" spans="1:4" x14ac:dyDescent="0.2">
      <c r="A1799" s="3">
        <v>1798</v>
      </c>
      <c r="B1799" s="3">
        <v>113.3003171</v>
      </c>
      <c r="C1799" s="3">
        <v>22.993442649999999</v>
      </c>
      <c r="D1799" s="3">
        <v>11</v>
      </c>
    </row>
    <row r="1800" spans="1:4" x14ac:dyDescent="0.2">
      <c r="A1800" s="3">
        <v>1799</v>
      </c>
      <c r="B1800" s="3">
        <v>113.3066472</v>
      </c>
      <c r="C1800" s="3">
        <v>22.988383630000001</v>
      </c>
      <c r="D1800" s="3">
        <v>29</v>
      </c>
    </row>
    <row r="1801" spans="1:4" x14ac:dyDescent="0.2">
      <c r="A1801" s="3">
        <v>1800</v>
      </c>
      <c r="B1801" s="3">
        <v>113.3049668</v>
      </c>
      <c r="C1801" s="3">
        <v>22.984276439999999</v>
      </c>
      <c r="D1801" s="3">
        <v>29</v>
      </c>
    </row>
    <row r="1802" spans="1:4" x14ac:dyDescent="0.2">
      <c r="A1802" s="3">
        <v>1801</v>
      </c>
      <c r="B1802" s="3">
        <v>113.30885309999999</v>
      </c>
      <c r="C1802" s="3">
        <v>22.983844560000001</v>
      </c>
      <c r="D1802" s="3">
        <v>29</v>
      </c>
    </row>
    <row r="1803" spans="1:4" x14ac:dyDescent="0.2">
      <c r="A1803" s="3">
        <v>1802</v>
      </c>
      <c r="B1803" s="3">
        <v>113.3055552</v>
      </c>
      <c r="C1803" s="3">
        <v>22.990033889999999</v>
      </c>
      <c r="D1803" s="3">
        <v>29</v>
      </c>
    </row>
    <row r="1804" spans="1:4" x14ac:dyDescent="0.2">
      <c r="A1804" s="3">
        <v>1803</v>
      </c>
      <c r="B1804" s="3">
        <v>113.30809240000001</v>
      </c>
      <c r="C1804" s="3">
        <v>22.98717452</v>
      </c>
      <c r="D1804" s="3">
        <v>29</v>
      </c>
    </row>
    <row r="1805" spans="1:4" x14ac:dyDescent="0.2">
      <c r="A1805" s="3">
        <v>1804</v>
      </c>
      <c r="B1805" s="3">
        <v>113.3042377</v>
      </c>
      <c r="C1805" s="3">
        <v>22.990946860000001</v>
      </c>
      <c r="D1805" s="3">
        <v>29</v>
      </c>
    </row>
    <row r="1806" spans="1:4" x14ac:dyDescent="0.2">
      <c r="A1806" s="3">
        <v>1805</v>
      </c>
      <c r="B1806" s="3">
        <v>113.30763949999999</v>
      </c>
      <c r="C1806" s="3">
        <v>22.984098679999999</v>
      </c>
      <c r="D1806" s="3">
        <v>29</v>
      </c>
    </row>
    <row r="1807" spans="1:4" x14ac:dyDescent="0.2">
      <c r="A1807" s="3">
        <v>1806</v>
      </c>
      <c r="B1807" s="3">
        <v>113.3090905</v>
      </c>
      <c r="C1807" s="3">
        <v>22.985245519999999</v>
      </c>
      <c r="D1807" s="3">
        <v>29</v>
      </c>
    </row>
    <row r="1808" spans="1:4" x14ac:dyDescent="0.2">
      <c r="A1808" s="3">
        <v>1807</v>
      </c>
      <c r="B1808" s="3">
        <v>113.3047706</v>
      </c>
      <c r="C1808" s="3">
        <v>22.992753130000001</v>
      </c>
      <c r="D1808" s="3">
        <v>29</v>
      </c>
    </row>
    <row r="1809" spans="1:4" x14ac:dyDescent="0.2">
      <c r="A1809" s="3">
        <v>1808</v>
      </c>
      <c r="B1809" s="3">
        <v>113.31113740000001</v>
      </c>
      <c r="C1809" s="3">
        <v>22.984904879999998</v>
      </c>
      <c r="D1809" s="3">
        <v>29</v>
      </c>
    </row>
    <row r="1810" spans="1:4" x14ac:dyDescent="0.2">
      <c r="A1810" s="3">
        <v>1809</v>
      </c>
      <c r="B1810" s="3">
        <v>113.3020478</v>
      </c>
      <c r="C1810" s="3">
        <v>22.993721529999998</v>
      </c>
      <c r="D1810" s="3">
        <v>11</v>
      </c>
    </row>
    <row r="1811" spans="1:4" x14ac:dyDescent="0.2">
      <c r="A1811" s="3">
        <v>1810</v>
      </c>
      <c r="B1811" s="3">
        <v>113.30888590000001</v>
      </c>
      <c r="C1811" s="3">
        <v>22.98517193</v>
      </c>
      <c r="D1811" s="3">
        <v>29</v>
      </c>
    </row>
    <row r="1812" spans="1:4" x14ac:dyDescent="0.2">
      <c r="A1812" s="3">
        <v>1811</v>
      </c>
      <c r="B1812" s="3">
        <v>113.3041928</v>
      </c>
      <c r="C1812" s="3">
        <v>22.990686050000001</v>
      </c>
      <c r="D1812" s="3">
        <v>29</v>
      </c>
    </row>
    <row r="1813" spans="1:4" x14ac:dyDescent="0.2">
      <c r="A1813" s="3">
        <v>1812</v>
      </c>
      <c r="B1813" s="3">
        <v>113.3137481</v>
      </c>
      <c r="C1813" s="3">
        <v>22.98559569</v>
      </c>
      <c r="D1813" s="3">
        <v>29</v>
      </c>
    </row>
    <row r="1814" spans="1:4" x14ac:dyDescent="0.2">
      <c r="A1814" s="3">
        <v>1813</v>
      </c>
      <c r="B1814" s="3">
        <v>113.3170135</v>
      </c>
      <c r="C1814" s="3">
        <v>22.984271079999999</v>
      </c>
      <c r="D1814" s="3">
        <v>16</v>
      </c>
    </row>
    <row r="1815" spans="1:4" x14ac:dyDescent="0.2">
      <c r="A1815" s="3">
        <v>1814</v>
      </c>
      <c r="B1815" s="3">
        <v>113.31989009999999</v>
      </c>
      <c r="C1815" s="3">
        <v>22.991853330000001</v>
      </c>
      <c r="D1815" s="3">
        <v>16</v>
      </c>
    </row>
    <row r="1816" spans="1:4" x14ac:dyDescent="0.2">
      <c r="A1816" s="3">
        <v>1815</v>
      </c>
      <c r="B1816" s="3">
        <v>113.31225019999999</v>
      </c>
      <c r="C1816" s="3">
        <v>22.98482284</v>
      </c>
      <c r="D1816" s="3">
        <v>29</v>
      </c>
    </row>
    <row r="1817" spans="1:4" x14ac:dyDescent="0.2">
      <c r="A1817" s="3">
        <v>1816</v>
      </c>
      <c r="B1817" s="3">
        <v>113.3148408</v>
      </c>
      <c r="C1817" s="3">
        <v>22.98598746</v>
      </c>
      <c r="D1817" s="3">
        <v>16</v>
      </c>
    </row>
    <row r="1818" spans="1:4" x14ac:dyDescent="0.2">
      <c r="A1818" s="3">
        <v>1817</v>
      </c>
      <c r="B1818" s="3">
        <v>113.3167229</v>
      </c>
      <c r="C1818" s="3">
        <v>22.986991459999999</v>
      </c>
      <c r="D1818" s="3">
        <v>16</v>
      </c>
    </row>
    <row r="1819" spans="1:4" x14ac:dyDescent="0.2">
      <c r="A1819" s="3">
        <v>1818</v>
      </c>
      <c r="B1819" s="3">
        <v>113.317485</v>
      </c>
      <c r="C1819" s="3">
        <v>22.992253739999999</v>
      </c>
      <c r="D1819" s="3">
        <v>16</v>
      </c>
    </row>
    <row r="1820" spans="1:4" x14ac:dyDescent="0.2">
      <c r="A1820" s="3">
        <v>1819</v>
      </c>
      <c r="B1820" s="3">
        <v>113.3177594</v>
      </c>
      <c r="C1820" s="3">
        <v>22.992249220000001</v>
      </c>
      <c r="D1820" s="3">
        <v>16</v>
      </c>
    </row>
    <row r="1821" spans="1:4" x14ac:dyDescent="0.2">
      <c r="A1821" s="3">
        <v>1820</v>
      </c>
      <c r="B1821" s="3">
        <v>113.3174784</v>
      </c>
      <c r="C1821" s="3">
        <v>22.987041999999999</v>
      </c>
      <c r="D1821" s="3">
        <v>16</v>
      </c>
    </row>
    <row r="1822" spans="1:4" x14ac:dyDescent="0.2">
      <c r="A1822" s="3">
        <v>1821</v>
      </c>
      <c r="B1822" s="3">
        <v>113.3145962</v>
      </c>
      <c r="C1822" s="3">
        <v>22.987676199999999</v>
      </c>
      <c r="D1822" s="3">
        <v>16</v>
      </c>
    </row>
    <row r="1823" spans="1:4" x14ac:dyDescent="0.2">
      <c r="A1823" s="3">
        <v>1822</v>
      </c>
      <c r="B1823" s="3">
        <v>113.31830530000001</v>
      </c>
      <c r="C1823" s="3">
        <v>22.992667000000001</v>
      </c>
      <c r="D1823" s="3">
        <v>16</v>
      </c>
    </row>
    <row r="1824" spans="1:4" x14ac:dyDescent="0.2">
      <c r="A1824" s="3">
        <v>1823</v>
      </c>
      <c r="B1824" s="3">
        <v>113.31528590000001</v>
      </c>
      <c r="C1824" s="3">
        <v>22.986493400000001</v>
      </c>
      <c r="D1824" s="3">
        <v>16</v>
      </c>
    </row>
    <row r="1825" spans="1:4" x14ac:dyDescent="0.2">
      <c r="A1825" s="3">
        <v>1824</v>
      </c>
      <c r="B1825" s="3">
        <v>113.3171737</v>
      </c>
      <c r="C1825" s="3">
        <v>22.991906480000001</v>
      </c>
      <c r="D1825" s="3">
        <v>16</v>
      </c>
    </row>
    <row r="1826" spans="1:4" x14ac:dyDescent="0.2">
      <c r="A1826" s="3">
        <v>1825</v>
      </c>
      <c r="B1826" s="3">
        <v>113.3171597</v>
      </c>
      <c r="C1826" s="3">
        <v>22.991757570000001</v>
      </c>
      <c r="D1826" s="3">
        <v>16</v>
      </c>
    </row>
    <row r="1827" spans="1:4" x14ac:dyDescent="0.2">
      <c r="A1827" s="3">
        <v>1826</v>
      </c>
      <c r="B1827" s="3">
        <v>113.3163538</v>
      </c>
      <c r="C1827" s="3">
        <v>22.985177950000001</v>
      </c>
      <c r="D1827" s="3">
        <v>16</v>
      </c>
    </row>
    <row r="1828" spans="1:4" x14ac:dyDescent="0.2">
      <c r="A1828" s="3">
        <v>1827</v>
      </c>
      <c r="B1828" s="3">
        <v>113.3160151</v>
      </c>
      <c r="C1828" s="3">
        <v>22.990816150000001</v>
      </c>
      <c r="D1828" s="3">
        <v>16</v>
      </c>
    </row>
    <row r="1829" spans="1:4" x14ac:dyDescent="0.2">
      <c r="A1829" s="3">
        <v>1828</v>
      </c>
      <c r="B1829" s="3">
        <v>113.31849389999999</v>
      </c>
      <c r="C1829" s="3">
        <v>22.99268863</v>
      </c>
      <c r="D1829" s="3">
        <v>16</v>
      </c>
    </row>
    <row r="1830" spans="1:4" x14ac:dyDescent="0.2">
      <c r="A1830" s="3">
        <v>1829</v>
      </c>
      <c r="B1830" s="3">
        <v>113.3190402</v>
      </c>
      <c r="C1830" s="3">
        <v>22.98694807</v>
      </c>
      <c r="D1830" s="3">
        <v>16</v>
      </c>
    </row>
    <row r="1831" spans="1:4" x14ac:dyDescent="0.2">
      <c r="A1831" s="3">
        <v>1830</v>
      </c>
      <c r="B1831" s="3">
        <v>113.3197916</v>
      </c>
      <c r="C1831" s="3">
        <v>22.98639687</v>
      </c>
      <c r="D1831" s="3">
        <v>16</v>
      </c>
    </row>
    <row r="1832" spans="1:4" x14ac:dyDescent="0.2">
      <c r="A1832" s="3">
        <v>1831</v>
      </c>
      <c r="B1832" s="3">
        <v>113.3182894</v>
      </c>
      <c r="C1832" s="3">
        <v>22.991757419999999</v>
      </c>
      <c r="D1832" s="3">
        <v>16</v>
      </c>
    </row>
    <row r="1833" spans="1:4" x14ac:dyDescent="0.2">
      <c r="A1833" s="3">
        <v>1832</v>
      </c>
      <c r="B1833" s="3">
        <v>113.3195432</v>
      </c>
      <c r="C1833" s="3">
        <v>22.98565666</v>
      </c>
      <c r="D1833" s="3">
        <v>16</v>
      </c>
    </row>
    <row r="1834" spans="1:4" x14ac:dyDescent="0.2">
      <c r="A1834" s="3">
        <v>1833</v>
      </c>
      <c r="B1834" s="3">
        <v>113.3166308</v>
      </c>
      <c r="C1834" s="3">
        <v>22.991278789999999</v>
      </c>
      <c r="D1834" s="3">
        <v>16</v>
      </c>
    </row>
    <row r="1835" spans="1:4" x14ac:dyDescent="0.2">
      <c r="A1835" s="3">
        <v>1834</v>
      </c>
      <c r="B1835" s="3">
        <v>113.31539770000001</v>
      </c>
      <c r="C1835" s="3">
        <v>22.98627428</v>
      </c>
      <c r="D1835" s="3">
        <v>16</v>
      </c>
    </row>
    <row r="1836" spans="1:4" x14ac:dyDescent="0.2">
      <c r="A1836" s="3">
        <v>1835</v>
      </c>
      <c r="B1836" s="3">
        <v>113.313665</v>
      </c>
      <c r="C1836" s="3">
        <v>22.989406200000001</v>
      </c>
      <c r="D1836" s="3">
        <v>16</v>
      </c>
    </row>
    <row r="1837" spans="1:4" x14ac:dyDescent="0.2">
      <c r="A1837" s="3">
        <v>1836</v>
      </c>
      <c r="B1837" s="3">
        <v>113.3169975</v>
      </c>
      <c r="C1837" s="3">
        <v>22.984303100000002</v>
      </c>
      <c r="D1837" s="3">
        <v>16</v>
      </c>
    </row>
    <row r="1838" spans="1:4" x14ac:dyDescent="0.2">
      <c r="A1838" s="3">
        <v>1837</v>
      </c>
      <c r="B1838" s="3">
        <v>113.31422790000001</v>
      </c>
      <c r="C1838" s="3">
        <v>22.989440129999998</v>
      </c>
      <c r="D1838" s="3">
        <v>16</v>
      </c>
    </row>
    <row r="1839" spans="1:4" x14ac:dyDescent="0.2">
      <c r="A1839" s="3">
        <v>1838</v>
      </c>
      <c r="B1839" s="3">
        <v>113.3208892</v>
      </c>
      <c r="C1839" s="3">
        <v>22.98941147</v>
      </c>
      <c r="D1839" s="3">
        <v>16</v>
      </c>
    </row>
    <row r="1840" spans="1:4" x14ac:dyDescent="0.2">
      <c r="A1840" s="3">
        <v>1839</v>
      </c>
      <c r="B1840" s="3">
        <v>113.3238661</v>
      </c>
      <c r="C1840" s="3">
        <v>22.988683089999999</v>
      </c>
      <c r="D1840" s="3">
        <v>16</v>
      </c>
    </row>
    <row r="1841" spans="1:4" x14ac:dyDescent="0.2">
      <c r="A1841" s="3">
        <v>1840</v>
      </c>
      <c r="B1841" s="3">
        <v>113.3284288</v>
      </c>
      <c r="C1841" s="3">
        <v>22.987035089999999</v>
      </c>
      <c r="D1841" s="3">
        <v>16</v>
      </c>
    </row>
    <row r="1842" spans="1:4" x14ac:dyDescent="0.2">
      <c r="A1842" s="3">
        <v>1841</v>
      </c>
      <c r="B1842" s="3">
        <v>113.32439290000001</v>
      </c>
      <c r="C1842" s="3">
        <v>22.990613249999999</v>
      </c>
      <c r="D1842" s="3">
        <v>16</v>
      </c>
    </row>
    <row r="1843" spans="1:4" x14ac:dyDescent="0.2">
      <c r="A1843" s="3">
        <v>1842</v>
      </c>
      <c r="B1843" s="3">
        <v>113.3248651</v>
      </c>
      <c r="C1843" s="3">
        <v>22.98706288</v>
      </c>
      <c r="D1843" s="3">
        <v>16</v>
      </c>
    </row>
    <row r="1844" spans="1:4" x14ac:dyDescent="0.2">
      <c r="A1844" s="3">
        <v>1843</v>
      </c>
      <c r="B1844" s="3">
        <v>113.32349960000001</v>
      </c>
      <c r="C1844" s="3">
        <v>22.992201269999999</v>
      </c>
      <c r="D1844" s="3">
        <v>16</v>
      </c>
    </row>
    <row r="1845" spans="1:4" x14ac:dyDescent="0.2">
      <c r="A1845" s="3">
        <v>1844</v>
      </c>
      <c r="B1845" s="3">
        <v>113.3239097</v>
      </c>
      <c r="C1845" s="3">
        <v>22.993014129999999</v>
      </c>
      <c r="D1845" s="3">
        <v>16</v>
      </c>
    </row>
    <row r="1846" spans="1:4" x14ac:dyDescent="0.2">
      <c r="A1846" s="3">
        <v>1845</v>
      </c>
      <c r="B1846" s="3">
        <v>113.3303281</v>
      </c>
      <c r="C1846" s="3">
        <v>22.985805020000001</v>
      </c>
      <c r="D1846" s="3">
        <v>16</v>
      </c>
    </row>
    <row r="1847" spans="1:4" x14ac:dyDescent="0.2">
      <c r="A1847" s="3">
        <v>1846</v>
      </c>
      <c r="B1847" s="3">
        <v>113.3220996</v>
      </c>
      <c r="C1847" s="3">
        <v>22.990297770000002</v>
      </c>
      <c r="D1847" s="3">
        <v>16</v>
      </c>
    </row>
    <row r="1848" spans="1:4" x14ac:dyDescent="0.2">
      <c r="A1848" s="3">
        <v>1847</v>
      </c>
      <c r="B1848" s="3">
        <v>113.3240704</v>
      </c>
      <c r="C1848" s="3">
        <v>22.992917869999999</v>
      </c>
      <c r="D1848" s="3">
        <v>16</v>
      </c>
    </row>
    <row r="1849" spans="1:4" x14ac:dyDescent="0.2">
      <c r="A1849" s="3">
        <v>1848</v>
      </c>
      <c r="B1849" s="3">
        <v>113.3313225</v>
      </c>
      <c r="C1849" s="3">
        <v>22.99361077</v>
      </c>
      <c r="D1849" s="3">
        <v>16</v>
      </c>
    </row>
    <row r="1850" spans="1:4" x14ac:dyDescent="0.2">
      <c r="A1850" s="3">
        <v>1849</v>
      </c>
      <c r="B1850" s="3">
        <v>113.33879690000001</v>
      </c>
      <c r="C1850" s="3">
        <v>22.99181171</v>
      </c>
      <c r="D1850" s="3">
        <v>7</v>
      </c>
    </row>
    <row r="1851" spans="1:4" x14ac:dyDescent="0.2">
      <c r="A1851" s="3">
        <v>1850</v>
      </c>
      <c r="B1851" s="3">
        <v>113.3383776</v>
      </c>
      <c r="C1851" s="3">
        <v>22.99271808</v>
      </c>
      <c r="D1851" s="3">
        <v>7</v>
      </c>
    </row>
    <row r="1852" spans="1:4" x14ac:dyDescent="0.2">
      <c r="A1852" s="3">
        <v>1851</v>
      </c>
      <c r="B1852" s="3">
        <v>113.3389138</v>
      </c>
      <c r="C1852" s="3">
        <v>22.989518489999998</v>
      </c>
      <c r="D1852" s="3">
        <v>7</v>
      </c>
    </row>
    <row r="1853" spans="1:4" x14ac:dyDescent="0.2">
      <c r="A1853" s="3">
        <v>1852</v>
      </c>
      <c r="B1853" s="3">
        <v>113.339778</v>
      </c>
      <c r="C1853" s="3">
        <v>22.991150220000002</v>
      </c>
      <c r="D1853" s="3">
        <v>7</v>
      </c>
    </row>
    <row r="1854" spans="1:4" x14ac:dyDescent="0.2">
      <c r="A1854" s="3">
        <v>1853</v>
      </c>
      <c r="B1854" s="3">
        <v>113.3408101</v>
      </c>
      <c r="C1854" s="3">
        <v>22.9915652</v>
      </c>
      <c r="D1854" s="3">
        <v>7</v>
      </c>
    </row>
    <row r="1855" spans="1:4" x14ac:dyDescent="0.2">
      <c r="A1855" s="3">
        <v>1854</v>
      </c>
      <c r="B1855" s="3">
        <v>113.3379654</v>
      </c>
      <c r="C1855" s="3">
        <v>22.9930047</v>
      </c>
      <c r="D1855" s="3">
        <v>7</v>
      </c>
    </row>
    <row r="1856" spans="1:4" x14ac:dyDescent="0.2">
      <c r="A1856" s="3">
        <v>1855</v>
      </c>
      <c r="B1856" s="3">
        <v>113.3385194</v>
      </c>
      <c r="C1856" s="3">
        <v>22.991515339999999</v>
      </c>
      <c r="D1856" s="3">
        <v>7</v>
      </c>
    </row>
    <row r="1857" spans="1:4" x14ac:dyDescent="0.2">
      <c r="A1857" s="3">
        <v>1856</v>
      </c>
      <c r="B1857" s="3">
        <v>113.3386462</v>
      </c>
      <c r="C1857" s="3">
        <v>22.991645049999999</v>
      </c>
      <c r="D1857" s="3">
        <v>7</v>
      </c>
    </row>
    <row r="1858" spans="1:4" x14ac:dyDescent="0.2">
      <c r="A1858" s="3">
        <v>1857</v>
      </c>
      <c r="B1858" s="3">
        <v>113.33283110000001</v>
      </c>
      <c r="C1858" s="3">
        <v>22.98515059</v>
      </c>
      <c r="D1858" s="3">
        <v>16</v>
      </c>
    </row>
    <row r="1859" spans="1:4" x14ac:dyDescent="0.2">
      <c r="A1859" s="3">
        <v>1858</v>
      </c>
      <c r="B1859" s="3">
        <v>113.33909130000001</v>
      </c>
      <c r="C1859" s="3">
        <v>22.991807179999999</v>
      </c>
      <c r="D1859" s="3">
        <v>7</v>
      </c>
    </row>
    <row r="1860" spans="1:4" x14ac:dyDescent="0.2">
      <c r="A1860" s="3">
        <v>1859</v>
      </c>
      <c r="B1860" s="3">
        <v>113.3380812</v>
      </c>
      <c r="C1860" s="3">
        <v>22.992719619999999</v>
      </c>
      <c r="D1860" s="3">
        <v>7</v>
      </c>
    </row>
    <row r="1861" spans="1:4" x14ac:dyDescent="0.2">
      <c r="A1861" s="3">
        <v>1860</v>
      </c>
      <c r="B1861" s="3">
        <v>113.33901849999999</v>
      </c>
      <c r="C1861" s="3">
        <v>22.991842290000001</v>
      </c>
      <c r="D1861" s="3">
        <v>7</v>
      </c>
    </row>
    <row r="1862" spans="1:4" x14ac:dyDescent="0.2">
      <c r="A1862" s="3">
        <v>1861</v>
      </c>
      <c r="B1862" s="3">
        <v>113.3367279</v>
      </c>
      <c r="C1862" s="3">
        <v>22.992508180000002</v>
      </c>
      <c r="D1862" s="3">
        <v>7</v>
      </c>
    </row>
    <row r="1863" spans="1:4" x14ac:dyDescent="0.2">
      <c r="A1863" s="3">
        <v>1862</v>
      </c>
      <c r="B1863" s="3">
        <v>113.3355232</v>
      </c>
      <c r="C1863" s="3">
        <v>22.99325108</v>
      </c>
      <c r="D1863" s="3">
        <v>7</v>
      </c>
    </row>
    <row r="1864" spans="1:4" x14ac:dyDescent="0.2">
      <c r="A1864" s="3">
        <v>1863</v>
      </c>
      <c r="B1864" s="3">
        <v>113.34657079999999</v>
      </c>
      <c r="C1864" s="3">
        <v>22.985962600000001</v>
      </c>
      <c r="D1864" s="3">
        <v>2</v>
      </c>
    </row>
    <row r="1865" spans="1:4" x14ac:dyDescent="0.2">
      <c r="A1865" s="3">
        <v>1864</v>
      </c>
      <c r="B1865" s="3">
        <v>113.34765590000001</v>
      </c>
      <c r="C1865" s="3">
        <v>22.985626929999999</v>
      </c>
      <c r="D1865" s="3">
        <v>2</v>
      </c>
    </row>
    <row r="1866" spans="1:4" x14ac:dyDescent="0.2">
      <c r="A1866" s="3">
        <v>1865</v>
      </c>
      <c r="B1866" s="3">
        <v>113.345377</v>
      </c>
      <c r="C1866" s="3">
        <v>22.985836679999998</v>
      </c>
      <c r="D1866" s="3">
        <v>2</v>
      </c>
    </row>
    <row r="1867" spans="1:4" x14ac:dyDescent="0.2">
      <c r="A1867" s="3">
        <v>1866</v>
      </c>
      <c r="B1867" s="3">
        <v>113.3449183</v>
      </c>
      <c r="C1867" s="3">
        <v>22.9931813</v>
      </c>
      <c r="D1867" s="3">
        <v>7</v>
      </c>
    </row>
    <row r="1868" spans="1:4" x14ac:dyDescent="0.2">
      <c r="A1868" s="3">
        <v>1867</v>
      </c>
      <c r="B1868" s="3">
        <v>113.34438969999999</v>
      </c>
      <c r="C1868" s="3">
        <v>22.98621322</v>
      </c>
      <c r="D1868" s="3">
        <v>2</v>
      </c>
    </row>
    <row r="1869" spans="1:4" x14ac:dyDescent="0.2">
      <c r="A1869" s="3">
        <v>1868</v>
      </c>
      <c r="B1869" s="3">
        <v>113.34473610000001</v>
      </c>
      <c r="C1869" s="3">
        <v>22.985767809999999</v>
      </c>
      <c r="D1869" s="3">
        <v>2</v>
      </c>
    </row>
    <row r="1870" spans="1:4" x14ac:dyDescent="0.2">
      <c r="A1870" s="3">
        <v>1869</v>
      </c>
      <c r="B1870" s="3">
        <v>113.3441897</v>
      </c>
      <c r="C1870" s="3">
        <v>22.99239889</v>
      </c>
      <c r="D1870" s="3">
        <v>7</v>
      </c>
    </row>
    <row r="1871" spans="1:4" x14ac:dyDescent="0.2">
      <c r="A1871" s="3">
        <v>1870</v>
      </c>
      <c r="B1871" s="3">
        <v>113.34574189999999</v>
      </c>
      <c r="C1871" s="3">
        <v>22.991886449999999</v>
      </c>
      <c r="D1871" s="3">
        <v>7</v>
      </c>
    </row>
    <row r="1872" spans="1:4" x14ac:dyDescent="0.2">
      <c r="A1872" s="3">
        <v>1871</v>
      </c>
      <c r="B1872" s="3">
        <v>113.3461911</v>
      </c>
      <c r="C1872" s="3">
        <v>22.992126580000001</v>
      </c>
      <c r="D1872" s="3">
        <v>7</v>
      </c>
    </row>
    <row r="1873" spans="1:4" x14ac:dyDescent="0.2">
      <c r="A1873" s="3">
        <v>1872</v>
      </c>
      <c r="B1873" s="3">
        <v>113.3430718</v>
      </c>
      <c r="C1873" s="3">
        <v>22.991960030000001</v>
      </c>
      <c r="D1873" s="3">
        <v>7</v>
      </c>
    </row>
    <row r="1874" spans="1:4" x14ac:dyDescent="0.2">
      <c r="A1874" s="3">
        <v>1873</v>
      </c>
      <c r="B1874" s="3">
        <v>113.3479086</v>
      </c>
      <c r="C1874" s="3">
        <v>22.984091169999999</v>
      </c>
      <c r="D1874" s="3">
        <v>2</v>
      </c>
    </row>
    <row r="1875" spans="1:4" x14ac:dyDescent="0.2">
      <c r="A1875" s="3">
        <v>1874</v>
      </c>
      <c r="B1875" s="3">
        <v>113.3447017</v>
      </c>
      <c r="C1875" s="3">
        <v>22.99308971</v>
      </c>
      <c r="D1875" s="3">
        <v>7</v>
      </c>
    </row>
    <row r="1876" spans="1:4" x14ac:dyDescent="0.2">
      <c r="A1876" s="3">
        <v>1875</v>
      </c>
      <c r="B1876" s="3">
        <v>113.3467486</v>
      </c>
      <c r="C1876" s="3">
        <v>22.98412609</v>
      </c>
      <c r="D1876" s="3">
        <v>2</v>
      </c>
    </row>
    <row r="1877" spans="1:4" x14ac:dyDescent="0.2">
      <c r="A1877" s="3">
        <v>1876</v>
      </c>
      <c r="B1877" s="3">
        <v>113.3433981</v>
      </c>
      <c r="C1877" s="3">
        <v>22.992512219999998</v>
      </c>
      <c r="D1877" s="3">
        <v>7</v>
      </c>
    </row>
    <row r="1878" spans="1:4" x14ac:dyDescent="0.2">
      <c r="A1878" s="3">
        <v>1877</v>
      </c>
      <c r="B1878" s="3">
        <v>113.3440155</v>
      </c>
      <c r="C1878" s="3">
        <v>22.985561149999999</v>
      </c>
      <c r="D1878" s="3">
        <v>2</v>
      </c>
    </row>
    <row r="1879" spans="1:4" x14ac:dyDescent="0.2">
      <c r="A1879" s="3">
        <v>1878</v>
      </c>
      <c r="B1879" s="3">
        <v>113.34421519999999</v>
      </c>
      <c r="C1879" s="3">
        <v>22.984977050000001</v>
      </c>
      <c r="D1879" s="3">
        <v>2</v>
      </c>
    </row>
    <row r="1880" spans="1:4" x14ac:dyDescent="0.2">
      <c r="A1880" s="3">
        <v>1879</v>
      </c>
      <c r="B1880" s="3">
        <v>113.3438348</v>
      </c>
      <c r="C1880" s="3">
        <v>22.98513964</v>
      </c>
      <c r="D1880" s="3">
        <v>2</v>
      </c>
    </row>
    <row r="1881" spans="1:4" x14ac:dyDescent="0.2">
      <c r="A1881" s="3">
        <v>1880</v>
      </c>
      <c r="B1881" s="3">
        <v>113.34702350000001</v>
      </c>
      <c r="C1881" s="3">
        <v>22.99309976</v>
      </c>
      <c r="D1881" s="3">
        <v>7</v>
      </c>
    </row>
    <row r="1882" spans="1:4" x14ac:dyDescent="0.2">
      <c r="A1882" s="3">
        <v>1881</v>
      </c>
      <c r="B1882" s="3">
        <v>113.3417632</v>
      </c>
      <c r="C1882" s="3">
        <v>22.991920350000001</v>
      </c>
      <c r="D1882" s="3">
        <v>7</v>
      </c>
    </row>
    <row r="1883" spans="1:4" x14ac:dyDescent="0.2">
      <c r="A1883" s="3">
        <v>1882</v>
      </c>
      <c r="B1883" s="3">
        <v>113.34419819999999</v>
      </c>
      <c r="C1883" s="3">
        <v>22.984657219999999</v>
      </c>
      <c r="D1883" s="3">
        <v>2</v>
      </c>
    </row>
    <row r="1884" spans="1:4" x14ac:dyDescent="0.2">
      <c r="A1884" s="3">
        <v>1883</v>
      </c>
      <c r="B1884" s="3">
        <v>113.349958</v>
      </c>
      <c r="C1884" s="3">
        <v>22.985126350000002</v>
      </c>
      <c r="D1884" s="3">
        <v>2</v>
      </c>
    </row>
    <row r="1885" spans="1:4" x14ac:dyDescent="0.2">
      <c r="A1885" s="3">
        <v>1884</v>
      </c>
      <c r="B1885" s="3">
        <v>113.3432889</v>
      </c>
      <c r="C1885" s="3">
        <v>22.985048630000001</v>
      </c>
      <c r="D1885" s="3">
        <v>2</v>
      </c>
    </row>
    <row r="1886" spans="1:4" x14ac:dyDescent="0.2">
      <c r="A1886" s="3">
        <v>1885</v>
      </c>
      <c r="B1886" s="3">
        <v>113.3424289</v>
      </c>
      <c r="C1886" s="3">
        <v>22.992460940000001</v>
      </c>
      <c r="D1886" s="3">
        <v>7</v>
      </c>
    </row>
    <row r="1887" spans="1:4" x14ac:dyDescent="0.2">
      <c r="A1887" s="3">
        <v>1886</v>
      </c>
      <c r="B1887" s="3">
        <v>113.3424898</v>
      </c>
      <c r="C1887" s="3">
        <v>22.99241885</v>
      </c>
      <c r="D1887" s="3">
        <v>7</v>
      </c>
    </row>
    <row r="1888" spans="1:4" x14ac:dyDescent="0.2">
      <c r="A1888" s="3">
        <v>1887</v>
      </c>
      <c r="B1888" s="3">
        <v>113.351136</v>
      </c>
      <c r="C1888" s="3">
        <v>22.984193860000001</v>
      </c>
      <c r="D1888" s="3">
        <v>2</v>
      </c>
    </row>
    <row r="1889" spans="1:4" x14ac:dyDescent="0.2">
      <c r="A1889" s="3">
        <v>1888</v>
      </c>
      <c r="B1889" s="3">
        <v>113.3439601</v>
      </c>
      <c r="C1889" s="3">
        <v>22.992797119999999</v>
      </c>
      <c r="D1889" s="3">
        <v>7</v>
      </c>
    </row>
    <row r="1890" spans="1:4" x14ac:dyDescent="0.2">
      <c r="A1890" s="3">
        <v>1889</v>
      </c>
      <c r="B1890" s="3">
        <v>113.34384230000001</v>
      </c>
      <c r="C1890" s="3">
        <v>22.992826310000002</v>
      </c>
      <c r="D1890" s="3">
        <v>7</v>
      </c>
    </row>
    <row r="1891" spans="1:4" x14ac:dyDescent="0.2">
      <c r="A1891" s="3">
        <v>1890</v>
      </c>
      <c r="B1891" s="3">
        <v>113.34449309999999</v>
      </c>
      <c r="C1891" s="3">
        <v>22.993531879999999</v>
      </c>
      <c r="D1891" s="3">
        <v>7</v>
      </c>
    </row>
    <row r="1892" spans="1:4" x14ac:dyDescent="0.2">
      <c r="A1892" s="3">
        <v>1891</v>
      </c>
      <c r="B1892" s="3">
        <v>113.3500937</v>
      </c>
      <c r="C1892" s="3">
        <v>22.985279070000001</v>
      </c>
      <c r="D1892" s="3">
        <v>2</v>
      </c>
    </row>
    <row r="1893" spans="1:4" x14ac:dyDescent="0.2">
      <c r="A1893" s="3">
        <v>1892</v>
      </c>
      <c r="B1893" s="3">
        <v>113.34449309999999</v>
      </c>
      <c r="C1893" s="3">
        <v>22.993531879999999</v>
      </c>
      <c r="D1893" s="3">
        <v>7</v>
      </c>
    </row>
    <row r="1894" spans="1:4" x14ac:dyDescent="0.2">
      <c r="A1894" s="3">
        <v>1893</v>
      </c>
      <c r="B1894" s="3">
        <v>113.35070570000001</v>
      </c>
      <c r="C1894" s="3">
        <v>22.984921239999998</v>
      </c>
      <c r="D1894" s="3">
        <v>2</v>
      </c>
    </row>
    <row r="1895" spans="1:4" x14ac:dyDescent="0.2">
      <c r="A1895" s="3">
        <v>1894</v>
      </c>
      <c r="B1895" s="3">
        <v>113.3546238</v>
      </c>
      <c r="C1895" s="3">
        <v>22.992317929999999</v>
      </c>
      <c r="D1895" s="3">
        <v>38</v>
      </c>
    </row>
    <row r="1896" spans="1:4" x14ac:dyDescent="0.2">
      <c r="A1896" s="3">
        <v>1895</v>
      </c>
      <c r="B1896" s="3">
        <v>113.3528639</v>
      </c>
      <c r="C1896" s="3">
        <v>22.987781590000001</v>
      </c>
      <c r="D1896" s="3">
        <v>2</v>
      </c>
    </row>
    <row r="1897" spans="1:4" x14ac:dyDescent="0.2">
      <c r="A1897" s="3">
        <v>1896</v>
      </c>
      <c r="B1897" s="3">
        <v>113.3538885</v>
      </c>
      <c r="C1897" s="3">
        <v>22.98414958</v>
      </c>
      <c r="D1897" s="3">
        <v>2</v>
      </c>
    </row>
    <row r="1898" spans="1:4" x14ac:dyDescent="0.2">
      <c r="A1898" s="3">
        <v>1897</v>
      </c>
      <c r="B1898" s="3">
        <v>113.3522602</v>
      </c>
      <c r="C1898" s="3">
        <v>22.983706290000001</v>
      </c>
      <c r="D1898" s="3">
        <v>2</v>
      </c>
    </row>
    <row r="1899" spans="1:4" x14ac:dyDescent="0.2">
      <c r="A1899" s="3">
        <v>1898</v>
      </c>
      <c r="B1899" s="3">
        <v>113.3521404</v>
      </c>
      <c r="C1899" s="3">
        <v>22.983640510000001</v>
      </c>
      <c r="D1899" s="3">
        <v>2</v>
      </c>
    </row>
    <row r="1900" spans="1:4" x14ac:dyDescent="0.2">
      <c r="A1900" s="3">
        <v>1899</v>
      </c>
      <c r="B1900" s="3">
        <v>113.35235160000001</v>
      </c>
      <c r="C1900" s="3">
        <v>22.989674569999998</v>
      </c>
      <c r="D1900" s="3">
        <v>7</v>
      </c>
    </row>
    <row r="1901" spans="1:4" x14ac:dyDescent="0.2">
      <c r="A1901" s="3">
        <v>1900</v>
      </c>
      <c r="B1901" s="3">
        <v>113.3671403</v>
      </c>
      <c r="C1901" s="3">
        <v>22.99295283</v>
      </c>
      <c r="D1901" s="3">
        <v>38</v>
      </c>
    </row>
    <row r="1902" spans="1:4" x14ac:dyDescent="0.2">
      <c r="A1902" s="3">
        <v>1901</v>
      </c>
      <c r="B1902" s="3">
        <v>113.36662990000001</v>
      </c>
      <c r="C1902" s="3">
        <v>22.992779500000001</v>
      </c>
      <c r="D1902" s="3">
        <v>38</v>
      </c>
    </row>
    <row r="1903" spans="1:4" x14ac:dyDescent="0.2">
      <c r="A1903" s="3">
        <v>1902</v>
      </c>
      <c r="B1903" s="3">
        <v>113.3633251</v>
      </c>
      <c r="C1903" s="3">
        <v>22.992256780000002</v>
      </c>
      <c r="D1903" s="3">
        <v>38</v>
      </c>
    </row>
    <row r="1904" spans="1:4" x14ac:dyDescent="0.2">
      <c r="A1904" s="3">
        <v>1903</v>
      </c>
      <c r="B1904" s="3">
        <v>113.363856</v>
      </c>
      <c r="C1904" s="3">
        <v>22.984336519999999</v>
      </c>
      <c r="D1904" s="3">
        <v>18</v>
      </c>
    </row>
    <row r="1905" spans="1:4" x14ac:dyDescent="0.2">
      <c r="A1905" s="3">
        <v>1904</v>
      </c>
      <c r="B1905" s="3">
        <v>113.36217619999999</v>
      </c>
      <c r="C1905" s="3">
        <v>22.98411578</v>
      </c>
      <c r="D1905" s="3">
        <v>18</v>
      </c>
    </row>
    <row r="1906" spans="1:4" x14ac:dyDescent="0.2">
      <c r="A1906" s="3">
        <v>1905</v>
      </c>
      <c r="B1906" s="3">
        <v>113.36688030000001</v>
      </c>
      <c r="C1906" s="3">
        <v>22.983717120000001</v>
      </c>
      <c r="D1906" s="3">
        <v>18</v>
      </c>
    </row>
    <row r="1907" spans="1:4" x14ac:dyDescent="0.2">
      <c r="A1907" s="3">
        <v>1906</v>
      </c>
      <c r="B1907" s="3">
        <v>113.3616979</v>
      </c>
      <c r="C1907" s="3">
        <v>22.984148390000001</v>
      </c>
      <c r="D1907" s="3">
        <v>18</v>
      </c>
    </row>
    <row r="1908" spans="1:4" x14ac:dyDescent="0.2">
      <c r="A1908" s="3">
        <v>1907</v>
      </c>
      <c r="B1908" s="3">
        <v>113.36664589999999</v>
      </c>
      <c r="C1908" s="3">
        <v>22.992918419999999</v>
      </c>
      <c r="D1908" s="3">
        <v>38</v>
      </c>
    </row>
    <row r="1909" spans="1:4" x14ac:dyDescent="0.2">
      <c r="A1909" s="3">
        <v>1908</v>
      </c>
      <c r="B1909" s="3">
        <v>113.363395</v>
      </c>
      <c r="C1909" s="3">
        <v>22.992278679999998</v>
      </c>
      <c r="D1909" s="3">
        <v>38</v>
      </c>
    </row>
    <row r="1910" spans="1:4" x14ac:dyDescent="0.2">
      <c r="A1910" s="3">
        <v>1909</v>
      </c>
      <c r="B1910" s="3">
        <v>113.3763603</v>
      </c>
      <c r="C1910" s="3">
        <v>22.989120270000001</v>
      </c>
      <c r="D1910" s="3">
        <v>39</v>
      </c>
    </row>
    <row r="1911" spans="1:4" x14ac:dyDescent="0.2">
      <c r="A1911" s="3">
        <v>1910</v>
      </c>
      <c r="B1911" s="3">
        <v>113.37630249999999</v>
      </c>
      <c r="C1911" s="3">
        <v>22.987461029999999</v>
      </c>
      <c r="D1911" s="3">
        <v>39</v>
      </c>
    </row>
    <row r="1912" spans="1:4" x14ac:dyDescent="0.2">
      <c r="A1912" s="3">
        <v>1911</v>
      </c>
      <c r="B1912" s="3">
        <v>113.3768371</v>
      </c>
      <c r="C1912" s="3">
        <v>22.986226120000001</v>
      </c>
      <c r="D1912" s="3">
        <v>39</v>
      </c>
    </row>
    <row r="1913" spans="1:4" x14ac:dyDescent="0.2">
      <c r="A1913" s="3">
        <v>1912</v>
      </c>
      <c r="B1913" s="3">
        <v>113.37659600000001</v>
      </c>
      <c r="C1913" s="3">
        <v>22.990976270000001</v>
      </c>
      <c r="D1913" s="3">
        <v>39</v>
      </c>
    </row>
    <row r="1914" spans="1:4" x14ac:dyDescent="0.2">
      <c r="A1914" s="3">
        <v>1913</v>
      </c>
      <c r="B1914" s="3">
        <v>113.375421</v>
      </c>
      <c r="C1914" s="3">
        <v>22.99087231</v>
      </c>
      <c r="D1914" s="3">
        <v>39</v>
      </c>
    </row>
    <row r="1915" spans="1:4" x14ac:dyDescent="0.2">
      <c r="A1915" s="3">
        <v>1914</v>
      </c>
      <c r="B1915" s="3">
        <v>113.3730972</v>
      </c>
      <c r="C1915" s="3">
        <v>22.989125189999999</v>
      </c>
      <c r="D1915" s="3">
        <v>39</v>
      </c>
    </row>
    <row r="1916" spans="1:4" x14ac:dyDescent="0.2">
      <c r="A1916" s="3">
        <v>1915</v>
      </c>
      <c r="B1916" s="3">
        <v>113.375669</v>
      </c>
      <c r="C1916" s="3">
        <v>22.988078300000002</v>
      </c>
      <c r="D1916" s="3">
        <v>39</v>
      </c>
    </row>
    <row r="1917" spans="1:4" x14ac:dyDescent="0.2">
      <c r="A1917" s="3">
        <v>1916</v>
      </c>
      <c r="B1917" s="3">
        <v>113.3800067</v>
      </c>
      <c r="C1917" s="3">
        <v>22.987462189999999</v>
      </c>
      <c r="D1917" s="3">
        <v>39</v>
      </c>
    </row>
    <row r="1918" spans="1:4" x14ac:dyDescent="0.2">
      <c r="A1918" s="3">
        <v>1917</v>
      </c>
      <c r="B1918" s="3">
        <v>113.3796681</v>
      </c>
      <c r="C1918" s="3">
        <v>22.986024050000001</v>
      </c>
      <c r="D1918" s="3">
        <v>39</v>
      </c>
    </row>
    <row r="1919" spans="1:4" x14ac:dyDescent="0.2">
      <c r="A1919" s="3">
        <v>1918</v>
      </c>
      <c r="B1919" s="3">
        <v>113.37677480000001</v>
      </c>
      <c r="C1919" s="3">
        <v>22.991783779999999</v>
      </c>
      <c r="D1919" s="3">
        <v>39</v>
      </c>
    </row>
    <row r="1920" spans="1:4" x14ac:dyDescent="0.2">
      <c r="A1920" s="3">
        <v>1919</v>
      </c>
      <c r="B1920" s="3">
        <v>113.3737399</v>
      </c>
      <c r="C1920" s="3">
        <v>22.9856041</v>
      </c>
      <c r="D1920" s="3">
        <v>39</v>
      </c>
    </row>
    <row r="1921" spans="1:4" x14ac:dyDescent="0.2">
      <c r="A1921" s="3">
        <v>1920</v>
      </c>
      <c r="B1921" s="3">
        <v>113.3796871</v>
      </c>
      <c r="C1921" s="3">
        <v>22.985753150000001</v>
      </c>
      <c r="D1921" s="3">
        <v>39</v>
      </c>
    </row>
    <row r="1922" spans="1:4" x14ac:dyDescent="0.2">
      <c r="A1922" s="3">
        <v>1921</v>
      </c>
      <c r="B1922" s="3">
        <v>113.3756367</v>
      </c>
      <c r="C1922" s="3">
        <v>22.992301510000001</v>
      </c>
      <c r="D1922" s="3">
        <v>39</v>
      </c>
    </row>
    <row r="1923" spans="1:4" x14ac:dyDescent="0.2">
      <c r="A1923" s="3">
        <v>1922</v>
      </c>
      <c r="B1923" s="3">
        <v>113.3752066</v>
      </c>
      <c r="C1923" s="3">
        <v>22.984577219999998</v>
      </c>
      <c r="D1923" s="3">
        <v>39</v>
      </c>
    </row>
    <row r="1924" spans="1:4" x14ac:dyDescent="0.2">
      <c r="A1924" s="3">
        <v>1923</v>
      </c>
      <c r="B1924" s="3">
        <v>113.3725597</v>
      </c>
      <c r="C1924" s="3">
        <v>22.990080290000002</v>
      </c>
      <c r="D1924" s="3">
        <v>39</v>
      </c>
    </row>
    <row r="1925" spans="1:4" x14ac:dyDescent="0.2">
      <c r="A1925" s="3">
        <v>1924</v>
      </c>
      <c r="B1925" s="3">
        <v>113.3766849</v>
      </c>
      <c r="C1925" s="3">
        <v>22.991056159999999</v>
      </c>
      <c r="D1925" s="3">
        <v>39</v>
      </c>
    </row>
    <row r="1926" spans="1:4" x14ac:dyDescent="0.2">
      <c r="A1926" s="3">
        <v>1925</v>
      </c>
      <c r="B1926" s="3">
        <v>113.3727683</v>
      </c>
      <c r="C1926" s="3">
        <v>22.99266897</v>
      </c>
      <c r="D1926" s="3">
        <v>39</v>
      </c>
    </row>
    <row r="1927" spans="1:4" x14ac:dyDescent="0.2">
      <c r="A1927" s="3">
        <v>1926</v>
      </c>
      <c r="B1927" s="3">
        <v>113.3738243</v>
      </c>
      <c r="C1927" s="3">
        <v>22.992304130000001</v>
      </c>
      <c r="D1927" s="3">
        <v>39</v>
      </c>
    </row>
    <row r="1928" spans="1:4" x14ac:dyDescent="0.2">
      <c r="A1928" s="3">
        <v>1927</v>
      </c>
      <c r="B1928" s="3">
        <v>113.3779323</v>
      </c>
      <c r="C1928" s="3">
        <v>22.986476140000001</v>
      </c>
      <c r="D1928" s="3">
        <v>39</v>
      </c>
    </row>
    <row r="1929" spans="1:4" x14ac:dyDescent="0.2">
      <c r="A1929" s="3">
        <v>1928</v>
      </c>
      <c r="B1929" s="3">
        <v>113.3752496</v>
      </c>
      <c r="C1929" s="3">
        <v>22.984573180000002</v>
      </c>
      <c r="D1929" s="3">
        <v>39</v>
      </c>
    </row>
    <row r="1930" spans="1:4" x14ac:dyDescent="0.2">
      <c r="A1930" s="3">
        <v>1929</v>
      </c>
      <c r="B1930" s="3">
        <v>113.37374440000001</v>
      </c>
      <c r="C1930" s="3">
        <v>22.99218226</v>
      </c>
      <c r="D1930" s="3">
        <v>39</v>
      </c>
    </row>
    <row r="1931" spans="1:4" x14ac:dyDescent="0.2">
      <c r="A1931" s="3">
        <v>1930</v>
      </c>
      <c r="B1931" s="3">
        <v>113.39009729999999</v>
      </c>
      <c r="C1931" s="3">
        <v>22.98760614</v>
      </c>
      <c r="D1931" s="3">
        <v>39</v>
      </c>
    </row>
    <row r="1932" spans="1:4" x14ac:dyDescent="0.2">
      <c r="A1932" s="3">
        <v>1931</v>
      </c>
      <c r="B1932" s="3">
        <v>113.3884314</v>
      </c>
      <c r="C1932" s="3">
        <v>22.992015769999998</v>
      </c>
      <c r="D1932" s="3">
        <v>39</v>
      </c>
    </row>
    <row r="1933" spans="1:4" x14ac:dyDescent="0.2">
      <c r="A1933" s="3">
        <v>1932</v>
      </c>
      <c r="B1933" s="3">
        <v>113.3898944</v>
      </c>
      <c r="C1933" s="3">
        <v>22.986400719999999</v>
      </c>
      <c r="D1933" s="3">
        <v>39</v>
      </c>
    </row>
    <row r="1934" spans="1:4" x14ac:dyDescent="0.2">
      <c r="A1934" s="3">
        <v>1933</v>
      </c>
      <c r="B1934" s="3">
        <v>113.3878855</v>
      </c>
      <c r="C1934" s="3">
        <v>22.992436789999999</v>
      </c>
      <c r="D1934" s="3">
        <v>39</v>
      </c>
    </row>
    <row r="1935" spans="1:4" x14ac:dyDescent="0.2">
      <c r="A1935" s="3">
        <v>1934</v>
      </c>
      <c r="B1935" s="3">
        <v>113.39028039999999</v>
      </c>
      <c r="C1935" s="3">
        <v>22.985331070000001</v>
      </c>
      <c r="D1935" s="3">
        <v>39</v>
      </c>
    </row>
    <row r="1936" spans="1:4" x14ac:dyDescent="0.2">
      <c r="A1936" s="3">
        <v>1935</v>
      </c>
      <c r="B1936" s="3">
        <v>113.39077229999999</v>
      </c>
      <c r="C1936" s="3">
        <v>22.985960670000001</v>
      </c>
      <c r="D1936" s="3">
        <v>39</v>
      </c>
    </row>
    <row r="1937" spans="1:4" x14ac:dyDescent="0.2">
      <c r="A1937" s="3">
        <v>1936</v>
      </c>
      <c r="B1937" s="3">
        <v>113.38859530000001</v>
      </c>
      <c r="C1937" s="3">
        <v>22.9925225</v>
      </c>
      <c r="D1937" s="3">
        <v>39</v>
      </c>
    </row>
    <row r="1938" spans="1:4" x14ac:dyDescent="0.2">
      <c r="A1938" s="3">
        <v>1937</v>
      </c>
      <c r="B1938" s="3">
        <v>113.38788649999999</v>
      </c>
      <c r="C1938" s="3">
        <v>22.992467779999998</v>
      </c>
      <c r="D1938" s="3">
        <v>39</v>
      </c>
    </row>
    <row r="1939" spans="1:4" x14ac:dyDescent="0.2">
      <c r="A1939" s="3">
        <v>1938</v>
      </c>
      <c r="B1939" s="3">
        <v>113.3886163</v>
      </c>
      <c r="C1939" s="3">
        <v>22.992509500000001</v>
      </c>
      <c r="D1939" s="3">
        <v>39</v>
      </c>
    </row>
    <row r="1940" spans="1:4" x14ac:dyDescent="0.2">
      <c r="A1940" s="3">
        <v>1939</v>
      </c>
      <c r="B1940" s="3">
        <v>113.39091620000001</v>
      </c>
      <c r="C1940" s="3">
        <v>22.98610957</v>
      </c>
      <c r="D1940" s="3">
        <v>39</v>
      </c>
    </row>
    <row r="1941" spans="1:4" x14ac:dyDescent="0.2">
      <c r="A1941" s="3">
        <v>1940</v>
      </c>
      <c r="B1941" s="3">
        <v>113.3932861</v>
      </c>
      <c r="C1941" s="3">
        <v>22.984821650000001</v>
      </c>
      <c r="D1941" s="3">
        <v>39</v>
      </c>
    </row>
    <row r="1942" spans="1:4" x14ac:dyDescent="0.2">
      <c r="A1942" s="3">
        <v>1941</v>
      </c>
      <c r="B1942" s="3">
        <v>113.3937511</v>
      </c>
      <c r="C1942" s="3">
        <v>22.984201859999999</v>
      </c>
      <c r="D1942" s="3">
        <v>39</v>
      </c>
    </row>
    <row r="1943" spans="1:4" x14ac:dyDescent="0.2">
      <c r="A1943" s="3">
        <v>1942</v>
      </c>
      <c r="B1943" s="3">
        <v>113.4520421</v>
      </c>
      <c r="C1943" s="3">
        <v>22.990888470000002</v>
      </c>
      <c r="D1943" s="3">
        <v>12</v>
      </c>
    </row>
    <row r="1944" spans="1:4" x14ac:dyDescent="0.2">
      <c r="A1944" s="3">
        <v>1943</v>
      </c>
      <c r="B1944" s="3">
        <v>113.4531631</v>
      </c>
      <c r="C1944" s="3">
        <v>22.991527789999999</v>
      </c>
      <c r="D1944" s="3">
        <v>12</v>
      </c>
    </row>
    <row r="1945" spans="1:4" x14ac:dyDescent="0.2">
      <c r="A1945" s="3">
        <v>1944</v>
      </c>
      <c r="B1945" s="3">
        <v>113.4555431</v>
      </c>
      <c r="C1945" s="3">
        <v>22.984395500000002</v>
      </c>
      <c r="D1945" s="3">
        <v>12</v>
      </c>
    </row>
    <row r="1946" spans="1:4" x14ac:dyDescent="0.2">
      <c r="A1946" s="3">
        <v>1945</v>
      </c>
      <c r="B1946" s="3">
        <v>113.4722336</v>
      </c>
      <c r="C1946" s="3">
        <v>22.987847729999999</v>
      </c>
      <c r="D1946" s="3">
        <v>1</v>
      </c>
    </row>
    <row r="1947" spans="1:4" x14ac:dyDescent="0.2">
      <c r="A1947" s="3">
        <v>1946</v>
      </c>
      <c r="B1947" s="3">
        <v>113.4897639</v>
      </c>
      <c r="C1947" s="3">
        <v>22.98883953</v>
      </c>
      <c r="D1947" s="3">
        <v>1</v>
      </c>
    </row>
    <row r="1948" spans="1:4" x14ac:dyDescent="0.2">
      <c r="A1948" s="3">
        <v>1947</v>
      </c>
      <c r="B1948" s="3">
        <v>113.48915289999999</v>
      </c>
      <c r="C1948" s="3">
        <v>22.987823129999999</v>
      </c>
      <c r="D1948" s="3">
        <v>1</v>
      </c>
    </row>
    <row r="1949" spans="1:4" x14ac:dyDescent="0.2">
      <c r="A1949" s="3">
        <v>1948</v>
      </c>
      <c r="B1949" s="3">
        <v>113.4962063</v>
      </c>
      <c r="C1949" s="3">
        <v>22.990819040000002</v>
      </c>
      <c r="D1949" s="3">
        <v>1</v>
      </c>
    </row>
    <row r="1950" spans="1:4" x14ac:dyDescent="0.2">
      <c r="A1950" s="3">
        <v>1949</v>
      </c>
      <c r="B1950" s="3">
        <v>113.4982444</v>
      </c>
      <c r="C1950" s="3">
        <v>22.992254549999998</v>
      </c>
      <c r="D1950" s="3">
        <v>1</v>
      </c>
    </row>
    <row r="1951" spans="1:4" x14ac:dyDescent="0.2">
      <c r="A1951" s="3">
        <v>1950</v>
      </c>
      <c r="B1951" s="3">
        <v>113.49383330000001</v>
      </c>
      <c r="C1951" s="3">
        <v>22.98647777</v>
      </c>
      <c r="D1951" s="3">
        <v>1</v>
      </c>
    </row>
    <row r="1952" spans="1:4" x14ac:dyDescent="0.2">
      <c r="A1952" s="3">
        <v>1951</v>
      </c>
      <c r="B1952" s="3">
        <v>113.4961965</v>
      </c>
      <c r="C1952" s="3">
        <v>22.988326090000001</v>
      </c>
      <c r="D1952" s="3">
        <v>1</v>
      </c>
    </row>
    <row r="1953" spans="1:4" x14ac:dyDescent="0.2">
      <c r="A1953" s="3">
        <v>1952</v>
      </c>
      <c r="B1953" s="3">
        <v>113.4999395</v>
      </c>
      <c r="C1953" s="3">
        <v>22.989305909999999</v>
      </c>
      <c r="D1953" s="3">
        <v>1</v>
      </c>
    </row>
    <row r="1954" spans="1:4" x14ac:dyDescent="0.2">
      <c r="A1954" s="3">
        <v>1953</v>
      </c>
      <c r="B1954" s="3">
        <v>113.4997742</v>
      </c>
      <c r="C1954" s="3">
        <v>22.985163199999999</v>
      </c>
      <c r="D1954" s="3">
        <v>1</v>
      </c>
    </row>
    <row r="1955" spans="1:4" x14ac:dyDescent="0.2">
      <c r="A1955" s="3">
        <v>1954</v>
      </c>
      <c r="B1955" s="3">
        <v>113.2608417</v>
      </c>
      <c r="C1955" s="3">
        <v>22.974032579999999</v>
      </c>
      <c r="D1955" s="3">
        <v>20</v>
      </c>
    </row>
    <row r="1956" spans="1:4" x14ac:dyDescent="0.2">
      <c r="A1956" s="3">
        <v>1955</v>
      </c>
      <c r="B1956" s="3">
        <v>113.2688304</v>
      </c>
      <c r="C1956" s="3">
        <v>22.9785866</v>
      </c>
      <c r="D1956" s="3">
        <v>20</v>
      </c>
    </row>
    <row r="1957" spans="1:4" x14ac:dyDescent="0.2">
      <c r="A1957" s="3">
        <v>1956</v>
      </c>
      <c r="B1957" s="3">
        <v>113.2676154</v>
      </c>
      <c r="C1957" s="3">
        <v>22.981932220000001</v>
      </c>
      <c r="D1957" s="3">
        <v>23</v>
      </c>
    </row>
    <row r="1958" spans="1:4" x14ac:dyDescent="0.2">
      <c r="A1958" s="3">
        <v>1957</v>
      </c>
      <c r="B1958" s="3">
        <v>113.2996424</v>
      </c>
      <c r="C1958" s="3">
        <v>22.978005469999999</v>
      </c>
      <c r="D1958" s="3">
        <v>29</v>
      </c>
    </row>
    <row r="1959" spans="1:4" x14ac:dyDescent="0.2">
      <c r="A1959" s="3">
        <v>1958</v>
      </c>
      <c r="B1959" s="3">
        <v>113.2984665</v>
      </c>
      <c r="C1959" s="3">
        <v>22.97840429</v>
      </c>
      <c r="D1959" s="3">
        <v>29</v>
      </c>
    </row>
    <row r="1960" spans="1:4" x14ac:dyDescent="0.2">
      <c r="A1960" s="3">
        <v>1959</v>
      </c>
      <c r="B1960" s="3">
        <v>113.2987341</v>
      </c>
      <c r="C1960" s="3">
        <v>22.976985450000001</v>
      </c>
      <c r="D1960" s="3">
        <v>29</v>
      </c>
    </row>
    <row r="1961" spans="1:4" x14ac:dyDescent="0.2">
      <c r="A1961" s="3">
        <v>1960</v>
      </c>
      <c r="B1961" s="3">
        <v>113.2980554</v>
      </c>
      <c r="C1961" s="3">
        <v>22.976956609999998</v>
      </c>
      <c r="D1961" s="3">
        <v>29</v>
      </c>
    </row>
    <row r="1962" spans="1:4" x14ac:dyDescent="0.2">
      <c r="A1962" s="3">
        <v>1961</v>
      </c>
      <c r="B1962" s="3">
        <v>113.29920129999999</v>
      </c>
      <c r="C1962" s="3">
        <v>22.97624897</v>
      </c>
      <c r="D1962" s="3">
        <v>29</v>
      </c>
    </row>
    <row r="1963" spans="1:4" x14ac:dyDescent="0.2">
      <c r="A1963" s="3">
        <v>1962</v>
      </c>
      <c r="B1963" s="3">
        <v>113.3011037</v>
      </c>
      <c r="C1963" s="3">
        <v>22.975906850000001</v>
      </c>
      <c r="D1963" s="3">
        <v>29</v>
      </c>
    </row>
    <row r="1964" spans="1:4" x14ac:dyDescent="0.2">
      <c r="A1964" s="3">
        <v>1963</v>
      </c>
      <c r="B1964" s="3">
        <v>113.3006436</v>
      </c>
      <c r="C1964" s="3">
        <v>22.975672750000001</v>
      </c>
      <c r="D1964" s="3">
        <v>29</v>
      </c>
    </row>
    <row r="1965" spans="1:4" x14ac:dyDescent="0.2">
      <c r="A1965" s="3">
        <v>1964</v>
      </c>
      <c r="B1965" s="3">
        <v>113.2987641</v>
      </c>
      <c r="C1965" s="3">
        <v>22.976479619999999</v>
      </c>
      <c r="D1965" s="3">
        <v>29</v>
      </c>
    </row>
    <row r="1966" spans="1:4" x14ac:dyDescent="0.2">
      <c r="A1966" s="3">
        <v>1965</v>
      </c>
      <c r="B1966" s="3">
        <v>113.3008299</v>
      </c>
      <c r="C1966" s="3">
        <v>22.980645289999998</v>
      </c>
      <c r="D1966" s="3">
        <v>29</v>
      </c>
    </row>
    <row r="1967" spans="1:4" x14ac:dyDescent="0.2">
      <c r="A1967" s="3">
        <v>1966</v>
      </c>
      <c r="B1967" s="3">
        <v>113.2974002</v>
      </c>
      <c r="C1967" s="3">
        <v>22.983239000000001</v>
      </c>
      <c r="D1967" s="3">
        <v>29</v>
      </c>
    </row>
    <row r="1968" spans="1:4" x14ac:dyDescent="0.2">
      <c r="A1968" s="3">
        <v>1967</v>
      </c>
      <c r="B1968" s="3">
        <v>113.30829249999999</v>
      </c>
      <c r="C1968" s="3">
        <v>22.9789657</v>
      </c>
      <c r="D1968" s="3">
        <v>29</v>
      </c>
    </row>
    <row r="1969" spans="1:4" x14ac:dyDescent="0.2">
      <c r="A1969" s="3">
        <v>1968</v>
      </c>
      <c r="B1969" s="3">
        <v>113.3082376</v>
      </c>
      <c r="C1969" s="3">
        <v>22.979842420000001</v>
      </c>
      <c r="D1969" s="3">
        <v>29</v>
      </c>
    </row>
    <row r="1970" spans="1:4" x14ac:dyDescent="0.2">
      <c r="A1970" s="3">
        <v>1969</v>
      </c>
      <c r="B1970" s="3">
        <v>113.3101309</v>
      </c>
      <c r="C1970" s="3">
        <v>22.97923119</v>
      </c>
      <c r="D1970" s="3">
        <v>29</v>
      </c>
    </row>
    <row r="1971" spans="1:4" x14ac:dyDescent="0.2">
      <c r="A1971" s="3">
        <v>1970</v>
      </c>
      <c r="B1971" s="3">
        <v>113.31054210000001</v>
      </c>
      <c r="C1971" s="3">
        <v>22.97792699</v>
      </c>
      <c r="D1971" s="3">
        <v>29</v>
      </c>
    </row>
    <row r="1972" spans="1:4" x14ac:dyDescent="0.2">
      <c r="A1972" s="3">
        <v>1971</v>
      </c>
      <c r="B1972" s="3">
        <v>113.3111459</v>
      </c>
      <c r="C1972" s="3">
        <v>22.978588590000001</v>
      </c>
      <c r="D1972" s="3">
        <v>29</v>
      </c>
    </row>
    <row r="1973" spans="1:4" x14ac:dyDescent="0.2">
      <c r="A1973" s="3">
        <v>1972</v>
      </c>
      <c r="B1973" s="3">
        <v>113.3101616</v>
      </c>
      <c r="C1973" s="3">
        <v>22.981333230000001</v>
      </c>
      <c r="D1973" s="3">
        <v>29</v>
      </c>
    </row>
    <row r="1974" spans="1:4" x14ac:dyDescent="0.2">
      <c r="A1974" s="3">
        <v>1973</v>
      </c>
      <c r="B1974" s="3">
        <v>113.3086119</v>
      </c>
      <c r="C1974" s="3">
        <v>22.979230999999999</v>
      </c>
      <c r="D1974" s="3">
        <v>29</v>
      </c>
    </row>
    <row r="1975" spans="1:4" x14ac:dyDescent="0.2">
      <c r="A1975" s="3">
        <v>1974</v>
      </c>
      <c r="B1975" s="3">
        <v>113.306586</v>
      </c>
      <c r="C1975" s="3">
        <v>22.97796924</v>
      </c>
      <c r="D1975" s="3">
        <v>29</v>
      </c>
    </row>
    <row r="1976" spans="1:4" x14ac:dyDescent="0.2">
      <c r="A1976" s="3">
        <v>1975</v>
      </c>
      <c r="B1976" s="3">
        <v>113.31134350000001</v>
      </c>
      <c r="C1976" s="3">
        <v>22.977438710000001</v>
      </c>
      <c r="D1976" s="3">
        <v>29</v>
      </c>
    </row>
    <row r="1977" spans="1:4" x14ac:dyDescent="0.2">
      <c r="A1977" s="3">
        <v>1976</v>
      </c>
      <c r="B1977" s="3">
        <v>113.30777860000001</v>
      </c>
      <c r="C1977" s="3">
        <v>22.979080589999999</v>
      </c>
      <c r="D1977" s="3">
        <v>29</v>
      </c>
    </row>
    <row r="1978" spans="1:4" x14ac:dyDescent="0.2">
      <c r="A1978" s="3">
        <v>1977</v>
      </c>
      <c r="B1978" s="3">
        <v>113.31051909999999</v>
      </c>
      <c r="C1978" s="3">
        <v>22.979247470000001</v>
      </c>
      <c r="D1978" s="3">
        <v>29</v>
      </c>
    </row>
    <row r="1979" spans="1:4" x14ac:dyDescent="0.2">
      <c r="A1979" s="3">
        <v>1978</v>
      </c>
      <c r="B1979" s="3">
        <v>113.30742720000001</v>
      </c>
      <c r="C1979" s="3">
        <v>22.980577579999999</v>
      </c>
      <c r="D1979" s="3">
        <v>29</v>
      </c>
    </row>
    <row r="1980" spans="1:4" x14ac:dyDescent="0.2">
      <c r="A1980" s="3">
        <v>1979</v>
      </c>
      <c r="B1980" s="3">
        <v>113.30635940000001</v>
      </c>
      <c r="C1980" s="3">
        <v>22.978963220000001</v>
      </c>
      <c r="D1980" s="3">
        <v>29</v>
      </c>
    </row>
    <row r="1981" spans="1:4" x14ac:dyDescent="0.2">
      <c r="A1981" s="3">
        <v>1980</v>
      </c>
      <c r="B1981" s="3">
        <v>113.3094751</v>
      </c>
      <c r="C1981" s="3">
        <v>22.980406899999998</v>
      </c>
      <c r="D1981" s="3">
        <v>29</v>
      </c>
    </row>
    <row r="1982" spans="1:4" x14ac:dyDescent="0.2">
      <c r="A1982" s="3">
        <v>1981</v>
      </c>
      <c r="B1982" s="3">
        <v>113.3076257</v>
      </c>
      <c r="C1982" s="3">
        <v>22.980898079999999</v>
      </c>
      <c r="D1982" s="3">
        <v>29</v>
      </c>
    </row>
    <row r="1983" spans="1:4" x14ac:dyDescent="0.2">
      <c r="A1983" s="3">
        <v>1982</v>
      </c>
      <c r="B1983" s="3">
        <v>113.3067975</v>
      </c>
      <c r="C1983" s="3">
        <v>22.97887046</v>
      </c>
      <c r="D1983" s="3">
        <v>29</v>
      </c>
    </row>
    <row r="1984" spans="1:4" x14ac:dyDescent="0.2">
      <c r="A1984" s="3">
        <v>1983</v>
      </c>
      <c r="B1984" s="3">
        <v>113.3076337</v>
      </c>
      <c r="C1984" s="3">
        <v>22.981546789999999</v>
      </c>
      <c r="D1984" s="3">
        <v>29</v>
      </c>
    </row>
    <row r="1985" spans="1:4" x14ac:dyDescent="0.2">
      <c r="A1985" s="3">
        <v>1984</v>
      </c>
      <c r="B1985" s="3">
        <v>113.30539450000001</v>
      </c>
      <c r="C1985" s="3">
        <v>22.97581731</v>
      </c>
      <c r="D1985" s="3">
        <v>29</v>
      </c>
    </row>
    <row r="1986" spans="1:4" x14ac:dyDescent="0.2">
      <c r="A1986" s="3">
        <v>1985</v>
      </c>
      <c r="B1986" s="3">
        <v>113.31024549999999</v>
      </c>
      <c r="C1986" s="3">
        <v>22.980689349999999</v>
      </c>
      <c r="D1986" s="3">
        <v>29</v>
      </c>
    </row>
    <row r="1987" spans="1:4" x14ac:dyDescent="0.2">
      <c r="A1987" s="3">
        <v>1986</v>
      </c>
      <c r="B1987" s="3">
        <v>113.30725889999999</v>
      </c>
      <c r="C1987" s="3">
        <v>22.974483509999999</v>
      </c>
      <c r="D1987" s="3">
        <v>29</v>
      </c>
    </row>
    <row r="1988" spans="1:4" x14ac:dyDescent="0.2">
      <c r="A1988" s="3">
        <v>1987</v>
      </c>
      <c r="B1988" s="3">
        <v>113.30314250000001</v>
      </c>
      <c r="C1988" s="3">
        <v>22.980850159999999</v>
      </c>
      <c r="D1988" s="3">
        <v>29</v>
      </c>
    </row>
    <row r="1989" spans="1:4" x14ac:dyDescent="0.2">
      <c r="A1989" s="3">
        <v>1988</v>
      </c>
      <c r="B1989" s="3">
        <v>113.30525969999999</v>
      </c>
      <c r="C1989" s="3">
        <v>22.97653025</v>
      </c>
      <c r="D1989" s="3">
        <v>29</v>
      </c>
    </row>
    <row r="1990" spans="1:4" x14ac:dyDescent="0.2">
      <c r="A1990" s="3">
        <v>1989</v>
      </c>
      <c r="B1990" s="3">
        <v>113.3087585</v>
      </c>
      <c r="C1990" s="3">
        <v>22.980965980000001</v>
      </c>
      <c r="D1990" s="3">
        <v>29</v>
      </c>
    </row>
    <row r="1991" spans="1:4" x14ac:dyDescent="0.2">
      <c r="A1991" s="3">
        <v>1990</v>
      </c>
      <c r="B1991" s="3">
        <v>113.30364179999999</v>
      </c>
      <c r="C1991" s="3">
        <v>22.97788255</v>
      </c>
      <c r="D1991" s="3">
        <v>29</v>
      </c>
    </row>
    <row r="1992" spans="1:4" x14ac:dyDescent="0.2">
      <c r="A1992" s="3">
        <v>1991</v>
      </c>
      <c r="B1992" s="3">
        <v>113.3046775</v>
      </c>
      <c r="C1992" s="3">
        <v>22.981696070000002</v>
      </c>
      <c r="D1992" s="3">
        <v>29</v>
      </c>
    </row>
    <row r="1993" spans="1:4" x14ac:dyDescent="0.2">
      <c r="A1993" s="3">
        <v>1992</v>
      </c>
      <c r="B1993" s="3">
        <v>113.30919059999999</v>
      </c>
      <c r="C1993" s="3">
        <v>22.98118509</v>
      </c>
      <c r="D1993" s="3">
        <v>29</v>
      </c>
    </row>
    <row r="1994" spans="1:4" x14ac:dyDescent="0.2">
      <c r="A1994" s="3">
        <v>1993</v>
      </c>
      <c r="B1994" s="3">
        <v>113.309408</v>
      </c>
      <c r="C1994" s="3">
        <v>22.98303589</v>
      </c>
      <c r="D1994" s="3">
        <v>29</v>
      </c>
    </row>
    <row r="1995" spans="1:4" x14ac:dyDescent="0.2">
      <c r="A1995" s="3">
        <v>1994</v>
      </c>
      <c r="B1995" s="3">
        <v>113.30289999999999</v>
      </c>
      <c r="C1995" s="3">
        <v>22.980813600000001</v>
      </c>
      <c r="D1995" s="3">
        <v>29</v>
      </c>
    </row>
    <row r="1996" spans="1:4" x14ac:dyDescent="0.2">
      <c r="A1996" s="3">
        <v>1995</v>
      </c>
      <c r="B1996" s="3">
        <v>113.30218549999999</v>
      </c>
      <c r="C1996" s="3">
        <v>22.978229970000001</v>
      </c>
      <c r="D1996" s="3">
        <v>29</v>
      </c>
    </row>
    <row r="1997" spans="1:4" x14ac:dyDescent="0.2">
      <c r="A1997" s="3">
        <v>1996</v>
      </c>
      <c r="B1997" s="3">
        <v>113.3027215</v>
      </c>
      <c r="C1997" s="3">
        <v>22.977768229999999</v>
      </c>
      <c r="D1997" s="3">
        <v>29</v>
      </c>
    </row>
    <row r="1998" spans="1:4" x14ac:dyDescent="0.2">
      <c r="A1998" s="3">
        <v>1997</v>
      </c>
      <c r="B1998" s="3">
        <v>113.3107258</v>
      </c>
      <c r="C1998" s="3">
        <v>22.976628210000001</v>
      </c>
      <c r="D1998" s="3">
        <v>29</v>
      </c>
    </row>
    <row r="1999" spans="1:4" x14ac:dyDescent="0.2">
      <c r="A1999" s="3">
        <v>1998</v>
      </c>
      <c r="B1999" s="3">
        <v>113.31015789999999</v>
      </c>
      <c r="C1999" s="3">
        <v>22.977281980000001</v>
      </c>
      <c r="D1999" s="3">
        <v>29</v>
      </c>
    </row>
    <row r="2000" spans="1:4" x14ac:dyDescent="0.2">
      <c r="A2000" s="3">
        <v>1999</v>
      </c>
      <c r="B2000" s="3">
        <v>113.311029</v>
      </c>
      <c r="C2000" s="3">
        <v>22.979874250000002</v>
      </c>
      <c r="D2000" s="3">
        <v>29</v>
      </c>
    </row>
    <row r="2001" spans="1:4" x14ac:dyDescent="0.2">
      <c r="A2001" s="3">
        <v>2000</v>
      </c>
      <c r="B2001" s="3">
        <v>113.30638449999999</v>
      </c>
      <c r="C2001" s="3">
        <v>22.976834090000001</v>
      </c>
      <c r="D2001" s="3">
        <v>29</v>
      </c>
    </row>
    <row r="2002" spans="1:4" x14ac:dyDescent="0.2">
      <c r="A2002" s="3">
        <v>2001</v>
      </c>
      <c r="B2002" s="3">
        <v>113.304123</v>
      </c>
      <c r="C2002" s="3">
        <v>22.975915539999999</v>
      </c>
      <c r="D2002" s="3">
        <v>29</v>
      </c>
    </row>
    <row r="2003" spans="1:4" x14ac:dyDescent="0.2">
      <c r="A2003" s="3">
        <v>2002</v>
      </c>
      <c r="B2003" s="3">
        <v>113.3035093</v>
      </c>
      <c r="C2003" s="3">
        <v>22.974203370000001</v>
      </c>
      <c r="D2003" s="3">
        <v>29</v>
      </c>
    </row>
    <row r="2004" spans="1:4" x14ac:dyDescent="0.2">
      <c r="A2004" s="3">
        <v>2003</v>
      </c>
      <c r="B2004" s="3">
        <v>113.30334449999999</v>
      </c>
      <c r="C2004" s="3">
        <v>22.97579198</v>
      </c>
      <c r="D2004" s="3">
        <v>29</v>
      </c>
    </row>
    <row r="2005" spans="1:4" x14ac:dyDescent="0.2">
      <c r="A2005" s="3">
        <v>2004</v>
      </c>
      <c r="B2005" s="3">
        <v>113.3064005</v>
      </c>
      <c r="C2005" s="3">
        <v>22.97623432</v>
      </c>
      <c r="D2005" s="3">
        <v>29</v>
      </c>
    </row>
    <row r="2006" spans="1:4" x14ac:dyDescent="0.2">
      <c r="A2006" s="3">
        <v>2005</v>
      </c>
      <c r="B2006" s="3">
        <v>113.3094803</v>
      </c>
      <c r="C2006" s="3">
        <v>22.977032340000001</v>
      </c>
      <c r="D2006" s="3">
        <v>29</v>
      </c>
    </row>
    <row r="2007" spans="1:4" x14ac:dyDescent="0.2">
      <c r="A2007" s="3">
        <v>2006</v>
      </c>
      <c r="B2007" s="3">
        <v>113.31066370000001</v>
      </c>
      <c r="C2007" s="3">
        <v>22.98077254</v>
      </c>
      <c r="D2007" s="3">
        <v>29</v>
      </c>
    </row>
    <row r="2008" spans="1:4" x14ac:dyDescent="0.2">
      <c r="A2008" s="3">
        <v>2007</v>
      </c>
      <c r="B2008" s="3">
        <v>113.30304870000001</v>
      </c>
      <c r="C2008" s="3">
        <v>22.980811339999999</v>
      </c>
      <c r="D2008" s="3">
        <v>29</v>
      </c>
    </row>
    <row r="2009" spans="1:4" x14ac:dyDescent="0.2">
      <c r="A2009" s="3">
        <v>2008</v>
      </c>
      <c r="B2009" s="3">
        <v>113.31068190000001</v>
      </c>
      <c r="C2009" s="3">
        <v>22.976660280000001</v>
      </c>
      <c r="D2009" s="3">
        <v>29</v>
      </c>
    </row>
    <row r="2010" spans="1:4" x14ac:dyDescent="0.2">
      <c r="A2010" s="3">
        <v>2009</v>
      </c>
      <c r="B2010" s="3">
        <v>113.31092409999999</v>
      </c>
      <c r="C2010" s="3">
        <v>22.980992959999998</v>
      </c>
      <c r="D2010" s="3">
        <v>29</v>
      </c>
    </row>
    <row r="2011" spans="1:4" x14ac:dyDescent="0.2">
      <c r="A2011" s="3">
        <v>2010</v>
      </c>
      <c r="B2011" s="3">
        <v>113.3109812</v>
      </c>
      <c r="C2011" s="3">
        <v>22.978753820000001</v>
      </c>
      <c r="D2011" s="3">
        <v>29</v>
      </c>
    </row>
    <row r="2012" spans="1:4" x14ac:dyDescent="0.2">
      <c r="A2012" s="3">
        <v>2011</v>
      </c>
      <c r="B2012" s="3">
        <v>113.3109102</v>
      </c>
      <c r="C2012" s="3">
        <v>22.981137929999999</v>
      </c>
      <c r="D2012" s="3">
        <v>29</v>
      </c>
    </row>
    <row r="2013" spans="1:4" x14ac:dyDescent="0.2">
      <c r="A2013" s="3">
        <v>2012</v>
      </c>
      <c r="B2013" s="3">
        <v>113.30820559999999</v>
      </c>
      <c r="C2013" s="3">
        <v>22.98109694</v>
      </c>
      <c r="D2013" s="3">
        <v>29</v>
      </c>
    </row>
    <row r="2014" spans="1:4" x14ac:dyDescent="0.2">
      <c r="A2014" s="3">
        <v>2013</v>
      </c>
      <c r="B2014" s="3">
        <v>113.3145348</v>
      </c>
      <c r="C2014" s="3">
        <v>22.981059170000002</v>
      </c>
      <c r="D2014" s="3">
        <v>29</v>
      </c>
    </row>
    <row r="2015" spans="1:4" x14ac:dyDescent="0.2">
      <c r="A2015" s="3">
        <v>2014</v>
      </c>
      <c r="B2015" s="3">
        <v>113.31399690000001</v>
      </c>
      <c r="C2015" s="3">
        <v>22.981152139999999</v>
      </c>
      <c r="D2015" s="3">
        <v>29</v>
      </c>
    </row>
    <row r="2016" spans="1:4" x14ac:dyDescent="0.2">
      <c r="A2016" s="3">
        <v>2015</v>
      </c>
      <c r="B2016" s="3">
        <v>113.3151895</v>
      </c>
      <c r="C2016" s="3">
        <v>22.980746060000001</v>
      </c>
      <c r="D2016" s="3">
        <v>29</v>
      </c>
    </row>
    <row r="2017" spans="1:4" x14ac:dyDescent="0.2">
      <c r="A2017" s="3">
        <v>2016</v>
      </c>
      <c r="B2017" s="3">
        <v>113.3190408</v>
      </c>
      <c r="C2017" s="3">
        <v>22.97716428</v>
      </c>
      <c r="D2017" s="3">
        <v>3</v>
      </c>
    </row>
    <row r="2018" spans="1:4" x14ac:dyDescent="0.2">
      <c r="A2018" s="3">
        <v>2017</v>
      </c>
      <c r="B2018" s="3">
        <v>113.31917350000001</v>
      </c>
      <c r="C2018" s="3">
        <v>22.97764282</v>
      </c>
      <c r="D2018" s="3">
        <v>3</v>
      </c>
    </row>
    <row r="2019" spans="1:4" x14ac:dyDescent="0.2">
      <c r="A2019" s="3">
        <v>2018</v>
      </c>
      <c r="B2019" s="3">
        <v>113.31911770000001</v>
      </c>
      <c r="C2019" s="3">
        <v>22.977203119999999</v>
      </c>
      <c r="D2019" s="3">
        <v>3</v>
      </c>
    </row>
    <row r="2020" spans="1:4" x14ac:dyDescent="0.2">
      <c r="A2020" s="3">
        <v>2019</v>
      </c>
      <c r="B2020" s="3">
        <v>113.316869</v>
      </c>
      <c r="C2020" s="3">
        <v>22.980861829999998</v>
      </c>
      <c r="D2020" s="3">
        <v>29</v>
      </c>
    </row>
    <row r="2021" spans="1:4" x14ac:dyDescent="0.2">
      <c r="A2021" s="3">
        <v>2020</v>
      </c>
      <c r="B2021" s="3">
        <v>113.3129691</v>
      </c>
      <c r="C2021" s="3">
        <v>22.979771670000002</v>
      </c>
      <c r="D2021" s="3">
        <v>29</v>
      </c>
    </row>
    <row r="2022" spans="1:4" x14ac:dyDescent="0.2">
      <c r="A2022" s="3">
        <v>2021</v>
      </c>
      <c r="B2022" s="3">
        <v>113.31224659999999</v>
      </c>
      <c r="C2022" s="3">
        <v>22.978857420000001</v>
      </c>
      <c r="D2022" s="3">
        <v>29</v>
      </c>
    </row>
    <row r="2023" spans="1:4" x14ac:dyDescent="0.2">
      <c r="A2023" s="3">
        <v>2022</v>
      </c>
      <c r="B2023" s="3">
        <v>113.32030020000001</v>
      </c>
      <c r="C2023" s="3">
        <v>22.977693649999999</v>
      </c>
      <c r="D2023" s="3">
        <v>3</v>
      </c>
    </row>
    <row r="2024" spans="1:4" x14ac:dyDescent="0.2">
      <c r="A2024" s="3">
        <v>2023</v>
      </c>
      <c r="B2024" s="3">
        <v>113.3120152</v>
      </c>
      <c r="C2024" s="3">
        <v>22.977130590000002</v>
      </c>
      <c r="D2024" s="3">
        <v>29</v>
      </c>
    </row>
    <row r="2025" spans="1:4" x14ac:dyDescent="0.2">
      <c r="A2025" s="3">
        <v>2024</v>
      </c>
      <c r="B2025" s="3">
        <v>113.3122547</v>
      </c>
      <c r="C2025" s="3">
        <v>22.976844270000001</v>
      </c>
      <c r="D2025" s="3">
        <v>29</v>
      </c>
    </row>
    <row r="2026" spans="1:4" x14ac:dyDescent="0.2">
      <c r="A2026" s="3">
        <v>2025</v>
      </c>
      <c r="B2026" s="3">
        <v>113.3206646</v>
      </c>
      <c r="C2026" s="3">
        <v>22.97500711</v>
      </c>
      <c r="D2026" s="3">
        <v>3</v>
      </c>
    </row>
    <row r="2027" spans="1:4" x14ac:dyDescent="0.2">
      <c r="A2027" s="3">
        <v>2026</v>
      </c>
      <c r="B2027" s="3">
        <v>113.3119112</v>
      </c>
      <c r="C2027" s="3">
        <v>22.9803514</v>
      </c>
      <c r="D2027" s="3">
        <v>29</v>
      </c>
    </row>
    <row r="2028" spans="1:4" x14ac:dyDescent="0.2">
      <c r="A2028" s="3">
        <v>2027</v>
      </c>
      <c r="B2028" s="3">
        <v>113.3202802</v>
      </c>
      <c r="C2028" s="3">
        <v>22.977667700000001</v>
      </c>
      <c r="D2028" s="3">
        <v>3</v>
      </c>
    </row>
    <row r="2029" spans="1:4" x14ac:dyDescent="0.2">
      <c r="A2029" s="3">
        <v>2028</v>
      </c>
      <c r="B2029" s="3">
        <v>113.32140010000001</v>
      </c>
      <c r="C2029" s="3">
        <v>22.974906749999999</v>
      </c>
      <c r="D2029" s="3">
        <v>3</v>
      </c>
    </row>
    <row r="2030" spans="1:4" x14ac:dyDescent="0.2">
      <c r="A2030" s="3">
        <v>2029</v>
      </c>
      <c r="B2030" s="3">
        <v>113.319846</v>
      </c>
      <c r="C2030" s="3">
        <v>22.98010648</v>
      </c>
      <c r="D2030" s="3">
        <v>3</v>
      </c>
    </row>
    <row r="2031" spans="1:4" x14ac:dyDescent="0.2">
      <c r="A2031" s="3">
        <v>2030</v>
      </c>
      <c r="B2031" s="3">
        <v>113.3192171</v>
      </c>
      <c r="C2031" s="3">
        <v>22.982545630000001</v>
      </c>
      <c r="D2031" s="3">
        <v>16</v>
      </c>
    </row>
    <row r="2032" spans="1:4" x14ac:dyDescent="0.2">
      <c r="A2032" s="3">
        <v>2031</v>
      </c>
      <c r="B2032" s="3">
        <v>113.3200966</v>
      </c>
      <c r="C2032" s="3">
        <v>22.978287779999999</v>
      </c>
      <c r="D2032" s="3">
        <v>3</v>
      </c>
    </row>
    <row r="2033" spans="1:4" x14ac:dyDescent="0.2">
      <c r="A2033" s="3">
        <v>2032</v>
      </c>
      <c r="B2033" s="3">
        <v>113.3198639</v>
      </c>
      <c r="C2033" s="3">
        <v>22.98011644</v>
      </c>
      <c r="D2033" s="3">
        <v>3</v>
      </c>
    </row>
    <row r="2034" spans="1:4" x14ac:dyDescent="0.2">
      <c r="A2034" s="3">
        <v>2033</v>
      </c>
      <c r="B2034" s="3">
        <v>113.3121879</v>
      </c>
      <c r="C2034" s="3">
        <v>22.976939349999999</v>
      </c>
      <c r="D2034" s="3">
        <v>29</v>
      </c>
    </row>
    <row r="2035" spans="1:4" x14ac:dyDescent="0.2">
      <c r="A2035" s="3">
        <v>2034</v>
      </c>
      <c r="B2035" s="3">
        <v>113.3120598</v>
      </c>
      <c r="C2035" s="3">
        <v>22.980868900000001</v>
      </c>
      <c r="D2035" s="3">
        <v>29</v>
      </c>
    </row>
    <row r="2036" spans="1:4" x14ac:dyDescent="0.2">
      <c r="A2036" s="3">
        <v>2035</v>
      </c>
      <c r="B2036" s="3">
        <v>113.3219539</v>
      </c>
      <c r="C2036" s="3">
        <v>22.975316509999999</v>
      </c>
      <c r="D2036" s="3">
        <v>3</v>
      </c>
    </row>
    <row r="2037" spans="1:4" x14ac:dyDescent="0.2">
      <c r="A2037" s="3">
        <v>2036</v>
      </c>
      <c r="B2037" s="3">
        <v>113.3251952</v>
      </c>
      <c r="C2037" s="3">
        <v>22.97570314</v>
      </c>
      <c r="D2037" s="3">
        <v>3</v>
      </c>
    </row>
    <row r="2038" spans="1:4" x14ac:dyDescent="0.2">
      <c r="A2038" s="3">
        <v>2037</v>
      </c>
      <c r="B2038" s="3">
        <v>113.3292589</v>
      </c>
      <c r="C2038" s="3">
        <v>22.975773369999999</v>
      </c>
      <c r="D2038" s="3">
        <v>3</v>
      </c>
    </row>
    <row r="2039" spans="1:4" x14ac:dyDescent="0.2">
      <c r="A2039" s="3">
        <v>2038</v>
      </c>
      <c r="B2039" s="3">
        <v>113.32530800000001</v>
      </c>
      <c r="C2039" s="3">
        <v>22.975929829999998</v>
      </c>
      <c r="D2039" s="3">
        <v>3</v>
      </c>
    </row>
    <row r="2040" spans="1:4" x14ac:dyDescent="0.2">
      <c r="A2040" s="3">
        <v>2039</v>
      </c>
      <c r="B2040" s="3">
        <v>113.3247362</v>
      </c>
      <c r="C2040" s="3">
        <v>22.97463548</v>
      </c>
      <c r="D2040" s="3">
        <v>3</v>
      </c>
    </row>
    <row r="2041" spans="1:4" x14ac:dyDescent="0.2">
      <c r="A2041" s="3">
        <v>2040</v>
      </c>
      <c r="B2041" s="3">
        <v>113.3221724</v>
      </c>
      <c r="C2041" s="3">
        <v>22.976985370000001</v>
      </c>
      <c r="D2041" s="3">
        <v>3</v>
      </c>
    </row>
    <row r="2042" spans="1:4" x14ac:dyDescent="0.2">
      <c r="A2042" s="3">
        <v>2041</v>
      </c>
      <c r="B2042" s="3">
        <v>113.3305604</v>
      </c>
      <c r="C2042" s="3">
        <v>22.973895710000001</v>
      </c>
      <c r="D2042" s="3">
        <v>3</v>
      </c>
    </row>
    <row r="2043" spans="1:4" x14ac:dyDescent="0.2">
      <c r="A2043" s="3">
        <v>2042</v>
      </c>
      <c r="B2043" s="3">
        <v>113.3255005</v>
      </c>
      <c r="C2043" s="3">
        <v>22.976766099999999</v>
      </c>
      <c r="D2043" s="3">
        <v>3</v>
      </c>
    </row>
    <row r="2044" spans="1:4" x14ac:dyDescent="0.2">
      <c r="A2044" s="3">
        <v>2043</v>
      </c>
      <c r="B2044" s="3">
        <v>113.3308218</v>
      </c>
      <c r="C2044" s="3">
        <v>22.974789829999999</v>
      </c>
      <c r="D2044" s="3">
        <v>3</v>
      </c>
    </row>
    <row r="2045" spans="1:4" x14ac:dyDescent="0.2">
      <c r="A2045" s="3">
        <v>2044</v>
      </c>
      <c r="B2045" s="3">
        <v>113.3314235</v>
      </c>
      <c r="C2045" s="3">
        <v>22.975644330000002</v>
      </c>
      <c r="D2045" s="3">
        <v>3</v>
      </c>
    </row>
    <row r="2046" spans="1:4" x14ac:dyDescent="0.2">
      <c r="A2046" s="3">
        <v>2045</v>
      </c>
      <c r="B2046" s="3">
        <v>113.33834950000001</v>
      </c>
      <c r="C2046" s="3">
        <v>22.98002761</v>
      </c>
      <c r="D2046" s="3">
        <v>2</v>
      </c>
    </row>
    <row r="2047" spans="1:4" x14ac:dyDescent="0.2">
      <c r="A2047" s="3">
        <v>2046</v>
      </c>
      <c r="B2047" s="3">
        <v>113.3409698</v>
      </c>
      <c r="C2047" s="3">
        <v>22.97684126</v>
      </c>
      <c r="D2047" s="3">
        <v>2</v>
      </c>
    </row>
    <row r="2048" spans="1:4" x14ac:dyDescent="0.2">
      <c r="A2048" s="3">
        <v>2047</v>
      </c>
      <c r="B2048" s="3">
        <v>113.340407</v>
      </c>
      <c r="C2048" s="3">
        <v>22.97439232</v>
      </c>
      <c r="D2048" s="3">
        <v>2</v>
      </c>
    </row>
    <row r="2049" spans="1:4" x14ac:dyDescent="0.2">
      <c r="A2049" s="3">
        <v>2048</v>
      </c>
      <c r="B2049" s="3">
        <v>113.3330294</v>
      </c>
      <c r="C2049" s="3">
        <v>22.974036009999999</v>
      </c>
      <c r="D2049" s="3">
        <v>3</v>
      </c>
    </row>
    <row r="2050" spans="1:4" x14ac:dyDescent="0.2">
      <c r="A2050" s="3">
        <v>2049</v>
      </c>
      <c r="B2050" s="3">
        <v>113.34093799999999</v>
      </c>
      <c r="C2050" s="3">
        <v>22.974336399999999</v>
      </c>
      <c r="D2050" s="3">
        <v>2</v>
      </c>
    </row>
    <row r="2051" spans="1:4" x14ac:dyDescent="0.2">
      <c r="A2051" s="3">
        <v>2050</v>
      </c>
      <c r="B2051" s="3">
        <v>113.33834950000001</v>
      </c>
      <c r="C2051" s="3">
        <v>22.98002761</v>
      </c>
      <c r="D2051" s="3">
        <v>2</v>
      </c>
    </row>
    <row r="2052" spans="1:4" x14ac:dyDescent="0.2">
      <c r="A2052" s="3">
        <v>2051</v>
      </c>
      <c r="B2052" s="3">
        <v>113.34094090000001</v>
      </c>
      <c r="C2052" s="3">
        <v>22.975761779999999</v>
      </c>
      <c r="D2052" s="3">
        <v>2</v>
      </c>
    </row>
    <row r="2053" spans="1:4" x14ac:dyDescent="0.2">
      <c r="A2053" s="3">
        <v>2052</v>
      </c>
      <c r="B2053" s="3">
        <v>113.34022229999999</v>
      </c>
      <c r="C2053" s="3">
        <v>22.974308690000001</v>
      </c>
      <c r="D2053" s="3">
        <v>2</v>
      </c>
    </row>
    <row r="2054" spans="1:4" x14ac:dyDescent="0.2">
      <c r="A2054" s="3">
        <v>2053</v>
      </c>
      <c r="B2054" s="3">
        <v>113.3383675</v>
      </c>
      <c r="C2054" s="3">
        <v>22.979599759999999</v>
      </c>
      <c r="D2054" s="3">
        <v>2</v>
      </c>
    </row>
    <row r="2055" spans="1:4" x14ac:dyDescent="0.2">
      <c r="A2055" s="3">
        <v>2054</v>
      </c>
      <c r="B2055" s="3">
        <v>113.3377601</v>
      </c>
      <c r="C2055" s="3">
        <v>22.974602010000002</v>
      </c>
      <c r="D2055" s="3">
        <v>2</v>
      </c>
    </row>
    <row r="2056" spans="1:4" x14ac:dyDescent="0.2">
      <c r="A2056" s="3">
        <v>2055</v>
      </c>
      <c r="B2056" s="3">
        <v>113.34093799999999</v>
      </c>
      <c r="C2056" s="3">
        <v>22.974336399999999</v>
      </c>
      <c r="D2056" s="3">
        <v>2</v>
      </c>
    </row>
    <row r="2057" spans="1:4" x14ac:dyDescent="0.2">
      <c r="A2057" s="3">
        <v>2056</v>
      </c>
      <c r="B2057" s="3">
        <v>113.34846090000001</v>
      </c>
      <c r="C2057" s="3">
        <v>22.979775109999999</v>
      </c>
      <c r="D2057" s="3">
        <v>2</v>
      </c>
    </row>
    <row r="2058" spans="1:4" x14ac:dyDescent="0.2">
      <c r="A2058" s="3">
        <v>2057</v>
      </c>
      <c r="B2058" s="3">
        <v>113.34756160000001</v>
      </c>
      <c r="C2058" s="3">
        <v>22.977825450000001</v>
      </c>
      <c r="D2058" s="3">
        <v>2</v>
      </c>
    </row>
    <row r="2059" spans="1:4" x14ac:dyDescent="0.2">
      <c r="A2059" s="3">
        <v>2058</v>
      </c>
      <c r="B2059" s="3">
        <v>113.34697749999999</v>
      </c>
      <c r="C2059" s="3">
        <v>22.980087449999999</v>
      </c>
      <c r="D2059" s="3">
        <v>2</v>
      </c>
    </row>
    <row r="2060" spans="1:4" x14ac:dyDescent="0.2">
      <c r="A2060" s="3">
        <v>2059</v>
      </c>
      <c r="B2060" s="3">
        <v>113.3468575</v>
      </c>
      <c r="C2060" s="3">
        <v>22.983262280000002</v>
      </c>
      <c r="D2060" s="3">
        <v>2</v>
      </c>
    </row>
    <row r="2061" spans="1:4" x14ac:dyDescent="0.2">
      <c r="A2061" s="3">
        <v>2060</v>
      </c>
      <c r="B2061" s="3">
        <v>113.34716349999999</v>
      </c>
      <c r="C2061" s="3">
        <v>22.975953919999998</v>
      </c>
      <c r="D2061" s="3">
        <v>2</v>
      </c>
    </row>
    <row r="2062" spans="1:4" x14ac:dyDescent="0.2">
      <c r="A2062" s="3">
        <v>2061</v>
      </c>
      <c r="B2062" s="3">
        <v>113.344537</v>
      </c>
      <c r="C2062" s="3">
        <v>22.978115460000001</v>
      </c>
      <c r="D2062" s="3">
        <v>2</v>
      </c>
    </row>
    <row r="2063" spans="1:4" x14ac:dyDescent="0.2">
      <c r="A2063" s="3">
        <v>2062</v>
      </c>
      <c r="B2063" s="3">
        <v>113.3485238</v>
      </c>
      <c r="C2063" s="3">
        <v>22.980469710000001</v>
      </c>
      <c r="D2063" s="3">
        <v>2</v>
      </c>
    </row>
    <row r="2064" spans="1:4" x14ac:dyDescent="0.2">
      <c r="A2064" s="3">
        <v>2063</v>
      </c>
      <c r="B2064" s="3">
        <v>113.348386</v>
      </c>
      <c r="C2064" s="3">
        <v>22.981013699999998</v>
      </c>
      <c r="D2064" s="3">
        <v>2</v>
      </c>
    </row>
    <row r="2065" spans="1:4" x14ac:dyDescent="0.2">
      <c r="A2065" s="3">
        <v>2064</v>
      </c>
      <c r="B2065" s="3">
        <v>113.34811550000001</v>
      </c>
      <c r="C2065" s="3">
        <v>22.979373859999999</v>
      </c>
      <c r="D2065" s="3">
        <v>2</v>
      </c>
    </row>
    <row r="2066" spans="1:4" x14ac:dyDescent="0.2">
      <c r="A2066" s="3">
        <v>2065</v>
      </c>
      <c r="B2066" s="3">
        <v>113.3496748</v>
      </c>
      <c r="C2066" s="3">
        <v>22.979982029999999</v>
      </c>
      <c r="D2066" s="3">
        <v>2</v>
      </c>
    </row>
    <row r="2067" spans="1:4" x14ac:dyDescent="0.2">
      <c r="A2067" s="3">
        <v>2066</v>
      </c>
      <c r="B2067" s="3">
        <v>113.34976760000001</v>
      </c>
      <c r="C2067" s="3">
        <v>22.980407700000001</v>
      </c>
      <c r="D2067" s="3">
        <v>2</v>
      </c>
    </row>
    <row r="2068" spans="1:4" x14ac:dyDescent="0.2">
      <c r="A2068" s="3">
        <v>2067</v>
      </c>
      <c r="B2068" s="3">
        <v>113.3421026</v>
      </c>
      <c r="C2068" s="3">
        <v>22.977348039999999</v>
      </c>
      <c r="D2068" s="3">
        <v>2</v>
      </c>
    </row>
    <row r="2069" spans="1:4" x14ac:dyDescent="0.2">
      <c r="A2069" s="3">
        <v>2068</v>
      </c>
      <c r="B2069" s="3">
        <v>113.3487403</v>
      </c>
      <c r="C2069" s="3">
        <v>22.981833760000001</v>
      </c>
      <c r="D2069" s="3">
        <v>2</v>
      </c>
    </row>
    <row r="2070" spans="1:4" x14ac:dyDescent="0.2">
      <c r="A2070" s="3">
        <v>2069</v>
      </c>
      <c r="B2070" s="3">
        <v>113.350663</v>
      </c>
      <c r="C2070" s="3">
        <v>22.98115293</v>
      </c>
      <c r="D2070" s="3">
        <v>2</v>
      </c>
    </row>
    <row r="2071" spans="1:4" x14ac:dyDescent="0.2">
      <c r="A2071" s="3">
        <v>2070</v>
      </c>
      <c r="B2071" s="3">
        <v>113.3438544</v>
      </c>
      <c r="C2071" s="3">
        <v>22.977014109999999</v>
      </c>
      <c r="D2071" s="3">
        <v>2</v>
      </c>
    </row>
    <row r="2072" spans="1:4" x14ac:dyDescent="0.2">
      <c r="A2072" s="3">
        <v>2071</v>
      </c>
      <c r="B2072" s="3">
        <v>113.34945039999999</v>
      </c>
      <c r="C2072" s="3">
        <v>22.976228020000001</v>
      </c>
      <c r="D2072" s="3">
        <v>2</v>
      </c>
    </row>
    <row r="2073" spans="1:4" x14ac:dyDescent="0.2">
      <c r="A2073" s="3">
        <v>2072</v>
      </c>
      <c r="B2073" s="3">
        <v>113.3484018</v>
      </c>
      <c r="C2073" s="3">
        <v>22.982968830000001</v>
      </c>
      <c r="D2073" s="3">
        <v>2</v>
      </c>
    </row>
    <row r="2074" spans="1:4" x14ac:dyDescent="0.2">
      <c r="A2074" s="3">
        <v>2073</v>
      </c>
      <c r="B2074" s="3">
        <v>113.3509476</v>
      </c>
      <c r="C2074" s="3">
        <v>22.980450780000002</v>
      </c>
      <c r="D2074" s="3">
        <v>2</v>
      </c>
    </row>
    <row r="2075" spans="1:4" x14ac:dyDescent="0.2">
      <c r="A2075" s="3">
        <v>2074</v>
      </c>
      <c r="B2075" s="3">
        <v>113.3439721</v>
      </c>
      <c r="C2075" s="3">
        <v>22.978143419999999</v>
      </c>
      <c r="D2075" s="3">
        <v>2</v>
      </c>
    </row>
    <row r="2076" spans="1:4" x14ac:dyDescent="0.2">
      <c r="A2076" s="3">
        <v>2075</v>
      </c>
      <c r="B2076" s="3">
        <v>113.3422182</v>
      </c>
      <c r="C2076" s="3">
        <v>22.98005766</v>
      </c>
      <c r="D2076" s="3">
        <v>2</v>
      </c>
    </row>
    <row r="2077" spans="1:4" x14ac:dyDescent="0.2">
      <c r="A2077" s="3">
        <v>2076</v>
      </c>
      <c r="B2077" s="3">
        <v>113.349822</v>
      </c>
      <c r="C2077" s="3">
        <v>22.974089330000002</v>
      </c>
      <c r="D2077" s="3">
        <v>2</v>
      </c>
    </row>
    <row r="2078" spans="1:4" x14ac:dyDescent="0.2">
      <c r="A2078" s="3">
        <v>2077</v>
      </c>
      <c r="B2078" s="3">
        <v>113.3434441</v>
      </c>
      <c r="C2078" s="3">
        <v>22.976956850000001</v>
      </c>
      <c r="D2078" s="3">
        <v>2</v>
      </c>
    </row>
    <row r="2079" spans="1:4" x14ac:dyDescent="0.2">
      <c r="A2079" s="3">
        <v>2078</v>
      </c>
      <c r="B2079" s="3">
        <v>113.351319</v>
      </c>
      <c r="C2079" s="3">
        <v>22.9799504</v>
      </c>
      <c r="D2079" s="3">
        <v>2</v>
      </c>
    </row>
    <row r="2080" spans="1:4" x14ac:dyDescent="0.2">
      <c r="A2080" s="3">
        <v>2079</v>
      </c>
      <c r="B2080" s="3">
        <v>113.3439034</v>
      </c>
      <c r="C2080" s="3">
        <v>22.97477099</v>
      </c>
      <c r="D2080" s="3">
        <v>2</v>
      </c>
    </row>
    <row r="2081" spans="1:4" x14ac:dyDescent="0.2">
      <c r="A2081" s="3">
        <v>2080</v>
      </c>
      <c r="B2081" s="3">
        <v>113.3438925</v>
      </c>
      <c r="C2081" s="3">
        <v>22.974170269999998</v>
      </c>
      <c r="D2081" s="3">
        <v>2</v>
      </c>
    </row>
    <row r="2082" spans="1:4" x14ac:dyDescent="0.2">
      <c r="A2082" s="3">
        <v>2081</v>
      </c>
      <c r="B2082" s="3">
        <v>113.35784959999999</v>
      </c>
      <c r="C2082" s="3">
        <v>22.98047429</v>
      </c>
      <c r="D2082" s="3">
        <v>18</v>
      </c>
    </row>
    <row r="2083" spans="1:4" x14ac:dyDescent="0.2">
      <c r="A2083" s="3">
        <v>2082</v>
      </c>
      <c r="B2083" s="3">
        <v>113.3578646</v>
      </c>
      <c r="C2083" s="3">
        <v>22.981052009999999</v>
      </c>
      <c r="D2083" s="3">
        <v>18</v>
      </c>
    </row>
    <row r="2084" spans="1:4" x14ac:dyDescent="0.2">
      <c r="A2084" s="3">
        <v>2083</v>
      </c>
      <c r="B2084" s="3">
        <v>113.3573174</v>
      </c>
      <c r="C2084" s="3">
        <v>22.981251719999999</v>
      </c>
      <c r="D2084" s="3">
        <v>18</v>
      </c>
    </row>
    <row r="2085" spans="1:4" x14ac:dyDescent="0.2">
      <c r="A2085" s="3">
        <v>2084</v>
      </c>
      <c r="B2085" s="3">
        <v>113.3533496</v>
      </c>
      <c r="C2085" s="3">
        <v>22.981491550000001</v>
      </c>
      <c r="D2085" s="3">
        <v>2</v>
      </c>
    </row>
    <row r="2086" spans="1:4" x14ac:dyDescent="0.2">
      <c r="A2086" s="3">
        <v>2085</v>
      </c>
      <c r="B2086" s="3">
        <v>113.3559427</v>
      </c>
      <c r="C2086" s="3">
        <v>22.978091089999999</v>
      </c>
      <c r="D2086" s="3">
        <v>2</v>
      </c>
    </row>
    <row r="2087" spans="1:4" x14ac:dyDescent="0.2">
      <c r="A2087" s="3">
        <v>2086</v>
      </c>
      <c r="B2087" s="3">
        <v>113.35210170000001</v>
      </c>
      <c r="C2087" s="3">
        <v>22.980527909999999</v>
      </c>
      <c r="D2087" s="3">
        <v>2</v>
      </c>
    </row>
    <row r="2088" spans="1:4" x14ac:dyDescent="0.2">
      <c r="A2088" s="3">
        <v>2087</v>
      </c>
      <c r="B2088" s="3">
        <v>113.3520158</v>
      </c>
      <c r="C2088" s="3">
        <v>22.980212179999999</v>
      </c>
      <c r="D2088" s="3">
        <v>2</v>
      </c>
    </row>
    <row r="2089" spans="1:4" x14ac:dyDescent="0.2">
      <c r="A2089" s="3">
        <v>2088</v>
      </c>
      <c r="B2089" s="3">
        <v>113.3602873</v>
      </c>
      <c r="C2089" s="3">
        <v>22.977708069999998</v>
      </c>
      <c r="D2089" s="3">
        <v>18</v>
      </c>
    </row>
    <row r="2090" spans="1:4" x14ac:dyDescent="0.2">
      <c r="A2090" s="3">
        <v>2089</v>
      </c>
      <c r="B2090" s="3">
        <v>113.3557938</v>
      </c>
      <c r="C2090" s="3">
        <v>22.980330349999999</v>
      </c>
      <c r="D2090" s="3">
        <v>2</v>
      </c>
    </row>
    <row r="2091" spans="1:4" x14ac:dyDescent="0.2">
      <c r="A2091" s="3">
        <v>2090</v>
      </c>
      <c r="B2091" s="3">
        <v>113.36043290000001</v>
      </c>
      <c r="C2091" s="3">
        <v>22.979985889999998</v>
      </c>
      <c r="D2091" s="3">
        <v>18</v>
      </c>
    </row>
    <row r="2092" spans="1:4" x14ac:dyDescent="0.2">
      <c r="A2092" s="3">
        <v>2091</v>
      </c>
      <c r="B2092" s="3">
        <v>113.3587632</v>
      </c>
      <c r="C2092" s="3">
        <v>22.982033319999999</v>
      </c>
      <c r="D2092" s="3">
        <v>18</v>
      </c>
    </row>
    <row r="2093" spans="1:4" x14ac:dyDescent="0.2">
      <c r="A2093" s="3">
        <v>2092</v>
      </c>
      <c r="B2093" s="3">
        <v>113.3610523</v>
      </c>
      <c r="C2093" s="3">
        <v>22.976366609999999</v>
      </c>
      <c r="D2093" s="3">
        <v>18</v>
      </c>
    </row>
    <row r="2094" spans="1:4" x14ac:dyDescent="0.2">
      <c r="A2094" s="3">
        <v>2093</v>
      </c>
      <c r="B2094" s="3">
        <v>113.3589848</v>
      </c>
      <c r="C2094" s="3">
        <v>22.982809670000002</v>
      </c>
      <c r="D2094" s="3">
        <v>18</v>
      </c>
    </row>
    <row r="2095" spans="1:4" x14ac:dyDescent="0.2">
      <c r="A2095" s="3">
        <v>2094</v>
      </c>
      <c r="B2095" s="3">
        <v>113.35968389999999</v>
      </c>
      <c r="C2095" s="3">
        <v>22.980927510000001</v>
      </c>
      <c r="D2095" s="3">
        <v>18</v>
      </c>
    </row>
    <row r="2096" spans="1:4" x14ac:dyDescent="0.2">
      <c r="A2096" s="3">
        <v>2095</v>
      </c>
      <c r="B2096" s="3">
        <v>113.3604898</v>
      </c>
      <c r="C2096" s="3">
        <v>22.98072049</v>
      </c>
      <c r="D2096" s="3">
        <v>18</v>
      </c>
    </row>
    <row r="2097" spans="1:4" x14ac:dyDescent="0.2">
      <c r="A2097" s="3">
        <v>2096</v>
      </c>
      <c r="B2097" s="3">
        <v>113.3606915</v>
      </c>
      <c r="C2097" s="3">
        <v>22.980781189999998</v>
      </c>
      <c r="D2097" s="3">
        <v>18</v>
      </c>
    </row>
    <row r="2098" spans="1:4" x14ac:dyDescent="0.2">
      <c r="A2098" s="3">
        <v>2097</v>
      </c>
      <c r="B2098" s="3">
        <v>113.36096809999999</v>
      </c>
      <c r="C2098" s="3">
        <v>22.98173341</v>
      </c>
      <c r="D2098" s="3">
        <v>18</v>
      </c>
    </row>
    <row r="2099" spans="1:4" x14ac:dyDescent="0.2">
      <c r="A2099" s="3">
        <v>2098</v>
      </c>
      <c r="B2099" s="3">
        <v>113.3612007</v>
      </c>
      <c r="C2099" s="3">
        <v>22.981706110000001</v>
      </c>
      <c r="D2099" s="3">
        <v>18</v>
      </c>
    </row>
    <row r="2100" spans="1:4" x14ac:dyDescent="0.2">
      <c r="A2100" s="3">
        <v>2099</v>
      </c>
      <c r="B2100" s="3">
        <v>113.3559427</v>
      </c>
      <c r="C2100" s="3">
        <v>22.978091089999999</v>
      </c>
      <c r="D2100" s="3">
        <v>2</v>
      </c>
    </row>
    <row r="2101" spans="1:4" x14ac:dyDescent="0.2">
      <c r="A2101" s="3">
        <v>2100</v>
      </c>
      <c r="B2101" s="3">
        <v>113.3557938</v>
      </c>
      <c r="C2101" s="3">
        <v>22.980330349999999</v>
      </c>
      <c r="D2101" s="3">
        <v>2</v>
      </c>
    </row>
    <row r="2102" spans="1:4" x14ac:dyDescent="0.2">
      <c r="A2102" s="3">
        <v>2101</v>
      </c>
      <c r="B2102" s="3">
        <v>113.35865250000001</v>
      </c>
      <c r="C2102" s="3">
        <v>22.980381179999998</v>
      </c>
      <c r="D2102" s="3">
        <v>18</v>
      </c>
    </row>
    <row r="2103" spans="1:4" x14ac:dyDescent="0.2">
      <c r="A2103" s="3">
        <v>2102</v>
      </c>
      <c r="B2103" s="3">
        <v>113.3579864</v>
      </c>
      <c r="C2103" s="3">
        <v>22.98119878</v>
      </c>
      <c r="D2103" s="3">
        <v>18</v>
      </c>
    </row>
    <row r="2104" spans="1:4" x14ac:dyDescent="0.2">
      <c r="A2104" s="3">
        <v>2103</v>
      </c>
      <c r="B2104" s="3">
        <v>113.36663110000001</v>
      </c>
      <c r="C2104" s="3">
        <v>22.975809819999998</v>
      </c>
      <c r="D2104" s="3">
        <v>18</v>
      </c>
    </row>
    <row r="2105" spans="1:4" x14ac:dyDescent="0.2">
      <c r="A2105" s="3">
        <v>2104</v>
      </c>
      <c r="B2105" s="3">
        <v>113.3674638</v>
      </c>
      <c r="C2105" s="3">
        <v>22.98038888</v>
      </c>
      <c r="D2105" s="3">
        <v>18</v>
      </c>
    </row>
    <row r="2106" spans="1:4" x14ac:dyDescent="0.2">
      <c r="A2106" s="3">
        <v>2105</v>
      </c>
      <c r="B2106" s="3">
        <v>113.3645607</v>
      </c>
      <c r="C2106" s="3">
        <v>22.97544847</v>
      </c>
      <c r="D2106" s="3">
        <v>18</v>
      </c>
    </row>
    <row r="2107" spans="1:4" x14ac:dyDescent="0.2">
      <c r="A2107" s="3">
        <v>2106</v>
      </c>
      <c r="B2107" s="3">
        <v>113.3674022</v>
      </c>
      <c r="C2107" s="3">
        <v>22.97491531</v>
      </c>
      <c r="D2107" s="3">
        <v>18</v>
      </c>
    </row>
    <row r="2108" spans="1:4" x14ac:dyDescent="0.2">
      <c r="A2108" s="3">
        <v>2107</v>
      </c>
      <c r="B2108" s="3">
        <v>113.36617819999999</v>
      </c>
      <c r="C2108" s="3">
        <v>22.981809770000002</v>
      </c>
      <c r="D2108" s="3">
        <v>18</v>
      </c>
    </row>
    <row r="2109" spans="1:4" x14ac:dyDescent="0.2">
      <c r="A2109" s="3">
        <v>2108</v>
      </c>
      <c r="B2109" s="3">
        <v>113.3642371</v>
      </c>
      <c r="C2109" s="3">
        <v>22.974779160000001</v>
      </c>
      <c r="D2109" s="3">
        <v>18</v>
      </c>
    </row>
    <row r="2110" spans="1:4" x14ac:dyDescent="0.2">
      <c r="A2110" s="3">
        <v>2109</v>
      </c>
      <c r="B2110" s="3">
        <v>113.3678515</v>
      </c>
      <c r="C2110" s="3">
        <v>22.97800647</v>
      </c>
      <c r="D2110" s="3">
        <v>18</v>
      </c>
    </row>
    <row r="2111" spans="1:4" x14ac:dyDescent="0.2">
      <c r="A2111" s="3">
        <v>2110</v>
      </c>
      <c r="B2111" s="3">
        <v>113.36225640000001</v>
      </c>
      <c r="C2111" s="3">
        <v>22.97977654</v>
      </c>
      <c r="D2111" s="3">
        <v>18</v>
      </c>
    </row>
    <row r="2112" spans="1:4" x14ac:dyDescent="0.2">
      <c r="A2112" s="3">
        <v>2111</v>
      </c>
      <c r="B2112" s="3">
        <v>113.3673938</v>
      </c>
      <c r="C2112" s="3">
        <v>22.981662409999998</v>
      </c>
      <c r="D2112" s="3">
        <v>18</v>
      </c>
    </row>
    <row r="2113" spans="1:4" x14ac:dyDescent="0.2">
      <c r="A2113" s="3">
        <v>2112</v>
      </c>
      <c r="B2113" s="3">
        <v>113.36382070000001</v>
      </c>
      <c r="C2113" s="3">
        <v>22.97516852</v>
      </c>
      <c r="D2113" s="3">
        <v>18</v>
      </c>
    </row>
    <row r="2114" spans="1:4" x14ac:dyDescent="0.2">
      <c r="A2114" s="3">
        <v>2113</v>
      </c>
      <c r="B2114" s="3">
        <v>113.3645837</v>
      </c>
      <c r="C2114" s="3">
        <v>22.974126009999999</v>
      </c>
      <c r="D2114" s="3">
        <v>18</v>
      </c>
    </row>
    <row r="2115" spans="1:4" x14ac:dyDescent="0.2">
      <c r="A2115" s="3">
        <v>2114</v>
      </c>
      <c r="B2115" s="3">
        <v>113.3690829</v>
      </c>
      <c r="C2115" s="3">
        <v>22.981026790000001</v>
      </c>
      <c r="D2115" s="3">
        <v>18</v>
      </c>
    </row>
    <row r="2116" spans="1:4" x14ac:dyDescent="0.2">
      <c r="A2116" s="3">
        <v>2115</v>
      </c>
      <c r="B2116" s="3">
        <v>113.3691778</v>
      </c>
      <c r="C2116" s="3">
        <v>22.98092673</v>
      </c>
      <c r="D2116" s="3">
        <v>18</v>
      </c>
    </row>
    <row r="2117" spans="1:4" x14ac:dyDescent="0.2">
      <c r="A2117" s="3">
        <v>2116</v>
      </c>
      <c r="B2117" s="3">
        <v>113.36467709999999</v>
      </c>
      <c r="C2117" s="3">
        <v>22.98169764</v>
      </c>
      <c r="D2117" s="3">
        <v>18</v>
      </c>
    </row>
    <row r="2118" spans="1:4" x14ac:dyDescent="0.2">
      <c r="A2118" s="3">
        <v>2117</v>
      </c>
      <c r="B2118" s="3">
        <v>113.363978</v>
      </c>
      <c r="C2118" s="3">
        <v>22.981900419999999</v>
      </c>
      <c r="D2118" s="3">
        <v>18</v>
      </c>
    </row>
    <row r="2119" spans="1:4" x14ac:dyDescent="0.2">
      <c r="A2119" s="3">
        <v>2118</v>
      </c>
      <c r="B2119" s="3">
        <v>113.3626582</v>
      </c>
      <c r="C2119" s="3">
        <v>22.974687209999999</v>
      </c>
      <c r="D2119" s="3">
        <v>18</v>
      </c>
    </row>
    <row r="2120" spans="1:4" x14ac:dyDescent="0.2">
      <c r="A2120" s="3">
        <v>2119</v>
      </c>
      <c r="B2120" s="3">
        <v>113.3654191</v>
      </c>
      <c r="C2120" s="3">
        <v>22.983485959999999</v>
      </c>
      <c r="D2120" s="3">
        <v>18</v>
      </c>
    </row>
    <row r="2121" spans="1:4" x14ac:dyDescent="0.2">
      <c r="A2121" s="3">
        <v>2120</v>
      </c>
      <c r="B2121" s="3">
        <v>113.362797</v>
      </c>
      <c r="C2121" s="3">
        <v>22.975036880000001</v>
      </c>
      <c r="D2121" s="3">
        <v>18</v>
      </c>
    </row>
    <row r="2122" spans="1:4" x14ac:dyDescent="0.2">
      <c r="A2122" s="3">
        <v>2121</v>
      </c>
      <c r="B2122" s="3">
        <v>113.3633634</v>
      </c>
      <c r="C2122" s="3">
        <v>22.973683739999998</v>
      </c>
      <c r="D2122" s="3">
        <v>18</v>
      </c>
    </row>
    <row r="2123" spans="1:4" x14ac:dyDescent="0.2">
      <c r="A2123" s="3">
        <v>2122</v>
      </c>
      <c r="B2123" s="3">
        <v>113.36873319999999</v>
      </c>
      <c r="C2123" s="3">
        <v>22.982167690000001</v>
      </c>
      <c r="D2123" s="3">
        <v>18</v>
      </c>
    </row>
    <row r="2124" spans="1:4" x14ac:dyDescent="0.2">
      <c r="A2124" s="3">
        <v>2123</v>
      </c>
      <c r="B2124" s="3">
        <v>113.3674268</v>
      </c>
      <c r="C2124" s="3">
        <v>22.981328520000002</v>
      </c>
      <c r="D2124" s="3">
        <v>18</v>
      </c>
    </row>
    <row r="2125" spans="1:4" x14ac:dyDescent="0.2">
      <c r="A2125" s="3">
        <v>2124</v>
      </c>
      <c r="B2125" s="3">
        <v>113.36948099999999</v>
      </c>
      <c r="C2125" s="3">
        <v>22.974006379999999</v>
      </c>
      <c r="D2125" s="3">
        <v>18</v>
      </c>
    </row>
    <row r="2126" spans="1:4" x14ac:dyDescent="0.2">
      <c r="A2126" s="3">
        <v>2125</v>
      </c>
      <c r="B2126" s="3">
        <v>113.3646111</v>
      </c>
      <c r="C2126" s="3">
        <v>22.982891200000001</v>
      </c>
      <c r="D2126" s="3">
        <v>18</v>
      </c>
    </row>
    <row r="2127" spans="1:4" x14ac:dyDescent="0.2">
      <c r="A2127" s="3">
        <v>2126</v>
      </c>
      <c r="B2127" s="3">
        <v>113.3616506</v>
      </c>
      <c r="C2127" s="3">
        <v>22.974742509999999</v>
      </c>
      <c r="D2127" s="3">
        <v>18</v>
      </c>
    </row>
    <row r="2128" spans="1:4" x14ac:dyDescent="0.2">
      <c r="A2128" s="3">
        <v>2127</v>
      </c>
      <c r="B2128" s="3">
        <v>113.36663059999999</v>
      </c>
      <c r="C2128" s="3">
        <v>22.983503500000001</v>
      </c>
      <c r="D2128" s="3">
        <v>18</v>
      </c>
    </row>
    <row r="2129" spans="1:4" x14ac:dyDescent="0.2">
      <c r="A2129" s="3">
        <v>2128</v>
      </c>
      <c r="B2129" s="3">
        <v>113.3629502</v>
      </c>
      <c r="C2129" s="3">
        <v>22.983368089999999</v>
      </c>
      <c r="D2129" s="3">
        <v>18</v>
      </c>
    </row>
    <row r="2130" spans="1:4" x14ac:dyDescent="0.2">
      <c r="A2130" s="3">
        <v>2129</v>
      </c>
      <c r="B2130" s="3">
        <v>113.3635405</v>
      </c>
      <c r="C2130" s="3">
        <v>22.983243389999998</v>
      </c>
      <c r="D2130" s="3">
        <v>18</v>
      </c>
    </row>
    <row r="2131" spans="1:4" x14ac:dyDescent="0.2">
      <c r="A2131" s="3">
        <v>2130</v>
      </c>
      <c r="B2131" s="3">
        <v>113.3624081</v>
      </c>
      <c r="C2131" s="3">
        <v>22.981852450000002</v>
      </c>
      <c r="D2131" s="3">
        <v>18</v>
      </c>
    </row>
    <row r="2132" spans="1:4" x14ac:dyDescent="0.2">
      <c r="A2132" s="3">
        <v>2131</v>
      </c>
      <c r="B2132" s="3">
        <v>113.3692056</v>
      </c>
      <c r="C2132" s="3">
        <v>22.983421629999999</v>
      </c>
      <c r="D2132" s="3">
        <v>18</v>
      </c>
    </row>
    <row r="2133" spans="1:4" x14ac:dyDescent="0.2">
      <c r="A2133" s="3">
        <v>2132</v>
      </c>
      <c r="B2133" s="3">
        <v>113.3625358</v>
      </c>
      <c r="C2133" s="3">
        <v>22.98290283</v>
      </c>
      <c r="D2133" s="3">
        <v>18</v>
      </c>
    </row>
    <row r="2134" spans="1:4" x14ac:dyDescent="0.2">
      <c r="A2134" s="3">
        <v>2133</v>
      </c>
      <c r="B2134" s="3">
        <v>113.36864129999999</v>
      </c>
      <c r="C2134" s="3">
        <v>22.982794519999999</v>
      </c>
      <c r="D2134" s="3">
        <v>18</v>
      </c>
    </row>
    <row r="2135" spans="1:4" x14ac:dyDescent="0.2">
      <c r="A2135" s="3">
        <v>2134</v>
      </c>
      <c r="B2135" s="3">
        <v>113.36964620000001</v>
      </c>
      <c r="C2135" s="3">
        <v>22.982378600000001</v>
      </c>
      <c r="D2135" s="3">
        <v>18</v>
      </c>
    </row>
    <row r="2136" spans="1:4" x14ac:dyDescent="0.2">
      <c r="A2136" s="3">
        <v>2135</v>
      </c>
      <c r="B2136" s="3">
        <v>113.3673908</v>
      </c>
      <c r="C2136" s="3">
        <v>22.98202826</v>
      </c>
      <c r="D2136" s="3">
        <v>18</v>
      </c>
    </row>
    <row r="2137" spans="1:4" x14ac:dyDescent="0.2">
      <c r="A2137" s="3">
        <v>2136</v>
      </c>
      <c r="B2137" s="3">
        <v>113.36868029999999</v>
      </c>
      <c r="C2137" s="3">
        <v>22.981579</v>
      </c>
      <c r="D2137" s="3">
        <v>18</v>
      </c>
    </row>
    <row r="2138" spans="1:4" x14ac:dyDescent="0.2">
      <c r="A2138" s="3">
        <v>2137</v>
      </c>
      <c r="B2138" s="3">
        <v>113.3756605</v>
      </c>
      <c r="C2138" s="3">
        <v>22.980670509999999</v>
      </c>
      <c r="D2138" s="3">
        <v>39</v>
      </c>
    </row>
    <row r="2139" spans="1:4" x14ac:dyDescent="0.2">
      <c r="A2139" s="3">
        <v>2138</v>
      </c>
      <c r="B2139" s="3">
        <v>113.3731332</v>
      </c>
      <c r="C2139" s="3">
        <v>22.974072639999999</v>
      </c>
      <c r="D2139" s="3">
        <v>18</v>
      </c>
    </row>
    <row r="2140" spans="1:4" x14ac:dyDescent="0.2">
      <c r="A2140" s="3">
        <v>2139</v>
      </c>
      <c r="B2140" s="3">
        <v>113.3810309</v>
      </c>
      <c r="C2140" s="3">
        <v>22.975880490000002</v>
      </c>
      <c r="D2140" s="3">
        <v>39</v>
      </c>
    </row>
    <row r="2141" spans="1:4" x14ac:dyDescent="0.2">
      <c r="A2141" s="3">
        <v>2140</v>
      </c>
      <c r="B2141" s="3">
        <v>113.38893520000001</v>
      </c>
      <c r="C2141" s="3">
        <v>22.978465450000002</v>
      </c>
      <c r="D2141" s="3">
        <v>39</v>
      </c>
    </row>
    <row r="2142" spans="1:4" x14ac:dyDescent="0.2">
      <c r="A2142" s="3">
        <v>2141</v>
      </c>
      <c r="B2142" s="3">
        <v>113.3833563</v>
      </c>
      <c r="C2142" s="3">
        <v>22.979423539999999</v>
      </c>
      <c r="D2142" s="3">
        <v>39</v>
      </c>
    </row>
    <row r="2143" spans="1:4" x14ac:dyDescent="0.2">
      <c r="A2143" s="3">
        <v>2142</v>
      </c>
      <c r="B2143" s="3">
        <v>113.3842858</v>
      </c>
      <c r="C2143" s="3">
        <v>22.98045359</v>
      </c>
      <c r="D2143" s="3">
        <v>39</v>
      </c>
    </row>
    <row r="2144" spans="1:4" x14ac:dyDescent="0.2">
      <c r="A2144" s="3">
        <v>2143</v>
      </c>
      <c r="B2144" s="3">
        <v>113.3834523</v>
      </c>
      <c r="C2144" s="3">
        <v>22.979111620000001</v>
      </c>
      <c r="D2144" s="3">
        <v>39</v>
      </c>
    </row>
    <row r="2145" spans="1:4" x14ac:dyDescent="0.2">
      <c r="A2145" s="3">
        <v>2144</v>
      </c>
      <c r="B2145" s="3">
        <v>113.38413970000001</v>
      </c>
      <c r="C2145" s="3">
        <v>22.98184307</v>
      </c>
      <c r="D2145" s="3">
        <v>39</v>
      </c>
    </row>
    <row r="2146" spans="1:4" x14ac:dyDescent="0.2">
      <c r="A2146" s="3">
        <v>2145</v>
      </c>
      <c r="B2146" s="3">
        <v>113.38262659999999</v>
      </c>
      <c r="C2146" s="3">
        <v>22.980031700000001</v>
      </c>
      <c r="D2146" s="3">
        <v>39</v>
      </c>
    </row>
    <row r="2147" spans="1:4" x14ac:dyDescent="0.2">
      <c r="A2147" s="3">
        <v>2146</v>
      </c>
      <c r="B2147" s="3">
        <v>113.3906315</v>
      </c>
      <c r="C2147" s="3">
        <v>22.982738099999999</v>
      </c>
      <c r="D2147" s="3">
        <v>39</v>
      </c>
    </row>
    <row r="2148" spans="1:4" x14ac:dyDescent="0.2">
      <c r="A2148" s="3">
        <v>2147</v>
      </c>
      <c r="B2148" s="3">
        <v>113.3902681</v>
      </c>
      <c r="C2148" s="3">
        <v>22.974419780000002</v>
      </c>
      <c r="D2148" s="3">
        <v>39</v>
      </c>
    </row>
    <row r="2149" spans="1:4" x14ac:dyDescent="0.2">
      <c r="A2149" s="3">
        <v>2148</v>
      </c>
      <c r="B2149" s="3">
        <v>113.44460719999999</v>
      </c>
      <c r="C2149" s="3">
        <v>22.978024869999999</v>
      </c>
      <c r="D2149" s="3">
        <v>12</v>
      </c>
    </row>
    <row r="2150" spans="1:4" x14ac:dyDescent="0.2">
      <c r="A2150" s="3">
        <v>2149</v>
      </c>
      <c r="B2150" s="3">
        <v>113.4541385</v>
      </c>
      <c r="C2150" s="3">
        <v>22.980461850000001</v>
      </c>
      <c r="D2150" s="3">
        <v>12</v>
      </c>
    </row>
    <row r="2151" spans="1:4" x14ac:dyDescent="0.2">
      <c r="A2151" s="3">
        <v>2150</v>
      </c>
      <c r="B2151" s="3">
        <v>113.4540664</v>
      </c>
      <c r="C2151" s="3">
        <v>22.979117259999999</v>
      </c>
      <c r="D2151" s="3">
        <v>12</v>
      </c>
    </row>
    <row r="2152" spans="1:4" x14ac:dyDescent="0.2">
      <c r="A2152" s="3">
        <v>2151</v>
      </c>
      <c r="B2152" s="3">
        <v>113.469596</v>
      </c>
      <c r="C2152" s="3">
        <v>22.974878990000001</v>
      </c>
      <c r="D2152" s="3">
        <v>1</v>
      </c>
    </row>
    <row r="2153" spans="1:4" x14ac:dyDescent="0.2">
      <c r="A2153" s="3">
        <v>2152</v>
      </c>
      <c r="B2153" s="3">
        <v>113.46980259999999</v>
      </c>
      <c r="C2153" s="3">
        <v>22.97492454</v>
      </c>
      <c r="D2153" s="3">
        <v>1</v>
      </c>
    </row>
    <row r="2154" spans="1:4" x14ac:dyDescent="0.2">
      <c r="A2154" s="3">
        <v>2153</v>
      </c>
      <c r="B2154" s="3">
        <v>113.4767152</v>
      </c>
      <c r="C2154" s="3">
        <v>22.97564573</v>
      </c>
      <c r="D2154" s="3">
        <v>1</v>
      </c>
    </row>
    <row r="2155" spans="1:4" x14ac:dyDescent="0.2">
      <c r="A2155" s="3">
        <v>2154</v>
      </c>
      <c r="B2155" s="3">
        <v>113.47546180000001</v>
      </c>
      <c r="C2155" s="3">
        <v>22.978280999999999</v>
      </c>
      <c r="D2155" s="3">
        <v>1</v>
      </c>
    </row>
    <row r="2156" spans="1:4" x14ac:dyDescent="0.2">
      <c r="A2156" s="3">
        <v>2155</v>
      </c>
      <c r="B2156" s="3">
        <v>113.47559320000001</v>
      </c>
      <c r="C2156" s="3">
        <v>22.979309929999999</v>
      </c>
      <c r="D2156" s="3">
        <v>1</v>
      </c>
    </row>
    <row r="2157" spans="1:4" x14ac:dyDescent="0.2">
      <c r="A2157" s="3">
        <v>2156</v>
      </c>
      <c r="B2157" s="3">
        <v>113.4772991</v>
      </c>
      <c r="C2157" s="3">
        <v>22.97514962</v>
      </c>
      <c r="D2157" s="3">
        <v>1</v>
      </c>
    </row>
    <row r="2158" spans="1:4" x14ac:dyDescent="0.2">
      <c r="A2158" s="3">
        <v>2157</v>
      </c>
      <c r="B2158" s="3">
        <v>113.47504549999999</v>
      </c>
      <c r="C2158" s="3">
        <v>22.976735470000001</v>
      </c>
      <c r="D2158" s="3">
        <v>1</v>
      </c>
    </row>
    <row r="2159" spans="1:4" x14ac:dyDescent="0.2">
      <c r="A2159" s="3">
        <v>2158</v>
      </c>
      <c r="B2159" s="3">
        <v>113.4751497</v>
      </c>
      <c r="C2159" s="3">
        <v>22.979420619999999</v>
      </c>
      <c r="D2159" s="3">
        <v>1</v>
      </c>
    </row>
    <row r="2160" spans="1:4" x14ac:dyDescent="0.2">
      <c r="A2160" s="3">
        <v>2159</v>
      </c>
      <c r="B2160" s="3">
        <v>113.4797605</v>
      </c>
      <c r="C2160" s="3">
        <v>22.974346109999999</v>
      </c>
      <c r="D2160" s="3">
        <v>1</v>
      </c>
    </row>
    <row r="2161" spans="1:4" x14ac:dyDescent="0.2">
      <c r="A2161" s="3">
        <v>2160</v>
      </c>
      <c r="B2161" s="3">
        <v>113.4810688</v>
      </c>
      <c r="C2161" s="3">
        <v>22.975698359999999</v>
      </c>
      <c r="D2161" s="3">
        <v>1</v>
      </c>
    </row>
    <row r="2162" spans="1:4" x14ac:dyDescent="0.2">
      <c r="A2162" s="3">
        <v>2161</v>
      </c>
      <c r="B2162" s="3">
        <v>113.4753164</v>
      </c>
      <c r="C2162" s="3">
        <v>22.97679922</v>
      </c>
      <c r="D2162" s="3">
        <v>1</v>
      </c>
    </row>
    <row r="2163" spans="1:4" x14ac:dyDescent="0.2">
      <c r="A2163" s="3">
        <v>2162</v>
      </c>
      <c r="B2163" s="3">
        <v>113.4808601</v>
      </c>
      <c r="C2163" s="3">
        <v>22.975618780000001</v>
      </c>
      <c r="D2163" s="3">
        <v>1</v>
      </c>
    </row>
    <row r="2164" spans="1:4" x14ac:dyDescent="0.2">
      <c r="A2164" s="3">
        <v>2163</v>
      </c>
      <c r="B2164" s="3">
        <v>113.48369769999999</v>
      </c>
      <c r="C2164" s="3">
        <v>22.977891159999999</v>
      </c>
      <c r="D2164" s="3">
        <v>1</v>
      </c>
    </row>
    <row r="2165" spans="1:4" x14ac:dyDescent="0.2">
      <c r="A2165" s="3">
        <v>2164</v>
      </c>
      <c r="B2165" s="3">
        <v>113.4824083</v>
      </c>
      <c r="C2165" s="3">
        <v>22.97771942</v>
      </c>
      <c r="D2165" s="3">
        <v>1</v>
      </c>
    </row>
    <row r="2166" spans="1:4" x14ac:dyDescent="0.2">
      <c r="A2166" s="3">
        <v>2165</v>
      </c>
      <c r="B2166" s="3">
        <v>113.4846258</v>
      </c>
      <c r="C2166" s="3">
        <v>22.97858961</v>
      </c>
      <c r="D2166" s="3">
        <v>1</v>
      </c>
    </row>
    <row r="2167" spans="1:4" x14ac:dyDescent="0.2">
      <c r="A2167" s="3">
        <v>2166</v>
      </c>
      <c r="B2167" s="3">
        <v>113.49073629999999</v>
      </c>
      <c r="C2167" s="3">
        <v>22.974683540000001</v>
      </c>
      <c r="D2167" s="3">
        <v>1</v>
      </c>
    </row>
    <row r="2168" spans="1:4" x14ac:dyDescent="0.2">
      <c r="A2168" s="3">
        <v>2167</v>
      </c>
      <c r="B2168" s="3">
        <v>113.48470709999999</v>
      </c>
      <c r="C2168" s="3">
        <v>22.978830739999999</v>
      </c>
      <c r="D2168" s="3">
        <v>1</v>
      </c>
    </row>
    <row r="2169" spans="1:4" x14ac:dyDescent="0.2">
      <c r="A2169" s="3">
        <v>2168</v>
      </c>
      <c r="B2169" s="3">
        <v>113.4972769</v>
      </c>
      <c r="C2169" s="3">
        <v>22.978659499999999</v>
      </c>
      <c r="D2169" s="3">
        <v>1</v>
      </c>
    </row>
    <row r="2170" spans="1:4" x14ac:dyDescent="0.2">
      <c r="A2170" s="3">
        <v>2169</v>
      </c>
      <c r="B2170" s="3">
        <v>113.49610680000001</v>
      </c>
      <c r="C2170" s="3">
        <v>22.97906781</v>
      </c>
      <c r="D2170" s="3">
        <v>1</v>
      </c>
    </row>
    <row r="2171" spans="1:4" x14ac:dyDescent="0.2">
      <c r="A2171" s="3">
        <v>2170</v>
      </c>
      <c r="B2171" s="3">
        <v>113.4972077</v>
      </c>
      <c r="C2171" s="3">
        <v>22.977887630000001</v>
      </c>
      <c r="D2171" s="3">
        <v>1</v>
      </c>
    </row>
    <row r="2172" spans="1:4" x14ac:dyDescent="0.2">
      <c r="A2172" s="3">
        <v>2171</v>
      </c>
      <c r="B2172" s="3">
        <v>113.4977536</v>
      </c>
      <c r="C2172" s="3">
        <v>22.978315080000002</v>
      </c>
      <c r="D2172" s="3">
        <v>1</v>
      </c>
    </row>
    <row r="2173" spans="1:4" x14ac:dyDescent="0.2">
      <c r="A2173" s="3">
        <v>2172</v>
      </c>
      <c r="B2173" s="3">
        <v>113.4969016</v>
      </c>
      <c r="C2173" s="3">
        <v>22.97784073</v>
      </c>
      <c r="D2173" s="3">
        <v>1</v>
      </c>
    </row>
    <row r="2174" spans="1:4" x14ac:dyDescent="0.2">
      <c r="A2174" s="3">
        <v>2173</v>
      </c>
      <c r="B2174" s="3">
        <v>113.50114240000001</v>
      </c>
      <c r="C2174" s="3">
        <v>22.979959539999999</v>
      </c>
      <c r="D2174" s="3">
        <v>1</v>
      </c>
    </row>
    <row r="2175" spans="1:4" x14ac:dyDescent="0.2">
      <c r="A2175" s="3">
        <v>2174</v>
      </c>
      <c r="B2175" s="3">
        <v>113.4959051</v>
      </c>
      <c r="C2175" s="3">
        <v>22.978650380000001</v>
      </c>
      <c r="D2175" s="3">
        <v>1</v>
      </c>
    </row>
    <row r="2176" spans="1:4" x14ac:dyDescent="0.2">
      <c r="A2176" s="3">
        <v>2175</v>
      </c>
      <c r="B2176" s="3">
        <v>113.4958017</v>
      </c>
      <c r="C2176" s="3">
        <v>22.978962939999999</v>
      </c>
      <c r="D2176" s="3">
        <v>1</v>
      </c>
    </row>
    <row r="2177" spans="1:4" x14ac:dyDescent="0.2">
      <c r="A2177" s="3">
        <v>2176</v>
      </c>
      <c r="B2177" s="3">
        <v>113.4988795</v>
      </c>
      <c r="C2177" s="3">
        <v>22.97855036</v>
      </c>
      <c r="D2177" s="3">
        <v>1</v>
      </c>
    </row>
    <row r="2178" spans="1:4" x14ac:dyDescent="0.2">
      <c r="A2178" s="3">
        <v>2177</v>
      </c>
      <c r="B2178" s="3">
        <v>113.49907709999999</v>
      </c>
      <c r="C2178" s="3">
        <v>22.979648480000002</v>
      </c>
      <c r="D2178" s="3">
        <v>1</v>
      </c>
    </row>
    <row r="2179" spans="1:4" x14ac:dyDescent="0.2">
      <c r="A2179" s="3">
        <v>2178</v>
      </c>
      <c r="B2179" s="3">
        <v>113.4989386</v>
      </c>
      <c r="C2179" s="3">
        <v>22.979918949999998</v>
      </c>
      <c r="D2179" s="3">
        <v>1</v>
      </c>
    </row>
    <row r="2180" spans="1:4" x14ac:dyDescent="0.2">
      <c r="A2180" s="3">
        <v>2179</v>
      </c>
      <c r="B2180" s="3">
        <v>113.4968787</v>
      </c>
      <c r="C2180" s="3">
        <v>22.976516230000001</v>
      </c>
      <c r="D2180" s="3">
        <v>1</v>
      </c>
    </row>
    <row r="2181" spans="1:4" x14ac:dyDescent="0.2">
      <c r="A2181" s="3">
        <v>2180</v>
      </c>
      <c r="B2181" s="3">
        <v>113.49718369999999</v>
      </c>
      <c r="C2181" s="3">
        <v>22.976280249999999</v>
      </c>
      <c r="D2181" s="3">
        <v>1</v>
      </c>
    </row>
    <row r="2182" spans="1:4" x14ac:dyDescent="0.2">
      <c r="A2182" s="3">
        <v>2181</v>
      </c>
      <c r="B2182" s="3">
        <v>113.4933712</v>
      </c>
      <c r="C2182" s="3">
        <v>22.978780700000002</v>
      </c>
      <c r="D2182" s="3">
        <v>1</v>
      </c>
    </row>
    <row r="2183" spans="1:4" x14ac:dyDescent="0.2">
      <c r="A2183" s="3">
        <v>2182</v>
      </c>
      <c r="B2183" s="3">
        <v>113.4934535</v>
      </c>
      <c r="C2183" s="3">
        <v>22.97949564</v>
      </c>
      <c r="D2183" s="3">
        <v>1</v>
      </c>
    </row>
    <row r="2184" spans="1:4" x14ac:dyDescent="0.2">
      <c r="A2184" s="3">
        <v>2183</v>
      </c>
      <c r="B2184" s="3">
        <v>113.4968815</v>
      </c>
      <c r="C2184" s="3">
        <v>22.979336020000002</v>
      </c>
      <c r="D2184" s="3">
        <v>1</v>
      </c>
    </row>
    <row r="2185" spans="1:4" x14ac:dyDescent="0.2">
      <c r="A2185" s="3">
        <v>2184</v>
      </c>
      <c r="B2185" s="3">
        <v>113.49717080000001</v>
      </c>
      <c r="C2185" s="3">
        <v>22.975252650000002</v>
      </c>
      <c r="D2185" s="3">
        <v>1</v>
      </c>
    </row>
    <row r="2186" spans="1:4" x14ac:dyDescent="0.2">
      <c r="A2186" s="3">
        <v>2185</v>
      </c>
      <c r="B2186" s="3">
        <v>113.49266369999999</v>
      </c>
      <c r="C2186" s="3">
        <v>22.97938431</v>
      </c>
      <c r="D2186" s="3">
        <v>1</v>
      </c>
    </row>
    <row r="2187" spans="1:4" x14ac:dyDescent="0.2">
      <c r="A2187" s="3">
        <v>2186</v>
      </c>
      <c r="B2187" s="3">
        <v>113.49712270000001</v>
      </c>
      <c r="C2187" s="3">
        <v>22.973873099999999</v>
      </c>
      <c r="D2187" s="3">
        <v>1</v>
      </c>
    </row>
    <row r="2188" spans="1:4" x14ac:dyDescent="0.2">
      <c r="A2188" s="3">
        <v>2187</v>
      </c>
      <c r="B2188" s="3">
        <v>113.49681560000001</v>
      </c>
      <c r="C2188" s="3">
        <v>22.973931149999999</v>
      </c>
      <c r="D2188" s="3">
        <v>1</v>
      </c>
    </row>
    <row r="2189" spans="1:4" x14ac:dyDescent="0.2">
      <c r="A2189" s="3">
        <v>2188</v>
      </c>
      <c r="B2189" s="3">
        <v>113.5037073</v>
      </c>
      <c r="C2189" s="3">
        <v>22.97929448</v>
      </c>
      <c r="D2189" s="3">
        <v>1</v>
      </c>
    </row>
    <row r="2190" spans="1:4" x14ac:dyDescent="0.2">
      <c r="A2190" s="3">
        <v>2189</v>
      </c>
      <c r="B2190" s="3">
        <v>113.5034448</v>
      </c>
      <c r="C2190" s="3">
        <v>22.974192890000001</v>
      </c>
      <c r="D2190" s="3">
        <v>1</v>
      </c>
    </row>
    <row r="2191" spans="1:4" x14ac:dyDescent="0.2">
      <c r="A2191" s="3">
        <v>2190</v>
      </c>
      <c r="B2191" s="3">
        <v>113.5032126</v>
      </c>
      <c r="C2191" s="3">
        <v>22.979951719999999</v>
      </c>
      <c r="D2191" s="3">
        <v>1</v>
      </c>
    </row>
    <row r="2192" spans="1:4" x14ac:dyDescent="0.2">
      <c r="A2192" s="3">
        <v>2191</v>
      </c>
      <c r="B2192" s="3">
        <v>113.5058013</v>
      </c>
      <c r="C2192" s="3">
        <v>22.983603840000001</v>
      </c>
      <c r="D2192" s="3">
        <v>1</v>
      </c>
    </row>
    <row r="2193" spans="1:4" x14ac:dyDescent="0.2">
      <c r="A2193" s="3">
        <v>2192</v>
      </c>
      <c r="B2193" s="3">
        <v>113.5058495</v>
      </c>
      <c r="C2193" s="3">
        <v>22.98368894</v>
      </c>
      <c r="D2193" s="3">
        <v>1</v>
      </c>
    </row>
    <row r="2194" spans="1:4" x14ac:dyDescent="0.2">
      <c r="A2194" s="3">
        <v>2193</v>
      </c>
      <c r="B2194" s="3">
        <v>113.51612059999999</v>
      </c>
      <c r="C2194" s="3">
        <v>22.981409679999999</v>
      </c>
      <c r="D2194" s="3">
        <v>1</v>
      </c>
    </row>
    <row r="2195" spans="1:4" x14ac:dyDescent="0.2">
      <c r="A2195" s="3">
        <v>2194</v>
      </c>
      <c r="B2195" s="3">
        <v>113.5193888</v>
      </c>
      <c r="C2195" s="3">
        <v>22.97598314</v>
      </c>
      <c r="D2195" s="3">
        <v>1</v>
      </c>
    </row>
    <row r="2196" spans="1:4" x14ac:dyDescent="0.2">
      <c r="A2196" s="3">
        <v>2195</v>
      </c>
      <c r="B2196" s="3">
        <v>113.5194079</v>
      </c>
      <c r="C2196" s="3">
        <v>22.975307489999999</v>
      </c>
      <c r="D2196" s="3">
        <v>1</v>
      </c>
    </row>
    <row r="2197" spans="1:4" x14ac:dyDescent="0.2">
      <c r="A2197" s="3">
        <v>2196</v>
      </c>
      <c r="B2197" s="3">
        <v>113.52071119999999</v>
      </c>
      <c r="C2197" s="3">
        <v>22.975305070000001</v>
      </c>
      <c r="D2197" s="3">
        <v>1</v>
      </c>
    </row>
    <row r="2198" spans="1:4" x14ac:dyDescent="0.2">
      <c r="A2198" s="3">
        <v>2197</v>
      </c>
      <c r="B2198" s="3">
        <v>113.2611186</v>
      </c>
      <c r="C2198" s="3">
        <v>22.972956870000001</v>
      </c>
      <c r="D2198" s="3">
        <v>20</v>
      </c>
    </row>
    <row r="2199" spans="1:4" x14ac:dyDescent="0.2">
      <c r="A2199" s="3">
        <v>2198</v>
      </c>
      <c r="B2199" s="3">
        <v>113.2810092</v>
      </c>
      <c r="C2199" s="3">
        <v>22.965882799999999</v>
      </c>
      <c r="D2199" s="3">
        <v>20</v>
      </c>
    </row>
    <row r="2200" spans="1:4" x14ac:dyDescent="0.2">
      <c r="A2200" s="3">
        <v>2199</v>
      </c>
      <c r="B2200" s="3">
        <v>113.2838988</v>
      </c>
      <c r="C2200" s="3">
        <v>22.968447900000001</v>
      </c>
      <c r="D2200" s="3">
        <v>20</v>
      </c>
    </row>
    <row r="2201" spans="1:4" x14ac:dyDescent="0.2">
      <c r="A2201" s="3">
        <v>2200</v>
      </c>
      <c r="B2201" s="3">
        <v>113.2966205</v>
      </c>
      <c r="C2201" s="3">
        <v>22.969352270000002</v>
      </c>
      <c r="D2201" s="3">
        <v>29</v>
      </c>
    </row>
    <row r="2202" spans="1:4" x14ac:dyDescent="0.2">
      <c r="A2202" s="3">
        <v>2201</v>
      </c>
      <c r="B2202" s="3">
        <v>113.2956722</v>
      </c>
      <c r="C2202" s="3">
        <v>22.969174899999999</v>
      </c>
      <c r="D2202" s="3">
        <v>29</v>
      </c>
    </row>
    <row r="2203" spans="1:4" x14ac:dyDescent="0.2">
      <c r="A2203" s="3">
        <v>2202</v>
      </c>
      <c r="B2203" s="3">
        <v>113.2977475</v>
      </c>
      <c r="C2203" s="3">
        <v>22.96802696</v>
      </c>
      <c r="D2203" s="3">
        <v>29</v>
      </c>
    </row>
    <row r="2204" spans="1:4" x14ac:dyDescent="0.2">
      <c r="A2204" s="3">
        <v>2203</v>
      </c>
      <c r="B2204" s="3">
        <v>113.2967134</v>
      </c>
      <c r="C2204" s="3">
        <v>22.968006689999999</v>
      </c>
      <c r="D2204" s="3">
        <v>29</v>
      </c>
    </row>
    <row r="2205" spans="1:4" x14ac:dyDescent="0.2">
      <c r="A2205" s="3">
        <v>2204</v>
      </c>
      <c r="B2205" s="3">
        <v>113.2951173</v>
      </c>
      <c r="C2205" s="3">
        <v>22.96864703</v>
      </c>
      <c r="D2205" s="3">
        <v>29</v>
      </c>
    </row>
    <row r="2206" spans="1:4" x14ac:dyDescent="0.2">
      <c r="A2206" s="3">
        <v>2205</v>
      </c>
      <c r="B2206" s="3">
        <v>113.2982614</v>
      </c>
      <c r="C2206" s="3">
        <v>22.971573580000001</v>
      </c>
      <c r="D2206" s="3">
        <v>29</v>
      </c>
    </row>
    <row r="2207" spans="1:4" x14ac:dyDescent="0.2">
      <c r="A2207" s="3">
        <v>2206</v>
      </c>
      <c r="B2207" s="3">
        <v>113.300517</v>
      </c>
      <c r="C2207" s="3">
        <v>22.973201029999998</v>
      </c>
      <c r="D2207" s="3">
        <v>29</v>
      </c>
    </row>
    <row r="2208" spans="1:4" x14ac:dyDescent="0.2">
      <c r="A2208" s="3">
        <v>2207</v>
      </c>
      <c r="B2208" s="3">
        <v>113.2964705</v>
      </c>
      <c r="C2208" s="3">
        <v>22.97276505</v>
      </c>
      <c r="D2208" s="3">
        <v>29</v>
      </c>
    </row>
    <row r="2209" spans="1:4" x14ac:dyDescent="0.2">
      <c r="A2209" s="3">
        <v>2208</v>
      </c>
      <c r="B2209" s="3">
        <v>113.30634310000001</v>
      </c>
      <c r="C2209" s="3">
        <v>22.968971539999998</v>
      </c>
      <c r="D2209" s="3">
        <v>29</v>
      </c>
    </row>
    <row r="2210" spans="1:4" x14ac:dyDescent="0.2">
      <c r="A2210" s="3">
        <v>2209</v>
      </c>
      <c r="B2210" s="3">
        <v>113.3030145</v>
      </c>
      <c r="C2210" s="3">
        <v>22.969258369999999</v>
      </c>
      <c r="D2210" s="3">
        <v>29</v>
      </c>
    </row>
    <row r="2211" spans="1:4" x14ac:dyDescent="0.2">
      <c r="A2211" s="3">
        <v>2210</v>
      </c>
      <c r="B2211" s="3">
        <v>113.3097003</v>
      </c>
      <c r="C2211" s="3">
        <v>22.970739640000001</v>
      </c>
      <c r="D2211" s="3">
        <v>29</v>
      </c>
    </row>
    <row r="2212" spans="1:4" x14ac:dyDescent="0.2">
      <c r="A2212" s="3">
        <v>2211</v>
      </c>
      <c r="B2212" s="3">
        <v>113.303709</v>
      </c>
      <c r="C2212" s="3">
        <v>22.972073930000001</v>
      </c>
      <c r="D2212" s="3">
        <v>29</v>
      </c>
    </row>
    <row r="2213" spans="1:4" x14ac:dyDescent="0.2">
      <c r="A2213" s="3">
        <v>2212</v>
      </c>
      <c r="B2213" s="3">
        <v>113.30490880000001</v>
      </c>
      <c r="C2213" s="3">
        <v>22.971034240000002</v>
      </c>
      <c r="D2213" s="3">
        <v>29</v>
      </c>
    </row>
    <row r="2214" spans="1:4" x14ac:dyDescent="0.2">
      <c r="A2214" s="3">
        <v>2213</v>
      </c>
      <c r="B2214" s="3">
        <v>113.3070385</v>
      </c>
      <c r="C2214" s="3">
        <v>22.971704110000001</v>
      </c>
      <c r="D2214" s="3">
        <v>29</v>
      </c>
    </row>
    <row r="2215" spans="1:4" x14ac:dyDescent="0.2">
      <c r="A2215" s="3">
        <v>2214</v>
      </c>
      <c r="B2215" s="3">
        <v>113.3043019</v>
      </c>
      <c r="C2215" s="3">
        <v>22.971528110000001</v>
      </c>
      <c r="D2215" s="3">
        <v>29</v>
      </c>
    </row>
    <row r="2216" spans="1:4" x14ac:dyDescent="0.2">
      <c r="A2216" s="3">
        <v>2215</v>
      </c>
      <c r="B2216" s="3">
        <v>113.30823119999999</v>
      </c>
      <c r="C2216" s="3">
        <v>22.970474459999998</v>
      </c>
      <c r="D2216" s="3">
        <v>29</v>
      </c>
    </row>
    <row r="2217" spans="1:4" x14ac:dyDescent="0.2">
      <c r="A2217" s="3">
        <v>2216</v>
      </c>
      <c r="B2217" s="3">
        <v>113.3066712</v>
      </c>
      <c r="C2217" s="3">
        <v>22.9725714</v>
      </c>
      <c r="D2217" s="3">
        <v>29</v>
      </c>
    </row>
    <row r="2218" spans="1:4" x14ac:dyDescent="0.2">
      <c r="A2218" s="3">
        <v>2217</v>
      </c>
      <c r="B2218" s="3">
        <v>113.30910540000001</v>
      </c>
      <c r="C2218" s="3">
        <v>22.971744309999998</v>
      </c>
      <c r="D2218" s="3">
        <v>29</v>
      </c>
    </row>
    <row r="2219" spans="1:4" x14ac:dyDescent="0.2">
      <c r="A2219" s="3">
        <v>2218</v>
      </c>
      <c r="B2219" s="3">
        <v>113.3109278</v>
      </c>
      <c r="C2219" s="3">
        <v>22.971037240000001</v>
      </c>
      <c r="D2219" s="3">
        <v>29</v>
      </c>
    </row>
    <row r="2220" spans="1:4" x14ac:dyDescent="0.2">
      <c r="A2220" s="3">
        <v>2219</v>
      </c>
      <c r="B2220" s="3">
        <v>113.3033616</v>
      </c>
      <c r="C2220" s="3">
        <v>22.973637879999998</v>
      </c>
      <c r="D2220" s="3">
        <v>29</v>
      </c>
    </row>
    <row r="2221" spans="1:4" x14ac:dyDescent="0.2">
      <c r="A2221" s="3">
        <v>2220</v>
      </c>
      <c r="B2221" s="3">
        <v>113.3099296</v>
      </c>
      <c r="C2221" s="3">
        <v>22.973621980000001</v>
      </c>
      <c r="D2221" s="3">
        <v>29</v>
      </c>
    </row>
    <row r="2222" spans="1:4" x14ac:dyDescent="0.2">
      <c r="A2222" s="3">
        <v>2221</v>
      </c>
      <c r="B2222" s="3">
        <v>113.3020624</v>
      </c>
      <c r="C2222" s="3">
        <v>22.96923305</v>
      </c>
      <c r="D2222" s="3">
        <v>29</v>
      </c>
    </row>
    <row r="2223" spans="1:4" x14ac:dyDescent="0.2">
      <c r="A2223" s="3">
        <v>2222</v>
      </c>
      <c r="B2223" s="3">
        <v>113.311331</v>
      </c>
      <c r="C2223" s="3">
        <v>22.97137734</v>
      </c>
      <c r="D2223" s="3">
        <v>29</v>
      </c>
    </row>
    <row r="2224" spans="1:4" x14ac:dyDescent="0.2">
      <c r="A2224" s="3">
        <v>2223</v>
      </c>
      <c r="B2224" s="3">
        <v>113.3181723</v>
      </c>
      <c r="C2224" s="3">
        <v>22.966219639999998</v>
      </c>
      <c r="D2224" s="3">
        <v>3</v>
      </c>
    </row>
    <row r="2225" spans="1:4" x14ac:dyDescent="0.2">
      <c r="A2225" s="3">
        <v>2224</v>
      </c>
      <c r="B2225" s="3">
        <v>113.3186151</v>
      </c>
      <c r="C2225" s="3">
        <v>22.971272630000001</v>
      </c>
      <c r="D2225" s="3">
        <v>3</v>
      </c>
    </row>
    <row r="2226" spans="1:4" x14ac:dyDescent="0.2">
      <c r="A2226" s="3">
        <v>2225</v>
      </c>
      <c r="B2226" s="3">
        <v>113.3176959</v>
      </c>
      <c r="C2226" s="3">
        <v>22.971989069999999</v>
      </c>
      <c r="D2226" s="3">
        <v>3</v>
      </c>
    </row>
    <row r="2227" spans="1:4" x14ac:dyDescent="0.2">
      <c r="A2227" s="3">
        <v>2226</v>
      </c>
      <c r="B2227" s="3">
        <v>113.31727600000001</v>
      </c>
      <c r="C2227" s="3">
        <v>22.969527930000002</v>
      </c>
      <c r="D2227" s="3">
        <v>3</v>
      </c>
    </row>
    <row r="2228" spans="1:4" x14ac:dyDescent="0.2">
      <c r="A2228" s="3">
        <v>2227</v>
      </c>
      <c r="B2228" s="3">
        <v>113.3179825</v>
      </c>
      <c r="C2228" s="3">
        <v>22.97009534</v>
      </c>
      <c r="D2228" s="3">
        <v>3</v>
      </c>
    </row>
    <row r="2229" spans="1:4" x14ac:dyDescent="0.2">
      <c r="A2229" s="3">
        <v>2228</v>
      </c>
      <c r="B2229" s="3">
        <v>113.31771999999999</v>
      </c>
      <c r="C2229" s="3">
        <v>22.970541650000001</v>
      </c>
      <c r="D2229" s="3">
        <v>3</v>
      </c>
    </row>
    <row r="2230" spans="1:4" x14ac:dyDescent="0.2">
      <c r="A2230" s="3">
        <v>2229</v>
      </c>
      <c r="B2230" s="3">
        <v>113.31699740000001</v>
      </c>
      <c r="C2230" s="3">
        <v>22.97162556</v>
      </c>
      <c r="D2230" s="3">
        <v>3</v>
      </c>
    </row>
    <row r="2231" spans="1:4" x14ac:dyDescent="0.2">
      <c r="A2231" s="3">
        <v>2230</v>
      </c>
      <c r="B2231" s="3">
        <v>113.3143548</v>
      </c>
      <c r="C2231" s="3">
        <v>22.971773500000001</v>
      </c>
      <c r="D2231" s="3">
        <v>3</v>
      </c>
    </row>
    <row r="2232" spans="1:4" x14ac:dyDescent="0.2">
      <c r="A2232" s="3">
        <v>2231</v>
      </c>
      <c r="B2232" s="3">
        <v>113.3177917</v>
      </c>
      <c r="C2232" s="3">
        <v>22.972633609999999</v>
      </c>
      <c r="D2232" s="3">
        <v>3</v>
      </c>
    </row>
    <row r="2233" spans="1:4" x14ac:dyDescent="0.2">
      <c r="A2233" s="3">
        <v>2232</v>
      </c>
      <c r="B2233" s="3">
        <v>113.3196779</v>
      </c>
      <c r="C2233" s="3">
        <v>22.970819800000001</v>
      </c>
      <c r="D2233" s="3">
        <v>3</v>
      </c>
    </row>
    <row r="2234" spans="1:4" x14ac:dyDescent="0.2">
      <c r="A2234" s="3">
        <v>2233</v>
      </c>
      <c r="B2234" s="3">
        <v>113.3128419</v>
      </c>
      <c r="C2234" s="3">
        <v>22.97147348</v>
      </c>
      <c r="D2234" s="3">
        <v>3</v>
      </c>
    </row>
    <row r="2235" spans="1:4" x14ac:dyDescent="0.2">
      <c r="A2235" s="3">
        <v>2234</v>
      </c>
      <c r="B2235" s="3">
        <v>113.3128778</v>
      </c>
      <c r="C2235" s="3">
        <v>22.971845250000001</v>
      </c>
      <c r="D2235" s="3">
        <v>3</v>
      </c>
    </row>
    <row r="2236" spans="1:4" x14ac:dyDescent="0.2">
      <c r="A2236" s="3">
        <v>2235</v>
      </c>
      <c r="B2236" s="3">
        <v>113.3194803</v>
      </c>
      <c r="C2236" s="3">
        <v>22.971170019999999</v>
      </c>
      <c r="D2236" s="3">
        <v>3</v>
      </c>
    </row>
    <row r="2237" spans="1:4" x14ac:dyDescent="0.2">
      <c r="A2237" s="3">
        <v>2236</v>
      </c>
      <c r="B2237" s="3">
        <v>113.3191161</v>
      </c>
      <c r="C2237" s="3">
        <v>22.971234689999999</v>
      </c>
      <c r="D2237" s="3">
        <v>3</v>
      </c>
    </row>
    <row r="2238" spans="1:4" x14ac:dyDescent="0.2">
      <c r="A2238" s="3">
        <v>2237</v>
      </c>
      <c r="B2238" s="3">
        <v>113.3122685</v>
      </c>
      <c r="C2238" s="3">
        <v>22.96474744</v>
      </c>
      <c r="D2238" s="3">
        <v>3</v>
      </c>
    </row>
    <row r="2239" spans="1:4" x14ac:dyDescent="0.2">
      <c r="A2239" s="3">
        <v>2238</v>
      </c>
      <c r="B2239" s="3">
        <v>113.320081</v>
      </c>
      <c r="C2239" s="3">
        <v>22.972269399999998</v>
      </c>
      <c r="D2239" s="3">
        <v>3</v>
      </c>
    </row>
    <row r="2240" spans="1:4" x14ac:dyDescent="0.2">
      <c r="A2240" s="3">
        <v>2239</v>
      </c>
      <c r="B2240" s="3">
        <v>113.3208364</v>
      </c>
      <c r="C2240" s="3">
        <v>22.97341746</v>
      </c>
      <c r="D2240" s="3">
        <v>3</v>
      </c>
    </row>
    <row r="2241" spans="1:4" x14ac:dyDescent="0.2">
      <c r="A2241" s="3">
        <v>2240</v>
      </c>
      <c r="B2241" s="3">
        <v>113.3216267</v>
      </c>
      <c r="C2241" s="3">
        <v>22.973571889999999</v>
      </c>
      <c r="D2241" s="3">
        <v>3</v>
      </c>
    </row>
    <row r="2242" spans="1:4" x14ac:dyDescent="0.2">
      <c r="A2242" s="3">
        <v>2241</v>
      </c>
      <c r="B2242" s="3">
        <v>113.3195063</v>
      </c>
      <c r="C2242" s="3">
        <v>22.971015040000001</v>
      </c>
      <c r="D2242" s="3">
        <v>3</v>
      </c>
    </row>
    <row r="2243" spans="1:4" x14ac:dyDescent="0.2">
      <c r="A2243" s="3">
        <v>2242</v>
      </c>
      <c r="B2243" s="3">
        <v>113.3211537</v>
      </c>
      <c r="C2243" s="3">
        <v>22.97346284</v>
      </c>
      <c r="D2243" s="3">
        <v>3</v>
      </c>
    </row>
    <row r="2244" spans="1:4" x14ac:dyDescent="0.2">
      <c r="A2244" s="3">
        <v>2243</v>
      </c>
      <c r="B2244" s="3">
        <v>113.3194962</v>
      </c>
      <c r="C2244" s="3">
        <v>22.972674349999998</v>
      </c>
      <c r="D2244" s="3">
        <v>3</v>
      </c>
    </row>
    <row r="2245" spans="1:4" x14ac:dyDescent="0.2">
      <c r="A2245" s="3">
        <v>2244</v>
      </c>
      <c r="B2245" s="3">
        <v>113.32018170000001</v>
      </c>
      <c r="C2245" s="3">
        <v>22.97347869</v>
      </c>
      <c r="D2245" s="3">
        <v>3</v>
      </c>
    </row>
    <row r="2246" spans="1:4" x14ac:dyDescent="0.2">
      <c r="A2246" s="3">
        <v>2245</v>
      </c>
      <c r="B2246" s="3">
        <v>113.3207535</v>
      </c>
      <c r="C2246" s="3">
        <v>22.973663519999999</v>
      </c>
      <c r="D2246" s="3">
        <v>3</v>
      </c>
    </row>
    <row r="2247" spans="1:4" x14ac:dyDescent="0.2">
      <c r="A2247" s="3">
        <v>2246</v>
      </c>
      <c r="B2247" s="3">
        <v>113.3167967</v>
      </c>
      <c r="C2247" s="3">
        <v>22.972561540000001</v>
      </c>
      <c r="D2247" s="3">
        <v>3</v>
      </c>
    </row>
    <row r="2248" spans="1:4" x14ac:dyDescent="0.2">
      <c r="A2248" s="3">
        <v>2247</v>
      </c>
      <c r="B2248" s="3">
        <v>113.31986550000001</v>
      </c>
      <c r="C2248" s="3">
        <v>22.971726050000001</v>
      </c>
      <c r="D2248" s="3">
        <v>3</v>
      </c>
    </row>
    <row r="2249" spans="1:4" x14ac:dyDescent="0.2">
      <c r="A2249" s="3">
        <v>2248</v>
      </c>
      <c r="B2249" s="3">
        <v>113.312777</v>
      </c>
      <c r="C2249" s="3">
        <v>22.971909409999999</v>
      </c>
      <c r="D2249" s="3">
        <v>3</v>
      </c>
    </row>
    <row r="2250" spans="1:4" x14ac:dyDescent="0.2">
      <c r="A2250" s="3">
        <v>2249</v>
      </c>
      <c r="B2250" s="3">
        <v>113.32609720000001</v>
      </c>
      <c r="C2250" s="3">
        <v>22.964263330000001</v>
      </c>
      <c r="D2250" s="3">
        <v>3</v>
      </c>
    </row>
    <row r="2251" spans="1:4" x14ac:dyDescent="0.2">
      <c r="A2251" s="3">
        <v>2250</v>
      </c>
      <c r="B2251" s="3">
        <v>113.3286425</v>
      </c>
      <c r="C2251" s="3">
        <v>22.970785679999999</v>
      </c>
      <c r="D2251" s="3">
        <v>3</v>
      </c>
    </row>
    <row r="2252" spans="1:4" x14ac:dyDescent="0.2">
      <c r="A2252" s="3">
        <v>2251</v>
      </c>
      <c r="B2252" s="3">
        <v>113.3234356</v>
      </c>
      <c r="C2252" s="3">
        <v>22.964289409999999</v>
      </c>
      <c r="D2252" s="3">
        <v>3</v>
      </c>
    </row>
    <row r="2253" spans="1:4" x14ac:dyDescent="0.2">
      <c r="A2253" s="3">
        <v>2252</v>
      </c>
      <c r="B2253" s="3">
        <v>113.3255362</v>
      </c>
      <c r="C2253" s="3">
        <v>22.965736769999999</v>
      </c>
      <c r="D2253" s="3">
        <v>3</v>
      </c>
    </row>
    <row r="2254" spans="1:4" x14ac:dyDescent="0.2">
      <c r="A2254" s="3">
        <v>2253</v>
      </c>
      <c r="B2254" s="3">
        <v>113.3261929</v>
      </c>
      <c r="C2254" s="3">
        <v>22.964597009999999</v>
      </c>
      <c r="D2254" s="3">
        <v>3</v>
      </c>
    </row>
    <row r="2255" spans="1:4" x14ac:dyDescent="0.2">
      <c r="A2255" s="3">
        <v>2254</v>
      </c>
      <c r="B2255" s="3">
        <v>113.33110259999999</v>
      </c>
      <c r="C2255" s="3">
        <v>22.970366200000001</v>
      </c>
      <c r="D2255" s="3">
        <v>3</v>
      </c>
    </row>
    <row r="2256" spans="1:4" x14ac:dyDescent="0.2">
      <c r="A2256" s="3">
        <v>2255</v>
      </c>
      <c r="B2256" s="3">
        <v>113.3304448</v>
      </c>
      <c r="C2256" s="3">
        <v>22.971542939999999</v>
      </c>
      <c r="D2256" s="3">
        <v>3</v>
      </c>
    </row>
    <row r="2257" spans="1:4" x14ac:dyDescent="0.2">
      <c r="A2257" s="3">
        <v>2256</v>
      </c>
      <c r="B2257" s="3">
        <v>113.3307391</v>
      </c>
      <c r="C2257" s="3">
        <v>22.973164690000001</v>
      </c>
      <c r="D2257" s="3">
        <v>3</v>
      </c>
    </row>
    <row r="2258" spans="1:4" x14ac:dyDescent="0.2">
      <c r="A2258" s="3">
        <v>2257</v>
      </c>
      <c r="B2258" s="3">
        <v>113.3293539</v>
      </c>
      <c r="C2258" s="3">
        <v>22.973551140000001</v>
      </c>
      <c r="D2258" s="3">
        <v>3</v>
      </c>
    </row>
    <row r="2259" spans="1:4" x14ac:dyDescent="0.2">
      <c r="A2259" s="3">
        <v>2258</v>
      </c>
      <c r="B2259" s="3">
        <v>113.3314527</v>
      </c>
      <c r="C2259" s="3">
        <v>22.97201484</v>
      </c>
      <c r="D2259" s="3">
        <v>3</v>
      </c>
    </row>
    <row r="2260" spans="1:4" x14ac:dyDescent="0.2">
      <c r="A2260" s="3">
        <v>2259</v>
      </c>
      <c r="B2260" s="3">
        <v>113.3308229</v>
      </c>
      <c r="C2260" s="3">
        <v>22.973551359999998</v>
      </c>
      <c r="D2260" s="3">
        <v>3</v>
      </c>
    </row>
    <row r="2261" spans="1:4" x14ac:dyDescent="0.2">
      <c r="A2261" s="3">
        <v>2260</v>
      </c>
      <c r="B2261" s="3">
        <v>113.33692600000001</v>
      </c>
      <c r="C2261" s="3">
        <v>22.969234849999999</v>
      </c>
      <c r="D2261" s="3">
        <v>28</v>
      </c>
    </row>
    <row r="2262" spans="1:4" x14ac:dyDescent="0.2">
      <c r="A2262" s="3">
        <v>2261</v>
      </c>
      <c r="B2262" s="3">
        <v>113.3369429</v>
      </c>
      <c r="C2262" s="3">
        <v>22.970363330000001</v>
      </c>
      <c r="D2262" s="3">
        <v>28</v>
      </c>
    </row>
    <row r="2263" spans="1:4" x14ac:dyDescent="0.2">
      <c r="A2263" s="3">
        <v>2262</v>
      </c>
      <c r="B2263" s="3">
        <v>113.3388874</v>
      </c>
      <c r="C2263" s="3">
        <v>22.967320099999998</v>
      </c>
      <c r="D2263" s="3">
        <v>28</v>
      </c>
    </row>
    <row r="2264" spans="1:4" x14ac:dyDescent="0.2">
      <c r="A2264" s="3">
        <v>2263</v>
      </c>
      <c r="B2264" s="3">
        <v>113.3365927</v>
      </c>
      <c r="C2264" s="3">
        <v>22.969385389999999</v>
      </c>
      <c r="D2264" s="3">
        <v>28</v>
      </c>
    </row>
    <row r="2265" spans="1:4" x14ac:dyDescent="0.2">
      <c r="A2265" s="3">
        <v>2264</v>
      </c>
      <c r="B2265" s="3">
        <v>113.3390189</v>
      </c>
      <c r="C2265" s="3">
        <v>22.970414529999999</v>
      </c>
      <c r="D2265" s="3">
        <v>28</v>
      </c>
    </row>
    <row r="2266" spans="1:4" x14ac:dyDescent="0.2">
      <c r="A2266" s="3">
        <v>2265</v>
      </c>
      <c r="B2266" s="3">
        <v>113.3402708</v>
      </c>
      <c r="C2266" s="3">
        <v>22.966731859999999</v>
      </c>
      <c r="D2266" s="3">
        <v>28</v>
      </c>
    </row>
    <row r="2267" spans="1:4" x14ac:dyDescent="0.2">
      <c r="A2267" s="3">
        <v>2266</v>
      </c>
      <c r="B2267" s="3">
        <v>113.3379439</v>
      </c>
      <c r="C2267" s="3">
        <v>22.97211875</v>
      </c>
      <c r="D2267" s="3">
        <v>2</v>
      </c>
    </row>
    <row r="2268" spans="1:4" x14ac:dyDescent="0.2">
      <c r="A2268" s="3">
        <v>2267</v>
      </c>
      <c r="B2268" s="3">
        <v>113.3411512</v>
      </c>
      <c r="C2268" s="3">
        <v>22.965565789999999</v>
      </c>
      <c r="D2268" s="3">
        <v>28</v>
      </c>
    </row>
    <row r="2269" spans="1:4" x14ac:dyDescent="0.2">
      <c r="A2269" s="3">
        <v>2268</v>
      </c>
      <c r="B2269" s="3">
        <v>113.340127</v>
      </c>
      <c r="C2269" s="3">
        <v>22.96784963</v>
      </c>
      <c r="D2269" s="3">
        <v>28</v>
      </c>
    </row>
    <row r="2270" spans="1:4" x14ac:dyDescent="0.2">
      <c r="A2270" s="3">
        <v>2269</v>
      </c>
      <c r="B2270" s="3">
        <v>113.34077739999999</v>
      </c>
      <c r="C2270" s="3">
        <v>22.972719380000001</v>
      </c>
      <c r="D2270" s="3">
        <v>2</v>
      </c>
    </row>
    <row r="2271" spans="1:4" x14ac:dyDescent="0.2">
      <c r="A2271" s="3">
        <v>2270</v>
      </c>
      <c r="B2271" s="3">
        <v>113.3400458</v>
      </c>
      <c r="C2271" s="3">
        <v>22.972188920000001</v>
      </c>
      <c r="D2271" s="3">
        <v>2</v>
      </c>
    </row>
    <row r="2272" spans="1:4" x14ac:dyDescent="0.2">
      <c r="A2272" s="3">
        <v>2271</v>
      </c>
      <c r="B2272" s="3">
        <v>113.3407115</v>
      </c>
      <c r="C2272" s="3">
        <v>22.972723500000001</v>
      </c>
      <c r="D2272" s="3">
        <v>2</v>
      </c>
    </row>
    <row r="2273" spans="1:4" x14ac:dyDescent="0.2">
      <c r="A2273" s="3">
        <v>2272</v>
      </c>
      <c r="B2273" s="3">
        <v>113.3436133</v>
      </c>
      <c r="C2273" s="3">
        <v>22.969543739999999</v>
      </c>
      <c r="D2273" s="3">
        <v>28</v>
      </c>
    </row>
    <row r="2274" spans="1:4" x14ac:dyDescent="0.2">
      <c r="A2274" s="3">
        <v>2273</v>
      </c>
      <c r="B2274" s="3">
        <v>113.34252650000001</v>
      </c>
      <c r="C2274" s="3">
        <v>22.96703072</v>
      </c>
      <c r="D2274" s="3">
        <v>28</v>
      </c>
    </row>
    <row r="2275" spans="1:4" x14ac:dyDescent="0.2">
      <c r="A2275" s="3">
        <v>2274</v>
      </c>
      <c r="B2275" s="3">
        <v>113.34715009999999</v>
      </c>
      <c r="C2275" s="3">
        <v>22.9662711</v>
      </c>
      <c r="D2275" s="3">
        <v>28</v>
      </c>
    </row>
    <row r="2276" spans="1:4" x14ac:dyDescent="0.2">
      <c r="A2276" s="3">
        <v>2275</v>
      </c>
      <c r="B2276" s="3">
        <v>113.3467898</v>
      </c>
      <c r="C2276" s="3">
        <v>22.966003820000001</v>
      </c>
      <c r="D2276" s="3">
        <v>28</v>
      </c>
    </row>
    <row r="2277" spans="1:4" x14ac:dyDescent="0.2">
      <c r="A2277" s="3">
        <v>2276</v>
      </c>
      <c r="B2277" s="3">
        <v>113.349861</v>
      </c>
      <c r="C2277" s="3">
        <v>22.97272585</v>
      </c>
      <c r="D2277" s="3">
        <v>2</v>
      </c>
    </row>
    <row r="2278" spans="1:4" x14ac:dyDescent="0.2">
      <c r="A2278" s="3">
        <v>2277</v>
      </c>
      <c r="B2278" s="3">
        <v>113.3439168</v>
      </c>
      <c r="C2278" s="3">
        <v>22.969127400000001</v>
      </c>
      <c r="D2278" s="3">
        <v>28</v>
      </c>
    </row>
    <row r="2279" spans="1:4" x14ac:dyDescent="0.2">
      <c r="A2279" s="3">
        <v>2278</v>
      </c>
      <c r="B2279" s="3">
        <v>113.34256430000001</v>
      </c>
      <c r="C2279" s="3">
        <v>22.968519019999999</v>
      </c>
      <c r="D2279" s="3">
        <v>28</v>
      </c>
    </row>
    <row r="2280" spans="1:4" x14ac:dyDescent="0.2">
      <c r="A2280" s="3">
        <v>2279</v>
      </c>
      <c r="B2280" s="3">
        <v>113.3442744</v>
      </c>
      <c r="C2280" s="3">
        <v>22.96473666</v>
      </c>
      <c r="D2280" s="3">
        <v>28</v>
      </c>
    </row>
    <row r="2281" spans="1:4" x14ac:dyDescent="0.2">
      <c r="A2281" s="3">
        <v>2280</v>
      </c>
      <c r="B2281" s="3">
        <v>113.34268590000001</v>
      </c>
      <c r="C2281" s="3">
        <v>22.971706439999998</v>
      </c>
      <c r="D2281" s="3">
        <v>2</v>
      </c>
    </row>
    <row r="2282" spans="1:4" x14ac:dyDescent="0.2">
      <c r="A2282" s="3">
        <v>2281</v>
      </c>
      <c r="B2282" s="3">
        <v>113.3492626</v>
      </c>
      <c r="C2282" s="3">
        <v>22.9644184</v>
      </c>
      <c r="D2282" s="3">
        <v>28</v>
      </c>
    </row>
    <row r="2283" spans="1:4" x14ac:dyDescent="0.2">
      <c r="A2283" s="3">
        <v>2282</v>
      </c>
      <c r="B2283" s="3">
        <v>113.34194840000001</v>
      </c>
      <c r="C2283" s="3">
        <v>22.9692218</v>
      </c>
      <c r="D2283" s="3">
        <v>28</v>
      </c>
    </row>
    <row r="2284" spans="1:4" x14ac:dyDescent="0.2">
      <c r="A2284" s="3">
        <v>2283</v>
      </c>
      <c r="B2284" s="3">
        <v>113.3418774</v>
      </c>
      <c r="C2284" s="3">
        <v>22.97180882</v>
      </c>
      <c r="D2284" s="3">
        <v>2</v>
      </c>
    </row>
    <row r="2285" spans="1:4" x14ac:dyDescent="0.2">
      <c r="A2285" s="3">
        <v>2284</v>
      </c>
      <c r="B2285" s="3">
        <v>113.3482583</v>
      </c>
      <c r="C2285" s="3">
        <v>22.964171149999999</v>
      </c>
      <c r="D2285" s="3">
        <v>28</v>
      </c>
    </row>
    <row r="2286" spans="1:4" x14ac:dyDescent="0.2">
      <c r="A2286" s="3">
        <v>2285</v>
      </c>
      <c r="B2286" s="3">
        <v>113.3428595</v>
      </c>
      <c r="C2286" s="3">
        <v>22.9731785</v>
      </c>
      <c r="D2286" s="3">
        <v>2</v>
      </c>
    </row>
    <row r="2287" spans="1:4" x14ac:dyDescent="0.2">
      <c r="A2287" s="3">
        <v>2286</v>
      </c>
      <c r="B2287" s="3">
        <v>113.3486307</v>
      </c>
      <c r="C2287" s="3">
        <v>22.964199529999998</v>
      </c>
      <c r="D2287" s="3">
        <v>28</v>
      </c>
    </row>
    <row r="2288" spans="1:4" x14ac:dyDescent="0.2">
      <c r="A2288" s="3">
        <v>2287</v>
      </c>
      <c r="B2288" s="3">
        <v>113.34906789999999</v>
      </c>
      <c r="C2288" s="3">
        <v>22.963794979999999</v>
      </c>
      <c r="D2288" s="3">
        <v>28</v>
      </c>
    </row>
    <row r="2289" spans="1:4" x14ac:dyDescent="0.2">
      <c r="A2289" s="3">
        <v>2288</v>
      </c>
      <c r="B2289" s="3">
        <v>113.34185340000001</v>
      </c>
      <c r="C2289" s="3">
        <v>22.972691480000002</v>
      </c>
      <c r="D2289" s="3">
        <v>2</v>
      </c>
    </row>
    <row r="2290" spans="1:4" x14ac:dyDescent="0.2">
      <c r="A2290" s="3">
        <v>2289</v>
      </c>
      <c r="B2290" s="3">
        <v>113.350223</v>
      </c>
      <c r="C2290" s="3">
        <v>22.963854080000001</v>
      </c>
      <c r="D2290" s="3">
        <v>28</v>
      </c>
    </row>
    <row r="2291" spans="1:4" x14ac:dyDescent="0.2">
      <c r="A2291" s="3">
        <v>2290</v>
      </c>
      <c r="B2291" s="3">
        <v>113.3418643</v>
      </c>
      <c r="C2291" s="3">
        <v>22.973527099999998</v>
      </c>
      <c r="D2291" s="3">
        <v>2</v>
      </c>
    </row>
    <row r="2292" spans="1:4" x14ac:dyDescent="0.2">
      <c r="A2292" s="3">
        <v>2291</v>
      </c>
      <c r="B2292" s="3">
        <v>113.34618690000001</v>
      </c>
      <c r="C2292" s="3">
        <v>22.965454080000001</v>
      </c>
      <c r="D2292" s="3">
        <v>28</v>
      </c>
    </row>
    <row r="2293" spans="1:4" x14ac:dyDescent="0.2">
      <c r="A2293" s="3">
        <v>2292</v>
      </c>
      <c r="B2293" s="3">
        <v>113.35081889999999</v>
      </c>
      <c r="C2293" s="3">
        <v>22.964319920000001</v>
      </c>
      <c r="D2293" s="3">
        <v>28</v>
      </c>
    </row>
    <row r="2294" spans="1:4" x14ac:dyDescent="0.2">
      <c r="A2294" s="3">
        <v>2293</v>
      </c>
      <c r="B2294" s="3">
        <v>113.3491428</v>
      </c>
      <c r="C2294" s="3">
        <v>22.96380585</v>
      </c>
      <c r="D2294" s="3">
        <v>28</v>
      </c>
    </row>
    <row r="2295" spans="1:4" x14ac:dyDescent="0.2">
      <c r="A2295" s="3">
        <v>2294</v>
      </c>
      <c r="B2295" s="3">
        <v>113.349834</v>
      </c>
      <c r="C2295" s="3">
        <v>22.9727289</v>
      </c>
      <c r="D2295" s="3">
        <v>2</v>
      </c>
    </row>
    <row r="2296" spans="1:4" x14ac:dyDescent="0.2">
      <c r="A2296" s="3">
        <v>2295</v>
      </c>
      <c r="B2296" s="3">
        <v>113.3430082</v>
      </c>
      <c r="C2296" s="3">
        <v>22.972425560000001</v>
      </c>
      <c r="D2296" s="3">
        <v>2</v>
      </c>
    </row>
    <row r="2297" spans="1:4" x14ac:dyDescent="0.2">
      <c r="A2297" s="3">
        <v>2296</v>
      </c>
      <c r="B2297" s="3">
        <v>113.3580261</v>
      </c>
      <c r="C2297" s="3">
        <v>22.970161470000001</v>
      </c>
      <c r="D2297" s="3">
        <v>18</v>
      </c>
    </row>
    <row r="2298" spans="1:4" x14ac:dyDescent="0.2">
      <c r="A2298" s="3">
        <v>2297</v>
      </c>
      <c r="B2298" s="3">
        <v>113.3573602</v>
      </c>
      <c r="C2298" s="3">
        <v>22.967764460000001</v>
      </c>
      <c r="D2298" s="3">
        <v>45</v>
      </c>
    </row>
    <row r="2299" spans="1:4" x14ac:dyDescent="0.2">
      <c r="A2299" s="3">
        <v>2298</v>
      </c>
      <c r="B2299" s="3">
        <v>113.35527329999999</v>
      </c>
      <c r="C2299" s="3">
        <v>22.969384829999999</v>
      </c>
      <c r="D2299" s="3">
        <v>18</v>
      </c>
    </row>
    <row r="2300" spans="1:4" x14ac:dyDescent="0.2">
      <c r="A2300" s="3">
        <v>2299</v>
      </c>
      <c r="B2300" s="3">
        <v>113.3582318</v>
      </c>
      <c r="C2300" s="3">
        <v>22.96990929</v>
      </c>
      <c r="D2300" s="3">
        <v>18</v>
      </c>
    </row>
    <row r="2301" spans="1:4" x14ac:dyDescent="0.2">
      <c r="A2301" s="3">
        <v>2300</v>
      </c>
      <c r="B2301" s="3">
        <v>113.35451260000001</v>
      </c>
      <c r="C2301" s="3">
        <v>22.968631299999998</v>
      </c>
      <c r="D2301" s="3">
        <v>28</v>
      </c>
    </row>
    <row r="2302" spans="1:4" x14ac:dyDescent="0.2">
      <c r="A2302" s="3">
        <v>2301</v>
      </c>
      <c r="B2302" s="3">
        <v>113.35965969999999</v>
      </c>
      <c r="C2302" s="3">
        <v>22.969523450000001</v>
      </c>
      <c r="D2302" s="3">
        <v>18</v>
      </c>
    </row>
    <row r="2303" spans="1:4" x14ac:dyDescent="0.2">
      <c r="A2303" s="3">
        <v>2302</v>
      </c>
      <c r="B2303" s="3">
        <v>113.3584354</v>
      </c>
      <c r="C2303" s="3">
        <v>22.9710745</v>
      </c>
      <c r="D2303" s="3">
        <v>18</v>
      </c>
    </row>
    <row r="2304" spans="1:4" x14ac:dyDescent="0.2">
      <c r="A2304" s="3">
        <v>2303</v>
      </c>
      <c r="B2304" s="3">
        <v>113.35872500000001</v>
      </c>
      <c r="C2304" s="3">
        <v>22.97125501</v>
      </c>
      <c r="D2304" s="3">
        <v>18</v>
      </c>
    </row>
    <row r="2305" spans="1:4" x14ac:dyDescent="0.2">
      <c r="A2305" s="3">
        <v>2304</v>
      </c>
      <c r="B2305" s="3">
        <v>113.360254</v>
      </c>
      <c r="C2305" s="3">
        <v>22.96756547</v>
      </c>
      <c r="D2305" s="3">
        <v>18</v>
      </c>
    </row>
    <row r="2306" spans="1:4" x14ac:dyDescent="0.2">
      <c r="A2306" s="3">
        <v>2305</v>
      </c>
      <c r="B2306" s="3">
        <v>113.35698979999999</v>
      </c>
      <c r="C2306" s="3">
        <v>22.96761806</v>
      </c>
      <c r="D2306" s="3">
        <v>45</v>
      </c>
    </row>
    <row r="2307" spans="1:4" x14ac:dyDescent="0.2">
      <c r="A2307" s="3">
        <v>2306</v>
      </c>
      <c r="B2307" s="3">
        <v>113.3577014</v>
      </c>
      <c r="C2307" s="3">
        <v>22.972672859999999</v>
      </c>
      <c r="D2307" s="3">
        <v>18</v>
      </c>
    </row>
    <row r="2308" spans="1:4" x14ac:dyDescent="0.2">
      <c r="A2308" s="3">
        <v>2307</v>
      </c>
      <c r="B2308" s="3">
        <v>113.3578445</v>
      </c>
      <c r="C2308" s="3">
        <v>22.967818739999998</v>
      </c>
      <c r="D2308" s="3">
        <v>45</v>
      </c>
    </row>
    <row r="2309" spans="1:4" x14ac:dyDescent="0.2">
      <c r="A2309" s="3">
        <v>2308</v>
      </c>
      <c r="B2309" s="3">
        <v>113.3539627</v>
      </c>
      <c r="C2309" s="3">
        <v>22.965519480000001</v>
      </c>
      <c r="D2309" s="3">
        <v>45</v>
      </c>
    </row>
    <row r="2310" spans="1:4" x14ac:dyDescent="0.2">
      <c r="A2310" s="3">
        <v>2309</v>
      </c>
      <c r="B2310" s="3">
        <v>113.35634709999999</v>
      </c>
      <c r="C2310" s="3">
        <v>22.96372667</v>
      </c>
      <c r="D2310" s="3">
        <v>45</v>
      </c>
    </row>
    <row r="2311" spans="1:4" x14ac:dyDescent="0.2">
      <c r="A2311" s="3">
        <v>2310</v>
      </c>
      <c r="B2311" s="3">
        <v>113.3539468</v>
      </c>
      <c r="C2311" s="3">
        <v>22.96421106</v>
      </c>
      <c r="D2311" s="3">
        <v>45</v>
      </c>
    </row>
    <row r="2312" spans="1:4" x14ac:dyDescent="0.2">
      <c r="A2312" s="3">
        <v>2311</v>
      </c>
      <c r="B2312" s="3">
        <v>113.35392179999999</v>
      </c>
      <c r="C2312" s="3">
        <v>22.964237090000001</v>
      </c>
      <c r="D2312" s="3">
        <v>45</v>
      </c>
    </row>
    <row r="2313" spans="1:4" x14ac:dyDescent="0.2">
      <c r="A2313" s="3">
        <v>2312</v>
      </c>
      <c r="B2313" s="3">
        <v>113.3577549</v>
      </c>
      <c r="C2313" s="3">
        <v>22.964644230000001</v>
      </c>
      <c r="D2313" s="3">
        <v>45</v>
      </c>
    </row>
    <row r="2314" spans="1:4" x14ac:dyDescent="0.2">
      <c r="A2314" s="3">
        <v>2313</v>
      </c>
      <c r="B2314" s="3">
        <v>113.360282</v>
      </c>
      <c r="C2314" s="3">
        <v>22.967541449999999</v>
      </c>
      <c r="D2314" s="3">
        <v>18</v>
      </c>
    </row>
    <row r="2315" spans="1:4" x14ac:dyDescent="0.2">
      <c r="A2315" s="3">
        <v>2314</v>
      </c>
      <c r="B2315" s="3">
        <v>113.3674699</v>
      </c>
      <c r="C2315" s="3">
        <v>22.96413386</v>
      </c>
      <c r="D2315" s="3">
        <v>18</v>
      </c>
    </row>
    <row r="2316" spans="1:4" x14ac:dyDescent="0.2">
      <c r="A2316" s="3">
        <v>2315</v>
      </c>
      <c r="B2316" s="3">
        <v>113.362628</v>
      </c>
      <c r="C2316" s="3">
        <v>22.964466640000001</v>
      </c>
      <c r="D2316" s="3">
        <v>45</v>
      </c>
    </row>
    <row r="2317" spans="1:4" x14ac:dyDescent="0.2">
      <c r="A2317" s="3">
        <v>2316</v>
      </c>
      <c r="B2317" s="3">
        <v>113.36786410000001</v>
      </c>
      <c r="C2317" s="3">
        <v>22.96967703</v>
      </c>
      <c r="D2317" s="3">
        <v>18</v>
      </c>
    </row>
    <row r="2318" spans="1:4" x14ac:dyDescent="0.2">
      <c r="A2318" s="3">
        <v>2317</v>
      </c>
      <c r="B2318" s="3">
        <v>113.3621905</v>
      </c>
      <c r="C2318" s="3">
        <v>22.964635139999999</v>
      </c>
      <c r="D2318" s="3">
        <v>45</v>
      </c>
    </row>
    <row r="2319" spans="1:4" x14ac:dyDescent="0.2">
      <c r="A2319" s="3">
        <v>2318</v>
      </c>
      <c r="B2319" s="3">
        <v>113.36448230000001</v>
      </c>
      <c r="C2319" s="3">
        <v>22.967402029999999</v>
      </c>
      <c r="D2319" s="3">
        <v>18</v>
      </c>
    </row>
    <row r="2320" spans="1:4" x14ac:dyDescent="0.2">
      <c r="A2320" s="3">
        <v>2319</v>
      </c>
      <c r="B2320" s="3">
        <v>113.3656526</v>
      </c>
      <c r="C2320" s="3">
        <v>22.97160779</v>
      </c>
      <c r="D2320" s="3">
        <v>18</v>
      </c>
    </row>
    <row r="2321" spans="1:4" x14ac:dyDescent="0.2">
      <c r="A2321" s="3">
        <v>2320</v>
      </c>
      <c r="B2321" s="3">
        <v>113.3670899</v>
      </c>
      <c r="C2321" s="3">
        <v>22.97125024</v>
      </c>
      <c r="D2321" s="3">
        <v>18</v>
      </c>
    </row>
    <row r="2322" spans="1:4" x14ac:dyDescent="0.2">
      <c r="A2322" s="3">
        <v>2321</v>
      </c>
      <c r="B2322" s="3">
        <v>113.36750240000001</v>
      </c>
      <c r="C2322" s="3">
        <v>22.97124977</v>
      </c>
      <c r="D2322" s="3">
        <v>18</v>
      </c>
    </row>
    <row r="2323" spans="1:4" x14ac:dyDescent="0.2">
      <c r="A2323" s="3">
        <v>2322</v>
      </c>
      <c r="B2323" s="3">
        <v>113.3655986</v>
      </c>
      <c r="C2323" s="3">
        <v>22.971743799999999</v>
      </c>
      <c r="D2323" s="3">
        <v>18</v>
      </c>
    </row>
    <row r="2324" spans="1:4" x14ac:dyDescent="0.2">
      <c r="A2324" s="3">
        <v>2323</v>
      </c>
      <c r="B2324" s="3">
        <v>113.36789330000001</v>
      </c>
      <c r="C2324" s="3">
        <v>22.966096539999999</v>
      </c>
      <c r="D2324" s="3">
        <v>18</v>
      </c>
    </row>
    <row r="2325" spans="1:4" x14ac:dyDescent="0.2">
      <c r="A2325" s="3">
        <v>2324</v>
      </c>
      <c r="B2325" s="3">
        <v>113.3666424</v>
      </c>
      <c r="C2325" s="3">
        <v>22.971144809999998</v>
      </c>
      <c r="D2325" s="3">
        <v>18</v>
      </c>
    </row>
    <row r="2326" spans="1:4" x14ac:dyDescent="0.2">
      <c r="A2326" s="3">
        <v>2325</v>
      </c>
      <c r="B2326" s="3">
        <v>113.365612</v>
      </c>
      <c r="C2326" s="3">
        <v>22.966167169999999</v>
      </c>
      <c r="D2326" s="3">
        <v>18</v>
      </c>
    </row>
    <row r="2327" spans="1:4" x14ac:dyDescent="0.2">
      <c r="A2327" s="3">
        <v>2326</v>
      </c>
      <c r="B2327" s="3">
        <v>113.3636652</v>
      </c>
      <c r="C2327" s="3">
        <v>22.970790600000001</v>
      </c>
      <c r="D2327" s="3">
        <v>18</v>
      </c>
    </row>
    <row r="2328" spans="1:4" x14ac:dyDescent="0.2">
      <c r="A2328" s="3">
        <v>2327</v>
      </c>
      <c r="B2328" s="3">
        <v>113.36691449999999</v>
      </c>
      <c r="C2328" s="3">
        <v>22.965080100000002</v>
      </c>
      <c r="D2328" s="3">
        <v>18</v>
      </c>
    </row>
    <row r="2329" spans="1:4" x14ac:dyDescent="0.2">
      <c r="A2329" s="3">
        <v>2328</v>
      </c>
      <c r="B2329" s="3">
        <v>113.3643502</v>
      </c>
      <c r="C2329" s="3">
        <v>22.972197130000001</v>
      </c>
      <c r="D2329" s="3">
        <v>18</v>
      </c>
    </row>
    <row r="2330" spans="1:4" x14ac:dyDescent="0.2">
      <c r="A2330" s="3">
        <v>2329</v>
      </c>
      <c r="B2330" s="3">
        <v>113.3627434</v>
      </c>
      <c r="C2330" s="3">
        <v>22.970476909999999</v>
      </c>
      <c r="D2330" s="3">
        <v>18</v>
      </c>
    </row>
    <row r="2331" spans="1:4" x14ac:dyDescent="0.2">
      <c r="A2331" s="3">
        <v>2330</v>
      </c>
      <c r="B2331" s="3">
        <v>113.3627936</v>
      </c>
      <c r="C2331" s="3">
        <v>22.96647956</v>
      </c>
      <c r="D2331" s="3">
        <v>18</v>
      </c>
    </row>
    <row r="2332" spans="1:4" x14ac:dyDescent="0.2">
      <c r="A2332" s="3">
        <v>2331</v>
      </c>
      <c r="B2332" s="3">
        <v>113.3634574</v>
      </c>
      <c r="C2332" s="3">
        <v>22.970575950000001</v>
      </c>
      <c r="D2332" s="3">
        <v>18</v>
      </c>
    </row>
    <row r="2333" spans="1:4" x14ac:dyDescent="0.2">
      <c r="A2333" s="3">
        <v>2332</v>
      </c>
      <c r="B2333" s="3">
        <v>113.36184280000001</v>
      </c>
      <c r="C2333" s="3">
        <v>22.968421970000001</v>
      </c>
      <c r="D2333" s="3">
        <v>18</v>
      </c>
    </row>
    <row r="2334" spans="1:4" x14ac:dyDescent="0.2">
      <c r="A2334" s="3">
        <v>2333</v>
      </c>
      <c r="B2334" s="3">
        <v>113.36914539999999</v>
      </c>
      <c r="C2334" s="3">
        <v>22.973053159999999</v>
      </c>
      <c r="D2334" s="3">
        <v>18</v>
      </c>
    </row>
    <row r="2335" spans="1:4" x14ac:dyDescent="0.2">
      <c r="A2335" s="3">
        <v>2334</v>
      </c>
      <c r="B2335" s="3">
        <v>113.3658602</v>
      </c>
      <c r="C2335" s="3">
        <v>22.973102900000001</v>
      </c>
      <c r="D2335" s="3">
        <v>18</v>
      </c>
    </row>
    <row r="2336" spans="1:4" x14ac:dyDescent="0.2">
      <c r="A2336" s="3">
        <v>2335</v>
      </c>
      <c r="B2336" s="3">
        <v>113.3688677</v>
      </c>
      <c r="C2336" s="3">
        <v>22.972815560000001</v>
      </c>
      <c r="D2336" s="3">
        <v>18</v>
      </c>
    </row>
    <row r="2337" spans="1:4" x14ac:dyDescent="0.2">
      <c r="A2337" s="3">
        <v>2336</v>
      </c>
      <c r="B2337" s="3">
        <v>113.36666080000001</v>
      </c>
      <c r="C2337" s="3">
        <v>22.964708550000001</v>
      </c>
      <c r="D2337" s="3">
        <v>18</v>
      </c>
    </row>
    <row r="2338" spans="1:4" x14ac:dyDescent="0.2">
      <c r="A2338" s="3">
        <v>2337</v>
      </c>
      <c r="B2338" s="3">
        <v>113.3670767</v>
      </c>
      <c r="C2338" s="3">
        <v>22.97338134</v>
      </c>
      <c r="D2338" s="3">
        <v>18</v>
      </c>
    </row>
    <row r="2339" spans="1:4" x14ac:dyDescent="0.2">
      <c r="A2339" s="3">
        <v>2338</v>
      </c>
      <c r="B2339" s="3">
        <v>113.36712129999999</v>
      </c>
      <c r="C2339" s="3">
        <v>22.964065290000001</v>
      </c>
      <c r="D2339" s="3">
        <v>18</v>
      </c>
    </row>
    <row r="2340" spans="1:4" x14ac:dyDescent="0.2">
      <c r="A2340" s="3">
        <v>2339</v>
      </c>
      <c r="B2340" s="3">
        <v>113.3654224</v>
      </c>
      <c r="C2340" s="3">
        <v>22.964178260000001</v>
      </c>
      <c r="D2340" s="3">
        <v>45</v>
      </c>
    </row>
    <row r="2341" spans="1:4" x14ac:dyDescent="0.2">
      <c r="A2341" s="3">
        <v>2340</v>
      </c>
      <c r="B2341" s="3">
        <v>113.36788230000001</v>
      </c>
      <c r="C2341" s="3">
        <v>22.966181509999998</v>
      </c>
      <c r="D2341" s="3">
        <v>18</v>
      </c>
    </row>
    <row r="2342" spans="1:4" x14ac:dyDescent="0.2">
      <c r="A2342" s="3">
        <v>2341</v>
      </c>
      <c r="B2342" s="3">
        <v>113.3714935</v>
      </c>
      <c r="C2342" s="3">
        <v>22.964545340000001</v>
      </c>
      <c r="D2342" s="3">
        <v>18</v>
      </c>
    </row>
    <row r="2343" spans="1:4" x14ac:dyDescent="0.2">
      <c r="A2343" s="3">
        <v>2342</v>
      </c>
      <c r="B2343" s="3">
        <v>113.3702552</v>
      </c>
      <c r="C2343" s="3">
        <v>22.972631150000002</v>
      </c>
      <c r="D2343" s="3">
        <v>18</v>
      </c>
    </row>
    <row r="2344" spans="1:4" x14ac:dyDescent="0.2">
      <c r="A2344" s="3">
        <v>2343</v>
      </c>
      <c r="B2344" s="3">
        <v>113.3701933</v>
      </c>
      <c r="C2344" s="3">
        <v>22.971968499999999</v>
      </c>
      <c r="D2344" s="3">
        <v>18</v>
      </c>
    </row>
    <row r="2345" spans="1:4" x14ac:dyDescent="0.2">
      <c r="A2345" s="3">
        <v>2344</v>
      </c>
      <c r="B2345" s="3">
        <v>113.36754929999999</v>
      </c>
      <c r="C2345" s="3">
        <v>22.972337249999999</v>
      </c>
      <c r="D2345" s="3">
        <v>18</v>
      </c>
    </row>
    <row r="2346" spans="1:4" x14ac:dyDescent="0.2">
      <c r="A2346" s="3">
        <v>2345</v>
      </c>
      <c r="B2346" s="3">
        <v>113.3692673</v>
      </c>
      <c r="C2346" s="3">
        <v>22.973060019999998</v>
      </c>
      <c r="D2346" s="3">
        <v>18</v>
      </c>
    </row>
    <row r="2347" spans="1:4" x14ac:dyDescent="0.2">
      <c r="A2347" s="3">
        <v>2346</v>
      </c>
      <c r="B2347" s="3">
        <v>113.3627642</v>
      </c>
      <c r="C2347" s="3">
        <v>22.973392629999999</v>
      </c>
      <c r="D2347" s="3">
        <v>18</v>
      </c>
    </row>
    <row r="2348" spans="1:4" x14ac:dyDescent="0.2">
      <c r="A2348" s="3">
        <v>2347</v>
      </c>
      <c r="B2348" s="3">
        <v>113.36937810000001</v>
      </c>
      <c r="C2348" s="3">
        <v>22.973251820000002</v>
      </c>
      <c r="D2348" s="3">
        <v>18</v>
      </c>
    </row>
    <row r="2349" spans="1:4" x14ac:dyDescent="0.2">
      <c r="A2349" s="3">
        <v>2348</v>
      </c>
      <c r="B2349" s="3">
        <v>113.36181379999999</v>
      </c>
      <c r="C2349" s="3">
        <v>22.96847799</v>
      </c>
      <c r="D2349" s="3">
        <v>18</v>
      </c>
    </row>
    <row r="2350" spans="1:4" x14ac:dyDescent="0.2">
      <c r="A2350" s="3">
        <v>2349</v>
      </c>
      <c r="B2350" s="3">
        <v>113.37852700000001</v>
      </c>
      <c r="C2350" s="3">
        <v>22.968925250000002</v>
      </c>
      <c r="D2350" s="3">
        <v>18</v>
      </c>
    </row>
    <row r="2351" spans="1:4" x14ac:dyDescent="0.2">
      <c r="A2351" s="3">
        <v>2350</v>
      </c>
      <c r="B2351" s="3">
        <v>113.3743386</v>
      </c>
      <c r="C2351" s="3">
        <v>22.96710251</v>
      </c>
      <c r="D2351" s="3">
        <v>18</v>
      </c>
    </row>
    <row r="2352" spans="1:4" x14ac:dyDescent="0.2">
      <c r="A2352" s="3">
        <v>2351</v>
      </c>
      <c r="B2352" s="3">
        <v>113.37667829999999</v>
      </c>
      <c r="C2352" s="3">
        <v>22.971615549999999</v>
      </c>
      <c r="D2352" s="3">
        <v>18</v>
      </c>
    </row>
    <row r="2353" spans="1:4" x14ac:dyDescent="0.2">
      <c r="A2353" s="3">
        <v>2352</v>
      </c>
      <c r="B2353" s="3">
        <v>113.3736133</v>
      </c>
      <c r="C2353" s="3">
        <v>22.966604400000001</v>
      </c>
      <c r="D2353" s="3">
        <v>18</v>
      </c>
    </row>
    <row r="2354" spans="1:4" x14ac:dyDescent="0.2">
      <c r="A2354" s="3">
        <v>2353</v>
      </c>
      <c r="B2354" s="3">
        <v>113.3783184</v>
      </c>
      <c r="C2354" s="3">
        <v>22.965232990000001</v>
      </c>
      <c r="D2354" s="3">
        <v>18</v>
      </c>
    </row>
    <row r="2355" spans="1:4" x14ac:dyDescent="0.2">
      <c r="A2355" s="3">
        <v>2354</v>
      </c>
      <c r="B2355" s="3">
        <v>113.377599</v>
      </c>
      <c r="C2355" s="3">
        <v>22.964884690000002</v>
      </c>
      <c r="D2355" s="3">
        <v>18</v>
      </c>
    </row>
    <row r="2356" spans="1:4" x14ac:dyDescent="0.2">
      <c r="A2356" s="3">
        <v>2355</v>
      </c>
      <c r="B2356" s="3">
        <v>113.37217440000001</v>
      </c>
      <c r="C2356" s="3">
        <v>22.970473120000001</v>
      </c>
      <c r="D2356" s="3">
        <v>18</v>
      </c>
    </row>
    <row r="2357" spans="1:4" x14ac:dyDescent="0.2">
      <c r="A2357" s="3">
        <v>2356</v>
      </c>
      <c r="B2357" s="3">
        <v>113.3735623</v>
      </c>
      <c r="C2357" s="3">
        <v>22.966340559999999</v>
      </c>
      <c r="D2357" s="3">
        <v>18</v>
      </c>
    </row>
    <row r="2358" spans="1:4" x14ac:dyDescent="0.2">
      <c r="A2358" s="3">
        <v>2357</v>
      </c>
      <c r="B2358" s="3">
        <v>113.37757550000001</v>
      </c>
      <c r="C2358" s="3">
        <v>22.972573409999999</v>
      </c>
      <c r="D2358" s="3">
        <v>18</v>
      </c>
    </row>
    <row r="2359" spans="1:4" x14ac:dyDescent="0.2">
      <c r="A2359" s="3">
        <v>2358</v>
      </c>
      <c r="B2359" s="3">
        <v>113.37206949999999</v>
      </c>
      <c r="C2359" s="3">
        <v>22.970584169999999</v>
      </c>
      <c r="D2359" s="3">
        <v>18</v>
      </c>
    </row>
    <row r="2360" spans="1:4" x14ac:dyDescent="0.2">
      <c r="A2360" s="3">
        <v>2359</v>
      </c>
      <c r="B2360" s="3">
        <v>113.3719378</v>
      </c>
      <c r="C2360" s="3">
        <v>22.967649569999999</v>
      </c>
      <c r="D2360" s="3">
        <v>18</v>
      </c>
    </row>
    <row r="2361" spans="1:4" x14ac:dyDescent="0.2">
      <c r="A2361" s="3">
        <v>2360</v>
      </c>
      <c r="B2361" s="3">
        <v>113.3718167</v>
      </c>
      <c r="C2361" s="3">
        <v>22.971430059999999</v>
      </c>
      <c r="D2361" s="3">
        <v>18</v>
      </c>
    </row>
    <row r="2362" spans="1:4" x14ac:dyDescent="0.2">
      <c r="A2362" s="3">
        <v>2361</v>
      </c>
      <c r="B2362" s="3">
        <v>113.3721443</v>
      </c>
      <c r="C2362" s="3">
        <v>22.972032479999999</v>
      </c>
      <c r="D2362" s="3">
        <v>18</v>
      </c>
    </row>
    <row r="2363" spans="1:4" x14ac:dyDescent="0.2">
      <c r="A2363" s="3">
        <v>2362</v>
      </c>
      <c r="B2363" s="3">
        <v>113.3815063</v>
      </c>
      <c r="C2363" s="3">
        <v>22.964458090000001</v>
      </c>
      <c r="D2363" s="3">
        <v>6</v>
      </c>
    </row>
    <row r="2364" spans="1:4" x14ac:dyDescent="0.2">
      <c r="A2364" s="3">
        <v>2363</v>
      </c>
      <c r="B2364" s="3">
        <v>113.3721338</v>
      </c>
      <c r="C2364" s="3">
        <v>22.964767609999999</v>
      </c>
      <c r="D2364" s="3">
        <v>18</v>
      </c>
    </row>
    <row r="2365" spans="1:4" x14ac:dyDescent="0.2">
      <c r="A2365" s="3">
        <v>2364</v>
      </c>
      <c r="B2365" s="3">
        <v>113.3875652</v>
      </c>
      <c r="C2365" s="3">
        <v>22.968900059999999</v>
      </c>
      <c r="D2365" s="3">
        <v>39</v>
      </c>
    </row>
    <row r="2366" spans="1:4" x14ac:dyDescent="0.2">
      <c r="A2366" s="3">
        <v>2365</v>
      </c>
      <c r="B2366" s="3">
        <v>113.3898918</v>
      </c>
      <c r="C2366" s="3">
        <v>22.96655926</v>
      </c>
      <c r="D2366" s="3">
        <v>39</v>
      </c>
    </row>
    <row r="2367" spans="1:4" x14ac:dyDescent="0.2">
      <c r="A2367" s="3">
        <v>2366</v>
      </c>
      <c r="B2367" s="3">
        <v>113.3912363</v>
      </c>
      <c r="C2367" s="3">
        <v>22.969488649999999</v>
      </c>
      <c r="D2367" s="3">
        <v>39</v>
      </c>
    </row>
    <row r="2368" spans="1:4" x14ac:dyDescent="0.2">
      <c r="A2368" s="3">
        <v>2367</v>
      </c>
      <c r="B2368" s="3">
        <v>113.3910997</v>
      </c>
      <c r="C2368" s="3">
        <v>22.96489365</v>
      </c>
      <c r="D2368" s="3">
        <v>34</v>
      </c>
    </row>
    <row r="2369" spans="1:4" x14ac:dyDescent="0.2">
      <c r="A2369" s="3">
        <v>2368</v>
      </c>
      <c r="B2369" s="3">
        <v>113.3912126</v>
      </c>
      <c r="C2369" s="3">
        <v>22.964914619999998</v>
      </c>
      <c r="D2369" s="3">
        <v>34</v>
      </c>
    </row>
    <row r="2370" spans="1:4" x14ac:dyDescent="0.2">
      <c r="A2370" s="3">
        <v>2369</v>
      </c>
      <c r="B2370" s="3">
        <v>113.39833179999999</v>
      </c>
      <c r="C2370" s="3">
        <v>22.9638025</v>
      </c>
      <c r="D2370" s="3">
        <v>34</v>
      </c>
    </row>
    <row r="2371" spans="1:4" x14ac:dyDescent="0.2">
      <c r="A2371" s="3">
        <v>2370</v>
      </c>
      <c r="B2371" s="3">
        <v>113.4289737</v>
      </c>
      <c r="C2371" s="3">
        <v>22.968063860000001</v>
      </c>
      <c r="D2371" s="3">
        <v>12</v>
      </c>
    </row>
    <row r="2372" spans="1:4" x14ac:dyDescent="0.2">
      <c r="A2372" s="3">
        <v>2371</v>
      </c>
      <c r="B2372" s="3">
        <v>113.4272771</v>
      </c>
      <c r="C2372" s="3">
        <v>22.964588979999998</v>
      </c>
      <c r="D2372" s="3">
        <v>12</v>
      </c>
    </row>
    <row r="2373" spans="1:4" x14ac:dyDescent="0.2">
      <c r="A2373" s="3">
        <v>2372</v>
      </c>
      <c r="B2373" s="3">
        <v>113.4512826</v>
      </c>
      <c r="C2373" s="3">
        <v>22.968558349999999</v>
      </c>
      <c r="D2373" s="3">
        <v>12</v>
      </c>
    </row>
    <row r="2374" spans="1:4" x14ac:dyDescent="0.2">
      <c r="A2374" s="3">
        <v>2373</v>
      </c>
      <c r="B2374" s="3">
        <v>113.4530815</v>
      </c>
      <c r="C2374" s="3">
        <v>22.967977739999998</v>
      </c>
      <c r="D2374" s="3">
        <v>12</v>
      </c>
    </row>
    <row r="2375" spans="1:4" x14ac:dyDescent="0.2">
      <c r="A2375" s="3">
        <v>2374</v>
      </c>
      <c r="B2375" s="3">
        <v>113.4637354</v>
      </c>
      <c r="C2375" s="3">
        <v>22.964669600000001</v>
      </c>
      <c r="D2375" s="3">
        <v>1</v>
      </c>
    </row>
    <row r="2376" spans="1:4" x14ac:dyDescent="0.2">
      <c r="A2376" s="3">
        <v>2375</v>
      </c>
      <c r="B2376" s="3">
        <v>113.46826710000001</v>
      </c>
      <c r="C2376" s="3">
        <v>22.969745549999999</v>
      </c>
      <c r="D2376" s="3">
        <v>1</v>
      </c>
    </row>
    <row r="2377" spans="1:4" x14ac:dyDescent="0.2">
      <c r="A2377" s="3">
        <v>2376</v>
      </c>
      <c r="B2377" s="3">
        <v>113.4658969</v>
      </c>
      <c r="C2377" s="3">
        <v>22.966059730000001</v>
      </c>
      <c r="D2377" s="3">
        <v>1</v>
      </c>
    </row>
    <row r="2378" spans="1:4" x14ac:dyDescent="0.2">
      <c r="A2378" s="3">
        <v>2377</v>
      </c>
      <c r="B2378" s="3">
        <v>113.4695674</v>
      </c>
      <c r="C2378" s="3">
        <v>22.966996300000002</v>
      </c>
      <c r="D2378" s="3">
        <v>1</v>
      </c>
    </row>
    <row r="2379" spans="1:4" x14ac:dyDescent="0.2">
      <c r="A2379" s="3">
        <v>2378</v>
      </c>
      <c r="B2379" s="3">
        <v>113.4683572</v>
      </c>
      <c r="C2379" s="3">
        <v>22.972174760000001</v>
      </c>
      <c r="D2379" s="3">
        <v>1</v>
      </c>
    </row>
    <row r="2380" spans="1:4" x14ac:dyDescent="0.2">
      <c r="A2380" s="3">
        <v>2379</v>
      </c>
      <c r="B2380" s="3">
        <v>113.4700526</v>
      </c>
      <c r="C2380" s="3">
        <v>22.971569670000001</v>
      </c>
      <c r="D2380" s="3">
        <v>1</v>
      </c>
    </row>
    <row r="2381" spans="1:4" x14ac:dyDescent="0.2">
      <c r="A2381" s="3">
        <v>2380</v>
      </c>
      <c r="B2381" s="3">
        <v>113.4732131</v>
      </c>
      <c r="C2381" s="3">
        <v>22.967954049999999</v>
      </c>
      <c r="D2381" s="3">
        <v>1</v>
      </c>
    </row>
    <row r="2382" spans="1:4" x14ac:dyDescent="0.2">
      <c r="A2382" s="3">
        <v>2381</v>
      </c>
      <c r="B2382" s="3">
        <v>113.4803349</v>
      </c>
      <c r="C2382" s="3">
        <v>22.966731060000001</v>
      </c>
      <c r="D2382" s="3">
        <v>1</v>
      </c>
    </row>
    <row r="2383" spans="1:4" x14ac:dyDescent="0.2">
      <c r="A2383" s="3">
        <v>2382</v>
      </c>
      <c r="B2383" s="3">
        <v>113.4752086</v>
      </c>
      <c r="C2383" s="3">
        <v>22.968542459999998</v>
      </c>
      <c r="D2383" s="3">
        <v>1</v>
      </c>
    </row>
    <row r="2384" spans="1:4" x14ac:dyDescent="0.2">
      <c r="A2384" s="3">
        <v>2383</v>
      </c>
      <c r="B2384" s="3">
        <v>113.47887179999999</v>
      </c>
      <c r="C2384" s="3">
        <v>22.968965829999998</v>
      </c>
      <c r="D2384" s="3">
        <v>1</v>
      </c>
    </row>
    <row r="2385" spans="1:4" x14ac:dyDescent="0.2">
      <c r="A2385" s="3">
        <v>2384</v>
      </c>
      <c r="B2385" s="3">
        <v>113.4792953</v>
      </c>
      <c r="C2385" s="3">
        <v>22.968531250000002</v>
      </c>
      <c r="D2385" s="3">
        <v>1</v>
      </c>
    </row>
    <row r="2386" spans="1:4" x14ac:dyDescent="0.2">
      <c r="A2386" s="3">
        <v>2385</v>
      </c>
      <c r="B2386" s="3">
        <v>113.4797659</v>
      </c>
      <c r="C2386" s="3">
        <v>22.968643579999998</v>
      </c>
      <c r="D2386" s="3">
        <v>1</v>
      </c>
    </row>
    <row r="2387" spans="1:4" x14ac:dyDescent="0.2">
      <c r="A2387" s="3">
        <v>2386</v>
      </c>
      <c r="B2387" s="3">
        <v>113.47907739999999</v>
      </c>
      <c r="C2387" s="3">
        <v>22.971443369999999</v>
      </c>
      <c r="D2387" s="3">
        <v>1</v>
      </c>
    </row>
    <row r="2388" spans="1:4" x14ac:dyDescent="0.2">
      <c r="A2388" s="3">
        <v>2387</v>
      </c>
      <c r="B2388" s="3">
        <v>113.479546</v>
      </c>
      <c r="C2388" s="3">
        <v>22.97007232</v>
      </c>
      <c r="D2388" s="3">
        <v>1</v>
      </c>
    </row>
    <row r="2389" spans="1:4" x14ac:dyDescent="0.2">
      <c r="A2389" s="3">
        <v>2388</v>
      </c>
      <c r="B2389" s="3">
        <v>113.4796024</v>
      </c>
      <c r="C2389" s="3">
        <v>22.967451610000001</v>
      </c>
      <c r="D2389" s="3">
        <v>1</v>
      </c>
    </row>
    <row r="2390" spans="1:4" x14ac:dyDescent="0.2">
      <c r="A2390" s="3">
        <v>2389</v>
      </c>
      <c r="B2390" s="3">
        <v>113.4743769</v>
      </c>
      <c r="C2390" s="3">
        <v>22.968509109999999</v>
      </c>
      <c r="D2390" s="3">
        <v>1</v>
      </c>
    </row>
    <row r="2391" spans="1:4" x14ac:dyDescent="0.2">
      <c r="A2391" s="3">
        <v>2390</v>
      </c>
      <c r="B2391" s="3">
        <v>113.4799625</v>
      </c>
      <c r="C2391" s="3">
        <v>22.969863629999999</v>
      </c>
      <c r="D2391" s="3">
        <v>1</v>
      </c>
    </row>
    <row r="2392" spans="1:4" x14ac:dyDescent="0.2">
      <c r="A2392" s="3">
        <v>2391</v>
      </c>
      <c r="B2392" s="3">
        <v>113.4791225</v>
      </c>
      <c r="C2392" s="3">
        <v>22.97156245</v>
      </c>
      <c r="D2392" s="3">
        <v>1</v>
      </c>
    </row>
    <row r="2393" spans="1:4" x14ac:dyDescent="0.2">
      <c r="A2393" s="3">
        <v>2392</v>
      </c>
      <c r="B2393" s="3">
        <v>113.4798694</v>
      </c>
      <c r="C2393" s="3">
        <v>22.966608749999999</v>
      </c>
      <c r="D2393" s="3">
        <v>1</v>
      </c>
    </row>
    <row r="2394" spans="1:4" x14ac:dyDescent="0.2">
      <c r="A2394" s="3">
        <v>2393</v>
      </c>
      <c r="B2394" s="3">
        <v>113.4794857</v>
      </c>
      <c r="C2394" s="3">
        <v>22.971426560000001</v>
      </c>
      <c r="D2394" s="3">
        <v>1</v>
      </c>
    </row>
    <row r="2395" spans="1:4" x14ac:dyDescent="0.2">
      <c r="A2395" s="3">
        <v>2394</v>
      </c>
      <c r="B2395" s="3">
        <v>113.47909180000001</v>
      </c>
      <c r="C2395" s="3">
        <v>22.965387010000001</v>
      </c>
      <c r="D2395" s="3">
        <v>1</v>
      </c>
    </row>
    <row r="2396" spans="1:4" x14ac:dyDescent="0.2">
      <c r="A2396" s="3">
        <v>2395</v>
      </c>
      <c r="B2396" s="3">
        <v>113.4795118</v>
      </c>
      <c r="C2396" s="3">
        <v>22.97181947</v>
      </c>
      <c r="D2396" s="3">
        <v>1</v>
      </c>
    </row>
    <row r="2397" spans="1:4" x14ac:dyDescent="0.2">
      <c r="A2397" s="3">
        <v>2396</v>
      </c>
      <c r="B2397" s="3">
        <v>113.4814757</v>
      </c>
      <c r="C2397" s="3">
        <v>22.968275739999999</v>
      </c>
      <c r="D2397" s="3">
        <v>1</v>
      </c>
    </row>
    <row r="2398" spans="1:4" x14ac:dyDescent="0.2">
      <c r="A2398" s="3">
        <v>2397</v>
      </c>
      <c r="B2398" s="3">
        <v>113.4794576</v>
      </c>
      <c r="C2398" s="3">
        <v>22.972035219999999</v>
      </c>
      <c r="D2398" s="3">
        <v>1</v>
      </c>
    </row>
    <row r="2399" spans="1:4" x14ac:dyDescent="0.2">
      <c r="A2399" s="3">
        <v>2398</v>
      </c>
      <c r="B2399" s="3">
        <v>113.48163630000001</v>
      </c>
      <c r="C2399" s="3">
        <v>22.967911369999999</v>
      </c>
      <c r="D2399" s="3">
        <v>1</v>
      </c>
    </row>
    <row r="2400" spans="1:4" x14ac:dyDescent="0.2">
      <c r="A2400" s="3">
        <v>2399</v>
      </c>
      <c r="B2400" s="3">
        <v>113.4815972</v>
      </c>
      <c r="C2400" s="3">
        <v>22.96761038</v>
      </c>
      <c r="D2400" s="3">
        <v>1</v>
      </c>
    </row>
    <row r="2401" spans="1:4" x14ac:dyDescent="0.2">
      <c r="A2401" s="3">
        <v>2400</v>
      </c>
      <c r="B2401" s="3">
        <v>113.47905470000001</v>
      </c>
      <c r="C2401" s="3">
        <v>22.964906110000001</v>
      </c>
      <c r="D2401" s="3">
        <v>1</v>
      </c>
    </row>
    <row r="2402" spans="1:4" x14ac:dyDescent="0.2">
      <c r="A2402" s="3">
        <v>2401</v>
      </c>
      <c r="B2402" s="3">
        <v>113.4812889</v>
      </c>
      <c r="C2402" s="3">
        <v>22.970603189999999</v>
      </c>
      <c r="D2402" s="3">
        <v>1</v>
      </c>
    </row>
    <row r="2403" spans="1:4" x14ac:dyDescent="0.2">
      <c r="A2403" s="3">
        <v>2402</v>
      </c>
      <c r="B2403" s="3">
        <v>113.47943050000001</v>
      </c>
      <c r="C2403" s="3">
        <v>22.972667869999999</v>
      </c>
      <c r="D2403" s="3">
        <v>1</v>
      </c>
    </row>
    <row r="2404" spans="1:4" x14ac:dyDescent="0.2">
      <c r="A2404" s="3">
        <v>2403</v>
      </c>
      <c r="B2404" s="3">
        <v>113.48126809999999</v>
      </c>
      <c r="C2404" s="3">
        <v>22.966381940000002</v>
      </c>
      <c r="D2404" s="3">
        <v>1</v>
      </c>
    </row>
    <row r="2405" spans="1:4" x14ac:dyDescent="0.2">
      <c r="A2405" s="3">
        <v>2404</v>
      </c>
      <c r="B2405" s="3">
        <v>113.4810414</v>
      </c>
      <c r="C2405" s="3">
        <v>22.965793529999999</v>
      </c>
      <c r="D2405" s="3">
        <v>1</v>
      </c>
    </row>
    <row r="2406" spans="1:4" x14ac:dyDescent="0.2">
      <c r="A2406" s="3">
        <v>2405</v>
      </c>
      <c r="B2406" s="3">
        <v>113.47896489999999</v>
      </c>
      <c r="C2406" s="3">
        <v>22.97331823</v>
      </c>
      <c r="D2406" s="3">
        <v>1</v>
      </c>
    </row>
    <row r="2407" spans="1:4" x14ac:dyDescent="0.2">
      <c r="A2407" s="3">
        <v>2406</v>
      </c>
      <c r="B2407" s="3">
        <v>113.4803481</v>
      </c>
      <c r="C2407" s="3">
        <v>22.96489888</v>
      </c>
      <c r="D2407" s="3">
        <v>1</v>
      </c>
    </row>
    <row r="2408" spans="1:4" x14ac:dyDescent="0.2">
      <c r="A2408" s="3">
        <v>2407</v>
      </c>
      <c r="B2408" s="3">
        <v>113.4808046</v>
      </c>
      <c r="C2408" s="3">
        <v>22.965088139999999</v>
      </c>
      <c r="D2408" s="3">
        <v>1</v>
      </c>
    </row>
    <row r="2409" spans="1:4" x14ac:dyDescent="0.2">
      <c r="A2409" s="3">
        <v>2408</v>
      </c>
      <c r="B2409" s="3">
        <v>113.48003749999999</v>
      </c>
      <c r="C2409" s="3">
        <v>22.97308846</v>
      </c>
      <c r="D2409" s="3">
        <v>1</v>
      </c>
    </row>
    <row r="2410" spans="1:4" x14ac:dyDescent="0.2">
      <c r="A2410" s="3">
        <v>2409</v>
      </c>
      <c r="B2410" s="3">
        <v>113.47962010000001</v>
      </c>
      <c r="C2410" s="3">
        <v>22.97352205</v>
      </c>
      <c r="D2410" s="3">
        <v>1</v>
      </c>
    </row>
    <row r="2411" spans="1:4" x14ac:dyDescent="0.2">
      <c r="A2411" s="3">
        <v>2410</v>
      </c>
      <c r="B2411" s="3">
        <v>113.4719978</v>
      </c>
      <c r="C2411" s="3">
        <v>22.972723590000001</v>
      </c>
      <c r="D2411" s="3">
        <v>1</v>
      </c>
    </row>
    <row r="2412" spans="1:4" x14ac:dyDescent="0.2">
      <c r="A2412" s="3">
        <v>2411</v>
      </c>
      <c r="B2412" s="3">
        <v>113.481168</v>
      </c>
      <c r="C2412" s="3">
        <v>22.96386373</v>
      </c>
      <c r="D2412" s="3">
        <v>1</v>
      </c>
    </row>
    <row r="2413" spans="1:4" x14ac:dyDescent="0.2">
      <c r="A2413" s="3">
        <v>2412</v>
      </c>
      <c r="B2413" s="3">
        <v>113.4816752</v>
      </c>
      <c r="C2413" s="3">
        <v>22.971240049999999</v>
      </c>
      <c r="D2413" s="3">
        <v>1</v>
      </c>
    </row>
    <row r="2414" spans="1:4" x14ac:dyDescent="0.2">
      <c r="A2414" s="3">
        <v>2413</v>
      </c>
      <c r="B2414" s="3">
        <v>113.4799424</v>
      </c>
      <c r="C2414" s="3">
        <v>22.969876559999999</v>
      </c>
      <c r="D2414" s="3">
        <v>1</v>
      </c>
    </row>
    <row r="2415" spans="1:4" x14ac:dyDescent="0.2">
      <c r="A2415" s="3">
        <v>2414</v>
      </c>
      <c r="B2415" s="3">
        <v>113.48054019999999</v>
      </c>
      <c r="C2415" s="3">
        <v>22.972497180000001</v>
      </c>
      <c r="D2415" s="3">
        <v>1</v>
      </c>
    </row>
    <row r="2416" spans="1:4" x14ac:dyDescent="0.2">
      <c r="A2416" s="3">
        <v>2415</v>
      </c>
      <c r="B2416" s="3">
        <v>113.4789349</v>
      </c>
      <c r="C2416" s="3">
        <v>22.971439950000001</v>
      </c>
      <c r="D2416" s="3">
        <v>1</v>
      </c>
    </row>
    <row r="2417" spans="1:4" x14ac:dyDescent="0.2">
      <c r="A2417" s="3">
        <v>2416</v>
      </c>
      <c r="B2417" s="3">
        <v>113.48100599999999</v>
      </c>
      <c r="C2417" s="3">
        <v>22.969346900000001</v>
      </c>
      <c r="D2417" s="3">
        <v>1</v>
      </c>
    </row>
    <row r="2418" spans="1:4" x14ac:dyDescent="0.2">
      <c r="A2418" s="3">
        <v>2417</v>
      </c>
      <c r="B2418" s="3">
        <v>113.478686</v>
      </c>
      <c r="C2418" s="3">
        <v>22.971936020000001</v>
      </c>
      <c r="D2418" s="3">
        <v>1</v>
      </c>
    </row>
    <row r="2419" spans="1:4" x14ac:dyDescent="0.2">
      <c r="A2419" s="3">
        <v>2418</v>
      </c>
      <c r="B2419" s="3">
        <v>113.4872427</v>
      </c>
      <c r="C2419" s="3">
        <v>22.966217709999999</v>
      </c>
      <c r="D2419" s="3">
        <v>1</v>
      </c>
    </row>
    <row r="2420" spans="1:4" x14ac:dyDescent="0.2">
      <c r="A2420" s="3">
        <v>2419</v>
      </c>
      <c r="B2420" s="3">
        <v>113.4866856</v>
      </c>
      <c r="C2420" s="3">
        <v>22.96833814</v>
      </c>
      <c r="D2420" s="3">
        <v>1</v>
      </c>
    </row>
    <row r="2421" spans="1:4" x14ac:dyDescent="0.2">
      <c r="A2421" s="3">
        <v>2420</v>
      </c>
      <c r="B2421" s="3">
        <v>113.4863605</v>
      </c>
      <c r="C2421" s="3">
        <v>22.96798033</v>
      </c>
      <c r="D2421" s="3">
        <v>1</v>
      </c>
    </row>
    <row r="2422" spans="1:4" x14ac:dyDescent="0.2">
      <c r="A2422" s="3">
        <v>2421</v>
      </c>
      <c r="B2422" s="3">
        <v>113.48732579999999</v>
      </c>
      <c r="C2422" s="3">
        <v>22.968075169999999</v>
      </c>
      <c r="D2422" s="3">
        <v>1</v>
      </c>
    </row>
    <row r="2423" spans="1:4" x14ac:dyDescent="0.2">
      <c r="A2423" s="3">
        <v>2422</v>
      </c>
      <c r="B2423" s="3">
        <v>113.4839308</v>
      </c>
      <c r="C2423" s="3">
        <v>22.972238279999999</v>
      </c>
      <c r="D2423" s="3">
        <v>1</v>
      </c>
    </row>
    <row r="2424" spans="1:4" x14ac:dyDescent="0.2">
      <c r="A2424" s="3">
        <v>2423</v>
      </c>
      <c r="B2424" s="3">
        <v>113.491675</v>
      </c>
      <c r="C2424" s="3">
        <v>22.968684939999999</v>
      </c>
      <c r="D2424" s="3">
        <v>1</v>
      </c>
    </row>
    <row r="2425" spans="1:4" x14ac:dyDescent="0.2">
      <c r="A2425" s="3">
        <v>2424</v>
      </c>
      <c r="B2425" s="3">
        <v>113.4881496</v>
      </c>
      <c r="C2425" s="3">
        <v>22.96938007</v>
      </c>
      <c r="D2425" s="3">
        <v>1</v>
      </c>
    </row>
    <row r="2426" spans="1:4" x14ac:dyDescent="0.2">
      <c r="A2426" s="3">
        <v>2425</v>
      </c>
      <c r="B2426" s="3">
        <v>113.4859046</v>
      </c>
      <c r="C2426" s="3">
        <v>22.97324171</v>
      </c>
      <c r="D2426" s="3">
        <v>1</v>
      </c>
    </row>
    <row r="2427" spans="1:4" x14ac:dyDescent="0.2">
      <c r="A2427" s="3">
        <v>2426</v>
      </c>
      <c r="B2427" s="3">
        <v>113.4880974</v>
      </c>
      <c r="C2427" s="3">
        <v>22.969828719999999</v>
      </c>
      <c r="D2427" s="3">
        <v>1</v>
      </c>
    </row>
    <row r="2428" spans="1:4" x14ac:dyDescent="0.2">
      <c r="A2428" s="3">
        <v>2427</v>
      </c>
      <c r="B2428" s="3">
        <v>113.48557769999999</v>
      </c>
      <c r="C2428" s="3">
        <v>22.97008409</v>
      </c>
      <c r="D2428" s="3">
        <v>1</v>
      </c>
    </row>
    <row r="2429" spans="1:4" x14ac:dyDescent="0.2">
      <c r="A2429" s="3">
        <v>2428</v>
      </c>
      <c r="B2429" s="3">
        <v>113.4886614</v>
      </c>
      <c r="C2429" s="3">
        <v>22.969306629999998</v>
      </c>
      <c r="D2429" s="3">
        <v>1</v>
      </c>
    </row>
    <row r="2430" spans="1:4" x14ac:dyDescent="0.2">
      <c r="A2430" s="3">
        <v>2429</v>
      </c>
      <c r="B2430" s="3">
        <v>113.4842323</v>
      </c>
      <c r="C2430" s="3">
        <v>22.965651000000001</v>
      </c>
      <c r="D2430" s="3">
        <v>1</v>
      </c>
    </row>
    <row r="2431" spans="1:4" x14ac:dyDescent="0.2">
      <c r="A2431" s="3">
        <v>2430</v>
      </c>
      <c r="B2431" s="3">
        <v>113.4916008</v>
      </c>
      <c r="C2431" s="3">
        <v>22.967236339999999</v>
      </c>
      <c r="D2431" s="3">
        <v>1</v>
      </c>
    </row>
    <row r="2432" spans="1:4" x14ac:dyDescent="0.2">
      <c r="A2432" s="3">
        <v>2431</v>
      </c>
      <c r="B2432" s="3">
        <v>113.4843656</v>
      </c>
      <c r="C2432" s="3">
        <v>22.968361229999999</v>
      </c>
      <c r="D2432" s="3">
        <v>1</v>
      </c>
    </row>
    <row r="2433" spans="1:4" x14ac:dyDescent="0.2">
      <c r="A2433" s="3">
        <v>2432</v>
      </c>
      <c r="B2433" s="3">
        <v>113.4860383</v>
      </c>
      <c r="C2433" s="3">
        <v>22.970040480000002</v>
      </c>
      <c r="D2433" s="3">
        <v>1</v>
      </c>
    </row>
    <row r="2434" spans="1:4" x14ac:dyDescent="0.2">
      <c r="A2434" s="3">
        <v>2433</v>
      </c>
      <c r="B2434" s="3">
        <v>113.48468579999999</v>
      </c>
      <c r="C2434" s="3">
        <v>22.967011759999998</v>
      </c>
      <c r="D2434" s="3">
        <v>1</v>
      </c>
    </row>
    <row r="2435" spans="1:4" x14ac:dyDescent="0.2">
      <c r="A2435" s="3">
        <v>2434</v>
      </c>
      <c r="B2435" s="3">
        <v>113.48563009999999</v>
      </c>
      <c r="C2435" s="3">
        <v>22.966376839999999</v>
      </c>
      <c r="D2435" s="3">
        <v>1</v>
      </c>
    </row>
    <row r="2436" spans="1:4" x14ac:dyDescent="0.2">
      <c r="A2436" s="3">
        <v>2435</v>
      </c>
      <c r="B2436" s="3">
        <v>113.48212770000001</v>
      </c>
      <c r="C2436" s="3">
        <v>22.971022479999998</v>
      </c>
      <c r="D2436" s="3">
        <v>1</v>
      </c>
    </row>
    <row r="2437" spans="1:4" x14ac:dyDescent="0.2">
      <c r="A2437" s="3">
        <v>2436</v>
      </c>
      <c r="B2437" s="3">
        <v>113.4866396</v>
      </c>
      <c r="C2437" s="3">
        <v>22.965449240000002</v>
      </c>
      <c r="D2437" s="3">
        <v>1</v>
      </c>
    </row>
    <row r="2438" spans="1:4" x14ac:dyDescent="0.2">
      <c r="A2438" s="3">
        <v>2437</v>
      </c>
      <c r="B2438" s="3">
        <v>113.4850337</v>
      </c>
      <c r="C2438" s="3">
        <v>22.971381919999999</v>
      </c>
      <c r="D2438" s="3">
        <v>1</v>
      </c>
    </row>
    <row r="2439" spans="1:4" x14ac:dyDescent="0.2">
      <c r="A2439" s="3">
        <v>2438</v>
      </c>
      <c r="B2439" s="3">
        <v>113.48332600000001</v>
      </c>
      <c r="C2439" s="3">
        <v>22.96937372</v>
      </c>
      <c r="D2439" s="3">
        <v>1</v>
      </c>
    </row>
    <row r="2440" spans="1:4" x14ac:dyDescent="0.2">
      <c r="A2440" s="3">
        <v>2439</v>
      </c>
      <c r="B2440" s="3">
        <v>113.4854425</v>
      </c>
      <c r="C2440" s="3">
        <v>22.965732559999999</v>
      </c>
      <c r="D2440" s="3">
        <v>1</v>
      </c>
    </row>
    <row r="2441" spans="1:4" x14ac:dyDescent="0.2">
      <c r="A2441" s="3">
        <v>2440</v>
      </c>
      <c r="B2441" s="3">
        <v>113.485139</v>
      </c>
      <c r="C2441" s="3">
        <v>22.97160813</v>
      </c>
      <c r="D2441" s="3">
        <v>1</v>
      </c>
    </row>
    <row r="2442" spans="1:4" x14ac:dyDescent="0.2">
      <c r="A2442" s="3">
        <v>2441</v>
      </c>
      <c r="B2442" s="3">
        <v>113.4833259</v>
      </c>
      <c r="C2442" s="3">
        <v>22.970092409999999</v>
      </c>
      <c r="D2442" s="3">
        <v>1</v>
      </c>
    </row>
    <row r="2443" spans="1:4" x14ac:dyDescent="0.2">
      <c r="A2443" s="3">
        <v>2442</v>
      </c>
      <c r="B2443" s="3">
        <v>113.4866949</v>
      </c>
      <c r="C2443" s="3">
        <v>22.965071569999999</v>
      </c>
      <c r="D2443" s="3">
        <v>1</v>
      </c>
    </row>
    <row r="2444" spans="1:4" x14ac:dyDescent="0.2">
      <c r="A2444" s="3">
        <v>2443</v>
      </c>
      <c r="B2444" s="3">
        <v>113.48288239999999</v>
      </c>
      <c r="C2444" s="3">
        <v>22.970119090000001</v>
      </c>
      <c r="D2444" s="3">
        <v>1</v>
      </c>
    </row>
    <row r="2445" spans="1:4" x14ac:dyDescent="0.2">
      <c r="A2445" s="3">
        <v>2444</v>
      </c>
      <c r="B2445" s="3">
        <v>113.48417569999999</v>
      </c>
      <c r="C2445" s="3">
        <v>22.972034090000001</v>
      </c>
      <c r="D2445" s="3">
        <v>1</v>
      </c>
    </row>
    <row r="2446" spans="1:4" x14ac:dyDescent="0.2">
      <c r="A2446" s="3">
        <v>2445</v>
      </c>
      <c r="B2446" s="3">
        <v>113.4855644</v>
      </c>
      <c r="C2446" s="3">
        <v>22.972739910000001</v>
      </c>
      <c r="D2446" s="3">
        <v>1</v>
      </c>
    </row>
    <row r="2447" spans="1:4" x14ac:dyDescent="0.2">
      <c r="A2447" s="3">
        <v>2446</v>
      </c>
      <c r="B2447" s="3">
        <v>113.4873968</v>
      </c>
      <c r="C2447" s="3">
        <v>22.972916300000001</v>
      </c>
      <c r="D2447" s="3">
        <v>1</v>
      </c>
    </row>
    <row r="2448" spans="1:4" x14ac:dyDescent="0.2">
      <c r="A2448" s="3">
        <v>2447</v>
      </c>
      <c r="B2448" s="3">
        <v>113.4828395</v>
      </c>
      <c r="C2448" s="3">
        <v>22.966698430000001</v>
      </c>
      <c r="D2448" s="3">
        <v>1</v>
      </c>
    </row>
    <row r="2449" spans="1:4" x14ac:dyDescent="0.2">
      <c r="A2449" s="3">
        <v>2448</v>
      </c>
      <c r="B2449" s="3">
        <v>113.4904445</v>
      </c>
      <c r="C2449" s="3">
        <v>22.971637980000001</v>
      </c>
      <c r="D2449" s="3">
        <v>1</v>
      </c>
    </row>
    <row r="2450" spans="1:4" x14ac:dyDescent="0.2">
      <c r="A2450" s="3">
        <v>2449</v>
      </c>
      <c r="B2450" s="3">
        <v>113.48740340000001</v>
      </c>
      <c r="C2450" s="3">
        <v>22.964310009999998</v>
      </c>
      <c r="D2450" s="3">
        <v>1</v>
      </c>
    </row>
    <row r="2451" spans="1:4" x14ac:dyDescent="0.2">
      <c r="A2451" s="3">
        <v>2450</v>
      </c>
      <c r="B2451" s="3">
        <v>113.48208889999999</v>
      </c>
      <c r="C2451" s="3">
        <v>22.967454889999999</v>
      </c>
      <c r="D2451" s="3">
        <v>1</v>
      </c>
    </row>
    <row r="2452" spans="1:4" x14ac:dyDescent="0.2">
      <c r="A2452" s="3">
        <v>2451</v>
      </c>
      <c r="B2452" s="3">
        <v>113.482694</v>
      </c>
      <c r="C2452" s="3">
        <v>22.966150240000001</v>
      </c>
      <c r="D2452" s="3">
        <v>1</v>
      </c>
    </row>
    <row r="2453" spans="1:4" x14ac:dyDescent="0.2">
      <c r="A2453" s="3">
        <v>2452</v>
      </c>
      <c r="B2453" s="3">
        <v>113.4917682</v>
      </c>
      <c r="C2453" s="3">
        <v>22.969744769999998</v>
      </c>
      <c r="D2453" s="3">
        <v>1</v>
      </c>
    </row>
    <row r="2454" spans="1:4" x14ac:dyDescent="0.2">
      <c r="A2454" s="3">
        <v>2453</v>
      </c>
      <c r="B2454" s="3">
        <v>113.48781719999999</v>
      </c>
      <c r="C2454" s="3">
        <v>22.973442330000001</v>
      </c>
      <c r="D2454" s="3">
        <v>1</v>
      </c>
    </row>
    <row r="2455" spans="1:4" x14ac:dyDescent="0.2">
      <c r="A2455" s="3">
        <v>2454</v>
      </c>
      <c r="B2455" s="3">
        <v>113.4825134</v>
      </c>
      <c r="C2455" s="3">
        <v>22.9659178</v>
      </c>
      <c r="D2455" s="3">
        <v>1</v>
      </c>
    </row>
    <row r="2456" spans="1:4" x14ac:dyDescent="0.2">
      <c r="A2456" s="3">
        <v>2455</v>
      </c>
      <c r="B2456" s="3">
        <v>113.4882417</v>
      </c>
      <c r="C2456" s="3">
        <v>22.97340561</v>
      </c>
      <c r="D2456" s="3">
        <v>1</v>
      </c>
    </row>
    <row r="2457" spans="1:4" x14ac:dyDescent="0.2">
      <c r="A2457" s="3">
        <v>2456</v>
      </c>
      <c r="B2457" s="3">
        <v>113.4877078</v>
      </c>
      <c r="C2457" s="3">
        <v>22.973022180000001</v>
      </c>
      <c r="D2457" s="3">
        <v>1</v>
      </c>
    </row>
    <row r="2458" spans="1:4" x14ac:dyDescent="0.2">
      <c r="A2458" s="3">
        <v>2457</v>
      </c>
      <c r="B2458" s="3">
        <v>113.485653</v>
      </c>
      <c r="C2458" s="3">
        <v>22.968616950000001</v>
      </c>
      <c r="D2458" s="3">
        <v>1</v>
      </c>
    </row>
    <row r="2459" spans="1:4" x14ac:dyDescent="0.2">
      <c r="A2459" s="3">
        <v>2458</v>
      </c>
      <c r="B2459" s="3">
        <v>113.49121340000001</v>
      </c>
      <c r="C2459" s="3">
        <v>22.967537050000001</v>
      </c>
      <c r="D2459" s="3">
        <v>1</v>
      </c>
    </row>
    <row r="2460" spans="1:4" x14ac:dyDescent="0.2">
      <c r="A2460" s="3">
        <v>2459</v>
      </c>
      <c r="B2460" s="3">
        <v>113.4831738</v>
      </c>
      <c r="C2460" s="3">
        <v>22.96401857</v>
      </c>
      <c r="D2460" s="3">
        <v>1</v>
      </c>
    </row>
    <row r="2461" spans="1:4" x14ac:dyDescent="0.2">
      <c r="A2461" s="3">
        <v>2460</v>
      </c>
      <c r="B2461" s="3">
        <v>113.48231939999999</v>
      </c>
      <c r="C2461" s="3">
        <v>22.970613220000001</v>
      </c>
      <c r="D2461" s="3">
        <v>1</v>
      </c>
    </row>
    <row r="2462" spans="1:4" x14ac:dyDescent="0.2">
      <c r="A2462" s="3">
        <v>2461</v>
      </c>
      <c r="B2462" s="3">
        <v>113.4850127</v>
      </c>
      <c r="C2462" s="3">
        <v>22.970355300000001</v>
      </c>
      <c r="D2462" s="3">
        <v>1</v>
      </c>
    </row>
    <row r="2463" spans="1:4" x14ac:dyDescent="0.2">
      <c r="A2463" s="3">
        <v>2462</v>
      </c>
      <c r="B2463" s="3">
        <v>113.48270460000001</v>
      </c>
      <c r="C2463" s="3">
        <v>22.97290937</v>
      </c>
      <c r="D2463" s="3">
        <v>1</v>
      </c>
    </row>
    <row r="2464" spans="1:4" x14ac:dyDescent="0.2">
      <c r="A2464" s="3">
        <v>2463</v>
      </c>
      <c r="B2464" s="3">
        <v>113.49085220000001</v>
      </c>
      <c r="C2464" s="3">
        <v>22.966990200000001</v>
      </c>
      <c r="D2464" s="3">
        <v>1</v>
      </c>
    </row>
    <row r="2465" spans="1:4" x14ac:dyDescent="0.2">
      <c r="A2465" s="3">
        <v>2464</v>
      </c>
      <c r="B2465" s="3">
        <v>113.49597180000001</v>
      </c>
      <c r="C2465" s="3">
        <v>22.971295749999999</v>
      </c>
      <c r="D2465" s="3">
        <v>1</v>
      </c>
    </row>
    <row r="2466" spans="1:4" x14ac:dyDescent="0.2">
      <c r="A2466" s="3">
        <v>2465</v>
      </c>
      <c r="B2466" s="3">
        <v>113.4945709</v>
      </c>
      <c r="C2466" s="3">
        <v>22.971445469999999</v>
      </c>
      <c r="D2466" s="3">
        <v>1</v>
      </c>
    </row>
    <row r="2467" spans="1:4" x14ac:dyDescent="0.2">
      <c r="A2467" s="3">
        <v>2466</v>
      </c>
      <c r="B2467" s="3">
        <v>113.4944675</v>
      </c>
      <c r="C2467" s="3">
        <v>22.971462150000001</v>
      </c>
      <c r="D2467" s="3">
        <v>1</v>
      </c>
    </row>
    <row r="2468" spans="1:4" x14ac:dyDescent="0.2">
      <c r="A2468" s="3">
        <v>2467</v>
      </c>
      <c r="B2468" s="3">
        <v>113.49980530000001</v>
      </c>
      <c r="C2468" s="3">
        <v>22.97126428</v>
      </c>
      <c r="D2468" s="3">
        <v>1</v>
      </c>
    </row>
    <row r="2469" spans="1:4" x14ac:dyDescent="0.2">
      <c r="A2469" s="3">
        <v>2468</v>
      </c>
      <c r="B2469" s="3">
        <v>113.49709970000001</v>
      </c>
      <c r="C2469" s="3">
        <v>22.973008400000001</v>
      </c>
      <c r="D2469" s="3">
        <v>1</v>
      </c>
    </row>
    <row r="2470" spans="1:4" x14ac:dyDescent="0.2">
      <c r="A2470" s="3">
        <v>2469</v>
      </c>
      <c r="B2470" s="3">
        <v>113.5007726</v>
      </c>
      <c r="C2470" s="3">
        <v>22.971798939999999</v>
      </c>
      <c r="D2470" s="3">
        <v>1</v>
      </c>
    </row>
    <row r="2471" spans="1:4" x14ac:dyDescent="0.2">
      <c r="A2471" s="3">
        <v>2470</v>
      </c>
      <c r="B2471" s="3">
        <v>113.5014822</v>
      </c>
      <c r="C2471" s="3">
        <v>22.97047564</v>
      </c>
      <c r="D2471" s="3">
        <v>1</v>
      </c>
    </row>
    <row r="2472" spans="1:4" x14ac:dyDescent="0.2">
      <c r="A2472" s="3">
        <v>2471</v>
      </c>
      <c r="B2472" s="3">
        <v>113.4919749</v>
      </c>
      <c r="C2472" s="3">
        <v>22.97016021</v>
      </c>
      <c r="D2472" s="3">
        <v>1</v>
      </c>
    </row>
    <row r="2473" spans="1:4" x14ac:dyDescent="0.2">
      <c r="A2473" s="3">
        <v>2472</v>
      </c>
      <c r="B2473" s="3">
        <v>113.496577</v>
      </c>
      <c r="C2473" s="3">
        <v>22.971067659999999</v>
      </c>
      <c r="D2473" s="3">
        <v>1</v>
      </c>
    </row>
    <row r="2474" spans="1:4" x14ac:dyDescent="0.2">
      <c r="A2474" s="3">
        <v>2473</v>
      </c>
      <c r="B2474" s="3">
        <v>113.52536569999999</v>
      </c>
      <c r="C2474" s="3">
        <v>22.964337279999999</v>
      </c>
      <c r="D2474" s="3">
        <v>1</v>
      </c>
    </row>
    <row r="2475" spans="1:4" x14ac:dyDescent="0.2">
      <c r="A2475" s="3">
        <v>2474</v>
      </c>
      <c r="B2475" s="3">
        <v>113.2831875</v>
      </c>
      <c r="C2475" s="3">
        <v>22.959464700000002</v>
      </c>
      <c r="D2475" s="3">
        <v>20</v>
      </c>
    </row>
    <row r="2476" spans="1:4" x14ac:dyDescent="0.2">
      <c r="A2476" s="3">
        <v>2475</v>
      </c>
      <c r="B2476" s="3">
        <v>113.2883073</v>
      </c>
      <c r="C2476" s="3">
        <v>22.963056980000001</v>
      </c>
      <c r="D2476" s="3">
        <v>20</v>
      </c>
    </row>
    <row r="2477" spans="1:4" x14ac:dyDescent="0.2">
      <c r="A2477" s="3">
        <v>2476</v>
      </c>
      <c r="B2477" s="3">
        <v>113.3110243</v>
      </c>
      <c r="C2477" s="3">
        <v>22.96061353</v>
      </c>
      <c r="D2477" s="3">
        <v>3</v>
      </c>
    </row>
    <row r="2478" spans="1:4" x14ac:dyDescent="0.2">
      <c r="A2478" s="3">
        <v>2477</v>
      </c>
      <c r="B2478" s="3">
        <v>113.31169199999999</v>
      </c>
      <c r="C2478" s="3">
        <v>22.95981063</v>
      </c>
      <c r="D2478" s="3">
        <v>3</v>
      </c>
    </row>
    <row r="2479" spans="1:4" x14ac:dyDescent="0.2">
      <c r="A2479" s="3">
        <v>2478</v>
      </c>
      <c r="B2479" s="3">
        <v>113.30922339999999</v>
      </c>
      <c r="C2479" s="3">
        <v>22.95401768</v>
      </c>
      <c r="D2479" s="3">
        <v>9</v>
      </c>
    </row>
    <row r="2480" spans="1:4" x14ac:dyDescent="0.2">
      <c r="A2480" s="3">
        <v>2479</v>
      </c>
      <c r="B2480" s="3">
        <v>113.3113256</v>
      </c>
      <c r="C2480" s="3">
        <v>22.961657519999999</v>
      </c>
      <c r="D2480" s="3">
        <v>3</v>
      </c>
    </row>
    <row r="2481" spans="1:4" x14ac:dyDescent="0.2">
      <c r="A2481" s="3">
        <v>2480</v>
      </c>
      <c r="B2481" s="3">
        <v>113.3113717</v>
      </c>
      <c r="C2481" s="3">
        <v>22.95965829</v>
      </c>
      <c r="D2481" s="3">
        <v>3</v>
      </c>
    </row>
    <row r="2482" spans="1:4" x14ac:dyDescent="0.2">
      <c r="A2482" s="3">
        <v>2481</v>
      </c>
      <c r="B2482" s="3">
        <v>113.3174574</v>
      </c>
      <c r="C2482" s="3">
        <v>22.957384789999999</v>
      </c>
      <c r="D2482" s="3">
        <v>3</v>
      </c>
    </row>
    <row r="2483" spans="1:4" x14ac:dyDescent="0.2">
      <c r="A2483" s="3">
        <v>2482</v>
      </c>
      <c r="B2483" s="3">
        <v>113.3176151</v>
      </c>
      <c r="C2483" s="3">
        <v>22.957697360000001</v>
      </c>
      <c r="D2483" s="3">
        <v>3</v>
      </c>
    </row>
    <row r="2484" spans="1:4" x14ac:dyDescent="0.2">
      <c r="A2484" s="3">
        <v>2483</v>
      </c>
      <c r="B2484" s="3">
        <v>113.3144006</v>
      </c>
      <c r="C2484" s="3">
        <v>22.958410149999999</v>
      </c>
      <c r="D2484" s="3">
        <v>3</v>
      </c>
    </row>
    <row r="2485" spans="1:4" x14ac:dyDescent="0.2">
      <c r="A2485" s="3">
        <v>2484</v>
      </c>
      <c r="B2485" s="3">
        <v>113.3133747</v>
      </c>
      <c r="C2485" s="3">
        <v>22.958510029999999</v>
      </c>
      <c r="D2485" s="3">
        <v>3</v>
      </c>
    </row>
    <row r="2486" spans="1:4" x14ac:dyDescent="0.2">
      <c r="A2486" s="3">
        <v>2485</v>
      </c>
      <c r="B2486" s="3">
        <v>113.3128337</v>
      </c>
      <c r="C2486" s="3">
        <v>22.959767509999999</v>
      </c>
      <c r="D2486" s="3">
        <v>3</v>
      </c>
    </row>
    <row r="2487" spans="1:4" x14ac:dyDescent="0.2">
      <c r="A2487" s="3">
        <v>2486</v>
      </c>
      <c r="B2487" s="3">
        <v>113.3120752</v>
      </c>
      <c r="C2487" s="3">
        <v>22.96087546</v>
      </c>
      <c r="D2487" s="3">
        <v>3</v>
      </c>
    </row>
    <row r="2488" spans="1:4" x14ac:dyDescent="0.2">
      <c r="A2488" s="3">
        <v>2487</v>
      </c>
      <c r="B2488" s="3">
        <v>113.31174590000001</v>
      </c>
      <c r="C2488" s="3">
        <v>22.959195789999999</v>
      </c>
      <c r="D2488" s="3">
        <v>3</v>
      </c>
    </row>
    <row r="2489" spans="1:4" x14ac:dyDescent="0.2">
      <c r="A2489" s="3">
        <v>2488</v>
      </c>
      <c r="B2489" s="3">
        <v>113.3122597</v>
      </c>
      <c r="C2489" s="3">
        <v>22.962621370000001</v>
      </c>
      <c r="D2489" s="3">
        <v>3</v>
      </c>
    </row>
    <row r="2490" spans="1:4" x14ac:dyDescent="0.2">
      <c r="A2490" s="3">
        <v>2489</v>
      </c>
      <c r="B2490" s="3">
        <v>113.3283818</v>
      </c>
      <c r="C2490" s="3">
        <v>22.95944304</v>
      </c>
      <c r="D2490" s="3">
        <v>17</v>
      </c>
    </row>
    <row r="2491" spans="1:4" x14ac:dyDescent="0.2">
      <c r="A2491" s="3">
        <v>2490</v>
      </c>
      <c r="B2491" s="3">
        <v>113.323995</v>
      </c>
      <c r="C2491" s="3">
        <v>22.95716139</v>
      </c>
      <c r="D2491" s="3">
        <v>17</v>
      </c>
    </row>
    <row r="2492" spans="1:4" x14ac:dyDescent="0.2">
      <c r="A2492" s="3">
        <v>2491</v>
      </c>
      <c r="B2492" s="3">
        <v>113.3284855</v>
      </c>
      <c r="C2492" s="3">
        <v>22.96113312</v>
      </c>
      <c r="D2492" s="3">
        <v>17</v>
      </c>
    </row>
    <row r="2493" spans="1:4" x14ac:dyDescent="0.2">
      <c r="A2493" s="3">
        <v>2492</v>
      </c>
      <c r="B2493" s="3">
        <v>113.32738670000001</v>
      </c>
      <c r="C2493" s="3">
        <v>22.961693969999999</v>
      </c>
      <c r="D2493" s="3">
        <v>17</v>
      </c>
    </row>
    <row r="2494" spans="1:4" x14ac:dyDescent="0.2">
      <c r="A2494" s="3">
        <v>2493</v>
      </c>
      <c r="B2494" s="3">
        <v>113.33023710000001</v>
      </c>
      <c r="C2494" s="3">
        <v>22.95797915</v>
      </c>
      <c r="D2494" s="3">
        <v>17</v>
      </c>
    </row>
    <row r="2495" spans="1:4" x14ac:dyDescent="0.2">
      <c r="A2495" s="3">
        <v>2494</v>
      </c>
      <c r="B2495" s="3">
        <v>113.32989790000001</v>
      </c>
      <c r="C2495" s="3">
        <v>22.957097170000001</v>
      </c>
      <c r="D2495" s="3">
        <v>17</v>
      </c>
    </row>
    <row r="2496" spans="1:4" x14ac:dyDescent="0.2">
      <c r="A2496" s="3">
        <v>2495</v>
      </c>
      <c r="B2496" s="3">
        <v>113.32549179999999</v>
      </c>
      <c r="C2496" s="3">
        <v>22.957971180000001</v>
      </c>
      <c r="D2496" s="3">
        <v>17</v>
      </c>
    </row>
    <row r="2497" spans="1:4" x14ac:dyDescent="0.2">
      <c r="A2497" s="3">
        <v>2496</v>
      </c>
      <c r="B2497" s="3">
        <v>113.32759059999999</v>
      </c>
      <c r="C2497" s="3">
        <v>22.957511369999999</v>
      </c>
      <c r="D2497" s="3">
        <v>17</v>
      </c>
    </row>
    <row r="2498" spans="1:4" x14ac:dyDescent="0.2">
      <c r="A2498" s="3">
        <v>2497</v>
      </c>
      <c r="B2498" s="3">
        <v>113.3254677</v>
      </c>
      <c r="C2498" s="3">
        <v>22.960282240000002</v>
      </c>
      <c r="D2498" s="3">
        <v>17</v>
      </c>
    </row>
    <row r="2499" spans="1:4" x14ac:dyDescent="0.2">
      <c r="A2499" s="3">
        <v>2498</v>
      </c>
      <c r="B2499" s="3">
        <v>113.328818</v>
      </c>
      <c r="C2499" s="3">
        <v>22.9580728</v>
      </c>
      <c r="D2499" s="3">
        <v>17</v>
      </c>
    </row>
    <row r="2500" spans="1:4" x14ac:dyDescent="0.2">
      <c r="A2500" s="3">
        <v>2499</v>
      </c>
      <c r="B2500" s="3">
        <v>113.3281432</v>
      </c>
      <c r="C2500" s="3">
        <v>22.960261150000001</v>
      </c>
      <c r="D2500" s="3">
        <v>17</v>
      </c>
    </row>
    <row r="2501" spans="1:4" x14ac:dyDescent="0.2">
      <c r="A2501" s="3">
        <v>2500</v>
      </c>
      <c r="B2501" s="3">
        <v>113.324479</v>
      </c>
      <c r="C2501" s="3">
        <v>22.95695855</v>
      </c>
      <c r="D2501" s="3">
        <v>17</v>
      </c>
    </row>
    <row r="2502" spans="1:4" x14ac:dyDescent="0.2">
      <c r="A2502" s="3">
        <v>2501</v>
      </c>
      <c r="B2502" s="3">
        <v>113.333786</v>
      </c>
      <c r="C2502" s="3">
        <v>22.95745071</v>
      </c>
      <c r="D2502" s="3">
        <v>17</v>
      </c>
    </row>
    <row r="2503" spans="1:4" x14ac:dyDescent="0.2">
      <c r="A2503" s="3">
        <v>2502</v>
      </c>
      <c r="B2503" s="3">
        <v>113.3378348</v>
      </c>
      <c r="C2503" s="3">
        <v>22.96164344</v>
      </c>
      <c r="D2503" s="3">
        <v>28</v>
      </c>
    </row>
    <row r="2504" spans="1:4" x14ac:dyDescent="0.2">
      <c r="A2504" s="3">
        <v>2503</v>
      </c>
      <c r="B2504" s="3">
        <v>113.3331702</v>
      </c>
      <c r="C2504" s="3">
        <v>22.957812700000002</v>
      </c>
      <c r="D2504" s="3">
        <v>17</v>
      </c>
    </row>
    <row r="2505" spans="1:4" x14ac:dyDescent="0.2">
      <c r="A2505" s="3">
        <v>2504</v>
      </c>
      <c r="B2505" s="3">
        <v>113.3386242</v>
      </c>
      <c r="C2505" s="3">
        <v>22.9623597</v>
      </c>
      <c r="D2505" s="3">
        <v>28</v>
      </c>
    </row>
    <row r="2506" spans="1:4" x14ac:dyDescent="0.2">
      <c r="A2506" s="3">
        <v>2505</v>
      </c>
      <c r="B2506" s="3">
        <v>113.33641609999999</v>
      </c>
      <c r="C2506" s="3">
        <v>22.954350160000001</v>
      </c>
      <c r="D2506" s="3">
        <v>17</v>
      </c>
    </row>
    <row r="2507" spans="1:4" x14ac:dyDescent="0.2">
      <c r="A2507" s="3">
        <v>2506</v>
      </c>
      <c r="B2507" s="3">
        <v>113.34096289999999</v>
      </c>
      <c r="C2507" s="3">
        <v>22.960400329999999</v>
      </c>
      <c r="D2507" s="3">
        <v>28</v>
      </c>
    </row>
    <row r="2508" spans="1:4" x14ac:dyDescent="0.2">
      <c r="A2508" s="3">
        <v>2507</v>
      </c>
      <c r="B2508" s="3">
        <v>113.33974619999999</v>
      </c>
      <c r="C2508" s="3">
        <v>22.9599707</v>
      </c>
      <c r="D2508" s="3">
        <v>28</v>
      </c>
    </row>
    <row r="2509" spans="1:4" x14ac:dyDescent="0.2">
      <c r="A2509" s="3">
        <v>2508</v>
      </c>
      <c r="B2509" s="3">
        <v>113.3414298</v>
      </c>
      <c r="C2509" s="3">
        <v>22.963146330000001</v>
      </c>
      <c r="D2509" s="3">
        <v>28</v>
      </c>
    </row>
    <row r="2510" spans="1:4" x14ac:dyDescent="0.2">
      <c r="A2510" s="3">
        <v>2509</v>
      </c>
      <c r="B2510" s="3">
        <v>113.33757129999999</v>
      </c>
      <c r="C2510" s="3">
        <v>22.9612181</v>
      </c>
      <c r="D2510" s="3">
        <v>28</v>
      </c>
    </row>
    <row r="2511" spans="1:4" x14ac:dyDescent="0.2">
      <c r="A2511" s="3">
        <v>2510</v>
      </c>
      <c r="B2511" s="3">
        <v>113.3389047</v>
      </c>
      <c r="C2511" s="3">
        <v>22.961394599999998</v>
      </c>
      <c r="D2511" s="3">
        <v>28</v>
      </c>
    </row>
    <row r="2512" spans="1:4" x14ac:dyDescent="0.2">
      <c r="A2512" s="3">
        <v>2511</v>
      </c>
      <c r="B2512" s="3">
        <v>113.3404848</v>
      </c>
      <c r="C2512" s="3">
        <v>22.9601373</v>
      </c>
      <c r="D2512" s="3">
        <v>28</v>
      </c>
    </row>
    <row r="2513" spans="1:4" x14ac:dyDescent="0.2">
      <c r="A2513" s="3">
        <v>2512</v>
      </c>
      <c r="B2513" s="3">
        <v>113.34071230000001</v>
      </c>
      <c r="C2513" s="3">
        <v>22.960756629999999</v>
      </c>
      <c r="D2513" s="3">
        <v>28</v>
      </c>
    </row>
    <row r="2514" spans="1:4" x14ac:dyDescent="0.2">
      <c r="A2514" s="3">
        <v>2513</v>
      </c>
      <c r="B2514" s="3">
        <v>113.3409729</v>
      </c>
      <c r="C2514" s="3">
        <v>22.959630650000001</v>
      </c>
      <c r="D2514" s="3">
        <v>28</v>
      </c>
    </row>
    <row r="2515" spans="1:4" x14ac:dyDescent="0.2">
      <c r="A2515" s="3">
        <v>2514</v>
      </c>
      <c r="B2515" s="3">
        <v>113.3319767</v>
      </c>
      <c r="C2515" s="3">
        <v>22.957367130000002</v>
      </c>
      <c r="D2515" s="3">
        <v>17</v>
      </c>
    </row>
    <row r="2516" spans="1:4" x14ac:dyDescent="0.2">
      <c r="A2516" s="3">
        <v>2515</v>
      </c>
      <c r="B2516" s="3">
        <v>113.3319778</v>
      </c>
      <c r="C2516" s="3">
        <v>22.95616064</v>
      </c>
      <c r="D2516" s="3">
        <v>17</v>
      </c>
    </row>
    <row r="2517" spans="1:4" x14ac:dyDescent="0.2">
      <c r="A2517" s="3">
        <v>2516</v>
      </c>
      <c r="B2517" s="3">
        <v>113.3352957</v>
      </c>
      <c r="C2517" s="3">
        <v>22.962673670000001</v>
      </c>
      <c r="D2517" s="3">
        <v>17</v>
      </c>
    </row>
    <row r="2518" spans="1:4" x14ac:dyDescent="0.2">
      <c r="A2518" s="3">
        <v>2517</v>
      </c>
      <c r="B2518" s="3">
        <v>113.3442678</v>
      </c>
      <c r="C2518" s="3">
        <v>22.959911739999999</v>
      </c>
      <c r="D2518" s="3">
        <v>28</v>
      </c>
    </row>
    <row r="2519" spans="1:4" x14ac:dyDescent="0.2">
      <c r="A2519" s="3">
        <v>2518</v>
      </c>
      <c r="B2519" s="3">
        <v>113.34682429999999</v>
      </c>
      <c r="C2519" s="3">
        <v>22.958077159999998</v>
      </c>
      <c r="D2519" s="3">
        <v>28</v>
      </c>
    </row>
    <row r="2520" spans="1:4" x14ac:dyDescent="0.2">
      <c r="A2520" s="3">
        <v>2519</v>
      </c>
      <c r="B2520" s="3">
        <v>113.34487369999999</v>
      </c>
      <c r="C2520" s="3">
        <v>22.959860720000002</v>
      </c>
      <c r="D2520" s="3">
        <v>28</v>
      </c>
    </row>
    <row r="2521" spans="1:4" x14ac:dyDescent="0.2">
      <c r="A2521" s="3">
        <v>2520</v>
      </c>
      <c r="B2521" s="3">
        <v>113.3466365</v>
      </c>
      <c r="C2521" s="3">
        <v>22.960139590000001</v>
      </c>
      <c r="D2521" s="3">
        <v>28</v>
      </c>
    </row>
    <row r="2522" spans="1:4" x14ac:dyDescent="0.2">
      <c r="A2522" s="3">
        <v>2521</v>
      </c>
      <c r="B2522" s="3">
        <v>113.34181220000001</v>
      </c>
      <c r="C2522" s="3">
        <v>22.962133080000001</v>
      </c>
      <c r="D2522" s="3">
        <v>28</v>
      </c>
    </row>
    <row r="2523" spans="1:4" x14ac:dyDescent="0.2">
      <c r="A2523" s="3">
        <v>2522</v>
      </c>
      <c r="B2523" s="3">
        <v>113.34479279999999</v>
      </c>
      <c r="C2523" s="3">
        <v>22.960376629999999</v>
      </c>
      <c r="D2523" s="3">
        <v>28</v>
      </c>
    </row>
    <row r="2524" spans="1:4" x14ac:dyDescent="0.2">
      <c r="A2524" s="3">
        <v>2523</v>
      </c>
      <c r="B2524" s="3">
        <v>113.347976</v>
      </c>
      <c r="C2524" s="3">
        <v>22.960971990000001</v>
      </c>
      <c r="D2524" s="3">
        <v>28</v>
      </c>
    </row>
    <row r="2525" spans="1:4" x14ac:dyDescent="0.2">
      <c r="A2525" s="3">
        <v>2524</v>
      </c>
      <c r="B2525" s="3">
        <v>113.3469778</v>
      </c>
      <c r="C2525" s="3">
        <v>22.96113059</v>
      </c>
      <c r="D2525" s="3">
        <v>28</v>
      </c>
    </row>
    <row r="2526" spans="1:4" x14ac:dyDescent="0.2">
      <c r="A2526" s="3">
        <v>2525</v>
      </c>
      <c r="B2526" s="3">
        <v>113.3466483</v>
      </c>
      <c r="C2526" s="3">
        <v>22.96168291</v>
      </c>
      <c r="D2526" s="3">
        <v>28</v>
      </c>
    </row>
    <row r="2527" spans="1:4" x14ac:dyDescent="0.2">
      <c r="A2527" s="3">
        <v>2526</v>
      </c>
      <c r="B2527" s="3">
        <v>113.343559</v>
      </c>
      <c r="C2527" s="3">
        <v>22.960279809999999</v>
      </c>
      <c r="D2527" s="3">
        <v>28</v>
      </c>
    </row>
    <row r="2528" spans="1:4" x14ac:dyDescent="0.2">
      <c r="A2528" s="3">
        <v>2527</v>
      </c>
      <c r="B2528" s="3">
        <v>113.3476575</v>
      </c>
      <c r="C2528" s="3">
        <v>22.962100039999999</v>
      </c>
      <c r="D2528" s="3">
        <v>28</v>
      </c>
    </row>
    <row r="2529" spans="1:4" x14ac:dyDescent="0.2">
      <c r="A2529" s="3">
        <v>2528</v>
      </c>
      <c r="B2529" s="3">
        <v>113.348752</v>
      </c>
      <c r="C2529" s="3">
        <v>22.956122780000001</v>
      </c>
      <c r="D2529" s="3">
        <v>28</v>
      </c>
    </row>
    <row r="2530" spans="1:4" x14ac:dyDescent="0.2">
      <c r="A2530" s="3">
        <v>2529</v>
      </c>
      <c r="B2530" s="3">
        <v>113.34319170000001</v>
      </c>
      <c r="C2530" s="3">
        <v>22.959946590000001</v>
      </c>
      <c r="D2530" s="3">
        <v>28</v>
      </c>
    </row>
    <row r="2531" spans="1:4" x14ac:dyDescent="0.2">
      <c r="A2531" s="3">
        <v>2530</v>
      </c>
      <c r="B2531" s="3">
        <v>113.34991599999999</v>
      </c>
      <c r="C2531" s="3">
        <v>22.95615987</v>
      </c>
      <c r="D2531" s="3">
        <v>28</v>
      </c>
    </row>
    <row r="2532" spans="1:4" x14ac:dyDescent="0.2">
      <c r="A2532" s="3">
        <v>2531</v>
      </c>
      <c r="B2532" s="3">
        <v>113.35006079999999</v>
      </c>
      <c r="C2532" s="3">
        <v>22.955560890000001</v>
      </c>
      <c r="D2532" s="3">
        <v>28</v>
      </c>
    </row>
    <row r="2533" spans="1:4" x14ac:dyDescent="0.2">
      <c r="A2533" s="3">
        <v>2532</v>
      </c>
      <c r="B2533" s="3">
        <v>113.3489683</v>
      </c>
      <c r="C2533" s="3">
        <v>22.960752450000001</v>
      </c>
      <c r="D2533" s="3">
        <v>28</v>
      </c>
    </row>
    <row r="2534" spans="1:4" x14ac:dyDescent="0.2">
      <c r="A2534" s="3">
        <v>2533</v>
      </c>
      <c r="B2534" s="3">
        <v>113.3476201</v>
      </c>
      <c r="C2534" s="3">
        <v>22.954576320000001</v>
      </c>
      <c r="D2534" s="3">
        <v>28</v>
      </c>
    </row>
    <row r="2535" spans="1:4" x14ac:dyDescent="0.2">
      <c r="A2535" s="3">
        <v>2534</v>
      </c>
      <c r="B2535" s="3">
        <v>113.3477403</v>
      </c>
      <c r="C2535" s="3">
        <v>22.962589690000001</v>
      </c>
      <c r="D2535" s="3">
        <v>28</v>
      </c>
    </row>
    <row r="2536" spans="1:4" x14ac:dyDescent="0.2">
      <c r="A2536" s="3">
        <v>2535</v>
      </c>
      <c r="B2536" s="3">
        <v>113.3494206</v>
      </c>
      <c r="C2536" s="3">
        <v>22.960670740000001</v>
      </c>
      <c r="D2536" s="3">
        <v>28</v>
      </c>
    </row>
    <row r="2537" spans="1:4" x14ac:dyDescent="0.2">
      <c r="A2537" s="3">
        <v>2536</v>
      </c>
      <c r="B2537" s="3">
        <v>113.3492279</v>
      </c>
      <c r="C2537" s="3">
        <v>22.960084309999999</v>
      </c>
      <c r="D2537" s="3">
        <v>28</v>
      </c>
    </row>
    <row r="2538" spans="1:4" x14ac:dyDescent="0.2">
      <c r="A2538" s="3">
        <v>2537</v>
      </c>
      <c r="B2538" s="3">
        <v>113.34828349999999</v>
      </c>
      <c r="C2538" s="3">
        <v>22.961676180000001</v>
      </c>
      <c r="D2538" s="3">
        <v>28</v>
      </c>
    </row>
    <row r="2539" spans="1:4" x14ac:dyDescent="0.2">
      <c r="A2539" s="3">
        <v>2538</v>
      </c>
      <c r="B2539" s="3">
        <v>113.3481292</v>
      </c>
      <c r="C2539" s="3">
        <v>22.955222200000001</v>
      </c>
      <c r="D2539" s="3">
        <v>28</v>
      </c>
    </row>
    <row r="2540" spans="1:4" x14ac:dyDescent="0.2">
      <c r="A2540" s="3">
        <v>2539</v>
      </c>
      <c r="B2540" s="3">
        <v>113.351083</v>
      </c>
      <c r="C2540" s="3">
        <v>22.95604204</v>
      </c>
      <c r="D2540" s="3">
        <v>45</v>
      </c>
    </row>
    <row r="2541" spans="1:4" x14ac:dyDescent="0.2">
      <c r="A2541" s="3">
        <v>2540</v>
      </c>
      <c r="B2541" s="3">
        <v>113.3475143</v>
      </c>
      <c r="C2541" s="3">
        <v>22.955056290000002</v>
      </c>
      <c r="D2541" s="3">
        <v>28</v>
      </c>
    </row>
    <row r="2542" spans="1:4" x14ac:dyDescent="0.2">
      <c r="A2542" s="3">
        <v>2541</v>
      </c>
      <c r="B2542" s="3">
        <v>113.350362</v>
      </c>
      <c r="C2542" s="3">
        <v>22.96015444</v>
      </c>
      <c r="D2542" s="3">
        <v>28</v>
      </c>
    </row>
    <row r="2543" spans="1:4" x14ac:dyDescent="0.2">
      <c r="A2543" s="3">
        <v>2542</v>
      </c>
      <c r="B2543" s="3">
        <v>113.3474494</v>
      </c>
      <c r="C2543" s="3">
        <v>22.954238749999998</v>
      </c>
      <c r="D2543" s="3">
        <v>32</v>
      </c>
    </row>
    <row r="2544" spans="1:4" x14ac:dyDescent="0.2">
      <c r="A2544" s="3">
        <v>2543</v>
      </c>
      <c r="B2544" s="3">
        <v>113.3505868</v>
      </c>
      <c r="C2544" s="3">
        <v>22.957462230000001</v>
      </c>
      <c r="D2544" s="3">
        <v>28</v>
      </c>
    </row>
    <row r="2545" spans="1:4" x14ac:dyDescent="0.2">
      <c r="A2545" s="3">
        <v>2544</v>
      </c>
      <c r="B2545" s="3">
        <v>113.34814110000001</v>
      </c>
      <c r="C2545" s="3">
        <v>22.956414670000001</v>
      </c>
      <c r="D2545" s="3">
        <v>28</v>
      </c>
    </row>
    <row r="2546" spans="1:4" x14ac:dyDescent="0.2">
      <c r="A2546" s="3">
        <v>2545</v>
      </c>
      <c r="B2546" s="3">
        <v>113.3458164</v>
      </c>
      <c r="C2546" s="3">
        <v>22.953790699999999</v>
      </c>
      <c r="D2546" s="3">
        <v>32</v>
      </c>
    </row>
    <row r="2547" spans="1:4" x14ac:dyDescent="0.2">
      <c r="A2547" s="3">
        <v>2546</v>
      </c>
      <c r="B2547" s="3">
        <v>113.3484361</v>
      </c>
      <c r="C2547" s="3">
        <v>22.963371200000001</v>
      </c>
      <c r="D2547" s="3">
        <v>28</v>
      </c>
    </row>
    <row r="2548" spans="1:4" x14ac:dyDescent="0.2">
      <c r="A2548" s="3">
        <v>2547</v>
      </c>
      <c r="B2548" s="3">
        <v>113.34538910000001</v>
      </c>
      <c r="C2548" s="3">
        <v>22.95413928</v>
      </c>
      <c r="D2548" s="3">
        <v>28</v>
      </c>
    </row>
    <row r="2549" spans="1:4" x14ac:dyDescent="0.2">
      <c r="A2549" s="3">
        <v>2548</v>
      </c>
      <c r="B2549" s="3">
        <v>113.3463539</v>
      </c>
      <c r="C2549" s="3">
        <v>22.960820779999999</v>
      </c>
      <c r="D2549" s="3">
        <v>28</v>
      </c>
    </row>
    <row r="2550" spans="1:4" x14ac:dyDescent="0.2">
      <c r="A2550" s="3">
        <v>2549</v>
      </c>
      <c r="B2550" s="3">
        <v>113.34667570000001</v>
      </c>
      <c r="C2550" s="3">
        <v>22.955434539999999</v>
      </c>
      <c r="D2550" s="3">
        <v>28</v>
      </c>
    </row>
    <row r="2551" spans="1:4" x14ac:dyDescent="0.2">
      <c r="A2551" s="3">
        <v>2550</v>
      </c>
      <c r="B2551" s="3">
        <v>113.3515269</v>
      </c>
      <c r="C2551" s="3">
        <v>22.961279090000001</v>
      </c>
      <c r="D2551" s="3">
        <v>28</v>
      </c>
    </row>
    <row r="2552" spans="1:4" x14ac:dyDescent="0.2">
      <c r="A2552" s="3">
        <v>2551</v>
      </c>
      <c r="B2552" s="3">
        <v>113.3444044</v>
      </c>
      <c r="C2552" s="3">
        <v>22.96113398</v>
      </c>
      <c r="D2552" s="3">
        <v>28</v>
      </c>
    </row>
    <row r="2553" spans="1:4" x14ac:dyDescent="0.2">
      <c r="A2553" s="3">
        <v>2552</v>
      </c>
      <c r="B2553" s="3">
        <v>113.3453083</v>
      </c>
      <c r="C2553" s="3">
        <v>22.953764570000001</v>
      </c>
      <c r="D2553" s="3">
        <v>32</v>
      </c>
    </row>
    <row r="2554" spans="1:4" x14ac:dyDescent="0.2">
      <c r="A2554" s="3">
        <v>2553</v>
      </c>
      <c r="B2554" s="3">
        <v>113.3497618</v>
      </c>
      <c r="C2554" s="3">
        <v>22.963443999999999</v>
      </c>
      <c r="D2554" s="3">
        <v>28</v>
      </c>
    </row>
    <row r="2555" spans="1:4" x14ac:dyDescent="0.2">
      <c r="A2555" s="3">
        <v>2554</v>
      </c>
      <c r="B2555" s="3">
        <v>113.3492597</v>
      </c>
      <c r="C2555" s="3">
        <v>22.962009429999998</v>
      </c>
      <c r="D2555" s="3">
        <v>28</v>
      </c>
    </row>
    <row r="2556" spans="1:4" x14ac:dyDescent="0.2">
      <c r="A2556" s="3">
        <v>2555</v>
      </c>
      <c r="B2556" s="3">
        <v>113.35160310000001</v>
      </c>
      <c r="C2556" s="3">
        <v>22.95674391</v>
      </c>
      <c r="D2556" s="3">
        <v>45</v>
      </c>
    </row>
    <row r="2557" spans="1:4" x14ac:dyDescent="0.2">
      <c r="A2557" s="3">
        <v>2556</v>
      </c>
      <c r="B2557" s="3">
        <v>113.3459257</v>
      </c>
      <c r="C2557" s="3">
        <v>22.960495640000001</v>
      </c>
      <c r="D2557" s="3">
        <v>28</v>
      </c>
    </row>
    <row r="2558" spans="1:4" x14ac:dyDescent="0.2">
      <c r="A2558" s="3">
        <v>2557</v>
      </c>
      <c r="B2558" s="3">
        <v>113.3444763</v>
      </c>
      <c r="C2558" s="3">
        <v>22.961082879999999</v>
      </c>
      <c r="D2558" s="3">
        <v>28</v>
      </c>
    </row>
    <row r="2559" spans="1:4" x14ac:dyDescent="0.2">
      <c r="A2559" s="3">
        <v>2558</v>
      </c>
      <c r="B2559" s="3">
        <v>113.3486158</v>
      </c>
      <c r="C2559" s="3">
        <v>22.963012060000001</v>
      </c>
      <c r="D2559" s="3">
        <v>28</v>
      </c>
    </row>
    <row r="2560" spans="1:4" x14ac:dyDescent="0.2">
      <c r="A2560" s="3">
        <v>2559</v>
      </c>
      <c r="B2560" s="3">
        <v>113.34821839999999</v>
      </c>
      <c r="C2560" s="3">
        <v>22.963595470000001</v>
      </c>
      <c r="D2560" s="3">
        <v>28</v>
      </c>
    </row>
    <row r="2561" spans="1:4" x14ac:dyDescent="0.2">
      <c r="A2561" s="3">
        <v>2560</v>
      </c>
      <c r="B2561" s="3">
        <v>113.34711849999999</v>
      </c>
      <c r="C2561" s="3">
        <v>22.962117930000002</v>
      </c>
      <c r="D2561" s="3">
        <v>28</v>
      </c>
    </row>
    <row r="2562" spans="1:4" x14ac:dyDescent="0.2">
      <c r="A2562" s="3">
        <v>2561</v>
      </c>
      <c r="B2562" s="3">
        <v>113.34318380000001</v>
      </c>
      <c r="C2562" s="3">
        <v>22.9595038</v>
      </c>
      <c r="D2562" s="3">
        <v>28</v>
      </c>
    </row>
    <row r="2563" spans="1:4" x14ac:dyDescent="0.2">
      <c r="A2563" s="3">
        <v>2562</v>
      </c>
      <c r="B2563" s="3">
        <v>113.3480244</v>
      </c>
      <c r="C2563" s="3">
        <v>22.953797980000001</v>
      </c>
      <c r="D2563" s="3">
        <v>32</v>
      </c>
    </row>
    <row r="2564" spans="1:4" x14ac:dyDescent="0.2">
      <c r="A2564" s="3">
        <v>2563</v>
      </c>
      <c r="B2564" s="3">
        <v>113.349739</v>
      </c>
      <c r="C2564" s="3">
        <v>22.961361929999999</v>
      </c>
      <c r="D2564" s="3">
        <v>28</v>
      </c>
    </row>
    <row r="2565" spans="1:4" x14ac:dyDescent="0.2">
      <c r="A2565" s="3">
        <v>2564</v>
      </c>
      <c r="B2565" s="3">
        <v>113.35683779999999</v>
      </c>
      <c r="C2565" s="3">
        <v>22.956589000000001</v>
      </c>
      <c r="D2565" s="3">
        <v>45</v>
      </c>
    </row>
    <row r="2566" spans="1:4" x14ac:dyDescent="0.2">
      <c r="A2566" s="3">
        <v>2565</v>
      </c>
      <c r="B2566" s="3">
        <v>113.35471990000001</v>
      </c>
      <c r="C2566" s="3">
        <v>22.959282999999999</v>
      </c>
      <c r="D2566" s="3">
        <v>45</v>
      </c>
    </row>
    <row r="2567" spans="1:4" x14ac:dyDescent="0.2">
      <c r="A2567" s="3">
        <v>2566</v>
      </c>
      <c r="B2567" s="3">
        <v>113.3564231</v>
      </c>
      <c r="C2567" s="3">
        <v>22.960564909999999</v>
      </c>
      <c r="D2567" s="3">
        <v>45</v>
      </c>
    </row>
    <row r="2568" spans="1:4" x14ac:dyDescent="0.2">
      <c r="A2568" s="3">
        <v>2567</v>
      </c>
      <c r="B2568" s="3">
        <v>113.3561096</v>
      </c>
      <c r="C2568" s="3">
        <v>22.960409439999999</v>
      </c>
      <c r="D2568" s="3">
        <v>45</v>
      </c>
    </row>
    <row r="2569" spans="1:4" x14ac:dyDescent="0.2">
      <c r="A2569" s="3">
        <v>2568</v>
      </c>
      <c r="B2569" s="3">
        <v>113.3569026</v>
      </c>
      <c r="C2569" s="3">
        <v>22.957315600000001</v>
      </c>
      <c r="D2569" s="3">
        <v>45</v>
      </c>
    </row>
    <row r="2570" spans="1:4" x14ac:dyDescent="0.2">
      <c r="A2570" s="3">
        <v>2569</v>
      </c>
      <c r="B2570" s="3">
        <v>113.3581827</v>
      </c>
      <c r="C2570" s="3">
        <v>22.957496670000001</v>
      </c>
      <c r="D2570" s="3">
        <v>45</v>
      </c>
    </row>
    <row r="2571" spans="1:4" x14ac:dyDescent="0.2">
      <c r="A2571" s="3">
        <v>2570</v>
      </c>
      <c r="B2571" s="3">
        <v>113.3574376</v>
      </c>
      <c r="C2571" s="3">
        <v>22.960396500000002</v>
      </c>
      <c r="D2571" s="3">
        <v>45</v>
      </c>
    </row>
    <row r="2572" spans="1:4" x14ac:dyDescent="0.2">
      <c r="A2572" s="3">
        <v>2571</v>
      </c>
      <c r="B2572" s="3">
        <v>113.3547538</v>
      </c>
      <c r="C2572" s="3">
        <v>22.960015630000001</v>
      </c>
      <c r="D2572" s="3">
        <v>45</v>
      </c>
    </row>
    <row r="2573" spans="1:4" x14ac:dyDescent="0.2">
      <c r="A2573" s="3">
        <v>2572</v>
      </c>
      <c r="B2573" s="3">
        <v>113.35698530000001</v>
      </c>
      <c r="C2573" s="3">
        <v>22.960875949999998</v>
      </c>
      <c r="D2573" s="3">
        <v>45</v>
      </c>
    </row>
    <row r="2574" spans="1:4" x14ac:dyDescent="0.2">
      <c r="A2574" s="3">
        <v>2573</v>
      </c>
      <c r="B2574" s="3">
        <v>113.3559319</v>
      </c>
      <c r="C2574" s="3">
        <v>22.960872500000001</v>
      </c>
      <c r="D2574" s="3">
        <v>45</v>
      </c>
    </row>
    <row r="2575" spans="1:4" x14ac:dyDescent="0.2">
      <c r="A2575" s="3">
        <v>2574</v>
      </c>
      <c r="B2575" s="3">
        <v>113.3541967</v>
      </c>
      <c r="C2575" s="3">
        <v>22.95931178</v>
      </c>
      <c r="D2575" s="3">
        <v>45</v>
      </c>
    </row>
    <row r="2576" spans="1:4" x14ac:dyDescent="0.2">
      <c r="A2576" s="3">
        <v>2575</v>
      </c>
      <c r="B2576" s="3">
        <v>113.3580949</v>
      </c>
      <c r="C2576" s="3">
        <v>22.956317299999998</v>
      </c>
      <c r="D2576" s="3">
        <v>45</v>
      </c>
    </row>
    <row r="2577" spans="1:4" x14ac:dyDescent="0.2">
      <c r="A2577" s="3">
        <v>2576</v>
      </c>
      <c r="B2577" s="3">
        <v>113.3568408</v>
      </c>
      <c r="C2577" s="3">
        <v>22.956254139999999</v>
      </c>
      <c r="D2577" s="3">
        <v>45</v>
      </c>
    </row>
    <row r="2578" spans="1:4" x14ac:dyDescent="0.2">
      <c r="A2578" s="3">
        <v>2577</v>
      </c>
      <c r="B2578" s="3">
        <v>113.3595356</v>
      </c>
      <c r="C2578" s="3">
        <v>22.95910009</v>
      </c>
      <c r="D2578" s="3">
        <v>45</v>
      </c>
    </row>
    <row r="2579" spans="1:4" x14ac:dyDescent="0.2">
      <c r="A2579" s="3">
        <v>2578</v>
      </c>
      <c r="B2579" s="3">
        <v>113.3569464</v>
      </c>
      <c r="C2579" s="3">
        <v>22.960585129999998</v>
      </c>
      <c r="D2579" s="3">
        <v>45</v>
      </c>
    </row>
    <row r="2580" spans="1:4" x14ac:dyDescent="0.2">
      <c r="A2580" s="3">
        <v>2579</v>
      </c>
      <c r="B2580" s="3">
        <v>113.35787329999999</v>
      </c>
      <c r="C2580" s="3">
        <v>22.95626764</v>
      </c>
      <c r="D2580" s="3">
        <v>45</v>
      </c>
    </row>
    <row r="2581" spans="1:4" x14ac:dyDescent="0.2">
      <c r="A2581" s="3">
        <v>2580</v>
      </c>
      <c r="B2581" s="3">
        <v>113.3538982</v>
      </c>
      <c r="C2581" s="3">
        <v>22.959086330000002</v>
      </c>
      <c r="D2581" s="3">
        <v>45</v>
      </c>
    </row>
    <row r="2582" spans="1:4" x14ac:dyDescent="0.2">
      <c r="A2582" s="3">
        <v>2581</v>
      </c>
      <c r="B2582" s="3">
        <v>113.3547757</v>
      </c>
      <c r="C2582" s="3">
        <v>22.960356449999999</v>
      </c>
      <c r="D2582" s="3">
        <v>45</v>
      </c>
    </row>
    <row r="2583" spans="1:4" x14ac:dyDescent="0.2">
      <c r="A2583" s="3">
        <v>2582</v>
      </c>
      <c r="B2583" s="3">
        <v>113.3538983</v>
      </c>
      <c r="C2583" s="3">
        <v>22.958131739999999</v>
      </c>
      <c r="D2583" s="3">
        <v>45</v>
      </c>
    </row>
    <row r="2584" spans="1:4" x14ac:dyDescent="0.2">
      <c r="A2584" s="3">
        <v>2583</v>
      </c>
      <c r="B2584" s="3">
        <v>113.357192</v>
      </c>
      <c r="C2584" s="3">
        <v>22.960607769999999</v>
      </c>
      <c r="D2584" s="3">
        <v>45</v>
      </c>
    </row>
    <row r="2585" spans="1:4" x14ac:dyDescent="0.2">
      <c r="A2585" s="3">
        <v>2584</v>
      </c>
      <c r="B2585" s="3">
        <v>113.356454</v>
      </c>
      <c r="C2585" s="3">
        <v>22.961913289999998</v>
      </c>
      <c r="D2585" s="3">
        <v>45</v>
      </c>
    </row>
    <row r="2586" spans="1:4" x14ac:dyDescent="0.2">
      <c r="A2586" s="3">
        <v>2585</v>
      </c>
      <c r="B2586" s="3">
        <v>113.3587079</v>
      </c>
      <c r="C2586" s="3">
        <v>22.957345</v>
      </c>
      <c r="D2586" s="3">
        <v>45</v>
      </c>
    </row>
    <row r="2587" spans="1:4" x14ac:dyDescent="0.2">
      <c r="A2587" s="3">
        <v>2586</v>
      </c>
      <c r="B2587" s="3">
        <v>113.3587</v>
      </c>
      <c r="C2587" s="3">
        <v>22.956430399999999</v>
      </c>
      <c r="D2587" s="3">
        <v>45</v>
      </c>
    </row>
    <row r="2588" spans="1:4" x14ac:dyDescent="0.2">
      <c r="A2588" s="3">
        <v>2587</v>
      </c>
      <c r="B2588" s="3">
        <v>113.359978</v>
      </c>
      <c r="C2588" s="3">
        <v>22.958390779999998</v>
      </c>
      <c r="D2588" s="3">
        <v>45</v>
      </c>
    </row>
    <row r="2589" spans="1:4" x14ac:dyDescent="0.2">
      <c r="A2589" s="3">
        <v>2588</v>
      </c>
      <c r="B2589" s="3">
        <v>113.35861010000001</v>
      </c>
      <c r="C2589" s="3">
        <v>22.956528479999999</v>
      </c>
      <c r="D2589" s="3">
        <v>45</v>
      </c>
    </row>
    <row r="2590" spans="1:4" x14ac:dyDescent="0.2">
      <c r="A2590" s="3">
        <v>2589</v>
      </c>
      <c r="B2590" s="3">
        <v>113.36038550000001</v>
      </c>
      <c r="C2590" s="3">
        <v>22.95814433</v>
      </c>
      <c r="D2590" s="3">
        <v>45</v>
      </c>
    </row>
    <row r="2591" spans="1:4" x14ac:dyDescent="0.2">
      <c r="A2591" s="3">
        <v>2590</v>
      </c>
      <c r="B2591" s="3">
        <v>113.3556772</v>
      </c>
      <c r="C2591" s="3">
        <v>22.96167354</v>
      </c>
      <c r="D2591" s="3">
        <v>45</v>
      </c>
    </row>
    <row r="2592" spans="1:4" x14ac:dyDescent="0.2">
      <c r="A2592" s="3">
        <v>2591</v>
      </c>
      <c r="B2592" s="3">
        <v>113.3588159</v>
      </c>
      <c r="C2592" s="3">
        <v>22.955942440000001</v>
      </c>
      <c r="D2592" s="3">
        <v>45</v>
      </c>
    </row>
    <row r="2593" spans="1:4" x14ac:dyDescent="0.2">
      <c r="A2593" s="3">
        <v>2592</v>
      </c>
      <c r="B2593" s="3">
        <v>113.360056</v>
      </c>
      <c r="C2593" s="3">
        <v>22.95726316</v>
      </c>
      <c r="D2593" s="3">
        <v>45</v>
      </c>
    </row>
    <row r="2594" spans="1:4" x14ac:dyDescent="0.2">
      <c r="A2594" s="3">
        <v>2593</v>
      </c>
      <c r="B2594" s="3">
        <v>113.3585353</v>
      </c>
      <c r="C2594" s="3">
        <v>22.956554579999999</v>
      </c>
      <c r="D2594" s="3">
        <v>45</v>
      </c>
    </row>
    <row r="2595" spans="1:4" x14ac:dyDescent="0.2">
      <c r="A2595" s="3">
        <v>2594</v>
      </c>
      <c r="B2595" s="3">
        <v>113.3605053</v>
      </c>
      <c r="C2595" s="3">
        <v>22.958413050000001</v>
      </c>
      <c r="D2595" s="3">
        <v>45</v>
      </c>
    </row>
    <row r="2596" spans="1:4" x14ac:dyDescent="0.2">
      <c r="A2596" s="3">
        <v>2595</v>
      </c>
      <c r="B2596" s="3">
        <v>113.35278510000001</v>
      </c>
      <c r="C2596" s="3">
        <v>22.9582674</v>
      </c>
      <c r="D2596" s="3">
        <v>45</v>
      </c>
    </row>
    <row r="2597" spans="1:4" x14ac:dyDescent="0.2">
      <c r="A2597" s="3">
        <v>2596</v>
      </c>
      <c r="B2597" s="3">
        <v>113.35402499999999</v>
      </c>
      <c r="C2597" s="3">
        <v>22.959485969999999</v>
      </c>
      <c r="D2597" s="3">
        <v>45</v>
      </c>
    </row>
    <row r="2598" spans="1:4" x14ac:dyDescent="0.2">
      <c r="A2598" s="3">
        <v>2597</v>
      </c>
      <c r="B2598" s="3">
        <v>113.35693019999999</v>
      </c>
      <c r="C2598" s="3">
        <v>22.962443360000002</v>
      </c>
      <c r="D2598" s="3">
        <v>45</v>
      </c>
    </row>
    <row r="2599" spans="1:4" x14ac:dyDescent="0.2">
      <c r="A2599" s="3">
        <v>2598</v>
      </c>
      <c r="B2599" s="3">
        <v>113.3559058</v>
      </c>
      <c r="C2599" s="3">
        <v>22.962240950000002</v>
      </c>
      <c r="D2599" s="3">
        <v>45</v>
      </c>
    </row>
    <row r="2600" spans="1:4" x14ac:dyDescent="0.2">
      <c r="A2600" s="3">
        <v>2599</v>
      </c>
      <c r="B2600" s="3">
        <v>113.3583316</v>
      </c>
      <c r="C2600" s="3">
        <v>22.95518345</v>
      </c>
      <c r="D2600" s="3">
        <v>45</v>
      </c>
    </row>
    <row r="2601" spans="1:4" x14ac:dyDescent="0.2">
      <c r="A2601" s="3">
        <v>2600</v>
      </c>
      <c r="B2601" s="3">
        <v>113.3595748</v>
      </c>
      <c r="C2601" s="3">
        <v>22.955965370000001</v>
      </c>
      <c r="D2601" s="3">
        <v>45</v>
      </c>
    </row>
    <row r="2602" spans="1:4" x14ac:dyDescent="0.2">
      <c r="A2602" s="3">
        <v>2601</v>
      </c>
      <c r="B2602" s="3">
        <v>113.3602009</v>
      </c>
      <c r="C2602" s="3">
        <v>22.955967510000001</v>
      </c>
      <c r="D2602" s="3">
        <v>45</v>
      </c>
    </row>
    <row r="2603" spans="1:4" x14ac:dyDescent="0.2">
      <c r="A2603" s="3">
        <v>2602</v>
      </c>
      <c r="B2603" s="3">
        <v>113.35578839999999</v>
      </c>
      <c r="C2603" s="3">
        <v>22.957153300000002</v>
      </c>
      <c r="D2603" s="3">
        <v>45</v>
      </c>
    </row>
    <row r="2604" spans="1:4" x14ac:dyDescent="0.2">
      <c r="A2604" s="3">
        <v>2603</v>
      </c>
      <c r="B2604" s="3">
        <v>113.3548287</v>
      </c>
      <c r="C2604" s="3">
        <v>22.95995155</v>
      </c>
      <c r="D2604" s="3">
        <v>45</v>
      </c>
    </row>
    <row r="2605" spans="1:4" x14ac:dyDescent="0.2">
      <c r="A2605" s="3">
        <v>2604</v>
      </c>
      <c r="B2605" s="3">
        <v>113.3557984</v>
      </c>
      <c r="C2605" s="3">
        <v>22.956865409999999</v>
      </c>
      <c r="D2605" s="3">
        <v>45</v>
      </c>
    </row>
    <row r="2606" spans="1:4" x14ac:dyDescent="0.2">
      <c r="A2606" s="3">
        <v>2605</v>
      </c>
      <c r="B2606" s="3">
        <v>113.3611563</v>
      </c>
      <c r="C2606" s="3">
        <v>22.958997920000002</v>
      </c>
      <c r="D2606" s="3">
        <v>45</v>
      </c>
    </row>
    <row r="2607" spans="1:4" x14ac:dyDescent="0.2">
      <c r="A2607" s="3">
        <v>2606</v>
      </c>
      <c r="B2607" s="3">
        <v>113.36084289999999</v>
      </c>
      <c r="C2607" s="3">
        <v>22.956906239999999</v>
      </c>
      <c r="D2607" s="3">
        <v>45</v>
      </c>
    </row>
    <row r="2608" spans="1:4" x14ac:dyDescent="0.2">
      <c r="A2608" s="3">
        <v>2607</v>
      </c>
      <c r="B2608" s="3">
        <v>113.3548929</v>
      </c>
      <c r="C2608" s="3">
        <v>22.954653709999999</v>
      </c>
      <c r="D2608" s="3">
        <v>45</v>
      </c>
    </row>
    <row r="2609" spans="1:4" x14ac:dyDescent="0.2">
      <c r="A2609" s="3">
        <v>2608</v>
      </c>
      <c r="B2609" s="3">
        <v>113.3574957</v>
      </c>
      <c r="C2609" s="3">
        <v>22.957779540000001</v>
      </c>
      <c r="D2609" s="3">
        <v>45</v>
      </c>
    </row>
    <row r="2610" spans="1:4" x14ac:dyDescent="0.2">
      <c r="A2610" s="3">
        <v>2609</v>
      </c>
      <c r="B2610" s="3">
        <v>113.3556701</v>
      </c>
      <c r="C2610" s="3">
        <v>22.963155910000001</v>
      </c>
      <c r="D2610" s="3">
        <v>45</v>
      </c>
    </row>
    <row r="2611" spans="1:4" x14ac:dyDescent="0.2">
      <c r="A2611" s="3">
        <v>2610</v>
      </c>
      <c r="B2611" s="3">
        <v>113.35682180000001</v>
      </c>
      <c r="C2611" s="3">
        <v>22.957366690000001</v>
      </c>
      <c r="D2611" s="3">
        <v>45</v>
      </c>
    </row>
    <row r="2612" spans="1:4" x14ac:dyDescent="0.2">
      <c r="A2612" s="3">
        <v>2611</v>
      </c>
      <c r="B2612" s="3">
        <v>113.36139489999999</v>
      </c>
      <c r="C2612" s="3">
        <v>22.95998518</v>
      </c>
      <c r="D2612" s="3">
        <v>45</v>
      </c>
    </row>
    <row r="2613" spans="1:4" x14ac:dyDescent="0.2">
      <c r="A2613" s="3">
        <v>2612</v>
      </c>
      <c r="B2613" s="3">
        <v>113.3537807</v>
      </c>
      <c r="C2613" s="3">
        <v>22.95493329</v>
      </c>
      <c r="D2613" s="3">
        <v>45</v>
      </c>
    </row>
    <row r="2614" spans="1:4" x14ac:dyDescent="0.2">
      <c r="A2614" s="3">
        <v>2613</v>
      </c>
      <c r="B2614" s="3">
        <v>113.3581789</v>
      </c>
      <c r="C2614" s="3">
        <v>22.954055149999999</v>
      </c>
      <c r="D2614" s="3">
        <v>45</v>
      </c>
    </row>
    <row r="2615" spans="1:4" x14ac:dyDescent="0.2">
      <c r="A2615" s="3">
        <v>2614</v>
      </c>
      <c r="B2615" s="3">
        <v>113.357946</v>
      </c>
      <c r="C2615" s="3">
        <v>22.957636950000001</v>
      </c>
      <c r="D2615" s="3">
        <v>45</v>
      </c>
    </row>
    <row r="2616" spans="1:4" x14ac:dyDescent="0.2">
      <c r="A2616" s="3">
        <v>2615</v>
      </c>
      <c r="B2616" s="3">
        <v>113.35201739999999</v>
      </c>
      <c r="C2616" s="3">
        <v>22.957722839999999</v>
      </c>
      <c r="D2616" s="3">
        <v>45</v>
      </c>
    </row>
    <row r="2617" spans="1:4" x14ac:dyDescent="0.2">
      <c r="A2617" s="3">
        <v>2616</v>
      </c>
      <c r="B2617" s="3">
        <v>113.355114</v>
      </c>
      <c r="C2617" s="3">
        <v>22.963265700000001</v>
      </c>
      <c r="D2617" s="3">
        <v>45</v>
      </c>
    </row>
    <row r="2618" spans="1:4" x14ac:dyDescent="0.2">
      <c r="A2618" s="3">
        <v>2617</v>
      </c>
      <c r="B2618" s="3">
        <v>113.3544077</v>
      </c>
      <c r="C2618" s="3">
        <v>22.954233630000001</v>
      </c>
      <c r="D2618" s="3">
        <v>45</v>
      </c>
    </row>
    <row r="2619" spans="1:4" x14ac:dyDescent="0.2">
      <c r="A2619" s="3">
        <v>2618</v>
      </c>
      <c r="B2619" s="3">
        <v>113.3549573</v>
      </c>
      <c r="C2619" s="3">
        <v>22.962708169999999</v>
      </c>
      <c r="D2619" s="3">
        <v>45</v>
      </c>
    </row>
    <row r="2620" spans="1:4" x14ac:dyDescent="0.2">
      <c r="A2620" s="3">
        <v>2619</v>
      </c>
      <c r="B2620" s="3">
        <v>113.3557864</v>
      </c>
      <c r="C2620" s="3">
        <v>22.956927400000001</v>
      </c>
      <c r="D2620" s="3">
        <v>45</v>
      </c>
    </row>
    <row r="2621" spans="1:4" x14ac:dyDescent="0.2">
      <c r="A2621" s="3">
        <v>2620</v>
      </c>
      <c r="B2621" s="3">
        <v>113.3567489</v>
      </c>
      <c r="C2621" s="3">
        <v>22.956893999999998</v>
      </c>
      <c r="D2621" s="3">
        <v>45</v>
      </c>
    </row>
    <row r="2622" spans="1:4" x14ac:dyDescent="0.2">
      <c r="A2622" s="3">
        <v>2621</v>
      </c>
      <c r="B2622" s="3">
        <v>113.36110170000001</v>
      </c>
      <c r="C2622" s="3">
        <v>22.955466510000001</v>
      </c>
      <c r="D2622" s="3">
        <v>45</v>
      </c>
    </row>
    <row r="2623" spans="1:4" x14ac:dyDescent="0.2">
      <c r="A2623" s="3">
        <v>2622</v>
      </c>
      <c r="B2623" s="3">
        <v>113.3584075</v>
      </c>
      <c r="C2623" s="3">
        <v>22.954933449999999</v>
      </c>
      <c r="D2623" s="3">
        <v>45</v>
      </c>
    </row>
    <row r="2624" spans="1:4" x14ac:dyDescent="0.2">
      <c r="A2624" s="3">
        <v>2623</v>
      </c>
      <c r="B2624" s="3">
        <v>113.3609379</v>
      </c>
      <c r="C2624" s="3">
        <v>22.9557526</v>
      </c>
      <c r="D2624" s="3">
        <v>45</v>
      </c>
    </row>
    <row r="2625" spans="1:4" x14ac:dyDescent="0.2">
      <c r="A2625" s="3">
        <v>2624</v>
      </c>
      <c r="B2625" s="3">
        <v>113.3576577</v>
      </c>
      <c r="C2625" s="3">
        <v>22.95421683</v>
      </c>
      <c r="D2625" s="3">
        <v>45</v>
      </c>
    </row>
    <row r="2626" spans="1:4" x14ac:dyDescent="0.2">
      <c r="A2626" s="3">
        <v>2625</v>
      </c>
      <c r="B2626" s="3">
        <v>113.3615959</v>
      </c>
      <c r="C2626" s="3">
        <v>22.956015610000001</v>
      </c>
      <c r="D2626" s="3">
        <v>45</v>
      </c>
    </row>
    <row r="2627" spans="1:4" x14ac:dyDescent="0.2">
      <c r="A2627" s="3">
        <v>2626</v>
      </c>
      <c r="B2627" s="3">
        <v>113.35886000000001</v>
      </c>
      <c r="C2627" s="3">
        <v>22.953645359999999</v>
      </c>
      <c r="D2627" s="3">
        <v>45</v>
      </c>
    </row>
    <row r="2628" spans="1:4" x14ac:dyDescent="0.2">
      <c r="A2628" s="3">
        <v>2627</v>
      </c>
      <c r="B2628" s="3">
        <v>113.35404200000001</v>
      </c>
      <c r="C2628" s="3">
        <v>22.959288019999999</v>
      </c>
      <c r="D2628" s="3">
        <v>45</v>
      </c>
    </row>
    <row r="2629" spans="1:4" x14ac:dyDescent="0.2">
      <c r="A2629" s="3">
        <v>2628</v>
      </c>
      <c r="B2629" s="3">
        <v>113.35283699999999</v>
      </c>
      <c r="C2629" s="3">
        <v>22.958382270000001</v>
      </c>
      <c r="D2629" s="3">
        <v>45</v>
      </c>
    </row>
    <row r="2630" spans="1:4" x14ac:dyDescent="0.2">
      <c r="A2630" s="3">
        <v>2629</v>
      </c>
      <c r="B2630" s="3">
        <v>113.3570132</v>
      </c>
      <c r="C2630" s="3">
        <v>22.960872909999999</v>
      </c>
      <c r="D2630" s="3">
        <v>45</v>
      </c>
    </row>
    <row r="2631" spans="1:4" x14ac:dyDescent="0.2">
      <c r="A2631" s="3">
        <v>2630</v>
      </c>
      <c r="B2631" s="3">
        <v>113.36126230000001</v>
      </c>
      <c r="C2631" s="3">
        <v>22.95675374</v>
      </c>
      <c r="D2631" s="3">
        <v>45</v>
      </c>
    </row>
    <row r="2632" spans="1:4" x14ac:dyDescent="0.2">
      <c r="A2632" s="3">
        <v>2631</v>
      </c>
      <c r="B2632" s="3">
        <v>113.351641</v>
      </c>
      <c r="C2632" s="3">
        <v>22.95699274</v>
      </c>
      <c r="D2632" s="3">
        <v>45</v>
      </c>
    </row>
    <row r="2633" spans="1:4" x14ac:dyDescent="0.2">
      <c r="A2633" s="3">
        <v>2632</v>
      </c>
      <c r="B2633" s="3">
        <v>113.3565928</v>
      </c>
      <c r="C2633" s="3">
        <v>22.961949069999999</v>
      </c>
      <c r="D2633" s="3">
        <v>45</v>
      </c>
    </row>
    <row r="2634" spans="1:4" x14ac:dyDescent="0.2">
      <c r="A2634" s="3">
        <v>2633</v>
      </c>
      <c r="B2634" s="3">
        <v>113.35421270000001</v>
      </c>
      <c r="C2634" s="3">
        <v>22.958637039999999</v>
      </c>
      <c r="D2634" s="3">
        <v>45</v>
      </c>
    </row>
    <row r="2635" spans="1:4" x14ac:dyDescent="0.2">
      <c r="A2635" s="3">
        <v>2634</v>
      </c>
      <c r="B2635" s="3">
        <v>113.3603088</v>
      </c>
      <c r="C2635" s="3">
        <v>22.95484884</v>
      </c>
      <c r="D2635" s="3">
        <v>45</v>
      </c>
    </row>
    <row r="2636" spans="1:4" x14ac:dyDescent="0.2">
      <c r="A2636" s="3">
        <v>2635</v>
      </c>
      <c r="B2636" s="3">
        <v>113.3558433</v>
      </c>
      <c r="C2636" s="3">
        <v>22.95708625</v>
      </c>
      <c r="D2636" s="3">
        <v>45</v>
      </c>
    </row>
    <row r="2637" spans="1:4" x14ac:dyDescent="0.2">
      <c r="A2637" s="3">
        <v>2636</v>
      </c>
      <c r="B2637" s="3">
        <v>113.3548966</v>
      </c>
      <c r="C2637" s="3">
        <v>22.959936450000001</v>
      </c>
      <c r="D2637" s="3">
        <v>45</v>
      </c>
    </row>
    <row r="2638" spans="1:4" x14ac:dyDescent="0.2">
      <c r="A2638" s="3">
        <v>2637</v>
      </c>
      <c r="B2638" s="3">
        <v>113.35691370000001</v>
      </c>
      <c r="C2638" s="3">
        <v>22.956659859999998</v>
      </c>
      <c r="D2638" s="3">
        <v>45</v>
      </c>
    </row>
    <row r="2639" spans="1:4" x14ac:dyDescent="0.2">
      <c r="A2639" s="3">
        <v>2638</v>
      </c>
      <c r="B2639" s="3">
        <v>113.3604607</v>
      </c>
      <c r="C2639" s="3">
        <v>22.953718120000001</v>
      </c>
      <c r="D2639" s="3">
        <v>45</v>
      </c>
    </row>
    <row r="2640" spans="1:4" x14ac:dyDescent="0.2">
      <c r="A2640" s="3">
        <v>2639</v>
      </c>
      <c r="B2640" s="3">
        <v>113.35270920000001</v>
      </c>
      <c r="C2640" s="3">
        <v>22.95818955</v>
      </c>
      <c r="D2640" s="3">
        <v>45</v>
      </c>
    </row>
    <row r="2641" spans="1:4" x14ac:dyDescent="0.2">
      <c r="A2641" s="3">
        <v>2640</v>
      </c>
      <c r="B2641" s="3">
        <v>113.3586391</v>
      </c>
      <c r="C2641" s="3">
        <v>22.95656743</v>
      </c>
      <c r="D2641" s="3">
        <v>45</v>
      </c>
    </row>
    <row r="2642" spans="1:4" x14ac:dyDescent="0.2">
      <c r="A2642" s="3">
        <v>2641</v>
      </c>
      <c r="B2642" s="3">
        <v>113.3583235</v>
      </c>
      <c r="C2642" s="3">
        <v>22.957242579999999</v>
      </c>
      <c r="D2642" s="3">
        <v>45</v>
      </c>
    </row>
    <row r="2643" spans="1:4" x14ac:dyDescent="0.2">
      <c r="A2643" s="3">
        <v>2642</v>
      </c>
      <c r="B2643" s="3">
        <v>113.35334539999999</v>
      </c>
      <c r="C2643" s="3">
        <v>22.954798010000001</v>
      </c>
      <c r="D2643" s="3">
        <v>45</v>
      </c>
    </row>
    <row r="2644" spans="1:4" x14ac:dyDescent="0.2">
      <c r="A2644" s="3">
        <v>2643</v>
      </c>
      <c r="B2644" s="3">
        <v>113.3603196</v>
      </c>
      <c r="C2644" s="3">
        <v>22.958161409999999</v>
      </c>
      <c r="D2644" s="3">
        <v>45</v>
      </c>
    </row>
    <row r="2645" spans="1:4" x14ac:dyDescent="0.2">
      <c r="A2645" s="3">
        <v>2644</v>
      </c>
      <c r="B2645" s="3">
        <v>113.35231090000001</v>
      </c>
      <c r="C2645" s="3">
        <v>22.956884729999999</v>
      </c>
      <c r="D2645" s="3">
        <v>45</v>
      </c>
    </row>
    <row r="2646" spans="1:4" x14ac:dyDescent="0.2">
      <c r="A2646" s="3">
        <v>2645</v>
      </c>
      <c r="B2646" s="3">
        <v>113.353984</v>
      </c>
      <c r="C2646" s="3">
        <v>22.95946704</v>
      </c>
      <c r="D2646" s="3">
        <v>45</v>
      </c>
    </row>
    <row r="2647" spans="1:4" x14ac:dyDescent="0.2">
      <c r="A2647" s="3">
        <v>2646</v>
      </c>
      <c r="B2647" s="3">
        <v>113.36065120000001</v>
      </c>
      <c r="C2647" s="3">
        <v>22.9569115</v>
      </c>
      <c r="D2647" s="3">
        <v>45</v>
      </c>
    </row>
    <row r="2648" spans="1:4" x14ac:dyDescent="0.2">
      <c r="A2648" s="3">
        <v>2647</v>
      </c>
      <c r="B2648" s="3">
        <v>113.3611494</v>
      </c>
      <c r="C2648" s="3">
        <v>22.958966950000001</v>
      </c>
      <c r="D2648" s="3">
        <v>45</v>
      </c>
    </row>
    <row r="2649" spans="1:4" x14ac:dyDescent="0.2">
      <c r="A2649" s="3">
        <v>2648</v>
      </c>
      <c r="B2649" s="3">
        <v>113.3525125</v>
      </c>
      <c r="C2649" s="3">
        <v>22.958401769999998</v>
      </c>
      <c r="D2649" s="3">
        <v>45</v>
      </c>
    </row>
    <row r="2650" spans="1:4" x14ac:dyDescent="0.2">
      <c r="A2650" s="3">
        <v>2649</v>
      </c>
      <c r="B2650" s="3">
        <v>113.3548979</v>
      </c>
      <c r="C2650" s="3">
        <v>22.954698690000001</v>
      </c>
      <c r="D2650" s="3">
        <v>45</v>
      </c>
    </row>
    <row r="2651" spans="1:4" x14ac:dyDescent="0.2">
      <c r="A2651" s="3">
        <v>2650</v>
      </c>
      <c r="B2651" s="3">
        <v>113.35618599999999</v>
      </c>
      <c r="C2651" s="3">
        <v>22.953803149999999</v>
      </c>
      <c r="D2651" s="3">
        <v>45</v>
      </c>
    </row>
    <row r="2652" spans="1:4" x14ac:dyDescent="0.2">
      <c r="A2652" s="3">
        <v>2651</v>
      </c>
      <c r="B2652" s="3">
        <v>113.35823379999999</v>
      </c>
      <c r="C2652" s="3">
        <v>22.9551716</v>
      </c>
      <c r="D2652" s="3">
        <v>45</v>
      </c>
    </row>
    <row r="2653" spans="1:4" x14ac:dyDescent="0.2">
      <c r="A2653" s="3">
        <v>2652</v>
      </c>
      <c r="B2653" s="3">
        <v>113.3578105</v>
      </c>
      <c r="C2653" s="3">
        <v>22.95413164</v>
      </c>
      <c r="D2653" s="3">
        <v>45</v>
      </c>
    </row>
    <row r="2654" spans="1:4" x14ac:dyDescent="0.2">
      <c r="A2654" s="3">
        <v>2653</v>
      </c>
      <c r="B2654" s="3">
        <v>113.361548</v>
      </c>
      <c r="C2654" s="3">
        <v>22.956024670000001</v>
      </c>
      <c r="D2654" s="3">
        <v>45</v>
      </c>
    </row>
    <row r="2655" spans="1:4" x14ac:dyDescent="0.2">
      <c r="A2655" s="3">
        <v>2654</v>
      </c>
      <c r="B2655" s="3">
        <v>113.3556248</v>
      </c>
      <c r="C2655" s="3">
        <v>22.954409720000001</v>
      </c>
      <c r="D2655" s="3">
        <v>45</v>
      </c>
    </row>
    <row r="2656" spans="1:4" x14ac:dyDescent="0.2">
      <c r="A2656" s="3">
        <v>2655</v>
      </c>
      <c r="B2656" s="3">
        <v>113.36752130000001</v>
      </c>
      <c r="C2656" s="3">
        <v>22.956741969999999</v>
      </c>
      <c r="D2656" s="3">
        <v>27</v>
      </c>
    </row>
    <row r="2657" spans="1:4" x14ac:dyDescent="0.2">
      <c r="A2657" s="3">
        <v>2656</v>
      </c>
      <c r="B2657" s="3">
        <v>113.3642952</v>
      </c>
      <c r="C2657" s="3">
        <v>22.957978300000001</v>
      </c>
      <c r="D2657" s="3">
        <v>45</v>
      </c>
    </row>
    <row r="2658" spans="1:4" x14ac:dyDescent="0.2">
      <c r="A2658" s="3">
        <v>2657</v>
      </c>
      <c r="B2658" s="3">
        <v>113.3674754</v>
      </c>
      <c r="C2658" s="3">
        <v>22.957046890000001</v>
      </c>
      <c r="D2658" s="3">
        <v>27</v>
      </c>
    </row>
    <row r="2659" spans="1:4" x14ac:dyDescent="0.2">
      <c r="A2659" s="3">
        <v>2658</v>
      </c>
      <c r="B2659" s="3">
        <v>113.3654887</v>
      </c>
      <c r="C2659" s="3">
        <v>22.957637980000001</v>
      </c>
      <c r="D2659" s="3">
        <v>27</v>
      </c>
    </row>
    <row r="2660" spans="1:4" x14ac:dyDescent="0.2">
      <c r="A2660" s="3">
        <v>2659</v>
      </c>
      <c r="B2660" s="3">
        <v>113.367637</v>
      </c>
      <c r="C2660" s="3">
        <v>22.95949066</v>
      </c>
      <c r="D2660" s="3">
        <v>27</v>
      </c>
    </row>
    <row r="2661" spans="1:4" x14ac:dyDescent="0.2">
      <c r="A2661" s="3">
        <v>2660</v>
      </c>
      <c r="B2661" s="3">
        <v>113.3647606</v>
      </c>
      <c r="C2661" s="3">
        <v>22.958564469999999</v>
      </c>
      <c r="D2661" s="3">
        <v>45</v>
      </c>
    </row>
    <row r="2662" spans="1:4" x14ac:dyDescent="0.2">
      <c r="A2662" s="3">
        <v>2661</v>
      </c>
      <c r="B2662" s="3">
        <v>113.3621771</v>
      </c>
      <c r="C2662" s="3">
        <v>22.956056830000001</v>
      </c>
      <c r="D2662" s="3">
        <v>45</v>
      </c>
    </row>
    <row r="2663" spans="1:4" x14ac:dyDescent="0.2">
      <c r="A2663" s="3">
        <v>2662</v>
      </c>
      <c r="B2663" s="3">
        <v>113.36615310000001</v>
      </c>
      <c r="C2663" s="3">
        <v>22.955239200000001</v>
      </c>
      <c r="D2663" s="3">
        <v>27</v>
      </c>
    </row>
    <row r="2664" spans="1:4" x14ac:dyDescent="0.2">
      <c r="A2664" s="3">
        <v>2663</v>
      </c>
      <c r="B2664" s="3">
        <v>113.3679028</v>
      </c>
      <c r="C2664" s="3">
        <v>22.958145930000001</v>
      </c>
      <c r="D2664" s="3">
        <v>27</v>
      </c>
    </row>
    <row r="2665" spans="1:4" x14ac:dyDescent="0.2">
      <c r="A2665" s="3">
        <v>2664</v>
      </c>
      <c r="B2665" s="3">
        <v>113.3644699</v>
      </c>
      <c r="C2665" s="3">
        <v>22.95928352</v>
      </c>
      <c r="D2665" s="3">
        <v>45</v>
      </c>
    </row>
    <row r="2666" spans="1:4" x14ac:dyDescent="0.2">
      <c r="A2666" s="3">
        <v>2665</v>
      </c>
      <c r="B2666" s="3">
        <v>113.36445089999999</v>
      </c>
      <c r="C2666" s="3">
        <v>22.959871289999999</v>
      </c>
      <c r="D2666" s="3">
        <v>45</v>
      </c>
    </row>
    <row r="2667" spans="1:4" x14ac:dyDescent="0.2">
      <c r="A2667" s="3">
        <v>2666</v>
      </c>
      <c r="B2667" s="3">
        <v>113.3633684</v>
      </c>
      <c r="C2667" s="3">
        <v>22.958791120000001</v>
      </c>
      <c r="D2667" s="3">
        <v>45</v>
      </c>
    </row>
    <row r="2668" spans="1:4" x14ac:dyDescent="0.2">
      <c r="A2668" s="3">
        <v>2667</v>
      </c>
      <c r="B2668" s="3">
        <v>113.36330049999999</v>
      </c>
      <c r="C2668" s="3">
        <v>22.957469769999999</v>
      </c>
      <c r="D2668" s="3">
        <v>45</v>
      </c>
    </row>
    <row r="2669" spans="1:4" x14ac:dyDescent="0.2">
      <c r="A2669" s="3">
        <v>2668</v>
      </c>
      <c r="B2669" s="3">
        <v>113.3631188</v>
      </c>
      <c r="C2669" s="3">
        <v>22.95787683</v>
      </c>
      <c r="D2669" s="3">
        <v>45</v>
      </c>
    </row>
    <row r="2670" spans="1:4" x14ac:dyDescent="0.2">
      <c r="A2670" s="3">
        <v>2669</v>
      </c>
      <c r="B2670" s="3">
        <v>113.3678671</v>
      </c>
      <c r="C2670" s="3">
        <v>22.955060289999999</v>
      </c>
      <c r="D2670" s="3">
        <v>27</v>
      </c>
    </row>
    <row r="2671" spans="1:4" x14ac:dyDescent="0.2">
      <c r="A2671" s="3">
        <v>2670</v>
      </c>
      <c r="B2671" s="3">
        <v>113.3632514</v>
      </c>
      <c r="C2671" s="3">
        <v>22.960937349999998</v>
      </c>
      <c r="D2671" s="3">
        <v>45</v>
      </c>
    </row>
    <row r="2672" spans="1:4" x14ac:dyDescent="0.2">
      <c r="A2672" s="3">
        <v>2671</v>
      </c>
      <c r="B2672" s="3">
        <v>113.365449</v>
      </c>
      <c r="C2672" s="3">
        <v>22.955011150000001</v>
      </c>
      <c r="D2672" s="3">
        <v>27</v>
      </c>
    </row>
    <row r="2673" spans="1:4" x14ac:dyDescent="0.2">
      <c r="A2673" s="3">
        <v>2672</v>
      </c>
      <c r="B2673" s="3">
        <v>113.36302999999999</v>
      </c>
      <c r="C2673" s="3">
        <v>22.956285619999999</v>
      </c>
      <c r="D2673" s="3">
        <v>45</v>
      </c>
    </row>
    <row r="2674" spans="1:4" x14ac:dyDescent="0.2">
      <c r="A2674" s="3">
        <v>2673</v>
      </c>
      <c r="B2674" s="3">
        <v>113.36412319999999</v>
      </c>
      <c r="C2674" s="3">
        <v>22.961538990000001</v>
      </c>
      <c r="D2674" s="3">
        <v>45</v>
      </c>
    </row>
    <row r="2675" spans="1:4" x14ac:dyDescent="0.2">
      <c r="A2675" s="3">
        <v>2674</v>
      </c>
      <c r="B2675" s="3">
        <v>113.36343530000001</v>
      </c>
      <c r="C2675" s="3">
        <v>22.958671079999998</v>
      </c>
      <c r="D2675" s="3">
        <v>45</v>
      </c>
    </row>
    <row r="2676" spans="1:4" x14ac:dyDescent="0.2">
      <c r="A2676" s="3">
        <v>2675</v>
      </c>
      <c r="B2676" s="3">
        <v>113.36460700000001</v>
      </c>
      <c r="C2676" s="3">
        <v>22.95503317</v>
      </c>
      <c r="D2676" s="3">
        <v>27</v>
      </c>
    </row>
    <row r="2677" spans="1:4" x14ac:dyDescent="0.2">
      <c r="A2677" s="3">
        <v>2676</v>
      </c>
      <c r="B2677" s="3">
        <v>113.3624684</v>
      </c>
      <c r="C2677" s="3">
        <v>22.960457559999998</v>
      </c>
      <c r="D2677" s="3">
        <v>45</v>
      </c>
    </row>
    <row r="2678" spans="1:4" x14ac:dyDescent="0.2">
      <c r="A2678" s="3">
        <v>2677</v>
      </c>
      <c r="B2678" s="3">
        <v>113.3621229</v>
      </c>
      <c r="C2678" s="3">
        <v>22.96025011</v>
      </c>
      <c r="D2678" s="3">
        <v>45</v>
      </c>
    </row>
    <row r="2679" spans="1:4" x14ac:dyDescent="0.2">
      <c r="A2679" s="3">
        <v>2678</v>
      </c>
      <c r="B2679" s="3">
        <v>113.3665117</v>
      </c>
      <c r="C2679" s="3">
        <v>22.953783399999999</v>
      </c>
      <c r="D2679" s="3">
        <v>27</v>
      </c>
    </row>
    <row r="2680" spans="1:4" x14ac:dyDescent="0.2">
      <c r="A2680" s="3">
        <v>2679</v>
      </c>
      <c r="B2680" s="3">
        <v>113.3676124</v>
      </c>
      <c r="C2680" s="3">
        <v>22.954738720000002</v>
      </c>
      <c r="D2680" s="3">
        <v>27</v>
      </c>
    </row>
    <row r="2681" spans="1:4" x14ac:dyDescent="0.2">
      <c r="A2681" s="3">
        <v>2680</v>
      </c>
      <c r="B2681" s="3">
        <v>113.3619635</v>
      </c>
      <c r="C2681" s="3">
        <v>22.95547436</v>
      </c>
      <c r="D2681" s="3">
        <v>45</v>
      </c>
    </row>
    <row r="2682" spans="1:4" x14ac:dyDescent="0.2">
      <c r="A2682" s="3">
        <v>2681</v>
      </c>
      <c r="B2682" s="3">
        <v>113.37044520000001</v>
      </c>
      <c r="C2682" s="3">
        <v>22.955660219999999</v>
      </c>
      <c r="D2682" s="3">
        <v>27</v>
      </c>
    </row>
    <row r="2683" spans="1:4" x14ac:dyDescent="0.2">
      <c r="A2683" s="3">
        <v>2682</v>
      </c>
      <c r="B2683" s="3">
        <v>113.3620093</v>
      </c>
      <c r="C2683" s="3">
        <v>22.95656383</v>
      </c>
      <c r="D2683" s="3">
        <v>45</v>
      </c>
    </row>
    <row r="2684" spans="1:4" x14ac:dyDescent="0.2">
      <c r="A2684" s="3">
        <v>2683</v>
      </c>
      <c r="B2684" s="3">
        <v>113.3618196</v>
      </c>
      <c r="C2684" s="3">
        <v>22.956291199999999</v>
      </c>
      <c r="D2684" s="3">
        <v>45</v>
      </c>
    </row>
    <row r="2685" spans="1:4" x14ac:dyDescent="0.2">
      <c r="A2685" s="3">
        <v>2684</v>
      </c>
      <c r="B2685" s="3">
        <v>113.36695020000001</v>
      </c>
      <c r="C2685" s="3">
        <v>22.954264680000001</v>
      </c>
      <c r="D2685" s="3">
        <v>27</v>
      </c>
    </row>
    <row r="2686" spans="1:4" x14ac:dyDescent="0.2">
      <c r="A2686" s="3">
        <v>2685</v>
      </c>
      <c r="B2686" s="3">
        <v>113.36646279999999</v>
      </c>
      <c r="C2686" s="3">
        <v>22.954236269999999</v>
      </c>
      <c r="D2686" s="3">
        <v>27</v>
      </c>
    </row>
    <row r="2687" spans="1:4" x14ac:dyDescent="0.2">
      <c r="A2687" s="3">
        <v>2686</v>
      </c>
      <c r="B2687" s="3">
        <v>113.3636253</v>
      </c>
      <c r="C2687" s="3">
        <v>22.954317700000001</v>
      </c>
      <c r="D2687" s="3">
        <v>27</v>
      </c>
    </row>
    <row r="2688" spans="1:4" x14ac:dyDescent="0.2">
      <c r="A2688" s="3">
        <v>2687</v>
      </c>
      <c r="B2688" s="3">
        <v>113.3699708</v>
      </c>
      <c r="C2688" s="3">
        <v>22.95450821</v>
      </c>
      <c r="D2688" s="3">
        <v>27</v>
      </c>
    </row>
    <row r="2689" spans="1:4" x14ac:dyDescent="0.2">
      <c r="A2689" s="3">
        <v>2688</v>
      </c>
      <c r="B2689" s="3">
        <v>113.36647480000001</v>
      </c>
      <c r="C2689" s="3">
        <v>22.954108309999999</v>
      </c>
      <c r="D2689" s="3">
        <v>27</v>
      </c>
    </row>
    <row r="2690" spans="1:4" x14ac:dyDescent="0.2">
      <c r="A2690" s="3">
        <v>2689</v>
      </c>
      <c r="B2690" s="3">
        <v>113.3615959</v>
      </c>
      <c r="C2690" s="3">
        <v>22.956015610000001</v>
      </c>
      <c r="D2690" s="3">
        <v>45</v>
      </c>
    </row>
    <row r="2691" spans="1:4" x14ac:dyDescent="0.2">
      <c r="A2691" s="3">
        <v>2690</v>
      </c>
      <c r="B2691" s="3">
        <v>113.3618566</v>
      </c>
      <c r="C2691" s="3">
        <v>22.95515863</v>
      </c>
      <c r="D2691" s="3">
        <v>45</v>
      </c>
    </row>
    <row r="2692" spans="1:4" x14ac:dyDescent="0.2">
      <c r="A2692" s="3">
        <v>2691</v>
      </c>
      <c r="B2692" s="3">
        <v>113.3620473</v>
      </c>
      <c r="C2692" s="3">
        <v>22.955957040000001</v>
      </c>
      <c r="D2692" s="3">
        <v>45</v>
      </c>
    </row>
    <row r="2693" spans="1:4" x14ac:dyDescent="0.2">
      <c r="A2693" s="3">
        <v>2692</v>
      </c>
      <c r="B2693" s="3">
        <v>113.3616509</v>
      </c>
      <c r="C2693" s="3">
        <v>22.954877020000001</v>
      </c>
      <c r="D2693" s="3">
        <v>45</v>
      </c>
    </row>
    <row r="2694" spans="1:4" x14ac:dyDescent="0.2">
      <c r="A2694" s="3">
        <v>2693</v>
      </c>
      <c r="B2694" s="3">
        <v>113.36702099999999</v>
      </c>
      <c r="C2694" s="3">
        <v>22.95518221</v>
      </c>
      <c r="D2694" s="3">
        <v>27</v>
      </c>
    </row>
    <row r="2695" spans="1:4" x14ac:dyDescent="0.2">
      <c r="A2695" s="3">
        <v>2694</v>
      </c>
      <c r="B2695" s="3">
        <v>113.36161300000001</v>
      </c>
      <c r="C2695" s="3">
        <v>22.954433259999998</v>
      </c>
      <c r="D2695" s="3">
        <v>45</v>
      </c>
    </row>
    <row r="2696" spans="1:4" x14ac:dyDescent="0.2">
      <c r="A2696" s="3">
        <v>2695</v>
      </c>
      <c r="B2696" s="3">
        <v>113.36723379999999</v>
      </c>
      <c r="C2696" s="3">
        <v>22.954553229999998</v>
      </c>
      <c r="D2696" s="3">
        <v>27</v>
      </c>
    </row>
    <row r="2697" spans="1:4" x14ac:dyDescent="0.2">
      <c r="A2697" s="3">
        <v>2696</v>
      </c>
      <c r="B2697" s="3">
        <v>113.3622709</v>
      </c>
      <c r="C2697" s="3">
        <v>22.95745011</v>
      </c>
      <c r="D2697" s="3">
        <v>45</v>
      </c>
    </row>
    <row r="2698" spans="1:4" x14ac:dyDescent="0.2">
      <c r="A2698" s="3">
        <v>2697</v>
      </c>
      <c r="B2698" s="3">
        <v>113.36177069999999</v>
      </c>
      <c r="C2698" s="3">
        <v>22.956128329999999</v>
      </c>
      <c r="D2698" s="3">
        <v>45</v>
      </c>
    </row>
    <row r="2699" spans="1:4" x14ac:dyDescent="0.2">
      <c r="A2699" s="3">
        <v>2698</v>
      </c>
      <c r="B2699" s="3">
        <v>113.36413520000001</v>
      </c>
      <c r="C2699" s="3">
        <v>22.961505989999999</v>
      </c>
      <c r="D2699" s="3">
        <v>45</v>
      </c>
    </row>
    <row r="2700" spans="1:4" x14ac:dyDescent="0.2">
      <c r="A2700" s="3">
        <v>2699</v>
      </c>
      <c r="B2700" s="3">
        <v>113.3622862</v>
      </c>
      <c r="C2700" s="3">
        <v>22.953725680000002</v>
      </c>
      <c r="D2700" s="3">
        <v>45</v>
      </c>
    </row>
    <row r="2701" spans="1:4" x14ac:dyDescent="0.2">
      <c r="A2701" s="3">
        <v>2700</v>
      </c>
      <c r="B2701" s="3">
        <v>113.3668492</v>
      </c>
      <c r="C2701" s="3">
        <v>22.955180410000001</v>
      </c>
      <c r="D2701" s="3">
        <v>27</v>
      </c>
    </row>
    <row r="2702" spans="1:4" x14ac:dyDescent="0.2">
      <c r="A2702" s="3">
        <v>2701</v>
      </c>
      <c r="B2702" s="3">
        <v>113.36737170000001</v>
      </c>
      <c r="C2702" s="3">
        <v>22.954393140000001</v>
      </c>
      <c r="D2702" s="3">
        <v>27</v>
      </c>
    </row>
    <row r="2703" spans="1:4" x14ac:dyDescent="0.2">
      <c r="A2703" s="3">
        <v>2702</v>
      </c>
      <c r="B2703" s="3">
        <v>113.36656069999999</v>
      </c>
      <c r="C2703" s="3">
        <v>22.954102209999999</v>
      </c>
      <c r="D2703" s="3">
        <v>27</v>
      </c>
    </row>
    <row r="2704" spans="1:4" x14ac:dyDescent="0.2">
      <c r="A2704" s="3">
        <v>2703</v>
      </c>
      <c r="B2704" s="3">
        <v>113.36680339999999</v>
      </c>
      <c r="C2704" s="3">
        <v>22.95396998</v>
      </c>
      <c r="D2704" s="3">
        <v>27</v>
      </c>
    </row>
    <row r="2705" spans="1:4" x14ac:dyDescent="0.2">
      <c r="A2705" s="3">
        <v>2704</v>
      </c>
      <c r="B2705" s="3">
        <v>113.36638189999999</v>
      </c>
      <c r="C2705" s="3">
        <v>22.95363862</v>
      </c>
      <c r="D2705" s="3">
        <v>27</v>
      </c>
    </row>
    <row r="2706" spans="1:4" x14ac:dyDescent="0.2">
      <c r="A2706" s="3">
        <v>2705</v>
      </c>
      <c r="B2706" s="3">
        <v>113.376786</v>
      </c>
      <c r="C2706" s="3">
        <v>22.96018136</v>
      </c>
      <c r="D2706" s="3">
        <v>27</v>
      </c>
    </row>
    <row r="2707" spans="1:4" x14ac:dyDescent="0.2">
      <c r="A2707" s="3">
        <v>2706</v>
      </c>
      <c r="B2707" s="3">
        <v>113.3727797</v>
      </c>
      <c r="C2707" s="3">
        <v>22.957147240000001</v>
      </c>
      <c r="D2707" s="3">
        <v>27</v>
      </c>
    </row>
    <row r="2708" spans="1:4" x14ac:dyDescent="0.2">
      <c r="A2708" s="3">
        <v>2707</v>
      </c>
      <c r="B2708" s="3">
        <v>113.3745038</v>
      </c>
      <c r="C2708" s="3">
        <v>22.961938580000002</v>
      </c>
      <c r="D2708" s="3">
        <v>27</v>
      </c>
    </row>
    <row r="2709" spans="1:4" x14ac:dyDescent="0.2">
      <c r="A2709" s="3">
        <v>2708</v>
      </c>
      <c r="B2709" s="3">
        <v>113.3761635</v>
      </c>
      <c r="C2709" s="3">
        <v>22.960307830000001</v>
      </c>
      <c r="D2709" s="3">
        <v>27</v>
      </c>
    </row>
    <row r="2710" spans="1:4" x14ac:dyDescent="0.2">
      <c r="A2710" s="3">
        <v>2709</v>
      </c>
      <c r="B2710" s="3">
        <v>113.3724299</v>
      </c>
      <c r="C2710" s="3">
        <v>22.959936389999999</v>
      </c>
      <c r="D2710" s="3">
        <v>27</v>
      </c>
    </row>
    <row r="2711" spans="1:4" x14ac:dyDescent="0.2">
      <c r="A2711" s="3">
        <v>2710</v>
      </c>
      <c r="B2711" s="3">
        <v>113.3724308</v>
      </c>
      <c r="C2711" s="3">
        <v>22.961351780000001</v>
      </c>
      <c r="D2711" s="3">
        <v>27</v>
      </c>
    </row>
    <row r="2712" spans="1:4" x14ac:dyDescent="0.2">
      <c r="A2712" s="3">
        <v>2711</v>
      </c>
      <c r="B2712" s="3">
        <v>113.374234</v>
      </c>
      <c r="C2712" s="3">
        <v>22.96280745</v>
      </c>
      <c r="D2712" s="3">
        <v>27</v>
      </c>
    </row>
    <row r="2713" spans="1:4" x14ac:dyDescent="0.2">
      <c r="A2713" s="3">
        <v>2712</v>
      </c>
      <c r="B2713" s="3">
        <v>113.37350720000001</v>
      </c>
      <c r="C2713" s="3">
        <v>22.95422679</v>
      </c>
      <c r="D2713" s="3">
        <v>27</v>
      </c>
    </row>
    <row r="2714" spans="1:4" x14ac:dyDescent="0.2">
      <c r="A2714" s="3">
        <v>2713</v>
      </c>
      <c r="B2714" s="3">
        <v>113.3727548</v>
      </c>
      <c r="C2714" s="3">
        <v>22.95624565</v>
      </c>
      <c r="D2714" s="3">
        <v>27</v>
      </c>
    </row>
    <row r="2715" spans="1:4" x14ac:dyDescent="0.2">
      <c r="A2715" s="3">
        <v>2714</v>
      </c>
      <c r="B2715" s="3">
        <v>113.37677100000001</v>
      </c>
      <c r="C2715" s="3">
        <v>22.960163380000001</v>
      </c>
      <c r="D2715" s="3">
        <v>27</v>
      </c>
    </row>
    <row r="2716" spans="1:4" x14ac:dyDescent="0.2">
      <c r="A2716" s="3">
        <v>2715</v>
      </c>
      <c r="B2716" s="3">
        <v>113.3808774</v>
      </c>
      <c r="C2716" s="3">
        <v>22.95402696</v>
      </c>
      <c r="D2716" s="3">
        <v>6</v>
      </c>
    </row>
    <row r="2717" spans="1:4" x14ac:dyDescent="0.2">
      <c r="A2717" s="3">
        <v>2716</v>
      </c>
      <c r="B2717" s="3">
        <v>113.3869689</v>
      </c>
      <c r="C2717" s="3">
        <v>22.962632989999999</v>
      </c>
      <c r="D2717" s="3">
        <v>6</v>
      </c>
    </row>
    <row r="2718" spans="1:4" x14ac:dyDescent="0.2">
      <c r="A2718" s="3">
        <v>2717</v>
      </c>
      <c r="B2718" s="3">
        <v>113.3874287</v>
      </c>
      <c r="C2718" s="3">
        <v>22.96316157</v>
      </c>
      <c r="D2718" s="3">
        <v>6</v>
      </c>
    </row>
    <row r="2719" spans="1:4" x14ac:dyDescent="0.2">
      <c r="A2719" s="3">
        <v>2718</v>
      </c>
      <c r="B2719" s="3">
        <v>113.38276879999999</v>
      </c>
      <c r="C2719" s="3">
        <v>22.961936399999999</v>
      </c>
      <c r="D2719" s="3">
        <v>6</v>
      </c>
    </row>
    <row r="2720" spans="1:4" x14ac:dyDescent="0.2">
      <c r="A2720" s="3">
        <v>2719</v>
      </c>
      <c r="B2720" s="3">
        <v>113.3904215</v>
      </c>
      <c r="C2720" s="3">
        <v>22.954537259999999</v>
      </c>
      <c r="D2720" s="3">
        <v>34</v>
      </c>
    </row>
    <row r="2721" spans="1:4" x14ac:dyDescent="0.2">
      <c r="A2721" s="3">
        <v>2720</v>
      </c>
      <c r="B2721" s="3">
        <v>113.3888687</v>
      </c>
      <c r="C2721" s="3">
        <v>22.95612405</v>
      </c>
      <c r="D2721" s="3">
        <v>6</v>
      </c>
    </row>
    <row r="2722" spans="1:4" x14ac:dyDescent="0.2">
      <c r="A2722" s="3">
        <v>2721</v>
      </c>
      <c r="B2722" s="3">
        <v>113.3979351</v>
      </c>
      <c r="C2722" s="3">
        <v>22.95852773</v>
      </c>
      <c r="D2722" s="3">
        <v>34</v>
      </c>
    </row>
    <row r="2723" spans="1:4" x14ac:dyDescent="0.2">
      <c r="A2723" s="3">
        <v>2722</v>
      </c>
      <c r="B2723" s="3">
        <v>113.4000485</v>
      </c>
      <c r="C2723" s="3">
        <v>22.959684450000001</v>
      </c>
      <c r="D2723" s="3">
        <v>34</v>
      </c>
    </row>
    <row r="2724" spans="1:4" x14ac:dyDescent="0.2">
      <c r="A2724" s="3">
        <v>2723</v>
      </c>
      <c r="B2724" s="3">
        <v>113.3934615</v>
      </c>
      <c r="C2724" s="3">
        <v>22.962949030000001</v>
      </c>
      <c r="D2724" s="3">
        <v>34</v>
      </c>
    </row>
    <row r="2725" spans="1:4" x14ac:dyDescent="0.2">
      <c r="A2725" s="3">
        <v>2724</v>
      </c>
      <c r="B2725" s="3">
        <v>113.3943106</v>
      </c>
      <c r="C2725" s="3">
        <v>22.96180442</v>
      </c>
      <c r="D2725" s="3">
        <v>34</v>
      </c>
    </row>
    <row r="2726" spans="1:4" x14ac:dyDescent="0.2">
      <c r="A2726" s="3">
        <v>2725</v>
      </c>
      <c r="B2726" s="3">
        <v>113.3927176</v>
      </c>
      <c r="C2726" s="3">
        <v>22.96332099</v>
      </c>
      <c r="D2726" s="3">
        <v>34</v>
      </c>
    </row>
    <row r="2727" spans="1:4" x14ac:dyDescent="0.2">
      <c r="A2727" s="3">
        <v>2726</v>
      </c>
      <c r="B2727" s="3">
        <v>113.39240460000001</v>
      </c>
      <c r="C2727" s="3">
        <v>22.963299060000001</v>
      </c>
      <c r="D2727" s="3">
        <v>34</v>
      </c>
    </row>
    <row r="2728" spans="1:4" x14ac:dyDescent="0.2">
      <c r="A2728" s="3">
        <v>2727</v>
      </c>
      <c r="B2728" s="3">
        <v>113.3980523</v>
      </c>
      <c r="C2728" s="3">
        <v>22.956224720000002</v>
      </c>
      <c r="D2728" s="3">
        <v>34</v>
      </c>
    </row>
    <row r="2729" spans="1:4" x14ac:dyDescent="0.2">
      <c r="A2729" s="3">
        <v>2728</v>
      </c>
      <c r="B2729" s="3">
        <v>113.3936437</v>
      </c>
      <c r="C2729" s="3">
        <v>22.960693970000001</v>
      </c>
      <c r="D2729" s="3">
        <v>34</v>
      </c>
    </row>
    <row r="2730" spans="1:4" x14ac:dyDescent="0.2">
      <c r="A2730" s="3">
        <v>2729</v>
      </c>
      <c r="B2730" s="3">
        <v>113.3926116</v>
      </c>
      <c r="C2730" s="3">
        <v>22.963504929999999</v>
      </c>
      <c r="D2730" s="3">
        <v>34</v>
      </c>
    </row>
    <row r="2731" spans="1:4" x14ac:dyDescent="0.2">
      <c r="A2731" s="3">
        <v>2730</v>
      </c>
      <c r="B2731" s="3">
        <v>113.3940626</v>
      </c>
      <c r="C2731" s="3">
        <v>22.961529559999999</v>
      </c>
      <c r="D2731" s="3">
        <v>34</v>
      </c>
    </row>
    <row r="2732" spans="1:4" x14ac:dyDescent="0.2">
      <c r="A2732" s="3">
        <v>2731</v>
      </c>
      <c r="B2732" s="3">
        <v>113.3930005</v>
      </c>
      <c r="C2732" s="3">
        <v>22.96329295</v>
      </c>
      <c r="D2732" s="3">
        <v>34</v>
      </c>
    </row>
    <row r="2733" spans="1:4" x14ac:dyDescent="0.2">
      <c r="A2733" s="3">
        <v>2732</v>
      </c>
      <c r="B2733" s="3">
        <v>113.4070038</v>
      </c>
      <c r="C2733" s="3">
        <v>22.956517909999999</v>
      </c>
      <c r="D2733" s="3">
        <v>34</v>
      </c>
    </row>
    <row r="2734" spans="1:4" x14ac:dyDescent="0.2">
      <c r="A2734" s="3">
        <v>2733</v>
      </c>
      <c r="B2734" s="3">
        <v>113.40928940000001</v>
      </c>
      <c r="C2734" s="3">
        <v>22.95635815</v>
      </c>
      <c r="D2734" s="3">
        <v>34</v>
      </c>
    </row>
    <row r="2735" spans="1:4" x14ac:dyDescent="0.2">
      <c r="A2735" s="3">
        <v>2734</v>
      </c>
      <c r="B2735" s="3">
        <v>113.419059</v>
      </c>
      <c r="C2735" s="3">
        <v>22.955824020000001</v>
      </c>
      <c r="D2735" s="3">
        <v>12</v>
      </c>
    </row>
    <row r="2736" spans="1:4" x14ac:dyDescent="0.2">
      <c r="A2736" s="3">
        <v>2735</v>
      </c>
      <c r="B2736" s="3">
        <v>113.41559820000001</v>
      </c>
      <c r="C2736" s="3">
        <v>22.954896219999998</v>
      </c>
      <c r="D2736" s="3">
        <v>34</v>
      </c>
    </row>
    <row r="2737" spans="1:4" x14ac:dyDescent="0.2">
      <c r="A2737" s="3">
        <v>2736</v>
      </c>
      <c r="B2737" s="3">
        <v>113.4164991</v>
      </c>
      <c r="C2737" s="3">
        <v>22.95476506</v>
      </c>
      <c r="D2737" s="3">
        <v>12</v>
      </c>
    </row>
    <row r="2738" spans="1:4" x14ac:dyDescent="0.2">
      <c r="A2738" s="3">
        <v>2737</v>
      </c>
      <c r="B2738" s="3">
        <v>113.420615</v>
      </c>
      <c r="C2738" s="3">
        <v>22.955956579999999</v>
      </c>
      <c r="D2738" s="3">
        <v>12</v>
      </c>
    </row>
    <row r="2739" spans="1:4" x14ac:dyDescent="0.2">
      <c r="A2739" s="3">
        <v>2738</v>
      </c>
      <c r="B2739" s="3">
        <v>113.4150236</v>
      </c>
      <c r="C2739" s="3">
        <v>22.95426801</v>
      </c>
      <c r="D2739" s="3">
        <v>34</v>
      </c>
    </row>
    <row r="2740" spans="1:4" x14ac:dyDescent="0.2">
      <c r="A2740" s="3">
        <v>2739</v>
      </c>
      <c r="B2740" s="3">
        <v>113.4136262</v>
      </c>
      <c r="C2740" s="3">
        <v>22.954221929999999</v>
      </c>
      <c r="D2740" s="3">
        <v>34</v>
      </c>
    </row>
    <row r="2741" spans="1:4" x14ac:dyDescent="0.2">
      <c r="A2741" s="3">
        <v>2740</v>
      </c>
      <c r="B2741" s="3">
        <v>113.41384050000001</v>
      </c>
      <c r="C2741" s="3">
        <v>22.953865239999999</v>
      </c>
      <c r="D2741" s="3">
        <v>34</v>
      </c>
    </row>
    <row r="2742" spans="1:4" x14ac:dyDescent="0.2">
      <c r="A2742" s="3">
        <v>2741</v>
      </c>
      <c r="B2742" s="3">
        <v>113.4130967</v>
      </c>
      <c r="C2742" s="3">
        <v>22.953949649999998</v>
      </c>
      <c r="D2742" s="3">
        <v>34</v>
      </c>
    </row>
    <row r="2743" spans="1:4" x14ac:dyDescent="0.2">
      <c r="A2743" s="3">
        <v>2742</v>
      </c>
      <c r="B2743" s="3">
        <v>113.42808479999999</v>
      </c>
      <c r="C2743" s="3">
        <v>22.959316350000002</v>
      </c>
      <c r="D2743" s="3">
        <v>12</v>
      </c>
    </row>
    <row r="2744" spans="1:4" x14ac:dyDescent="0.2">
      <c r="A2744" s="3">
        <v>2743</v>
      </c>
      <c r="B2744" s="3">
        <v>113.426967</v>
      </c>
      <c r="C2744" s="3">
        <v>22.958869010000001</v>
      </c>
      <c r="D2744" s="3">
        <v>12</v>
      </c>
    </row>
    <row r="2745" spans="1:4" x14ac:dyDescent="0.2">
      <c r="A2745" s="3">
        <v>2744</v>
      </c>
      <c r="B2745" s="3">
        <v>113.4281579</v>
      </c>
      <c r="C2745" s="3">
        <v>22.959597330000001</v>
      </c>
      <c r="D2745" s="3">
        <v>12</v>
      </c>
    </row>
    <row r="2746" spans="1:4" x14ac:dyDescent="0.2">
      <c r="A2746" s="3">
        <v>2745</v>
      </c>
      <c r="B2746" s="3">
        <v>113.4284475</v>
      </c>
      <c r="C2746" s="3">
        <v>22.958294299999999</v>
      </c>
      <c r="D2746" s="3">
        <v>12</v>
      </c>
    </row>
    <row r="2747" spans="1:4" x14ac:dyDescent="0.2">
      <c r="A2747" s="3">
        <v>2746</v>
      </c>
      <c r="B2747" s="3">
        <v>113.4313167</v>
      </c>
      <c r="C2747" s="3">
        <v>22.956111440000001</v>
      </c>
      <c r="D2747" s="3">
        <v>12</v>
      </c>
    </row>
    <row r="2748" spans="1:4" x14ac:dyDescent="0.2">
      <c r="A2748" s="3">
        <v>2747</v>
      </c>
      <c r="B2748" s="3">
        <v>113.42691600000001</v>
      </c>
      <c r="C2748" s="3">
        <v>22.957394570000002</v>
      </c>
      <c r="D2748" s="3">
        <v>12</v>
      </c>
    </row>
    <row r="2749" spans="1:4" x14ac:dyDescent="0.2">
      <c r="A2749" s="3">
        <v>2748</v>
      </c>
      <c r="B2749" s="3">
        <v>113.4266547</v>
      </c>
      <c r="C2749" s="3">
        <v>22.956346669999999</v>
      </c>
      <c r="D2749" s="3">
        <v>12</v>
      </c>
    </row>
    <row r="2750" spans="1:4" x14ac:dyDescent="0.2">
      <c r="A2750" s="3">
        <v>2749</v>
      </c>
      <c r="B2750" s="3">
        <v>113.4293119</v>
      </c>
      <c r="C2750" s="3">
        <v>22.958759329999999</v>
      </c>
      <c r="D2750" s="3">
        <v>12</v>
      </c>
    </row>
    <row r="2751" spans="1:4" x14ac:dyDescent="0.2">
      <c r="A2751" s="3">
        <v>2750</v>
      </c>
      <c r="B2751" s="3">
        <v>113.4272955</v>
      </c>
      <c r="C2751" s="3">
        <v>22.959832039999998</v>
      </c>
      <c r="D2751" s="3">
        <v>12</v>
      </c>
    </row>
    <row r="2752" spans="1:4" x14ac:dyDescent="0.2">
      <c r="A2752" s="3">
        <v>2751</v>
      </c>
      <c r="B2752" s="3">
        <v>113.4290965</v>
      </c>
      <c r="C2752" s="3">
        <v>22.959319780000001</v>
      </c>
      <c r="D2752" s="3">
        <v>12</v>
      </c>
    </row>
    <row r="2753" spans="1:4" x14ac:dyDescent="0.2">
      <c r="A2753" s="3">
        <v>2752</v>
      </c>
      <c r="B2753" s="3">
        <v>113.42814009999999</v>
      </c>
      <c r="C2753" s="3">
        <v>22.955946869999998</v>
      </c>
      <c r="D2753" s="3">
        <v>12</v>
      </c>
    </row>
    <row r="2754" spans="1:4" x14ac:dyDescent="0.2">
      <c r="A2754" s="3">
        <v>2753</v>
      </c>
      <c r="B2754" s="3">
        <v>113.42910670000001</v>
      </c>
      <c r="C2754" s="3">
        <v>22.956339069999999</v>
      </c>
      <c r="D2754" s="3">
        <v>12</v>
      </c>
    </row>
    <row r="2755" spans="1:4" x14ac:dyDescent="0.2">
      <c r="A2755" s="3">
        <v>2754</v>
      </c>
      <c r="B2755" s="3">
        <v>113.42902359999999</v>
      </c>
      <c r="C2755" s="3">
        <v>22.956073060000001</v>
      </c>
      <c r="D2755" s="3">
        <v>12</v>
      </c>
    </row>
    <row r="2756" spans="1:4" x14ac:dyDescent="0.2">
      <c r="A2756" s="3">
        <v>2755</v>
      </c>
      <c r="B2756" s="3">
        <v>113.42982670000001</v>
      </c>
      <c r="C2756" s="3">
        <v>22.96073024</v>
      </c>
      <c r="D2756" s="3">
        <v>12</v>
      </c>
    </row>
    <row r="2757" spans="1:4" x14ac:dyDescent="0.2">
      <c r="A2757" s="3">
        <v>2756</v>
      </c>
      <c r="B2757" s="3">
        <v>113.4237182</v>
      </c>
      <c r="C2757" s="3">
        <v>22.956334949999999</v>
      </c>
      <c r="D2757" s="3">
        <v>12</v>
      </c>
    </row>
    <row r="2758" spans="1:4" x14ac:dyDescent="0.2">
      <c r="A2758" s="3">
        <v>2757</v>
      </c>
      <c r="B2758" s="3">
        <v>113.42567819999999</v>
      </c>
      <c r="C2758" s="3">
        <v>22.955472759999999</v>
      </c>
      <c r="D2758" s="3">
        <v>12</v>
      </c>
    </row>
    <row r="2759" spans="1:4" x14ac:dyDescent="0.2">
      <c r="A2759" s="3">
        <v>2758</v>
      </c>
      <c r="B2759" s="3">
        <v>113.42519950000001</v>
      </c>
      <c r="C2759" s="3">
        <v>22.955099310000001</v>
      </c>
      <c r="D2759" s="3">
        <v>12</v>
      </c>
    </row>
    <row r="2760" spans="1:4" x14ac:dyDescent="0.2">
      <c r="A2760" s="3">
        <v>2759</v>
      </c>
      <c r="B2760" s="3">
        <v>113.43083369999999</v>
      </c>
      <c r="C2760" s="3">
        <v>22.958061879999999</v>
      </c>
      <c r="D2760" s="3">
        <v>12</v>
      </c>
    </row>
    <row r="2761" spans="1:4" x14ac:dyDescent="0.2">
      <c r="A2761" s="3">
        <v>2760</v>
      </c>
      <c r="B2761" s="3">
        <v>113.4300234</v>
      </c>
      <c r="C2761" s="3">
        <v>22.956095510000001</v>
      </c>
      <c r="D2761" s="3">
        <v>12</v>
      </c>
    </row>
    <row r="2762" spans="1:4" x14ac:dyDescent="0.2">
      <c r="A2762" s="3">
        <v>2761</v>
      </c>
      <c r="B2762" s="3">
        <v>113.4279597</v>
      </c>
      <c r="C2762" s="3">
        <v>22.958758419999999</v>
      </c>
      <c r="D2762" s="3">
        <v>12</v>
      </c>
    </row>
    <row r="2763" spans="1:4" x14ac:dyDescent="0.2">
      <c r="A2763" s="3">
        <v>2762</v>
      </c>
      <c r="B2763" s="3">
        <v>113.43062810000001</v>
      </c>
      <c r="C2763" s="3">
        <v>22.961067280000002</v>
      </c>
      <c r="D2763" s="3">
        <v>12</v>
      </c>
    </row>
    <row r="2764" spans="1:4" x14ac:dyDescent="0.2">
      <c r="A2764" s="3">
        <v>2763</v>
      </c>
      <c r="B2764" s="3">
        <v>113.4305863</v>
      </c>
      <c r="C2764" s="3">
        <v>22.956110339999999</v>
      </c>
      <c r="D2764" s="3">
        <v>12</v>
      </c>
    </row>
    <row r="2765" spans="1:4" x14ac:dyDescent="0.2">
      <c r="A2765" s="3">
        <v>2764</v>
      </c>
      <c r="B2765" s="3">
        <v>113.43147879999999</v>
      </c>
      <c r="C2765" s="3">
        <v>22.958634610000001</v>
      </c>
      <c r="D2765" s="3">
        <v>12</v>
      </c>
    </row>
    <row r="2766" spans="1:4" x14ac:dyDescent="0.2">
      <c r="A2766" s="3">
        <v>2765</v>
      </c>
      <c r="B2766" s="3">
        <v>113.4290428</v>
      </c>
      <c r="C2766" s="3">
        <v>22.954697679999999</v>
      </c>
      <c r="D2766" s="3">
        <v>12</v>
      </c>
    </row>
    <row r="2767" spans="1:4" x14ac:dyDescent="0.2">
      <c r="A2767" s="3">
        <v>2766</v>
      </c>
      <c r="B2767" s="3">
        <v>113.4224344</v>
      </c>
      <c r="C2767" s="3">
        <v>22.956018570000001</v>
      </c>
      <c r="D2767" s="3">
        <v>12</v>
      </c>
    </row>
    <row r="2768" spans="1:4" x14ac:dyDescent="0.2">
      <c r="A2768" s="3">
        <v>2767</v>
      </c>
      <c r="B2768" s="3">
        <v>113.4290498</v>
      </c>
      <c r="C2768" s="3">
        <v>22.95430386</v>
      </c>
      <c r="D2768" s="3">
        <v>12</v>
      </c>
    </row>
    <row r="2769" spans="1:4" x14ac:dyDescent="0.2">
      <c r="A2769" s="3">
        <v>2768</v>
      </c>
      <c r="B2769" s="3">
        <v>113.42703539999999</v>
      </c>
      <c r="C2769" s="3">
        <v>22.955205670000002</v>
      </c>
      <c r="D2769" s="3">
        <v>12</v>
      </c>
    </row>
    <row r="2770" spans="1:4" x14ac:dyDescent="0.2">
      <c r="A2770" s="3">
        <v>2769</v>
      </c>
      <c r="B2770" s="3">
        <v>113.422119</v>
      </c>
      <c r="C2770" s="3">
        <v>22.955620379999999</v>
      </c>
      <c r="D2770" s="3">
        <v>12</v>
      </c>
    </row>
    <row r="2771" spans="1:4" x14ac:dyDescent="0.2">
      <c r="A2771" s="3">
        <v>2770</v>
      </c>
      <c r="B2771" s="3">
        <v>113.43000240000001</v>
      </c>
      <c r="C2771" s="3">
        <v>22.95519986</v>
      </c>
      <c r="D2771" s="3">
        <v>12</v>
      </c>
    </row>
    <row r="2772" spans="1:4" x14ac:dyDescent="0.2">
      <c r="A2772" s="3">
        <v>2771</v>
      </c>
      <c r="B2772" s="3">
        <v>113.4313077</v>
      </c>
      <c r="C2772" s="3">
        <v>22.955763579999999</v>
      </c>
      <c r="D2772" s="3">
        <v>12</v>
      </c>
    </row>
    <row r="2773" spans="1:4" x14ac:dyDescent="0.2">
      <c r="A2773" s="3">
        <v>2772</v>
      </c>
      <c r="B2773" s="3">
        <v>113.4314347</v>
      </c>
      <c r="C2773" s="3">
        <v>22.958843460000001</v>
      </c>
      <c r="D2773" s="3">
        <v>12</v>
      </c>
    </row>
    <row r="2774" spans="1:4" x14ac:dyDescent="0.2">
      <c r="A2774" s="3">
        <v>2773</v>
      </c>
      <c r="B2774" s="3">
        <v>113.43155179999999</v>
      </c>
      <c r="C2774" s="3">
        <v>22.960637869999999</v>
      </c>
      <c r="D2774" s="3">
        <v>12</v>
      </c>
    </row>
    <row r="2775" spans="1:4" x14ac:dyDescent="0.2">
      <c r="A2775" s="3">
        <v>2774</v>
      </c>
      <c r="B2775" s="3">
        <v>113.4307197</v>
      </c>
      <c r="C2775" s="3">
        <v>22.95370956</v>
      </c>
      <c r="D2775" s="3">
        <v>12</v>
      </c>
    </row>
    <row r="2776" spans="1:4" x14ac:dyDescent="0.2">
      <c r="A2776" s="3">
        <v>2775</v>
      </c>
      <c r="B2776" s="3">
        <v>113.4302919</v>
      </c>
      <c r="C2776" s="3">
        <v>22.955079340000001</v>
      </c>
      <c r="D2776" s="3">
        <v>12</v>
      </c>
    </row>
    <row r="2777" spans="1:4" x14ac:dyDescent="0.2">
      <c r="A2777" s="3">
        <v>2776</v>
      </c>
      <c r="B2777" s="3">
        <v>113.4302106</v>
      </c>
      <c r="C2777" s="3">
        <v>22.956866460000001</v>
      </c>
      <c r="D2777" s="3">
        <v>12</v>
      </c>
    </row>
    <row r="2778" spans="1:4" x14ac:dyDescent="0.2">
      <c r="A2778" s="3">
        <v>2777</v>
      </c>
      <c r="B2778" s="3">
        <v>113.4313708</v>
      </c>
      <c r="C2778" s="3">
        <v>22.9554638</v>
      </c>
      <c r="D2778" s="3">
        <v>12</v>
      </c>
    </row>
    <row r="2779" spans="1:4" x14ac:dyDescent="0.2">
      <c r="A2779" s="3">
        <v>2778</v>
      </c>
      <c r="B2779" s="3">
        <v>113.4310353</v>
      </c>
      <c r="C2779" s="3">
        <v>22.954010910000001</v>
      </c>
      <c r="D2779" s="3">
        <v>12</v>
      </c>
    </row>
    <row r="2780" spans="1:4" x14ac:dyDescent="0.2">
      <c r="A2780" s="3">
        <v>2779</v>
      </c>
      <c r="B2780" s="3">
        <v>113.43105509999999</v>
      </c>
      <c r="C2780" s="3">
        <v>22.957541429999999</v>
      </c>
      <c r="D2780" s="3">
        <v>12</v>
      </c>
    </row>
    <row r="2781" spans="1:4" x14ac:dyDescent="0.2">
      <c r="A2781" s="3">
        <v>2780</v>
      </c>
      <c r="B2781" s="3">
        <v>113.4236923</v>
      </c>
      <c r="C2781" s="3">
        <v>22.95526937</v>
      </c>
      <c r="D2781" s="3">
        <v>12</v>
      </c>
    </row>
    <row r="2782" spans="1:4" x14ac:dyDescent="0.2">
      <c r="A2782" s="3">
        <v>2781</v>
      </c>
      <c r="B2782" s="3">
        <v>113.4336078</v>
      </c>
      <c r="C2782" s="3">
        <v>22.95848204</v>
      </c>
      <c r="D2782" s="3">
        <v>12</v>
      </c>
    </row>
    <row r="2783" spans="1:4" x14ac:dyDescent="0.2">
      <c r="A2783" s="3">
        <v>2782</v>
      </c>
      <c r="B2783" s="3">
        <v>113.4336988</v>
      </c>
      <c r="C2783" s="3">
        <v>22.960042519999998</v>
      </c>
      <c r="D2783" s="3">
        <v>12</v>
      </c>
    </row>
    <row r="2784" spans="1:4" x14ac:dyDescent="0.2">
      <c r="A2784" s="3">
        <v>2783</v>
      </c>
      <c r="B2784" s="3">
        <v>113.43406950000001</v>
      </c>
      <c r="C2784" s="3">
        <v>22.960021139999998</v>
      </c>
      <c r="D2784" s="3">
        <v>12</v>
      </c>
    </row>
    <row r="2785" spans="1:4" x14ac:dyDescent="0.2">
      <c r="A2785" s="3">
        <v>2784</v>
      </c>
      <c r="B2785" s="3">
        <v>113.43707569999999</v>
      </c>
      <c r="C2785" s="3">
        <v>22.958440929999998</v>
      </c>
      <c r="D2785" s="3">
        <v>12</v>
      </c>
    </row>
    <row r="2786" spans="1:4" x14ac:dyDescent="0.2">
      <c r="A2786" s="3">
        <v>2785</v>
      </c>
      <c r="B2786" s="3">
        <v>113.43316</v>
      </c>
      <c r="C2786" s="3">
        <v>22.957104910000002</v>
      </c>
      <c r="D2786" s="3">
        <v>12</v>
      </c>
    </row>
    <row r="2787" spans="1:4" x14ac:dyDescent="0.2">
      <c r="A2787" s="3">
        <v>2786</v>
      </c>
      <c r="B2787" s="3">
        <v>113.43489219999999</v>
      </c>
      <c r="C2787" s="3">
        <v>22.9590839</v>
      </c>
      <c r="D2787" s="3">
        <v>12</v>
      </c>
    </row>
    <row r="2788" spans="1:4" x14ac:dyDescent="0.2">
      <c r="A2788" s="3">
        <v>2787</v>
      </c>
      <c r="B2788" s="3">
        <v>113.4355597</v>
      </c>
      <c r="C2788" s="3">
        <v>22.95707788</v>
      </c>
      <c r="D2788" s="3">
        <v>12</v>
      </c>
    </row>
    <row r="2789" spans="1:4" x14ac:dyDescent="0.2">
      <c r="A2789" s="3">
        <v>2788</v>
      </c>
      <c r="B2789" s="3">
        <v>113.43420089999999</v>
      </c>
      <c r="C2789" s="3">
        <v>22.958865849999999</v>
      </c>
      <c r="D2789" s="3">
        <v>12</v>
      </c>
    </row>
    <row r="2790" spans="1:4" x14ac:dyDescent="0.2">
      <c r="A2790" s="3">
        <v>2789</v>
      </c>
      <c r="B2790" s="3">
        <v>113.4343834</v>
      </c>
      <c r="C2790" s="3">
        <v>22.956527149999999</v>
      </c>
      <c r="D2790" s="3">
        <v>12</v>
      </c>
    </row>
    <row r="2791" spans="1:4" x14ac:dyDescent="0.2">
      <c r="A2791" s="3">
        <v>2790</v>
      </c>
      <c r="B2791" s="3">
        <v>113.4389515</v>
      </c>
      <c r="C2791" s="3">
        <v>22.960927229999999</v>
      </c>
      <c r="D2791" s="3">
        <v>12</v>
      </c>
    </row>
    <row r="2792" spans="1:4" x14ac:dyDescent="0.2">
      <c r="A2792" s="3">
        <v>2791</v>
      </c>
      <c r="B2792" s="3">
        <v>113.43443619999999</v>
      </c>
      <c r="C2792" s="3">
        <v>22.96109328</v>
      </c>
      <c r="D2792" s="3">
        <v>12</v>
      </c>
    </row>
    <row r="2793" spans="1:4" x14ac:dyDescent="0.2">
      <c r="A2793" s="3">
        <v>2792</v>
      </c>
      <c r="B2793" s="3">
        <v>113.4345754</v>
      </c>
      <c r="C2793" s="3">
        <v>22.9615993</v>
      </c>
      <c r="D2793" s="3">
        <v>12</v>
      </c>
    </row>
    <row r="2794" spans="1:4" x14ac:dyDescent="0.2">
      <c r="A2794" s="3">
        <v>2793</v>
      </c>
      <c r="B2794" s="3">
        <v>113.4336096</v>
      </c>
      <c r="C2794" s="3">
        <v>22.960574149999999</v>
      </c>
      <c r="D2794" s="3">
        <v>12</v>
      </c>
    </row>
    <row r="2795" spans="1:4" x14ac:dyDescent="0.2">
      <c r="A2795" s="3">
        <v>2794</v>
      </c>
      <c r="B2795" s="3">
        <v>113.4338164</v>
      </c>
      <c r="C2795" s="3">
        <v>22.95474398</v>
      </c>
      <c r="D2795" s="3">
        <v>12</v>
      </c>
    </row>
    <row r="2796" spans="1:4" x14ac:dyDescent="0.2">
      <c r="A2796" s="3">
        <v>2795</v>
      </c>
      <c r="B2796" s="3">
        <v>113.44106410000001</v>
      </c>
      <c r="C2796" s="3">
        <v>22.96054036</v>
      </c>
      <c r="D2796" s="3">
        <v>12</v>
      </c>
    </row>
    <row r="2797" spans="1:4" x14ac:dyDescent="0.2">
      <c r="A2797" s="3">
        <v>2796</v>
      </c>
      <c r="B2797" s="3">
        <v>113.432581</v>
      </c>
      <c r="C2797" s="3">
        <v>22.95528676</v>
      </c>
      <c r="D2797" s="3">
        <v>12</v>
      </c>
    </row>
    <row r="2798" spans="1:4" x14ac:dyDescent="0.2">
      <c r="A2798" s="3">
        <v>2797</v>
      </c>
      <c r="B2798" s="3">
        <v>113.43289540000001</v>
      </c>
      <c r="C2798" s="3">
        <v>22.958299969999999</v>
      </c>
      <c r="D2798" s="3">
        <v>12</v>
      </c>
    </row>
    <row r="2799" spans="1:4" x14ac:dyDescent="0.2">
      <c r="A2799" s="3">
        <v>2798</v>
      </c>
      <c r="B2799" s="3">
        <v>113.43513280000001</v>
      </c>
      <c r="C2799" s="3">
        <v>22.9569832</v>
      </c>
      <c r="D2799" s="3">
        <v>12</v>
      </c>
    </row>
    <row r="2800" spans="1:4" x14ac:dyDescent="0.2">
      <c r="A2800" s="3">
        <v>2799</v>
      </c>
      <c r="B2800" s="3">
        <v>113.43223450000001</v>
      </c>
      <c r="C2800" s="3">
        <v>22.954017759999999</v>
      </c>
      <c r="D2800" s="3">
        <v>12</v>
      </c>
    </row>
    <row r="2801" spans="1:4" x14ac:dyDescent="0.2">
      <c r="A2801" s="3">
        <v>2800</v>
      </c>
      <c r="B2801" s="3">
        <v>113.43887119999999</v>
      </c>
      <c r="C2801" s="3">
        <v>22.962866259999998</v>
      </c>
      <c r="D2801" s="3">
        <v>12</v>
      </c>
    </row>
    <row r="2802" spans="1:4" x14ac:dyDescent="0.2">
      <c r="A2802" s="3">
        <v>2801</v>
      </c>
      <c r="B2802" s="3">
        <v>113.43774620000001</v>
      </c>
      <c r="C2802" s="3">
        <v>22.957012729999999</v>
      </c>
      <c r="D2802" s="3">
        <v>12</v>
      </c>
    </row>
    <row r="2803" spans="1:4" x14ac:dyDescent="0.2">
      <c r="A2803" s="3">
        <v>2802</v>
      </c>
      <c r="B2803" s="3">
        <v>113.4502438</v>
      </c>
      <c r="C2803" s="3">
        <v>22.95557857</v>
      </c>
      <c r="D2803" s="3">
        <v>12</v>
      </c>
    </row>
    <row r="2804" spans="1:4" x14ac:dyDescent="0.2">
      <c r="A2804" s="3">
        <v>2803</v>
      </c>
      <c r="B2804" s="3">
        <v>113.45515279999999</v>
      </c>
      <c r="C2804" s="3">
        <v>22.958137839999999</v>
      </c>
      <c r="D2804" s="3">
        <v>12</v>
      </c>
    </row>
    <row r="2805" spans="1:4" x14ac:dyDescent="0.2">
      <c r="A2805" s="3">
        <v>2804</v>
      </c>
      <c r="B2805" s="3">
        <v>113.4594438</v>
      </c>
      <c r="C2805" s="3">
        <v>22.961206059999999</v>
      </c>
      <c r="D2805" s="3">
        <v>12</v>
      </c>
    </row>
    <row r="2806" spans="1:4" x14ac:dyDescent="0.2">
      <c r="A2806" s="3">
        <v>2805</v>
      </c>
      <c r="B2806" s="3">
        <v>113.4536389</v>
      </c>
      <c r="C2806" s="3">
        <v>22.95484866</v>
      </c>
      <c r="D2806" s="3">
        <v>12</v>
      </c>
    </row>
    <row r="2807" spans="1:4" x14ac:dyDescent="0.2">
      <c r="A2807" s="3">
        <v>2806</v>
      </c>
      <c r="B2807" s="3">
        <v>113.46082680000001</v>
      </c>
      <c r="C2807" s="3">
        <v>22.962398050000001</v>
      </c>
      <c r="D2807" s="3">
        <v>1</v>
      </c>
    </row>
    <row r="2808" spans="1:4" x14ac:dyDescent="0.2">
      <c r="A2808" s="3">
        <v>2807</v>
      </c>
      <c r="B2808" s="3">
        <v>113.4615901</v>
      </c>
      <c r="C2808" s="3">
        <v>22.962395010000002</v>
      </c>
      <c r="D2808" s="3">
        <v>1</v>
      </c>
    </row>
    <row r="2809" spans="1:4" x14ac:dyDescent="0.2">
      <c r="A2809" s="3">
        <v>2808</v>
      </c>
      <c r="B2809" s="3">
        <v>113.4599695</v>
      </c>
      <c r="C2809" s="3">
        <v>22.959355169999998</v>
      </c>
      <c r="D2809" s="3">
        <v>12</v>
      </c>
    </row>
    <row r="2810" spans="1:4" x14ac:dyDescent="0.2">
      <c r="A2810" s="3">
        <v>2809</v>
      </c>
      <c r="B2810" s="3">
        <v>113.462586</v>
      </c>
      <c r="C2810" s="3">
        <v>22.963677029999999</v>
      </c>
      <c r="D2810" s="3">
        <v>1</v>
      </c>
    </row>
    <row r="2811" spans="1:4" x14ac:dyDescent="0.2">
      <c r="A2811" s="3">
        <v>2810</v>
      </c>
      <c r="B2811" s="3">
        <v>113.4710647</v>
      </c>
      <c r="C2811" s="3">
        <v>22.96015937</v>
      </c>
      <c r="D2811" s="3">
        <v>1</v>
      </c>
    </row>
    <row r="2812" spans="1:4" x14ac:dyDescent="0.2">
      <c r="A2812" s="3">
        <v>2811</v>
      </c>
      <c r="B2812" s="3">
        <v>113.4715934</v>
      </c>
      <c r="C2812" s="3">
        <v>22.960032900000002</v>
      </c>
      <c r="D2812" s="3">
        <v>1</v>
      </c>
    </row>
    <row r="2813" spans="1:4" x14ac:dyDescent="0.2">
      <c r="A2813" s="3">
        <v>2812</v>
      </c>
      <c r="B2813" s="3">
        <v>113.47070429999999</v>
      </c>
      <c r="C2813" s="3">
        <v>22.962443390000001</v>
      </c>
      <c r="D2813" s="3">
        <v>1</v>
      </c>
    </row>
    <row r="2814" spans="1:4" x14ac:dyDescent="0.2">
      <c r="A2814" s="3">
        <v>2813</v>
      </c>
      <c r="B2814" s="3">
        <v>113.4624747</v>
      </c>
      <c r="C2814" s="3">
        <v>22.963076999999998</v>
      </c>
      <c r="D2814" s="3">
        <v>1</v>
      </c>
    </row>
    <row r="2815" spans="1:4" x14ac:dyDescent="0.2">
      <c r="A2815" s="3">
        <v>2814</v>
      </c>
      <c r="B2815" s="3">
        <v>113.46646699999999</v>
      </c>
      <c r="C2815" s="3">
        <v>22.960779519999999</v>
      </c>
      <c r="D2815" s="3">
        <v>1</v>
      </c>
    </row>
    <row r="2816" spans="1:4" x14ac:dyDescent="0.2">
      <c r="A2816" s="3">
        <v>2815</v>
      </c>
      <c r="B2816" s="3">
        <v>113.4620484</v>
      </c>
      <c r="C2816" s="3">
        <v>22.962576110000001</v>
      </c>
      <c r="D2816" s="3">
        <v>1</v>
      </c>
    </row>
    <row r="2817" spans="1:4" x14ac:dyDescent="0.2">
      <c r="A2817" s="3">
        <v>2816</v>
      </c>
      <c r="B2817" s="3">
        <v>113.4727403</v>
      </c>
      <c r="C2817" s="3">
        <v>22.957437219999999</v>
      </c>
      <c r="D2817" s="3">
        <v>1</v>
      </c>
    </row>
    <row r="2818" spans="1:4" x14ac:dyDescent="0.2">
      <c r="A2818" s="3">
        <v>2817</v>
      </c>
      <c r="B2818" s="3">
        <v>113.478101</v>
      </c>
      <c r="C2818" s="3">
        <v>22.958415120000002</v>
      </c>
      <c r="D2818" s="3">
        <v>1</v>
      </c>
    </row>
    <row r="2819" spans="1:4" x14ac:dyDescent="0.2">
      <c r="A2819" s="3">
        <v>2818</v>
      </c>
      <c r="B2819" s="3">
        <v>113.4815856</v>
      </c>
      <c r="C2819" s="3">
        <v>22.960540380000001</v>
      </c>
      <c r="D2819" s="3">
        <v>1</v>
      </c>
    </row>
    <row r="2820" spans="1:4" x14ac:dyDescent="0.2">
      <c r="A2820" s="3">
        <v>2819</v>
      </c>
      <c r="B2820" s="3">
        <v>113.4732952</v>
      </c>
      <c r="C2820" s="3">
        <v>22.95591044</v>
      </c>
      <c r="D2820" s="3">
        <v>1</v>
      </c>
    </row>
    <row r="2821" spans="1:4" x14ac:dyDescent="0.2">
      <c r="A2821" s="3">
        <v>2820</v>
      </c>
      <c r="B2821" s="3">
        <v>113.4730113</v>
      </c>
      <c r="C2821" s="3">
        <v>22.955294899999998</v>
      </c>
      <c r="D2821" s="3">
        <v>1</v>
      </c>
    </row>
    <row r="2822" spans="1:4" x14ac:dyDescent="0.2">
      <c r="A2822" s="3">
        <v>2821</v>
      </c>
      <c r="B2822" s="3">
        <v>113.4736865</v>
      </c>
      <c r="C2822" s="3">
        <v>22.954977939999999</v>
      </c>
      <c r="D2822" s="3">
        <v>1</v>
      </c>
    </row>
    <row r="2823" spans="1:4" x14ac:dyDescent="0.2">
      <c r="A2823" s="3">
        <v>2822</v>
      </c>
      <c r="B2823" s="3">
        <v>113.48139089999999</v>
      </c>
      <c r="C2823" s="3">
        <v>22.961160540000002</v>
      </c>
      <c r="D2823" s="3">
        <v>1</v>
      </c>
    </row>
    <row r="2824" spans="1:4" x14ac:dyDescent="0.2">
      <c r="A2824" s="3">
        <v>2823</v>
      </c>
      <c r="B2824" s="3">
        <v>113.4819901</v>
      </c>
      <c r="C2824" s="3">
        <v>22.959126170000001</v>
      </c>
      <c r="D2824" s="3">
        <v>1</v>
      </c>
    </row>
    <row r="2825" spans="1:4" x14ac:dyDescent="0.2">
      <c r="A2825" s="3">
        <v>2824</v>
      </c>
      <c r="B2825" s="3">
        <v>113.4830498</v>
      </c>
      <c r="C2825" s="3">
        <v>22.957236099999999</v>
      </c>
      <c r="D2825" s="3">
        <v>1</v>
      </c>
    </row>
    <row r="2826" spans="1:4" x14ac:dyDescent="0.2">
      <c r="A2826" s="3">
        <v>2825</v>
      </c>
      <c r="B2826" s="3">
        <v>113.4914429</v>
      </c>
      <c r="C2826" s="3">
        <v>22.957386079999999</v>
      </c>
      <c r="D2826" s="3">
        <v>1</v>
      </c>
    </row>
    <row r="2827" spans="1:4" x14ac:dyDescent="0.2">
      <c r="A2827" s="3">
        <v>2826</v>
      </c>
      <c r="B2827" s="3">
        <v>113.4903992</v>
      </c>
      <c r="C2827" s="3">
        <v>22.958480479999999</v>
      </c>
      <c r="D2827" s="3">
        <v>1</v>
      </c>
    </row>
    <row r="2828" spans="1:4" x14ac:dyDescent="0.2">
      <c r="A2828" s="3">
        <v>2827</v>
      </c>
      <c r="B2828" s="3">
        <v>113.4838044</v>
      </c>
      <c r="C2828" s="3">
        <v>22.956692570000001</v>
      </c>
      <c r="D2828" s="3">
        <v>1</v>
      </c>
    </row>
    <row r="2829" spans="1:4" x14ac:dyDescent="0.2">
      <c r="A2829" s="3">
        <v>2828</v>
      </c>
      <c r="B2829" s="3">
        <v>113.4823854</v>
      </c>
      <c r="C2829" s="3">
        <v>22.95961213</v>
      </c>
      <c r="D2829" s="3">
        <v>1</v>
      </c>
    </row>
    <row r="2830" spans="1:4" x14ac:dyDescent="0.2">
      <c r="A2830" s="3">
        <v>2829</v>
      </c>
      <c r="B2830" s="3">
        <v>113.4917379</v>
      </c>
      <c r="C2830" s="3">
        <v>22.957401959999999</v>
      </c>
      <c r="D2830" s="3">
        <v>1</v>
      </c>
    </row>
    <row r="2831" spans="1:4" x14ac:dyDescent="0.2">
      <c r="A2831" s="3">
        <v>2830</v>
      </c>
      <c r="B2831" s="3">
        <v>113.482512</v>
      </c>
      <c r="C2831" s="3">
        <v>22.9572605</v>
      </c>
      <c r="D2831" s="3">
        <v>1</v>
      </c>
    </row>
    <row r="2832" spans="1:4" x14ac:dyDescent="0.2">
      <c r="A2832" s="3">
        <v>2831</v>
      </c>
      <c r="B2832" s="3">
        <v>113.48257479999999</v>
      </c>
      <c r="C2832" s="3">
        <v>22.963586979999999</v>
      </c>
      <c r="D2832" s="3">
        <v>1</v>
      </c>
    </row>
    <row r="2833" spans="1:4" x14ac:dyDescent="0.2">
      <c r="A2833" s="3">
        <v>2832</v>
      </c>
      <c r="B2833" s="3">
        <v>113.48184929999999</v>
      </c>
      <c r="C2833" s="3">
        <v>22.963467900000001</v>
      </c>
      <c r="D2833" s="3">
        <v>1</v>
      </c>
    </row>
    <row r="2834" spans="1:4" x14ac:dyDescent="0.2">
      <c r="A2834" s="3">
        <v>2833</v>
      </c>
      <c r="B2834" s="3">
        <v>113.4925435</v>
      </c>
      <c r="C2834" s="3">
        <v>22.96083192</v>
      </c>
      <c r="D2834" s="3">
        <v>1</v>
      </c>
    </row>
    <row r="2835" spans="1:4" x14ac:dyDescent="0.2">
      <c r="A2835" s="3">
        <v>2834</v>
      </c>
      <c r="B2835" s="3">
        <v>113.4922164</v>
      </c>
      <c r="C2835" s="3">
        <v>22.960814939999999</v>
      </c>
      <c r="D2835" s="3">
        <v>1</v>
      </c>
    </row>
    <row r="2836" spans="1:4" x14ac:dyDescent="0.2">
      <c r="A2836" s="3">
        <v>2835</v>
      </c>
      <c r="B2836" s="3">
        <v>113.30843160000001</v>
      </c>
      <c r="C2836" s="3">
        <v>22.94422531</v>
      </c>
      <c r="D2836" s="3">
        <v>9</v>
      </c>
    </row>
    <row r="2837" spans="1:4" x14ac:dyDescent="0.2">
      <c r="A2837" s="3">
        <v>2836</v>
      </c>
      <c r="B2837" s="3">
        <v>113.321465</v>
      </c>
      <c r="C2837" s="3">
        <v>22.944525609999999</v>
      </c>
      <c r="D2837" s="3">
        <v>9</v>
      </c>
    </row>
    <row r="2838" spans="1:4" x14ac:dyDescent="0.2">
      <c r="A2838" s="3">
        <v>2837</v>
      </c>
      <c r="B2838" s="3">
        <v>113.33039960000001</v>
      </c>
      <c r="C2838" s="3">
        <v>22.946709640000002</v>
      </c>
      <c r="D2838" s="3">
        <v>17</v>
      </c>
    </row>
    <row r="2839" spans="1:4" x14ac:dyDescent="0.2">
      <c r="A2839" s="3">
        <v>2838</v>
      </c>
      <c r="B2839" s="3">
        <v>113.32980790000001</v>
      </c>
      <c r="C2839" s="3">
        <v>22.94430079</v>
      </c>
      <c r="D2839" s="3">
        <v>17</v>
      </c>
    </row>
    <row r="2840" spans="1:4" x14ac:dyDescent="0.2">
      <c r="A2840" s="3">
        <v>2839</v>
      </c>
      <c r="B2840" s="3">
        <v>113.327254</v>
      </c>
      <c r="C2840" s="3">
        <v>22.94631279</v>
      </c>
      <c r="D2840" s="3">
        <v>17</v>
      </c>
    </row>
    <row r="2841" spans="1:4" x14ac:dyDescent="0.2">
      <c r="A2841" s="3">
        <v>2840</v>
      </c>
      <c r="B2841" s="3">
        <v>113.3236424</v>
      </c>
      <c r="C2841" s="3">
        <v>22.946805479999998</v>
      </c>
      <c r="D2841" s="3">
        <v>9</v>
      </c>
    </row>
    <row r="2842" spans="1:4" x14ac:dyDescent="0.2">
      <c r="A2842" s="3">
        <v>2841</v>
      </c>
      <c r="B2842" s="3">
        <v>113.3231693</v>
      </c>
      <c r="C2842" s="3">
        <v>22.946975309999999</v>
      </c>
      <c r="D2842" s="3">
        <v>9</v>
      </c>
    </row>
    <row r="2843" spans="1:4" x14ac:dyDescent="0.2">
      <c r="A2843" s="3">
        <v>2842</v>
      </c>
      <c r="B2843" s="3">
        <v>113.32380019999999</v>
      </c>
      <c r="C2843" s="3">
        <v>22.945320809999998</v>
      </c>
      <c r="D2843" s="3">
        <v>9</v>
      </c>
    </row>
    <row r="2844" spans="1:4" x14ac:dyDescent="0.2">
      <c r="A2844" s="3">
        <v>2843</v>
      </c>
      <c r="B2844" s="3">
        <v>113.3314192</v>
      </c>
      <c r="C2844" s="3">
        <v>22.9514687</v>
      </c>
      <c r="D2844" s="3">
        <v>17</v>
      </c>
    </row>
    <row r="2845" spans="1:4" x14ac:dyDescent="0.2">
      <c r="A2845" s="3">
        <v>2844</v>
      </c>
      <c r="B2845" s="3">
        <v>113.3311906</v>
      </c>
      <c r="C2845" s="3">
        <v>22.952064870000001</v>
      </c>
      <c r="D2845" s="3">
        <v>17</v>
      </c>
    </row>
    <row r="2846" spans="1:4" x14ac:dyDescent="0.2">
      <c r="A2846" s="3">
        <v>2845</v>
      </c>
      <c r="B2846" s="3">
        <v>113.3236855</v>
      </c>
      <c r="C2846" s="3">
        <v>22.943967600000001</v>
      </c>
      <c r="D2846" s="3">
        <v>9</v>
      </c>
    </row>
    <row r="2847" spans="1:4" x14ac:dyDescent="0.2">
      <c r="A2847" s="3">
        <v>2846</v>
      </c>
      <c r="B2847" s="3">
        <v>113.3273688</v>
      </c>
      <c r="C2847" s="3">
        <v>22.946218609999999</v>
      </c>
      <c r="D2847" s="3">
        <v>17</v>
      </c>
    </row>
    <row r="2848" spans="1:4" x14ac:dyDescent="0.2">
      <c r="A2848" s="3">
        <v>2847</v>
      </c>
      <c r="B2848" s="3">
        <v>113.3342225</v>
      </c>
      <c r="C2848" s="3">
        <v>22.952297089999998</v>
      </c>
      <c r="D2848" s="3">
        <v>17</v>
      </c>
    </row>
    <row r="2849" spans="1:4" x14ac:dyDescent="0.2">
      <c r="A2849" s="3">
        <v>2848</v>
      </c>
      <c r="B2849" s="3">
        <v>113.3356228</v>
      </c>
      <c r="C2849" s="3">
        <v>22.950895089999999</v>
      </c>
      <c r="D2849" s="3">
        <v>17</v>
      </c>
    </row>
    <row r="2850" spans="1:4" x14ac:dyDescent="0.2">
      <c r="A2850" s="3">
        <v>2849</v>
      </c>
      <c r="B2850" s="3">
        <v>113.3363774</v>
      </c>
      <c r="C2850" s="3">
        <v>22.950778750000001</v>
      </c>
      <c r="D2850" s="3">
        <v>17</v>
      </c>
    </row>
    <row r="2851" spans="1:4" x14ac:dyDescent="0.2">
      <c r="A2851" s="3">
        <v>2850</v>
      </c>
      <c r="B2851" s="3">
        <v>113.3342267</v>
      </c>
      <c r="C2851" s="3">
        <v>22.949131430000001</v>
      </c>
      <c r="D2851" s="3">
        <v>17</v>
      </c>
    </row>
    <row r="2852" spans="1:4" x14ac:dyDescent="0.2">
      <c r="A2852" s="3">
        <v>2851</v>
      </c>
      <c r="B2852" s="3">
        <v>113.3361048</v>
      </c>
      <c r="C2852" s="3">
        <v>22.95187778</v>
      </c>
      <c r="D2852" s="3">
        <v>17</v>
      </c>
    </row>
    <row r="2853" spans="1:4" x14ac:dyDescent="0.2">
      <c r="A2853" s="3">
        <v>2852</v>
      </c>
      <c r="B2853" s="3">
        <v>113.33890940000001</v>
      </c>
      <c r="C2853" s="3">
        <v>22.950842099999999</v>
      </c>
      <c r="D2853" s="3">
        <v>17</v>
      </c>
    </row>
    <row r="2854" spans="1:4" x14ac:dyDescent="0.2">
      <c r="A2854" s="3">
        <v>2853</v>
      </c>
      <c r="B2854" s="3">
        <v>113.33412180000001</v>
      </c>
      <c r="C2854" s="3">
        <v>22.951715530000001</v>
      </c>
      <c r="D2854" s="3">
        <v>17</v>
      </c>
    </row>
    <row r="2855" spans="1:4" x14ac:dyDescent="0.2">
      <c r="A2855" s="3">
        <v>2854</v>
      </c>
      <c r="B2855" s="3">
        <v>113.3329183</v>
      </c>
      <c r="C2855" s="3">
        <v>22.949496719999999</v>
      </c>
      <c r="D2855" s="3">
        <v>17</v>
      </c>
    </row>
    <row r="2856" spans="1:4" x14ac:dyDescent="0.2">
      <c r="A2856" s="3">
        <v>2855</v>
      </c>
      <c r="B2856" s="3">
        <v>113.3342765</v>
      </c>
      <c r="C2856" s="3">
        <v>22.951615279999999</v>
      </c>
      <c r="D2856" s="3">
        <v>17</v>
      </c>
    </row>
    <row r="2857" spans="1:4" x14ac:dyDescent="0.2">
      <c r="A2857" s="3">
        <v>2856</v>
      </c>
      <c r="B2857" s="3">
        <v>113.3402033</v>
      </c>
      <c r="C2857" s="3">
        <v>22.945885879999999</v>
      </c>
      <c r="D2857" s="3">
        <v>32</v>
      </c>
    </row>
    <row r="2858" spans="1:4" x14ac:dyDescent="0.2">
      <c r="A2858" s="3">
        <v>2857</v>
      </c>
      <c r="B2858" s="3">
        <v>113.3359062</v>
      </c>
      <c r="C2858" s="3">
        <v>22.952975680000002</v>
      </c>
      <c r="D2858" s="3">
        <v>17</v>
      </c>
    </row>
    <row r="2859" spans="1:4" x14ac:dyDescent="0.2">
      <c r="A2859" s="3">
        <v>2858</v>
      </c>
      <c r="B2859" s="3">
        <v>113.3411672</v>
      </c>
      <c r="C2859" s="3">
        <v>22.95047521</v>
      </c>
      <c r="D2859" s="3">
        <v>32</v>
      </c>
    </row>
    <row r="2860" spans="1:4" x14ac:dyDescent="0.2">
      <c r="A2860" s="3">
        <v>2859</v>
      </c>
      <c r="B2860" s="3">
        <v>113.3352245</v>
      </c>
      <c r="C2860" s="3">
        <v>22.953043910000002</v>
      </c>
      <c r="D2860" s="3">
        <v>17</v>
      </c>
    </row>
    <row r="2861" spans="1:4" x14ac:dyDescent="0.2">
      <c r="A2861" s="3">
        <v>2860</v>
      </c>
      <c r="B2861" s="3">
        <v>113.3323824</v>
      </c>
      <c r="C2861" s="3">
        <v>22.949574689999999</v>
      </c>
      <c r="D2861" s="3">
        <v>17</v>
      </c>
    </row>
    <row r="2862" spans="1:4" x14ac:dyDescent="0.2">
      <c r="A2862" s="3">
        <v>2861</v>
      </c>
      <c r="B2862" s="3">
        <v>113.3361357</v>
      </c>
      <c r="C2862" s="3">
        <v>22.95351303</v>
      </c>
      <c r="D2862" s="3">
        <v>17</v>
      </c>
    </row>
    <row r="2863" spans="1:4" x14ac:dyDescent="0.2">
      <c r="A2863" s="3">
        <v>2862</v>
      </c>
      <c r="B2863" s="3">
        <v>113.3354641</v>
      </c>
      <c r="C2863" s="3">
        <v>22.952363760000001</v>
      </c>
      <c r="D2863" s="3">
        <v>17</v>
      </c>
    </row>
    <row r="2864" spans="1:4" x14ac:dyDescent="0.2">
      <c r="A2864" s="3">
        <v>2863</v>
      </c>
      <c r="B2864" s="3">
        <v>113.3352684</v>
      </c>
      <c r="C2864" s="3">
        <v>22.953619589999999</v>
      </c>
      <c r="D2864" s="3">
        <v>17</v>
      </c>
    </row>
    <row r="2865" spans="1:4" x14ac:dyDescent="0.2">
      <c r="A2865" s="3">
        <v>2864</v>
      </c>
      <c r="B2865" s="3">
        <v>113.3356797</v>
      </c>
      <c r="C2865" s="3">
        <v>22.951639669999999</v>
      </c>
      <c r="D2865" s="3">
        <v>17</v>
      </c>
    </row>
    <row r="2866" spans="1:4" x14ac:dyDescent="0.2">
      <c r="A2866" s="3">
        <v>2865</v>
      </c>
      <c r="B2866" s="3">
        <v>113.33638639999999</v>
      </c>
      <c r="C2866" s="3">
        <v>22.95083271</v>
      </c>
      <c r="D2866" s="3">
        <v>17</v>
      </c>
    </row>
    <row r="2867" spans="1:4" x14ac:dyDescent="0.2">
      <c r="A2867" s="3">
        <v>2866</v>
      </c>
      <c r="B2867" s="3">
        <v>113.341491</v>
      </c>
      <c r="C2867" s="3">
        <v>22.944246280000002</v>
      </c>
      <c r="D2867" s="3">
        <v>32</v>
      </c>
    </row>
    <row r="2868" spans="1:4" x14ac:dyDescent="0.2">
      <c r="A2868" s="3">
        <v>2867</v>
      </c>
      <c r="B2868" s="3">
        <v>113.335511</v>
      </c>
      <c r="C2868" s="3">
        <v>22.952296700000002</v>
      </c>
      <c r="D2868" s="3">
        <v>17</v>
      </c>
    </row>
    <row r="2869" spans="1:4" x14ac:dyDescent="0.2">
      <c r="A2869" s="3">
        <v>2868</v>
      </c>
      <c r="B2869" s="3">
        <v>113.3412574</v>
      </c>
      <c r="C2869" s="3">
        <v>22.944345649999999</v>
      </c>
      <c r="D2869" s="3">
        <v>32</v>
      </c>
    </row>
    <row r="2870" spans="1:4" x14ac:dyDescent="0.2">
      <c r="A2870" s="3">
        <v>2869</v>
      </c>
      <c r="B2870" s="3">
        <v>113.3358533</v>
      </c>
      <c r="C2870" s="3">
        <v>22.951697320000001</v>
      </c>
      <c r="D2870" s="3">
        <v>17</v>
      </c>
    </row>
    <row r="2871" spans="1:4" x14ac:dyDescent="0.2">
      <c r="A2871" s="3">
        <v>2870</v>
      </c>
      <c r="B2871" s="3">
        <v>113.3357676</v>
      </c>
      <c r="C2871" s="3">
        <v>22.950879830000002</v>
      </c>
      <c r="D2871" s="3">
        <v>17</v>
      </c>
    </row>
    <row r="2872" spans="1:4" x14ac:dyDescent="0.2">
      <c r="A2872" s="3">
        <v>2871</v>
      </c>
      <c r="B2872" s="3">
        <v>113.3351687</v>
      </c>
      <c r="C2872" s="3">
        <v>22.952272350000001</v>
      </c>
      <c r="D2872" s="3">
        <v>17</v>
      </c>
    </row>
    <row r="2873" spans="1:4" x14ac:dyDescent="0.2">
      <c r="A2873" s="3">
        <v>2872</v>
      </c>
      <c r="B2873" s="3">
        <v>113.3459245</v>
      </c>
      <c r="C2873" s="3">
        <v>22.948675690000002</v>
      </c>
      <c r="D2873" s="3">
        <v>32</v>
      </c>
    </row>
    <row r="2874" spans="1:4" x14ac:dyDescent="0.2">
      <c r="A2874" s="3">
        <v>2873</v>
      </c>
      <c r="B2874" s="3">
        <v>113.3482212</v>
      </c>
      <c r="C2874" s="3">
        <v>22.952113369999999</v>
      </c>
      <c r="D2874" s="3">
        <v>32</v>
      </c>
    </row>
    <row r="2875" spans="1:4" x14ac:dyDescent="0.2">
      <c r="A2875" s="3">
        <v>2874</v>
      </c>
      <c r="B2875" s="3">
        <v>113.3476537</v>
      </c>
      <c r="C2875" s="3">
        <v>22.94498535</v>
      </c>
      <c r="D2875" s="3">
        <v>32</v>
      </c>
    </row>
    <row r="2876" spans="1:4" x14ac:dyDescent="0.2">
      <c r="A2876" s="3">
        <v>2875</v>
      </c>
      <c r="B2876" s="3">
        <v>113.3477393</v>
      </c>
      <c r="C2876" s="3">
        <v>22.94859567</v>
      </c>
      <c r="D2876" s="3">
        <v>32</v>
      </c>
    </row>
    <row r="2877" spans="1:4" x14ac:dyDescent="0.2">
      <c r="A2877" s="3">
        <v>2876</v>
      </c>
      <c r="B2877" s="3">
        <v>113.3480588</v>
      </c>
      <c r="C2877" s="3">
        <v>22.947202730000001</v>
      </c>
      <c r="D2877" s="3">
        <v>32</v>
      </c>
    </row>
    <row r="2878" spans="1:4" x14ac:dyDescent="0.2">
      <c r="A2878" s="3">
        <v>2877</v>
      </c>
      <c r="B2878" s="3">
        <v>113.3458756</v>
      </c>
      <c r="C2878" s="3">
        <v>22.948352910000001</v>
      </c>
      <c r="D2878" s="3">
        <v>32</v>
      </c>
    </row>
    <row r="2879" spans="1:4" x14ac:dyDescent="0.2">
      <c r="A2879" s="3">
        <v>2878</v>
      </c>
      <c r="B2879" s="3">
        <v>113.34761760000001</v>
      </c>
      <c r="C2879" s="3">
        <v>22.947479349999998</v>
      </c>
      <c r="D2879" s="3">
        <v>32</v>
      </c>
    </row>
    <row r="2880" spans="1:4" x14ac:dyDescent="0.2">
      <c r="A2880" s="3">
        <v>2879</v>
      </c>
      <c r="B2880" s="3">
        <v>113.34711950000001</v>
      </c>
      <c r="C2880" s="3">
        <v>22.947296260000002</v>
      </c>
      <c r="D2880" s="3">
        <v>32</v>
      </c>
    </row>
    <row r="2881" spans="1:4" x14ac:dyDescent="0.2">
      <c r="A2881" s="3">
        <v>2880</v>
      </c>
      <c r="B2881" s="3">
        <v>113.3486656</v>
      </c>
      <c r="C2881" s="3">
        <v>22.949028949999999</v>
      </c>
      <c r="D2881" s="3">
        <v>32</v>
      </c>
    </row>
    <row r="2882" spans="1:4" x14ac:dyDescent="0.2">
      <c r="A2882" s="3">
        <v>2881</v>
      </c>
      <c r="B2882" s="3">
        <v>113.34474969999999</v>
      </c>
      <c r="C2882" s="3">
        <v>22.947834060000002</v>
      </c>
      <c r="D2882" s="3">
        <v>32</v>
      </c>
    </row>
    <row r="2883" spans="1:4" x14ac:dyDescent="0.2">
      <c r="A2883" s="3">
        <v>2882</v>
      </c>
      <c r="B2883" s="3">
        <v>113.3485111</v>
      </c>
      <c r="C2883" s="3">
        <v>22.94650828</v>
      </c>
      <c r="D2883" s="3">
        <v>32</v>
      </c>
    </row>
    <row r="2884" spans="1:4" x14ac:dyDescent="0.2">
      <c r="A2884" s="3">
        <v>2883</v>
      </c>
      <c r="B2884" s="3">
        <v>113.3493366</v>
      </c>
      <c r="C2884" s="3">
        <v>22.947137649999998</v>
      </c>
      <c r="D2884" s="3">
        <v>32</v>
      </c>
    </row>
    <row r="2885" spans="1:4" x14ac:dyDescent="0.2">
      <c r="A2885" s="3">
        <v>2884</v>
      </c>
      <c r="B2885" s="3">
        <v>113.3451299</v>
      </c>
      <c r="C2885" s="3">
        <v>22.950008480000001</v>
      </c>
      <c r="D2885" s="3">
        <v>32</v>
      </c>
    </row>
    <row r="2886" spans="1:4" x14ac:dyDescent="0.2">
      <c r="A2886" s="3">
        <v>2885</v>
      </c>
      <c r="B2886" s="3">
        <v>113.3489052</v>
      </c>
      <c r="C2886" s="3">
        <v>22.94905954</v>
      </c>
      <c r="D2886" s="3">
        <v>32</v>
      </c>
    </row>
    <row r="2887" spans="1:4" x14ac:dyDescent="0.2">
      <c r="A2887" s="3">
        <v>2886</v>
      </c>
      <c r="B2887" s="3">
        <v>113.34446010000001</v>
      </c>
      <c r="C2887" s="3">
        <v>22.949024049999998</v>
      </c>
      <c r="D2887" s="3">
        <v>32</v>
      </c>
    </row>
    <row r="2888" spans="1:4" x14ac:dyDescent="0.2">
      <c r="A2888" s="3">
        <v>2887</v>
      </c>
      <c r="B2888" s="3">
        <v>113.34439329999999</v>
      </c>
      <c r="C2888" s="3">
        <v>22.947846670000001</v>
      </c>
      <c r="D2888" s="3">
        <v>32</v>
      </c>
    </row>
    <row r="2889" spans="1:4" x14ac:dyDescent="0.2">
      <c r="A2889" s="3">
        <v>2888</v>
      </c>
      <c r="B2889" s="3">
        <v>113.3487576</v>
      </c>
      <c r="C2889" s="3">
        <v>22.947877290000001</v>
      </c>
      <c r="D2889" s="3">
        <v>32</v>
      </c>
    </row>
    <row r="2890" spans="1:4" x14ac:dyDescent="0.2">
      <c r="A2890" s="3">
        <v>2889</v>
      </c>
      <c r="B2890" s="3">
        <v>113.3492438</v>
      </c>
      <c r="C2890" s="3">
        <v>22.9473947</v>
      </c>
      <c r="D2890" s="3">
        <v>32</v>
      </c>
    </row>
    <row r="2891" spans="1:4" x14ac:dyDescent="0.2">
      <c r="A2891" s="3">
        <v>2890</v>
      </c>
      <c r="B2891" s="3">
        <v>113.3447178</v>
      </c>
      <c r="C2891" s="3">
        <v>22.946688600000002</v>
      </c>
      <c r="D2891" s="3">
        <v>32</v>
      </c>
    </row>
    <row r="2892" spans="1:4" x14ac:dyDescent="0.2">
      <c r="A2892" s="3">
        <v>2891</v>
      </c>
      <c r="B2892" s="3">
        <v>113.34872470000001</v>
      </c>
      <c r="C2892" s="3">
        <v>22.946676849999999</v>
      </c>
      <c r="D2892" s="3">
        <v>32</v>
      </c>
    </row>
    <row r="2893" spans="1:4" x14ac:dyDescent="0.2">
      <c r="A2893" s="3">
        <v>2892</v>
      </c>
      <c r="B2893" s="3">
        <v>113.35033489999999</v>
      </c>
      <c r="C2893" s="3">
        <v>22.947067059999998</v>
      </c>
      <c r="D2893" s="3">
        <v>32</v>
      </c>
    </row>
    <row r="2894" spans="1:4" x14ac:dyDescent="0.2">
      <c r="A2894" s="3">
        <v>2893</v>
      </c>
      <c r="B2894" s="3">
        <v>113.3445359</v>
      </c>
      <c r="C2894" s="3">
        <v>22.950035490000001</v>
      </c>
      <c r="D2894" s="3">
        <v>32</v>
      </c>
    </row>
    <row r="2895" spans="1:4" x14ac:dyDescent="0.2">
      <c r="A2895" s="3">
        <v>2894</v>
      </c>
      <c r="B2895" s="3">
        <v>113.3496241</v>
      </c>
      <c r="C2895" s="3">
        <v>22.948131759999999</v>
      </c>
      <c r="D2895" s="3">
        <v>32</v>
      </c>
    </row>
    <row r="2896" spans="1:4" x14ac:dyDescent="0.2">
      <c r="A2896" s="3">
        <v>2895</v>
      </c>
      <c r="B2896" s="3">
        <v>113.345201</v>
      </c>
      <c r="C2896" s="3">
        <v>22.945891110000002</v>
      </c>
      <c r="D2896" s="3">
        <v>32</v>
      </c>
    </row>
    <row r="2897" spans="1:4" x14ac:dyDescent="0.2">
      <c r="A2897" s="3">
        <v>2896</v>
      </c>
      <c r="B2897" s="3">
        <v>113.34330420000001</v>
      </c>
      <c r="C2897" s="3">
        <v>22.950508429999999</v>
      </c>
      <c r="D2897" s="3">
        <v>32</v>
      </c>
    </row>
    <row r="2898" spans="1:4" x14ac:dyDescent="0.2">
      <c r="A2898" s="3">
        <v>2897</v>
      </c>
      <c r="B2898" s="3">
        <v>113.3471267</v>
      </c>
      <c r="C2898" s="3">
        <v>22.944296520000002</v>
      </c>
      <c r="D2898" s="3">
        <v>32</v>
      </c>
    </row>
    <row r="2899" spans="1:4" x14ac:dyDescent="0.2">
      <c r="A2899" s="3">
        <v>2898</v>
      </c>
      <c r="B2899" s="3">
        <v>113.3491447</v>
      </c>
      <c r="C2899" s="3">
        <v>22.951489120000002</v>
      </c>
      <c r="D2899" s="3">
        <v>32</v>
      </c>
    </row>
    <row r="2900" spans="1:4" x14ac:dyDescent="0.2">
      <c r="A2900" s="3">
        <v>2899</v>
      </c>
      <c r="B2900" s="3">
        <v>113.3464858</v>
      </c>
      <c r="C2900" s="3">
        <v>22.944877349999999</v>
      </c>
      <c r="D2900" s="3">
        <v>32</v>
      </c>
    </row>
    <row r="2901" spans="1:4" x14ac:dyDescent="0.2">
      <c r="A2901" s="3">
        <v>2900</v>
      </c>
      <c r="B2901" s="3">
        <v>113.3469619</v>
      </c>
      <c r="C2901" s="3">
        <v>22.945178420000001</v>
      </c>
      <c r="D2901" s="3">
        <v>32</v>
      </c>
    </row>
    <row r="2902" spans="1:4" x14ac:dyDescent="0.2">
      <c r="A2902" s="3">
        <v>2901</v>
      </c>
      <c r="B2902" s="3">
        <v>113.345215</v>
      </c>
      <c r="C2902" s="3">
        <v>22.945121409999999</v>
      </c>
      <c r="D2902" s="3">
        <v>32</v>
      </c>
    </row>
    <row r="2903" spans="1:4" x14ac:dyDescent="0.2">
      <c r="A2903" s="3">
        <v>2902</v>
      </c>
      <c r="B2903" s="3">
        <v>113.34834909999999</v>
      </c>
      <c r="C2903" s="3">
        <v>22.951032619999999</v>
      </c>
      <c r="D2903" s="3">
        <v>32</v>
      </c>
    </row>
    <row r="2904" spans="1:4" x14ac:dyDescent="0.2">
      <c r="A2904" s="3">
        <v>2903</v>
      </c>
      <c r="B2904" s="3">
        <v>113.3501103</v>
      </c>
      <c r="C2904" s="3">
        <v>22.9473603</v>
      </c>
      <c r="D2904" s="3">
        <v>32</v>
      </c>
    </row>
    <row r="2905" spans="1:4" x14ac:dyDescent="0.2">
      <c r="A2905" s="3">
        <v>2904</v>
      </c>
      <c r="B2905" s="3">
        <v>113.3465178</v>
      </c>
      <c r="C2905" s="3">
        <v>22.944119619999999</v>
      </c>
      <c r="D2905" s="3">
        <v>32</v>
      </c>
    </row>
    <row r="2906" spans="1:4" x14ac:dyDescent="0.2">
      <c r="A2906" s="3">
        <v>2905</v>
      </c>
      <c r="B2906" s="3">
        <v>113.3479901</v>
      </c>
      <c r="C2906" s="3">
        <v>22.94514672</v>
      </c>
      <c r="D2906" s="3">
        <v>32</v>
      </c>
    </row>
    <row r="2907" spans="1:4" x14ac:dyDescent="0.2">
      <c r="A2907" s="3">
        <v>2906</v>
      </c>
      <c r="B2907" s="3">
        <v>113.3503058</v>
      </c>
      <c r="C2907" s="3">
        <v>22.949683</v>
      </c>
      <c r="D2907" s="3">
        <v>32</v>
      </c>
    </row>
    <row r="2908" spans="1:4" x14ac:dyDescent="0.2">
      <c r="A2908" s="3">
        <v>2907</v>
      </c>
      <c r="B2908" s="3">
        <v>113.3502079</v>
      </c>
      <c r="C2908" s="3">
        <v>22.950080979999999</v>
      </c>
      <c r="D2908" s="3">
        <v>32</v>
      </c>
    </row>
    <row r="2909" spans="1:4" x14ac:dyDescent="0.2">
      <c r="A2909" s="3">
        <v>2908</v>
      </c>
      <c r="B2909" s="3">
        <v>113.350155</v>
      </c>
      <c r="C2909" s="3">
        <v>22.950301979999999</v>
      </c>
      <c r="D2909" s="3">
        <v>32</v>
      </c>
    </row>
    <row r="2910" spans="1:4" x14ac:dyDescent="0.2">
      <c r="A2910" s="3">
        <v>2909</v>
      </c>
      <c r="B2910" s="3">
        <v>113.3472508</v>
      </c>
      <c r="C2910" s="3">
        <v>22.953593359999999</v>
      </c>
      <c r="D2910" s="3">
        <v>32</v>
      </c>
    </row>
    <row r="2911" spans="1:4" x14ac:dyDescent="0.2">
      <c r="A2911" s="3">
        <v>2910</v>
      </c>
      <c r="B2911" s="3">
        <v>113.3493962</v>
      </c>
      <c r="C2911" s="3">
        <v>22.951355759999998</v>
      </c>
      <c r="D2911" s="3">
        <v>32</v>
      </c>
    </row>
    <row r="2912" spans="1:4" x14ac:dyDescent="0.2">
      <c r="A2912" s="3">
        <v>2911</v>
      </c>
      <c r="B2912" s="3">
        <v>113.3490982</v>
      </c>
      <c r="C2912" s="3">
        <v>22.945115900000001</v>
      </c>
      <c r="D2912" s="3">
        <v>32</v>
      </c>
    </row>
    <row r="2913" spans="1:4" x14ac:dyDescent="0.2">
      <c r="A2913" s="3">
        <v>2912</v>
      </c>
      <c r="B2913" s="3">
        <v>113.3504076</v>
      </c>
      <c r="C2913" s="3">
        <v>22.949268010000001</v>
      </c>
      <c r="D2913" s="3">
        <v>32</v>
      </c>
    </row>
    <row r="2914" spans="1:4" x14ac:dyDescent="0.2">
      <c r="A2914" s="3">
        <v>2913</v>
      </c>
      <c r="B2914" s="3">
        <v>113.34749100000001</v>
      </c>
      <c r="C2914" s="3">
        <v>22.944333889999999</v>
      </c>
      <c r="D2914" s="3">
        <v>32</v>
      </c>
    </row>
    <row r="2915" spans="1:4" x14ac:dyDescent="0.2">
      <c r="A2915" s="3">
        <v>2914</v>
      </c>
      <c r="B2915" s="3">
        <v>113.34683819999999</v>
      </c>
      <c r="C2915" s="3">
        <v>22.943746239999999</v>
      </c>
      <c r="D2915" s="3">
        <v>32</v>
      </c>
    </row>
    <row r="2916" spans="1:4" x14ac:dyDescent="0.2">
      <c r="A2916" s="3">
        <v>2915</v>
      </c>
      <c r="B2916" s="3">
        <v>113.3425336</v>
      </c>
      <c r="C2916" s="3">
        <v>22.950665709999999</v>
      </c>
      <c r="D2916" s="3">
        <v>32</v>
      </c>
    </row>
    <row r="2917" spans="1:4" x14ac:dyDescent="0.2">
      <c r="A2917" s="3">
        <v>2916</v>
      </c>
      <c r="B2917" s="3">
        <v>113.3488885</v>
      </c>
      <c r="C2917" s="3">
        <v>22.94492133</v>
      </c>
      <c r="D2917" s="3">
        <v>32</v>
      </c>
    </row>
    <row r="2918" spans="1:4" x14ac:dyDescent="0.2">
      <c r="A2918" s="3">
        <v>2917</v>
      </c>
      <c r="B2918" s="3">
        <v>113.3503027</v>
      </c>
      <c r="C2918" s="3">
        <v>22.951555200000001</v>
      </c>
      <c r="D2918" s="3">
        <v>32</v>
      </c>
    </row>
    <row r="2919" spans="1:4" x14ac:dyDescent="0.2">
      <c r="A2919" s="3">
        <v>2918</v>
      </c>
      <c r="B2919" s="3">
        <v>113.3497799</v>
      </c>
      <c r="C2919" s="3">
        <v>22.946018410000001</v>
      </c>
      <c r="D2919" s="3">
        <v>32</v>
      </c>
    </row>
    <row r="2920" spans="1:4" x14ac:dyDescent="0.2">
      <c r="A2920" s="3">
        <v>2919</v>
      </c>
      <c r="B2920" s="3">
        <v>113.34850280000001</v>
      </c>
      <c r="C2920" s="3">
        <v>22.95039564</v>
      </c>
      <c r="D2920" s="3">
        <v>32</v>
      </c>
    </row>
    <row r="2921" spans="1:4" x14ac:dyDescent="0.2">
      <c r="A2921" s="3">
        <v>2920</v>
      </c>
      <c r="B2921" s="3">
        <v>113.3496462</v>
      </c>
      <c r="C2921" s="3">
        <v>22.944862109999999</v>
      </c>
      <c r="D2921" s="3">
        <v>32</v>
      </c>
    </row>
    <row r="2922" spans="1:4" x14ac:dyDescent="0.2">
      <c r="A2922" s="3">
        <v>2921</v>
      </c>
      <c r="B2922" s="3">
        <v>113.3499048</v>
      </c>
      <c r="C2922" s="3">
        <v>22.945044620000001</v>
      </c>
      <c r="D2922" s="3">
        <v>32</v>
      </c>
    </row>
    <row r="2923" spans="1:4" x14ac:dyDescent="0.2">
      <c r="A2923" s="3">
        <v>2922</v>
      </c>
      <c r="B2923" s="3">
        <v>113.3486825</v>
      </c>
      <c r="C2923" s="3">
        <v>22.950602249999999</v>
      </c>
      <c r="D2923" s="3">
        <v>32</v>
      </c>
    </row>
    <row r="2924" spans="1:4" x14ac:dyDescent="0.2">
      <c r="A2924" s="3">
        <v>2923</v>
      </c>
      <c r="B2924" s="3">
        <v>113.3487938</v>
      </c>
      <c r="C2924" s="3">
        <v>22.944209789999999</v>
      </c>
      <c r="D2924" s="3">
        <v>32</v>
      </c>
    </row>
    <row r="2925" spans="1:4" x14ac:dyDescent="0.2">
      <c r="A2925" s="3">
        <v>2924</v>
      </c>
      <c r="B2925" s="3">
        <v>113.3448987</v>
      </c>
      <c r="C2925" s="3">
        <v>22.94438027</v>
      </c>
      <c r="D2925" s="3">
        <v>32</v>
      </c>
    </row>
    <row r="2926" spans="1:4" x14ac:dyDescent="0.2">
      <c r="A2926" s="3">
        <v>2925</v>
      </c>
      <c r="B2926" s="3">
        <v>113.3495272</v>
      </c>
      <c r="C2926" s="3">
        <v>22.947736089999999</v>
      </c>
      <c r="D2926" s="3">
        <v>32</v>
      </c>
    </row>
    <row r="2927" spans="1:4" x14ac:dyDescent="0.2">
      <c r="A2927" s="3">
        <v>2926</v>
      </c>
      <c r="B2927" s="3">
        <v>113.3491449</v>
      </c>
      <c r="C2927" s="3">
        <v>22.94835445</v>
      </c>
      <c r="D2927" s="3">
        <v>32</v>
      </c>
    </row>
    <row r="2928" spans="1:4" x14ac:dyDescent="0.2">
      <c r="A2928" s="3">
        <v>2927</v>
      </c>
      <c r="B2928" s="3">
        <v>113.35064749999999</v>
      </c>
      <c r="C2928" s="3">
        <v>22.944793520000001</v>
      </c>
      <c r="D2928" s="3">
        <v>32</v>
      </c>
    </row>
    <row r="2929" spans="1:4" x14ac:dyDescent="0.2">
      <c r="A2929" s="3">
        <v>2928</v>
      </c>
      <c r="B2929" s="3">
        <v>113.34631709999999</v>
      </c>
      <c r="C2929" s="3">
        <v>22.943734119999998</v>
      </c>
      <c r="D2929" s="3">
        <v>32</v>
      </c>
    </row>
    <row r="2930" spans="1:4" x14ac:dyDescent="0.2">
      <c r="A2930" s="3">
        <v>2929</v>
      </c>
      <c r="B2930" s="3">
        <v>113.3515046</v>
      </c>
      <c r="C2930" s="3">
        <v>22.951668229999999</v>
      </c>
      <c r="D2930" s="3">
        <v>32</v>
      </c>
    </row>
    <row r="2931" spans="1:4" x14ac:dyDescent="0.2">
      <c r="A2931" s="3">
        <v>2930</v>
      </c>
      <c r="B2931" s="3">
        <v>113.3476892</v>
      </c>
      <c r="C2931" s="3">
        <v>22.951864359999998</v>
      </c>
      <c r="D2931" s="3">
        <v>32</v>
      </c>
    </row>
    <row r="2932" spans="1:4" x14ac:dyDescent="0.2">
      <c r="A2932" s="3">
        <v>2931</v>
      </c>
      <c r="B2932" s="3">
        <v>113.3480375</v>
      </c>
      <c r="C2932" s="3">
        <v>22.952144659999998</v>
      </c>
      <c r="D2932" s="3">
        <v>32</v>
      </c>
    </row>
    <row r="2933" spans="1:4" x14ac:dyDescent="0.2">
      <c r="A2933" s="3">
        <v>2932</v>
      </c>
      <c r="B2933" s="3">
        <v>113.3482885</v>
      </c>
      <c r="C2933" s="3">
        <v>22.945981870000001</v>
      </c>
      <c r="D2933" s="3">
        <v>32</v>
      </c>
    </row>
    <row r="2934" spans="1:4" x14ac:dyDescent="0.2">
      <c r="A2934" s="3">
        <v>2933</v>
      </c>
      <c r="B2934" s="3">
        <v>113.34649880000001</v>
      </c>
      <c r="C2934" s="3">
        <v>22.944420520000001</v>
      </c>
      <c r="D2934" s="3">
        <v>32</v>
      </c>
    </row>
    <row r="2935" spans="1:4" x14ac:dyDescent="0.2">
      <c r="A2935" s="3">
        <v>2934</v>
      </c>
      <c r="B2935" s="3">
        <v>113.34752140000001</v>
      </c>
      <c r="C2935" s="3">
        <v>22.952306449999998</v>
      </c>
      <c r="D2935" s="3">
        <v>32</v>
      </c>
    </row>
    <row r="2936" spans="1:4" x14ac:dyDescent="0.2">
      <c r="A2936" s="3">
        <v>2935</v>
      </c>
      <c r="B2936" s="3">
        <v>113.34927690000001</v>
      </c>
      <c r="C2936" s="3">
        <v>22.944893700000002</v>
      </c>
      <c r="D2936" s="3">
        <v>32</v>
      </c>
    </row>
    <row r="2937" spans="1:4" x14ac:dyDescent="0.2">
      <c r="A2937" s="3">
        <v>2936</v>
      </c>
      <c r="B2937" s="3">
        <v>113.34378049999999</v>
      </c>
      <c r="C2937" s="3">
        <v>22.94747989</v>
      </c>
      <c r="D2937" s="3">
        <v>32</v>
      </c>
    </row>
    <row r="2938" spans="1:4" x14ac:dyDescent="0.2">
      <c r="A2938" s="3">
        <v>2937</v>
      </c>
      <c r="B2938" s="3">
        <v>113.3477649</v>
      </c>
      <c r="C2938" s="3">
        <v>22.9533646</v>
      </c>
      <c r="D2938" s="3">
        <v>32</v>
      </c>
    </row>
    <row r="2939" spans="1:4" x14ac:dyDescent="0.2">
      <c r="A2939" s="3">
        <v>2938</v>
      </c>
      <c r="B2939" s="3">
        <v>113.35390599999999</v>
      </c>
      <c r="C2939" s="3">
        <v>22.947975060000001</v>
      </c>
      <c r="D2939" s="3">
        <v>22</v>
      </c>
    </row>
    <row r="2940" spans="1:4" x14ac:dyDescent="0.2">
      <c r="A2940" s="3">
        <v>2939</v>
      </c>
      <c r="B2940" s="3">
        <v>113.35561939999999</v>
      </c>
      <c r="C2940" s="3">
        <v>22.94618723</v>
      </c>
      <c r="D2940" s="3">
        <v>22</v>
      </c>
    </row>
    <row r="2941" spans="1:4" x14ac:dyDescent="0.2">
      <c r="A2941" s="3">
        <v>2940</v>
      </c>
      <c r="B2941" s="3">
        <v>113.3595952</v>
      </c>
      <c r="C2941" s="3">
        <v>22.949375159999999</v>
      </c>
      <c r="D2941" s="3">
        <v>22</v>
      </c>
    </row>
    <row r="2942" spans="1:4" x14ac:dyDescent="0.2">
      <c r="A2942" s="3">
        <v>2941</v>
      </c>
      <c r="B2942" s="3">
        <v>113.3553838</v>
      </c>
      <c r="C2942" s="3">
        <v>22.945707779999999</v>
      </c>
      <c r="D2942" s="3">
        <v>22</v>
      </c>
    </row>
    <row r="2943" spans="1:4" x14ac:dyDescent="0.2">
      <c r="A2943" s="3">
        <v>2942</v>
      </c>
      <c r="B2943" s="3">
        <v>113.3533669</v>
      </c>
      <c r="C2943" s="3">
        <v>22.94742312</v>
      </c>
      <c r="D2943" s="3">
        <v>22</v>
      </c>
    </row>
    <row r="2944" spans="1:4" x14ac:dyDescent="0.2">
      <c r="A2944" s="3">
        <v>2943</v>
      </c>
      <c r="B2944" s="3">
        <v>113.3567953</v>
      </c>
      <c r="C2944" s="3">
        <v>22.94988992</v>
      </c>
      <c r="D2944" s="3">
        <v>22</v>
      </c>
    </row>
    <row r="2945" spans="1:4" x14ac:dyDescent="0.2">
      <c r="A2945" s="3">
        <v>2944</v>
      </c>
      <c r="B2945" s="3">
        <v>113.35550929999999</v>
      </c>
      <c r="C2945" s="3">
        <v>22.949708900000001</v>
      </c>
      <c r="D2945" s="3">
        <v>22</v>
      </c>
    </row>
    <row r="2946" spans="1:4" x14ac:dyDescent="0.2">
      <c r="A2946" s="3">
        <v>2945</v>
      </c>
      <c r="B2946" s="3">
        <v>113.36064469999999</v>
      </c>
      <c r="C2946" s="3">
        <v>22.950000450000001</v>
      </c>
      <c r="D2946" s="3">
        <v>22</v>
      </c>
    </row>
    <row r="2947" spans="1:4" x14ac:dyDescent="0.2">
      <c r="A2947" s="3">
        <v>2946</v>
      </c>
      <c r="B2947" s="3">
        <v>113.35791469999999</v>
      </c>
      <c r="C2947" s="3">
        <v>22.94932154</v>
      </c>
      <c r="D2947" s="3">
        <v>22</v>
      </c>
    </row>
    <row r="2948" spans="1:4" x14ac:dyDescent="0.2">
      <c r="A2948" s="3">
        <v>2947</v>
      </c>
      <c r="B2948" s="3">
        <v>113.356358</v>
      </c>
      <c r="C2948" s="3">
        <v>22.94999851</v>
      </c>
      <c r="D2948" s="3">
        <v>22</v>
      </c>
    </row>
    <row r="2949" spans="1:4" x14ac:dyDescent="0.2">
      <c r="A2949" s="3">
        <v>2948</v>
      </c>
      <c r="B2949" s="3">
        <v>113.3579096</v>
      </c>
      <c r="C2949" s="3">
        <v>22.950041240000001</v>
      </c>
      <c r="D2949" s="3">
        <v>22</v>
      </c>
    </row>
    <row r="2950" spans="1:4" x14ac:dyDescent="0.2">
      <c r="A2950" s="3">
        <v>2949</v>
      </c>
      <c r="B2950" s="3">
        <v>113.35520099999999</v>
      </c>
      <c r="C2950" s="3">
        <v>22.947114460000002</v>
      </c>
      <c r="D2950" s="3">
        <v>22</v>
      </c>
    </row>
    <row r="2951" spans="1:4" x14ac:dyDescent="0.2">
      <c r="A2951" s="3">
        <v>2950</v>
      </c>
      <c r="B2951" s="3">
        <v>113.3547597</v>
      </c>
      <c r="C2951" s="3">
        <v>22.94628548</v>
      </c>
      <c r="D2951" s="3">
        <v>22</v>
      </c>
    </row>
    <row r="2952" spans="1:4" x14ac:dyDescent="0.2">
      <c r="A2952" s="3">
        <v>2951</v>
      </c>
      <c r="B2952" s="3">
        <v>113.35886929999999</v>
      </c>
      <c r="C2952" s="3">
        <v>22.948712449999999</v>
      </c>
      <c r="D2952" s="3">
        <v>22</v>
      </c>
    </row>
    <row r="2953" spans="1:4" x14ac:dyDescent="0.2">
      <c r="A2953" s="3">
        <v>2952</v>
      </c>
      <c r="B2953" s="3">
        <v>113.35254740000001</v>
      </c>
      <c r="C2953" s="3">
        <v>22.944713549999999</v>
      </c>
      <c r="D2953" s="3">
        <v>32</v>
      </c>
    </row>
    <row r="2954" spans="1:4" x14ac:dyDescent="0.2">
      <c r="A2954" s="3">
        <v>2953</v>
      </c>
      <c r="B2954" s="3">
        <v>113.35827999999999</v>
      </c>
      <c r="C2954" s="3">
        <v>22.950375569999999</v>
      </c>
      <c r="D2954" s="3">
        <v>22</v>
      </c>
    </row>
    <row r="2955" spans="1:4" x14ac:dyDescent="0.2">
      <c r="A2955" s="3">
        <v>2954</v>
      </c>
      <c r="B2955" s="3">
        <v>113.35521300000001</v>
      </c>
      <c r="C2955" s="3">
        <v>22.945700039999998</v>
      </c>
      <c r="D2955" s="3">
        <v>22</v>
      </c>
    </row>
    <row r="2956" spans="1:4" x14ac:dyDescent="0.2">
      <c r="A2956" s="3">
        <v>2955</v>
      </c>
      <c r="B2956" s="3">
        <v>113.35425619999999</v>
      </c>
      <c r="C2956" s="3">
        <v>22.950290540000001</v>
      </c>
      <c r="D2956" s="3">
        <v>22</v>
      </c>
    </row>
    <row r="2957" spans="1:4" x14ac:dyDescent="0.2">
      <c r="A2957" s="3">
        <v>2956</v>
      </c>
      <c r="B2957" s="3">
        <v>113.354597</v>
      </c>
      <c r="C2957" s="3">
        <v>22.94536411</v>
      </c>
      <c r="D2957" s="3">
        <v>22</v>
      </c>
    </row>
    <row r="2958" spans="1:4" x14ac:dyDescent="0.2">
      <c r="A2958" s="3">
        <v>2957</v>
      </c>
      <c r="B2958" s="3">
        <v>113.3587974</v>
      </c>
      <c r="C2958" s="3">
        <v>22.948592600000001</v>
      </c>
      <c r="D2958" s="3">
        <v>22</v>
      </c>
    </row>
    <row r="2959" spans="1:4" x14ac:dyDescent="0.2">
      <c r="A2959" s="3">
        <v>2958</v>
      </c>
      <c r="B2959" s="3">
        <v>113.3578806</v>
      </c>
      <c r="C2959" s="3">
        <v>22.950985880000001</v>
      </c>
      <c r="D2959" s="3">
        <v>22</v>
      </c>
    </row>
    <row r="2960" spans="1:4" x14ac:dyDescent="0.2">
      <c r="A2960" s="3">
        <v>2959</v>
      </c>
      <c r="B2960" s="3">
        <v>113.35580469999999</v>
      </c>
      <c r="C2960" s="3">
        <v>22.951105859999998</v>
      </c>
      <c r="D2960" s="3">
        <v>22</v>
      </c>
    </row>
    <row r="2961" spans="1:4" x14ac:dyDescent="0.2">
      <c r="A2961" s="3">
        <v>2960</v>
      </c>
      <c r="B2961" s="3">
        <v>113.355678</v>
      </c>
      <c r="C2961" s="3">
        <v>22.95057727</v>
      </c>
      <c r="D2961" s="3">
        <v>22</v>
      </c>
    </row>
    <row r="2962" spans="1:4" x14ac:dyDescent="0.2">
      <c r="A2962" s="3">
        <v>2961</v>
      </c>
      <c r="B2962" s="3">
        <v>113.3568212</v>
      </c>
      <c r="C2962" s="3">
        <v>22.951476209999999</v>
      </c>
      <c r="D2962" s="3">
        <v>45</v>
      </c>
    </row>
    <row r="2963" spans="1:4" x14ac:dyDescent="0.2">
      <c r="A2963" s="3">
        <v>2962</v>
      </c>
      <c r="B2963" s="3">
        <v>113.35672049999999</v>
      </c>
      <c r="C2963" s="3">
        <v>22.949175329999999</v>
      </c>
      <c r="D2963" s="3">
        <v>22</v>
      </c>
    </row>
    <row r="2964" spans="1:4" x14ac:dyDescent="0.2">
      <c r="A2964" s="3">
        <v>2963</v>
      </c>
      <c r="B2964" s="3">
        <v>113.35997159999999</v>
      </c>
      <c r="C2964" s="3">
        <v>22.950057350000002</v>
      </c>
      <c r="D2964" s="3">
        <v>22</v>
      </c>
    </row>
    <row r="2965" spans="1:4" x14ac:dyDescent="0.2">
      <c r="A2965" s="3">
        <v>2964</v>
      </c>
      <c r="B2965" s="3">
        <v>113.3596443</v>
      </c>
      <c r="C2965" s="3">
        <v>22.94716803</v>
      </c>
      <c r="D2965" s="3">
        <v>22</v>
      </c>
    </row>
    <row r="2966" spans="1:4" x14ac:dyDescent="0.2">
      <c r="A2966" s="3">
        <v>2965</v>
      </c>
      <c r="B2966" s="3">
        <v>113.360438</v>
      </c>
      <c r="C2966" s="3">
        <v>22.949434969999999</v>
      </c>
      <c r="D2966" s="3">
        <v>22</v>
      </c>
    </row>
    <row r="2967" spans="1:4" x14ac:dyDescent="0.2">
      <c r="A2967" s="3">
        <v>2966</v>
      </c>
      <c r="B2967" s="3">
        <v>113.3563602</v>
      </c>
      <c r="C2967" s="3">
        <v>22.94710474</v>
      </c>
      <c r="D2967" s="3">
        <v>22</v>
      </c>
    </row>
    <row r="2968" spans="1:4" x14ac:dyDescent="0.2">
      <c r="A2968" s="3">
        <v>2967</v>
      </c>
      <c r="B2968" s="3">
        <v>113.3563602</v>
      </c>
      <c r="C2968" s="3">
        <v>22.94710474</v>
      </c>
      <c r="D2968" s="3">
        <v>22</v>
      </c>
    </row>
    <row r="2969" spans="1:4" x14ac:dyDescent="0.2">
      <c r="A2969" s="3">
        <v>2968</v>
      </c>
      <c r="B2969" s="3">
        <v>113.3533879</v>
      </c>
      <c r="C2969" s="3">
        <v>22.946902309999999</v>
      </c>
      <c r="D2969" s="3">
        <v>22</v>
      </c>
    </row>
    <row r="2970" spans="1:4" x14ac:dyDescent="0.2">
      <c r="A2970" s="3">
        <v>2969</v>
      </c>
      <c r="B2970" s="3">
        <v>113.3567774</v>
      </c>
      <c r="C2970" s="3">
        <v>22.94913927</v>
      </c>
      <c r="D2970" s="3">
        <v>22</v>
      </c>
    </row>
    <row r="2971" spans="1:4" x14ac:dyDescent="0.2">
      <c r="A2971" s="3">
        <v>2970</v>
      </c>
      <c r="B2971" s="3">
        <v>113.3550663</v>
      </c>
      <c r="C2971" s="3">
        <v>22.945170489999999</v>
      </c>
      <c r="D2971" s="3">
        <v>22</v>
      </c>
    </row>
    <row r="2972" spans="1:4" x14ac:dyDescent="0.2">
      <c r="A2972" s="3">
        <v>2971</v>
      </c>
      <c r="B2972" s="3">
        <v>113.35718009999999</v>
      </c>
      <c r="C2972" s="3">
        <v>22.944843500000001</v>
      </c>
      <c r="D2972" s="3">
        <v>22</v>
      </c>
    </row>
    <row r="2973" spans="1:4" x14ac:dyDescent="0.2">
      <c r="A2973" s="3">
        <v>2972</v>
      </c>
      <c r="B2973" s="3">
        <v>113.3580754</v>
      </c>
      <c r="C2973" s="3">
        <v>22.950053</v>
      </c>
      <c r="D2973" s="3">
        <v>22</v>
      </c>
    </row>
    <row r="2974" spans="1:4" x14ac:dyDescent="0.2">
      <c r="A2974" s="3">
        <v>2973</v>
      </c>
      <c r="B2974" s="3">
        <v>113.3571099</v>
      </c>
      <c r="C2974" s="3">
        <v>22.949132779999999</v>
      </c>
      <c r="D2974" s="3">
        <v>22</v>
      </c>
    </row>
    <row r="2975" spans="1:4" x14ac:dyDescent="0.2">
      <c r="A2975" s="3">
        <v>2974</v>
      </c>
      <c r="B2975" s="3">
        <v>113.35977099999999</v>
      </c>
      <c r="C2975" s="3">
        <v>22.949223979999999</v>
      </c>
      <c r="D2975" s="3">
        <v>22</v>
      </c>
    </row>
    <row r="2976" spans="1:4" x14ac:dyDescent="0.2">
      <c r="A2976" s="3">
        <v>2975</v>
      </c>
      <c r="B2976" s="3">
        <v>113.3538562</v>
      </c>
      <c r="C2976" s="3">
        <v>22.94591501</v>
      </c>
      <c r="D2976" s="3">
        <v>22</v>
      </c>
    </row>
    <row r="2977" spans="1:4" x14ac:dyDescent="0.2">
      <c r="A2977" s="3">
        <v>2976</v>
      </c>
      <c r="B2977" s="3">
        <v>113.3566806</v>
      </c>
      <c r="C2977" s="3">
        <v>22.948343749999999</v>
      </c>
      <c r="D2977" s="3">
        <v>22</v>
      </c>
    </row>
    <row r="2978" spans="1:4" x14ac:dyDescent="0.2">
      <c r="A2978" s="3">
        <v>2977</v>
      </c>
      <c r="B2978" s="3">
        <v>113.35699289999999</v>
      </c>
      <c r="C2978" s="3">
        <v>22.951555920000001</v>
      </c>
      <c r="D2978" s="3">
        <v>45</v>
      </c>
    </row>
    <row r="2979" spans="1:4" x14ac:dyDescent="0.2">
      <c r="A2979" s="3">
        <v>2978</v>
      </c>
      <c r="B2979" s="3">
        <v>113.354624</v>
      </c>
      <c r="C2979" s="3">
        <v>22.945579980000002</v>
      </c>
      <c r="D2979" s="3">
        <v>22</v>
      </c>
    </row>
    <row r="2980" spans="1:4" x14ac:dyDescent="0.2">
      <c r="A2980" s="3">
        <v>2979</v>
      </c>
      <c r="B2980" s="3">
        <v>113.35925469999999</v>
      </c>
      <c r="C2980" s="3">
        <v>22.949309660000001</v>
      </c>
      <c r="D2980" s="3">
        <v>22</v>
      </c>
    </row>
    <row r="2981" spans="1:4" x14ac:dyDescent="0.2">
      <c r="A2981" s="3">
        <v>2980</v>
      </c>
      <c r="B2981" s="3">
        <v>113.3551702</v>
      </c>
      <c r="C2981" s="3">
        <v>22.944496619999999</v>
      </c>
      <c r="D2981" s="3">
        <v>22</v>
      </c>
    </row>
    <row r="2982" spans="1:4" x14ac:dyDescent="0.2">
      <c r="A2982" s="3">
        <v>2981</v>
      </c>
      <c r="B2982" s="3">
        <v>113.3606307</v>
      </c>
      <c r="C2982" s="3">
        <v>22.950182389999998</v>
      </c>
      <c r="D2982" s="3">
        <v>22</v>
      </c>
    </row>
    <row r="2983" spans="1:4" x14ac:dyDescent="0.2">
      <c r="A2983" s="3">
        <v>2982</v>
      </c>
      <c r="B2983" s="3">
        <v>113.3571128</v>
      </c>
      <c r="C2983" s="3">
        <v>22.95050719</v>
      </c>
      <c r="D2983" s="3">
        <v>22</v>
      </c>
    </row>
    <row r="2984" spans="1:4" x14ac:dyDescent="0.2">
      <c r="A2984" s="3">
        <v>2983</v>
      </c>
      <c r="B2984" s="3">
        <v>113.36124890000001</v>
      </c>
      <c r="C2984" s="3">
        <v>22.949267949999999</v>
      </c>
      <c r="D2984" s="3">
        <v>22</v>
      </c>
    </row>
    <row r="2985" spans="1:4" x14ac:dyDescent="0.2">
      <c r="A2985" s="3">
        <v>2984</v>
      </c>
      <c r="B2985" s="3">
        <v>113.3599897</v>
      </c>
      <c r="C2985" s="3">
        <v>22.949093730000001</v>
      </c>
      <c r="D2985" s="3">
        <v>22</v>
      </c>
    </row>
    <row r="2986" spans="1:4" x14ac:dyDescent="0.2">
      <c r="A2986" s="3">
        <v>2985</v>
      </c>
      <c r="B2986" s="3">
        <v>113.35777160000001</v>
      </c>
      <c r="C2986" s="3">
        <v>22.952944209999998</v>
      </c>
      <c r="D2986" s="3">
        <v>45</v>
      </c>
    </row>
    <row r="2987" spans="1:4" x14ac:dyDescent="0.2">
      <c r="A2987" s="3">
        <v>2986</v>
      </c>
      <c r="B2987" s="3">
        <v>113.3614316</v>
      </c>
      <c r="C2987" s="3">
        <v>22.949997400000001</v>
      </c>
      <c r="D2987" s="3">
        <v>22</v>
      </c>
    </row>
    <row r="2988" spans="1:4" x14ac:dyDescent="0.2">
      <c r="A2988" s="3">
        <v>2987</v>
      </c>
      <c r="B2988" s="3">
        <v>113.35872879999999</v>
      </c>
      <c r="C2988" s="3">
        <v>22.94418057</v>
      </c>
      <c r="D2988" s="3">
        <v>22</v>
      </c>
    </row>
    <row r="2989" spans="1:4" x14ac:dyDescent="0.2">
      <c r="A2989" s="3">
        <v>2988</v>
      </c>
      <c r="B2989" s="3">
        <v>113.3555506</v>
      </c>
      <c r="C2989" s="3">
        <v>22.945090799999999</v>
      </c>
      <c r="D2989" s="3">
        <v>22</v>
      </c>
    </row>
    <row r="2990" spans="1:4" x14ac:dyDescent="0.2">
      <c r="A2990" s="3">
        <v>2989</v>
      </c>
      <c r="B2990" s="3">
        <v>113.361248</v>
      </c>
      <c r="C2990" s="3">
        <v>22.947271799999999</v>
      </c>
      <c r="D2990" s="3">
        <v>22</v>
      </c>
    </row>
    <row r="2991" spans="1:4" x14ac:dyDescent="0.2">
      <c r="A2991" s="3">
        <v>2990</v>
      </c>
      <c r="B2991" s="3">
        <v>113.35400850000001</v>
      </c>
      <c r="C2991" s="3">
        <v>22.95277686</v>
      </c>
      <c r="D2991" s="3">
        <v>45</v>
      </c>
    </row>
    <row r="2992" spans="1:4" x14ac:dyDescent="0.2">
      <c r="A2992" s="3">
        <v>2991</v>
      </c>
      <c r="B2992" s="3">
        <v>113.3562044</v>
      </c>
      <c r="C2992" s="3">
        <v>22.947090979999999</v>
      </c>
      <c r="D2992" s="3">
        <v>22</v>
      </c>
    </row>
    <row r="2993" spans="1:4" x14ac:dyDescent="0.2">
      <c r="A2993" s="3">
        <v>2992</v>
      </c>
      <c r="B2993" s="3">
        <v>113.3526241</v>
      </c>
      <c r="C2993" s="3">
        <v>22.947213359999999</v>
      </c>
      <c r="D2993" s="3">
        <v>32</v>
      </c>
    </row>
    <row r="2994" spans="1:4" x14ac:dyDescent="0.2">
      <c r="A2994" s="3">
        <v>2993</v>
      </c>
      <c r="B2994" s="3">
        <v>113.3558986</v>
      </c>
      <c r="C2994" s="3">
        <v>22.951173690000001</v>
      </c>
      <c r="D2994" s="3">
        <v>22</v>
      </c>
    </row>
    <row r="2995" spans="1:4" x14ac:dyDescent="0.2">
      <c r="A2995" s="3">
        <v>2994</v>
      </c>
      <c r="B2995" s="3">
        <v>113.35606180000001</v>
      </c>
      <c r="C2995" s="3">
        <v>22.94392753</v>
      </c>
      <c r="D2995" s="3">
        <v>22</v>
      </c>
    </row>
    <row r="2996" spans="1:4" x14ac:dyDescent="0.2">
      <c r="A2996" s="3">
        <v>2995</v>
      </c>
      <c r="B2996" s="3">
        <v>113.3537688</v>
      </c>
      <c r="C2996" s="3">
        <v>22.952871179999999</v>
      </c>
      <c r="D2996" s="3">
        <v>45</v>
      </c>
    </row>
    <row r="2997" spans="1:4" x14ac:dyDescent="0.2">
      <c r="A2997" s="3">
        <v>2996</v>
      </c>
      <c r="B2997" s="3">
        <v>113.3546085</v>
      </c>
      <c r="C2997" s="3">
        <v>22.953179769999998</v>
      </c>
      <c r="D2997" s="3">
        <v>45</v>
      </c>
    </row>
    <row r="2998" spans="1:4" x14ac:dyDescent="0.2">
      <c r="A2998" s="3">
        <v>2997</v>
      </c>
      <c r="B2998" s="3">
        <v>113.3614316</v>
      </c>
      <c r="C2998" s="3">
        <v>22.949997400000001</v>
      </c>
      <c r="D2998" s="3">
        <v>22</v>
      </c>
    </row>
    <row r="2999" spans="1:4" x14ac:dyDescent="0.2">
      <c r="A2999" s="3">
        <v>2998</v>
      </c>
      <c r="B2999" s="3">
        <v>113.3537814</v>
      </c>
      <c r="C2999" s="3">
        <v>22.944566699999999</v>
      </c>
      <c r="D2999" s="3">
        <v>22</v>
      </c>
    </row>
    <row r="3000" spans="1:4" x14ac:dyDescent="0.2">
      <c r="A3000" s="3">
        <v>2999</v>
      </c>
      <c r="B3000" s="3">
        <v>113.3611312</v>
      </c>
      <c r="C3000" s="3">
        <v>22.946284380000002</v>
      </c>
      <c r="D3000" s="3">
        <v>22</v>
      </c>
    </row>
    <row r="3001" spans="1:4" x14ac:dyDescent="0.2">
      <c r="A3001" s="3">
        <v>3000</v>
      </c>
      <c r="B3001" s="3">
        <v>113.35531690000001</v>
      </c>
      <c r="C3001" s="3">
        <v>22.944693310000002</v>
      </c>
      <c r="D3001" s="3">
        <v>22</v>
      </c>
    </row>
    <row r="3002" spans="1:4" x14ac:dyDescent="0.2">
      <c r="A3002" s="3">
        <v>3001</v>
      </c>
      <c r="B3002" s="3">
        <v>113.3524101</v>
      </c>
      <c r="C3002" s="3">
        <v>22.952139599999999</v>
      </c>
      <c r="D3002" s="3">
        <v>32</v>
      </c>
    </row>
    <row r="3003" spans="1:4" x14ac:dyDescent="0.2">
      <c r="A3003" s="3">
        <v>3002</v>
      </c>
      <c r="B3003" s="3">
        <v>113.3532577</v>
      </c>
      <c r="C3003" s="3">
        <v>22.953124859999999</v>
      </c>
      <c r="D3003" s="3">
        <v>45</v>
      </c>
    </row>
    <row r="3004" spans="1:4" x14ac:dyDescent="0.2">
      <c r="A3004" s="3">
        <v>3003</v>
      </c>
      <c r="B3004" s="3">
        <v>113.35710589999999</v>
      </c>
      <c r="C3004" s="3">
        <v>22.94913979</v>
      </c>
      <c r="D3004" s="3">
        <v>22</v>
      </c>
    </row>
    <row r="3005" spans="1:4" x14ac:dyDescent="0.2">
      <c r="A3005" s="3">
        <v>3004</v>
      </c>
      <c r="B3005" s="3">
        <v>113.3532392</v>
      </c>
      <c r="C3005" s="3">
        <v>22.94501434</v>
      </c>
      <c r="D3005" s="3">
        <v>22</v>
      </c>
    </row>
    <row r="3006" spans="1:4" x14ac:dyDescent="0.2">
      <c r="A3006" s="3">
        <v>3005</v>
      </c>
      <c r="B3006" s="3">
        <v>113.3560334</v>
      </c>
      <c r="C3006" s="3">
        <v>22.951090529999998</v>
      </c>
      <c r="D3006" s="3">
        <v>22</v>
      </c>
    </row>
    <row r="3007" spans="1:4" x14ac:dyDescent="0.2">
      <c r="A3007" s="3">
        <v>3006</v>
      </c>
      <c r="B3007" s="3">
        <v>113.3528627</v>
      </c>
      <c r="C3007" s="3">
        <v>22.946631239999999</v>
      </c>
      <c r="D3007" s="3">
        <v>32</v>
      </c>
    </row>
    <row r="3008" spans="1:4" x14ac:dyDescent="0.2">
      <c r="A3008" s="3">
        <v>3007</v>
      </c>
      <c r="B3008" s="3">
        <v>113.35897509999999</v>
      </c>
      <c r="C3008" s="3">
        <v>22.949643909999999</v>
      </c>
      <c r="D3008" s="3">
        <v>22</v>
      </c>
    </row>
    <row r="3009" spans="1:4" x14ac:dyDescent="0.2">
      <c r="A3009" s="3">
        <v>3008</v>
      </c>
      <c r="B3009" s="3">
        <v>113.3606805</v>
      </c>
      <c r="C3009" s="3">
        <v>22.951109930000001</v>
      </c>
      <c r="D3009" s="3">
        <v>22</v>
      </c>
    </row>
    <row r="3010" spans="1:4" x14ac:dyDescent="0.2">
      <c r="A3010" s="3">
        <v>3009</v>
      </c>
      <c r="B3010" s="3">
        <v>113.3584431</v>
      </c>
      <c r="C3010" s="3">
        <v>22.946419030000001</v>
      </c>
      <c r="D3010" s="3">
        <v>22</v>
      </c>
    </row>
    <row r="3011" spans="1:4" x14ac:dyDescent="0.2">
      <c r="A3011" s="3">
        <v>3010</v>
      </c>
      <c r="B3011" s="3">
        <v>113.3603459</v>
      </c>
      <c r="C3011" s="3">
        <v>22.953221490000001</v>
      </c>
      <c r="D3011" s="3">
        <v>45</v>
      </c>
    </row>
    <row r="3012" spans="1:4" x14ac:dyDescent="0.2">
      <c r="A3012" s="3">
        <v>3011</v>
      </c>
      <c r="B3012" s="3">
        <v>113.3611688</v>
      </c>
      <c r="C3012" s="3">
        <v>22.95267261</v>
      </c>
      <c r="D3012" s="3">
        <v>45</v>
      </c>
    </row>
    <row r="3013" spans="1:4" x14ac:dyDescent="0.2">
      <c r="A3013" s="3">
        <v>3012</v>
      </c>
      <c r="B3013" s="3">
        <v>113.3599494</v>
      </c>
      <c r="C3013" s="3">
        <v>22.95359187</v>
      </c>
      <c r="D3013" s="3">
        <v>45</v>
      </c>
    </row>
    <row r="3014" spans="1:4" x14ac:dyDescent="0.2">
      <c r="A3014" s="3">
        <v>3013</v>
      </c>
      <c r="B3014" s="3">
        <v>113.3519132</v>
      </c>
      <c r="C3014" s="3">
        <v>22.947738260000001</v>
      </c>
      <c r="D3014" s="3">
        <v>32</v>
      </c>
    </row>
    <row r="3015" spans="1:4" x14ac:dyDescent="0.2">
      <c r="A3015" s="3">
        <v>3014</v>
      </c>
      <c r="B3015" s="3">
        <v>113.36044870000001</v>
      </c>
      <c r="C3015" s="3">
        <v>22.953609180000001</v>
      </c>
      <c r="D3015" s="3">
        <v>45</v>
      </c>
    </row>
    <row r="3016" spans="1:4" x14ac:dyDescent="0.2">
      <c r="A3016" s="3">
        <v>3015</v>
      </c>
      <c r="B3016" s="3">
        <v>113.3526028</v>
      </c>
      <c r="C3016" s="3">
        <v>22.95172848</v>
      </c>
      <c r="D3016" s="3">
        <v>32</v>
      </c>
    </row>
    <row r="3017" spans="1:4" x14ac:dyDescent="0.2">
      <c r="A3017" s="3">
        <v>3016</v>
      </c>
      <c r="B3017" s="3">
        <v>113.36129510000001</v>
      </c>
      <c r="C3017" s="3">
        <v>22.945280579999999</v>
      </c>
      <c r="D3017" s="3">
        <v>22</v>
      </c>
    </row>
    <row r="3018" spans="1:4" x14ac:dyDescent="0.2">
      <c r="A3018" s="3">
        <v>3017</v>
      </c>
      <c r="B3018" s="3">
        <v>113.3613127</v>
      </c>
      <c r="C3018" s="3">
        <v>22.9498836</v>
      </c>
      <c r="D3018" s="3">
        <v>22</v>
      </c>
    </row>
    <row r="3019" spans="1:4" x14ac:dyDescent="0.2">
      <c r="A3019" s="3">
        <v>3018</v>
      </c>
      <c r="B3019" s="3">
        <v>113.3528587</v>
      </c>
      <c r="C3019" s="3">
        <v>22.94681817</v>
      </c>
      <c r="D3019" s="3">
        <v>32</v>
      </c>
    </row>
    <row r="3020" spans="1:4" x14ac:dyDescent="0.2">
      <c r="A3020" s="3">
        <v>3019</v>
      </c>
      <c r="B3020" s="3">
        <v>113.3615582</v>
      </c>
      <c r="C3020" s="3">
        <v>22.953508729999999</v>
      </c>
      <c r="D3020" s="3">
        <v>45</v>
      </c>
    </row>
    <row r="3021" spans="1:4" x14ac:dyDescent="0.2">
      <c r="A3021" s="3">
        <v>3020</v>
      </c>
      <c r="B3021" s="3">
        <v>113.36104539999999</v>
      </c>
      <c r="C3021" s="3">
        <v>22.946204529999999</v>
      </c>
      <c r="D3021" s="3">
        <v>22</v>
      </c>
    </row>
    <row r="3022" spans="1:4" x14ac:dyDescent="0.2">
      <c r="A3022" s="3">
        <v>3021</v>
      </c>
      <c r="B3022" s="3">
        <v>113.3587278</v>
      </c>
      <c r="C3022" s="3">
        <v>22.944185569999998</v>
      </c>
      <c r="D3022" s="3">
        <v>22</v>
      </c>
    </row>
    <row r="3023" spans="1:4" x14ac:dyDescent="0.2">
      <c r="A3023" s="3">
        <v>3022</v>
      </c>
      <c r="B3023" s="3">
        <v>113.3531682</v>
      </c>
      <c r="C3023" s="3">
        <v>22.94760535</v>
      </c>
      <c r="D3023" s="3">
        <v>22</v>
      </c>
    </row>
    <row r="3024" spans="1:4" x14ac:dyDescent="0.2">
      <c r="A3024" s="3">
        <v>3023</v>
      </c>
      <c r="B3024" s="3">
        <v>113.3613217</v>
      </c>
      <c r="C3024" s="3">
        <v>22.949875590000001</v>
      </c>
      <c r="D3024" s="3">
        <v>22</v>
      </c>
    </row>
    <row r="3025" spans="1:4" x14ac:dyDescent="0.2">
      <c r="A3025" s="3">
        <v>3024</v>
      </c>
      <c r="B3025" s="3">
        <v>113.3609106</v>
      </c>
      <c r="C3025" s="3">
        <v>22.94498522</v>
      </c>
      <c r="D3025" s="3">
        <v>22</v>
      </c>
    </row>
    <row r="3026" spans="1:4" x14ac:dyDescent="0.2">
      <c r="A3026" s="3">
        <v>3025</v>
      </c>
      <c r="B3026" s="3">
        <v>113.3537209</v>
      </c>
      <c r="C3026" s="3">
        <v>22.95313414</v>
      </c>
      <c r="D3026" s="3">
        <v>45</v>
      </c>
    </row>
    <row r="3027" spans="1:4" x14ac:dyDescent="0.2">
      <c r="A3027" s="3">
        <v>3026</v>
      </c>
      <c r="B3027" s="3">
        <v>113.3610544</v>
      </c>
      <c r="C3027" s="3">
        <v>22.94620351</v>
      </c>
      <c r="D3027" s="3">
        <v>22</v>
      </c>
    </row>
    <row r="3028" spans="1:4" x14ac:dyDescent="0.2">
      <c r="A3028" s="3">
        <v>3027</v>
      </c>
      <c r="B3028" s="3">
        <v>113.35466289999999</v>
      </c>
      <c r="C3028" s="3">
        <v>22.94557992</v>
      </c>
      <c r="D3028" s="3">
        <v>22</v>
      </c>
    </row>
    <row r="3029" spans="1:4" x14ac:dyDescent="0.2">
      <c r="A3029" s="3">
        <v>3028</v>
      </c>
      <c r="B3029" s="3">
        <v>113.36081280000001</v>
      </c>
      <c r="C3029" s="3">
        <v>22.944550540000002</v>
      </c>
      <c r="D3029" s="3">
        <v>22</v>
      </c>
    </row>
    <row r="3030" spans="1:4" x14ac:dyDescent="0.2">
      <c r="A3030" s="3">
        <v>3029</v>
      </c>
      <c r="B3030" s="3">
        <v>113.3612692</v>
      </c>
      <c r="C3030" s="3">
        <v>22.94379425</v>
      </c>
      <c r="D3030" s="3">
        <v>22</v>
      </c>
    </row>
    <row r="3031" spans="1:4" x14ac:dyDescent="0.2">
      <c r="A3031" s="3">
        <v>3030</v>
      </c>
      <c r="B3031" s="3">
        <v>113.3613876</v>
      </c>
      <c r="C3031" s="3">
        <v>22.949933479999999</v>
      </c>
      <c r="D3031" s="3">
        <v>22</v>
      </c>
    </row>
    <row r="3032" spans="1:4" x14ac:dyDescent="0.2">
      <c r="A3032" s="3">
        <v>3031</v>
      </c>
      <c r="B3032" s="3">
        <v>113.353302</v>
      </c>
      <c r="C3032" s="3">
        <v>22.947423220000001</v>
      </c>
      <c r="D3032" s="3">
        <v>22</v>
      </c>
    </row>
    <row r="3033" spans="1:4" x14ac:dyDescent="0.2">
      <c r="A3033" s="3">
        <v>3032</v>
      </c>
      <c r="B3033" s="3">
        <v>113.36015140000001</v>
      </c>
      <c r="C3033" s="3">
        <v>22.950046100000002</v>
      </c>
      <c r="D3033" s="3">
        <v>22</v>
      </c>
    </row>
    <row r="3034" spans="1:4" x14ac:dyDescent="0.2">
      <c r="A3034" s="3">
        <v>3033</v>
      </c>
      <c r="B3034" s="3">
        <v>113.3600405</v>
      </c>
      <c r="C3034" s="3">
        <v>22.949644429999999</v>
      </c>
      <c r="D3034" s="3">
        <v>22</v>
      </c>
    </row>
    <row r="3035" spans="1:4" x14ac:dyDescent="0.2">
      <c r="A3035" s="3">
        <v>3034</v>
      </c>
      <c r="B3035" s="3">
        <v>113.36043100000001</v>
      </c>
      <c r="C3035" s="3">
        <v>22.94961691</v>
      </c>
      <c r="D3035" s="3">
        <v>22</v>
      </c>
    </row>
    <row r="3036" spans="1:4" x14ac:dyDescent="0.2">
      <c r="A3036" s="3">
        <v>3035</v>
      </c>
      <c r="B3036" s="3">
        <v>113.35597249999999</v>
      </c>
      <c r="C3036" s="3">
        <v>22.951175580000001</v>
      </c>
      <c r="D3036" s="3">
        <v>22</v>
      </c>
    </row>
    <row r="3037" spans="1:4" x14ac:dyDescent="0.2">
      <c r="A3037" s="3">
        <v>3036</v>
      </c>
      <c r="B3037" s="3">
        <v>113.3614196</v>
      </c>
      <c r="C3037" s="3">
        <v>22.950023399999999</v>
      </c>
      <c r="D3037" s="3">
        <v>22</v>
      </c>
    </row>
    <row r="3038" spans="1:4" x14ac:dyDescent="0.2">
      <c r="A3038" s="3">
        <v>3037</v>
      </c>
      <c r="B3038" s="3">
        <v>113.3542716</v>
      </c>
      <c r="C3038" s="3">
        <v>22.945130710000001</v>
      </c>
      <c r="D3038" s="3">
        <v>22</v>
      </c>
    </row>
    <row r="3039" spans="1:4" x14ac:dyDescent="0.2">
      <c r="A3039" s="3">
        <v>3038</v>
      </c>
      <c r="B3039" s="3">
        <v>113.3533139</v>
      </c>
      <c r="C3039" s="3">
        <v>22.947850020000001</v>
      </c>
      <c r="D3039" s="3">
        <v>22</v>
      </c>
    </row>
    <row r="3040" spans="1:4" x14ac:dyDescent="0.2">
      <c r="A3040" s="3">
        <v>3039</v>
      </c>
      <c r="B3040" s="3">
        <v>113.35607779999999</v>
      </c>
      <c r="C3040" s="3">
        <v>22.943869530000001</v>
      </c>
      <c r="D3040" s="3">
        <v>22</v>
      </c>
    </row>
    <row r="3041" spans="1:4" x14ac:dyDescent="0.2">
      <c r="A3041" s="3">
        <v>3040</v>
      </c>
      <c r="B3041" s="3">
        <v>113.3533309</v>
      </c>
      <c r="C3041" s="3">
        <v>22.947600099999999</v>
      </c>
      <c r="D3041" s="3">
        <v>22</v>
      </c>
    </row>
    <row r="3042" spans="1:4" x14ac:dyDescent="0.2">
      <c r="A3042" s="3">
        <v>3041</v>
      </c>
      <c r="B3042" s="3">
        <v>113.35459400000001</v>
      </c>
      <c r="C3042" s="3">
        <v>22.94568198</v>
      </c>
      <c r="D3042" s="3">
        <v>22</v>
      </c>
    </row>
    <row r="3043" spans="1:4" x14ac:dyDescent="0.2">
      <c r="A3043" s="3">
        <v>3042</v>
      </c>
      <c r="B3043" s="3">
        <v>113.3611282</v>
      </c>
      <c r="C3043" s="3">
        <v>22.94726696</v>
      </c>
      <c r="D3043" s="3">
        <v>22</v>
      </c>
    </row>
    <row r="3044" spans="1:4" x14ac:dyDescent="0.2">
      <c r="A3044" s="3">
        <v>3043</v>
      </c>
      <c r="B3044" s="3">
        <v>113.3539439</v>
      </c>
      <c r="C3044" s="3">
        <v>22.947470209999999</v>
      </c>
      <c r="D3044" s="3">
        <v>22</v>
      </c>
    </row>
    <row r="3045" spans="1:4" x14ac:dyDescent="0.2">
      <c r="A3045" s="3">
        <v>3044</v>
      </c>
      <c r="B3045" s="3">
        <v>113.3575166</v>
      </c>
      <c r="C3045" s="3">
        <v>22.944204289999998</v>
      </c>
      <c r="D3045" s="3">
        <v>22</v>
      </c>
    </row>
    <row r="3046" spans="1:4" x14ac:dyDescent="0.2">
      <c r="A3046" s="3">
        <v>3045</v>
      </c>
      <c r="B3046" s="3">
        <v>113.3577669</v>
      </c>
      <c r="C3046" s="3">
        <v>22.94970459</v>
      </c>
      <c r="D3046" s="3">
        <v>22</v>
      </c>
    </row>
    <row r="3047" spans="1:4" x14ac:dyDescent="0.2">
      <c r="A3047" s="3">
        <v>3046</v>
      </c>
      <c r="B3047" s="3">
        <v>113.3607337</v>
      </c>
      <c r="C3047" s="3">
        <v>22.947446419999999</v>
      </c>
      <c r="D3047" s="3">
        <v>22</v>
      </c>
    </row>
    <row r="3048" spans="1:4" x14ac:dyDescent="0.2">
      <c r="A3048" s="3">
        <v>3047</v>
      </c>
      <c r="B3048" s="3">
        <v>113.356347</v>
      </c>
      <c r="C3048" s="3">
        <v>22.95004351</v>
      </c>
      <c r="D3048" s="3">
        <v>22</v>
      </c>
    </row>
    <row r="3049" spans="1:4" x14ac:dyDescent="0.2">
      <c r="A3049" s="3">
        <v>3048</v>
      </c>
      <c r="B3049" s="3">
        <v>113.35582410000001</v>
      </c>
      <c r="C3049" s="3">
        <v>22.94610896</v>
      </c>
      <c r="D3049" s="3">
        <v>22</v>
      </c>
    </row>
    <row r="3050" spans="1:4" x14ac:dyDescent="0.2">
      <c r="A3050" s="3">
        <v>3049</v>
      </c>
      <c r="B3050" s="3">
        <v>113.36108830000001</v>
      </c>
      <c r="C3050" s="3">
        <v>22.946259439999999</v>
      </c>
      <c r="D3050" s="3">
        <v>22</v>
      </c>
    </row>
    <row r="3051" spans="1:4" x14ac:dyDescent="0.2">
      <c r="A3051" s="3">
        <v>3050</v>
      </c>
      <c r="B3051" s="3">
        <v>113.35558109999999</v>
      </c>
      <c r="C3051" s="3">
        <v>22.951753920000002</v>
      </c>
      <c r="D3051" s="3">
        <v>45</v>
      </c>
    </row>
    <row r="3052" spans="1:4" x14ac:dyDescent="0.2">
      <c r="A3052" s="3">
        <v>3051</v>
      </c>
      <c r="B3052" s="3">
        <v>113.3607186</v>
      </c>
      <c r="C3052" s="3">
        <v>22.950085319999999</v>
      </c>
      <c r="D3052" s="3">
        <v>22</v>
      </c>
    </row>
    <row r="3053" spans="1:4" x14ac:dyDescent="0.2">
      <c r="A3053" s="3">
        <v>3052</v>
      </c>
      <c r="B3053" s="3">
        <v>113.3560578</v>
      </c>
      <c r="C3053" s="3">
        <v>22.944003500000001</v>
      </c>
      <c r="D3053" s="3">
        <v>22</v>
      </c>
    </row>
    <row r="3054" spans="1:4" x14ac:dyDescent="0.2">
      <c r="A3054" s="3">
        <v>3053</v>
      </c>
      <c r="B3054" s="3">
        <v>113.36124220000001</v>
      </c>
      <c r="C3054" s="3">
        <v>22.945285649999999</v>
      </c>
      <c r="D3054" s="3">
        <v>22</v>
      </c>
    </row>
    <row r="3055" spans="1:4" x14ac:dyDescent="0.2">
      <c r="A3055" s="3">
        <v>3054</v>
      </c>
      <c r="B3055" s="3">
        <v>113.3583448</v>
      </c>
      <c r="C3055" s="3">
        <v>22.952941389999999</v>
      </c>
      <c r="D3055" s="3">
        <v>45</v>
      </c>
    </row>
    <row r="3056" spans="1:4" x14ac:dyDescent="0.2">
      <c r="A3056" s="3">
        <v>3055</v>
      </c>
      <c r="B3056" s="3">
        <v>113.3561277</v>
      </c>
      <c r="C3056" s="3">
        <v>22.94403239</v>
      </c>
      <c r="D3056" s="3">
        <v>22</v>
      </c>
    </row>
    <row r="3057" spans="1:4" x14ac:dyDescent="0.2">
      <c r="A3057" s="3">
        <v>3056</v>
      </c>
      <c r="B3057" s="3">
        <v>113.35919010000001</v>
      </c>
      <c r="C3057" s="3">
        <v>22.944251900000001</v>
      </c>
      <c r="D3057" s="3">
        <v>22</v>
      </c>
    </row>
    <row r="3058" spans="1:4" x14ac:dyDescent="0.2">
      <c r="A3058" s="3">
        <v>3057</v>
      </c>
      <c r="B3058" s="3">
        <v>113.35268809999999</v>
      </c>
      <c r="C3058" s="3">
        <v>22.94490425</v>
      </c>
      <c r="D3058" s="3">
        <v>32</v>
      </c>
    </row>
    <row r="3059" spans="1:4" x14ac:dyDescent="0.2">
      <c r="A3059" s="3">
        <v>3058</v>
      </c>
      <c r="B3059" s="3">
        <v>113.359973</v>
      </c>
      <c r="C3059" s="3">
        <v>22.94365007</v>
      </c>
      <c r="D3059" s="3">
        <v>22</v>
      </c>
    </row>
    <row r="3060" spans="1:4" x14ac:dyDescent="0.2">
      <c r="A3060" s="3">
        <v>3059</v>
      </c>
      <c r="B3060" s="3">
        <v>113.35452359999999</v>
      </c>
      <c r="C3060" s="3">
        <v>22.953336830000001</v>
      </c>
      <c r="D3060" s="3">
        <v>45</v>
      </c>
    </row>
    <row r="3061" spans="1:4" x14ac:dyDescent="0.2">
      <c r="A3061" s="3">
        <v>3060</v>
      </c>
      <c r="B3061" s="3">
        <v>113.35967530000001</v>
      </c>
      <c r="C3061" s="3">
        <v>22.946754160000001</v>
      </c>
      <c r="D3061" s="3">
        <v>22</v>
      </c>
    </row>
    <row r="3062" spans="1:4" x14ac:dyDescent="0.2">
      <c r="A3062" s="3">
        <v>3061</v>
      </c>
      <c r="B3062" s="3">
        <v>113.3570023</v>
      </c>
      <c r="C3062" s="3">
        <v>22.944808779999999</v>
      </c>
      <c r="D3062" s="3">
        <v>22</v>
      </c>
    </row>
    <row r="3063" spans="1:4" x14ac:dyDescent="0.2">
      <c r="A3063" s="3">
        <v>3062</v>
      </c>
      <c r="B3063" s="3">
        <v>113.35997500000001</v>
      </c>
      <c r="C3063" s="3">
        <v>22.943731029999999</v>
      </c>
      <c r="D3063" s="3">
        <v>22</v>
      </c>
    </row>
    <row r="3064" spans="1:4" x14ac:dyDescent="0.2">
      <c r="A3064" s="3">
        <v>3063</v>
      </c>
      <c r="B3064" s="3">
        <v>113.3571128</v>
      </c>
      <c r="C3064" s="3">
        <v>22.95050719</v>
      </c>
      <c r="D3064" s="3">
        <v>22</v>
      </c>
    </row>
    <row r="3065" spans="1:4" x14ac:dyDescent="0.2">
      <c r="A3065" s="3">
        <v>3064</v>
      </c>
      <c r="B3065" s="3">
        <v>113.3610364</v>
      </c>
      <c r="C3065" s="3">
        <v>22.94619754</v>
      </c>
      <c r="D3065" s="3">
        <v>22</v>
      </c>
    </row>
    <row r="3066" spans="1:4" x14ac:dyDescent="0.2">
      <c r="A3066" s="3">
        <v>3065</v>
      </c>
      <c r="B3066" s="3">
        <v>113.35705179999999</v>
      </c>
      <c r="C3066" s="3">
        <v>22.951525849999999</v>
      </c>
      <c r="D3066" s="3">
        <v>45</v>
      </c>
    </row>
    <row r="3067" spans="1:4" x14ac:dyDescent="0.2">
      <c r="A3067" s="3">
        <v>3066</v>
      </c>
      <c r="B3067" s="3">
        <v>113.3574886</v>
      </c>
      <c r="C3067" s="3">
        <v>22.944204330000002</v>
      </c>
      <c r="D3067" s="3">
        <v>22</v>
      </c>
    </row>
    <row r="3068" spans="1:4" x14ac:dyDescent="0.2">
      <c r="A3068" s="3">
        <v>3067</v>
      </c>
      <c r="B3068" s="3">
        <v>113.3583623</v>
      </c>
      <c r="C3068" s="3">
        <v>22.944707869999998</v>
      </c>
      <c r="D3068" s="3">
        <v>22</v>
      </c>
    </row>
    <row r="3069" spans="1:4" x14ac:dyDescent="0.2">
      <c r="A3069" s="3">
        <v>3068</v>
      </c>
      <c r="B3069" s="3">
        <v>113.3519292</v>
      </c>
      <c r="C3069" s="3">
        <v>22.94772824</v>
      </c>
      <c r="D3069" s="3">
        <v>32</v>
      </c>
    </row>
    <row r="3070" spans="1:4" x14ac:dyDescent="0.2">
      <c r="A3070" s="3">
        <v>3069</v>
      </c>
      <c r="B3070" s="3">
        <v>113.36126760000001</v>
      </c>
      <c r="C3070" s="3">
        <v>22.953174260000001</v>
      </c>
      <c r="D3070" s="3">
        <v>45</v>
      </c>
    </row>
    <row r="3071" spans="1:4" x14ac:dyDescent="0.2">
      <c r="A3071" s="3">
        <v>3070</v>
      </c>
      <c r="B3071" s="3">
        <v>113.35843920000001</v>
      </c>
      <c r="C3071" s="3">
        <v>22.944773730000001</v>
      </c>
      <c r="D3071" s="3">
        <v>22</v>
      </c>
    </row>
    <row r="3072" spans="1:4" x14ac:dyDescent="0.2">
      <c r="A3072" s="3">
        <v>3071</v>
      </c>
      <c r="B3072" s="3">
        <v>113.3612509</v>
      </c>
      <c r="C3072" s="3">
        <v>22.94931493</v>
      </c>
      <c r="D3072" s="3">
        <v>22</v>
      </c>
    </row>
    <row r="3073" spans="1:4" x14ac:dyDescent="0.2">
      <c r="A3073" s="3">
        <v>3072</v>
      </c>
      <c r="B3073" s="3">
        <v>113.361178</v>
      </c>
      <c r="C3073" s="3">
        <v>22.94935401</v>
      </c>
      <c r="D3073" s="3">
        <v>22</v>
      </c>
    </row>
    <row r="3074" spans="1:4" x14ac:dyDescent="0.2">
      <c r="A3074" s="3">
        <v>3073</v>
      </c>
      <c r="B3074" s="3">
        <v>113.3583354</v>
      </c>
      <c r="C3074" s="3">
        <v>22.944707910000002</v>
      </c>
      <c r="D3074" s="3">
        <v>22</v>
      </c>
    </row>
    <row r="3075" spans="1:4" x14ac:dyDescent="0.2">
      <c r="A3075" s="3">
        <v>3074</v>
      </c>
      <c r="B3075" s="3">
        <v>113.3612632</v>
      </c>
      <c r="C3075" s="3">
        <v>22.943928199999998</v>
      </c>
      <c r="D3075" s="3">
        <v>22</v>
      </c>
    </row>
    <row r="3076" spans="1:4" x14ac:dyDescent="0.2">
      <c r="A3076" s="3">
        <v>3075</v>
      </c>
      <c r="B3076" s="3">
        <v>113.36516880000001</v>
      </c>
      <c r="C3076" s="3">
        <v>22.947772570000001</v>
      </c>
      <c r="D3076" s="3">
        <v>27</v>
      </c>
    </row>
    <row r="3077" spans="1:4" x14ac:dyDescent="0.2">
      <c r="A3077" s="3">
        <v>3076</v>
      </c>
      <c r="B3077" s="3">
        <v>113.3710011</v>
      </c>
      <c r="C3077" s="3">
        <v>22.94865763</v>
      </c>
      <c r="D3077" s="3">
        <v>27</v>
      </c>
    </row>
    <row r="3078" spans="1:4" x14ac:dyDescent="0.2">
      <c r="A3078" s="3">
        <v>3077</v>
      </c>
      <c r="B3078" s="3">
        <v>113.3694955</v>
      </c>
      <c r="C3078" s="3">
        <v>22.951773889999998</v>
      </c>
      <c r="D3078" s="3">
        <v>27</v>
      </c>
    </row>
    <row r="3079" spans="1:4" x14ac:dyDescent="0.2">
      <c r="A3079" s="3">
        <v>3078</v>
      </c>
      <c r="B3079" s="3">
        <v>113.3702807</v>
      </c>
      <c r="C3079" s="3">
        <v>22.95038864</v>
      </c>
      <c r="D3079" s="3">
        <v>27</v>
      </c>
    </row>
    <row r="3080" spans="1:4" x14ac:dyDescent="0.2">
      <c r="A3080" s="3">
        <v>3079</v>
      </c>
      <c r="B3080" s="3">
        <v>113.36797540000001</v>
      </c>
      <c r="C3080" s="3">
        <v>22.948730860000001</v>
      </c>
      <c r="D3080" s="3">
        <v>27</v>
      </c>
    </row>
    <row r="3081" spans="1:4" x14ac:dyDescent="0.2">
      <c r="A3081" s="3">
        <v>3080</v>
      </c>
      <c r="B3081" s="3">
        <v>113.3664469</v>
      </c>
      <c r="C3081" s="3">
        <v>22.952644960000001</v>
      </c>
      <c r="D3081" s="3">
        <v>27</v>
      </c>
    </row>
    <row r="3082" spans="1:4" x14ac:dyDescent="0.2">
      <c r="A3082" s="3">
        <v>3081</v>
      </c>
      <c r="B3082" s="3">
        <v>113.3662643</v>
      </c>
      <c r="C3082" s="3">
        <v>22.949482530000001</v>
      </c>
      <c r="D3082" s="3">
        <v>27</v>
      </c>
    </row>
    <row r="3083" spans="1:4" x14ac:dyDescent="0.2">
      <c r="A3083" s="3">
        <v>3082</v>
      </c>
      <c r="B3083" s="3">
        <v>113.3663363</v>
      </c>
      <c r="C3083" s="3">
        <v>22.949225550000001</v>
      </c>
      <c r="D3083" s="3">
        <v>27</v>
      </c>
    </row>
    <row r="3084" spans="1:4" x14ac:dyDescent="0.2">
      <c r="A3084" s="3">
        <v>3083</v>
      </c>
      <c r="B3084" s="3">
        <v>113.3648561</v>
      </c>
      <c r="C3084" s="3">
        <v>22.949010430000001</v>
      </c>
      <c r="D3084" s="3">
        <v>27</v>
      </c>
    </row>
    <row r="3085" spans="1:4" x14ac:dyDescent="0.2">
      <c r="A3085" s="3">
        <v>3084</v>
      </c>
      <c r="B3085" s="3">
        <v>113.3639709</v>
      </c>
      <c r="C3085" s="3">
        <v>22.95361157</v>
      </c>
      <c r="D3085" s="3">
        <v>27</v>
      </c>
    </row>
    <row r="3086" spans="1:4" x14ac:dyDescent="0.2">
      <c r="A3086" s="3">
        <v>3085</v>
      </c>
      <c r="B3086" s="3">
        <v>113.3651457</v>
      </c>
      <c r="C3086" s="3">
        <v>22.94982173</v>
      </c>
      <c r="D3086" s="3">
        <v>27</v>
      </c>
    </row>
    <row r="3087" spans="1:4" x14ac:dyDescent="0.2">
      <c r="A3087" s="3">
        <v>3086</v>
      </c>
      <c r="B3087" s="3">
        <v>113.3668326</v>
      </c>
      <c r="C3087" s="3">
        <v>22.950229539999999</v>
      </c>
      <c r="D3087" s="3">
        <v>27</v>
      </c>
    </row>
    <row r="3088" spans="1:4" x14ac:dyDescent="0.2">
      <c r="A3088" s="3">
        <v>3087</v>
      </c>
      <c r="B3088" s="3">
        <v>113.3662953</v>
      </c>
      <c r="C3088" s="3">
        <v>22.94910965</v>
      </c>
      <c r="D3088" s="3">
        <v>27</v>
      </c>
    </row>
    <row r="3089" spans="1:4" x14ac:dyDescent="0.2">
      <c r="A3089" s="3">
        <v>3088</v>
      </c>
      <c r="B3089" s="3">
        <v>113.3676577</v>
      </c>
      <c r="C3089" s="3">
        <v>22.949420929999999</v>
      </c>
      <c r="D3089" s="3">
        <v>27</v>
      </c>
    </row>
    <row r="3090" spans="1:4" x14ac:dyDescent="0.2">
      <c r="A3090" s="3">
        <v>3089</v>
      </c>
      <c r="B3090" s="3">
        <v>113.3662403</v>
      </c>
      <c r="C3090" s="3">
        <v>22.950568090000001</v>
      </c>
      <c r="D3090" s="3">
        <v>27</v>
      </c>
    </row>
    <row r="3091" spans="1:4" x14ac:dyDescent="0.2">
      <c r="A3091" s="3">
        <v>3090</v>
      </c>
      <c r="B3091" s="3">
        <v>113.3644515</v>
      </c>
      <c r="C3091" s="3">
        <v>22.950462309999999</v>
      </c>
      <c r="D3091" s="3">
        <v>27</v>
      </c>
    </row>
    <row r="3092" spans="1:4" x14ac:dyDescent="0.2">
      <c r="A3092" s="3">
        <v>3091</v>
      </c>
      <c r="B3092" s="3">
        <v>113.3689553</v>
      </c>
      <c r="C3092" s="3">
        <v>22.94811803</v>
      </c>
      <c r="D3092" s="3">
        <v>27</v>
      </c>
    </row>
    <row r="3093" spans="1:4" x14ac:dyDescent="0.2">
      <c r="A3093" s="3">
        <v>3092</v>
      </c>
      <c r="B3093" s="3">
        <v>113.3686446</v>
      </c>
      <c r="C3093" s="3">
        <v>22.948665139999999</v>
      </c>
      <c r="D3093" s="3">
        <v>27</v>
      </c>
    </row>
    <row r="3094" spans="1:4" x14ac:dyDescent="0.2">
      <c r="A3094" s="3">
        <v>3093</v>
      </c>
      <c r="B3094" s="3">
        <v>113.36377950000001</v>
      </c>
      <c r="C3094" s="3">
        <v>22.949383610000002</v>
      </c>
      <c r="D3094" s="3">
        <v>27</v>
      </c>
    </row>
    <row r="3095" spans="1:4" x14ac:dyDescent="0.2">
      <c r="A3095" s="3">
        <v>3094</v>
      </c>
      <c r="B3095" s="3">
        <v>113.3661657</v>
      </c>
      <c r="C3095" s="3">
        <v>22.946180049999999</v>
      </c>
      <c r="D3095" s="3">
        <v>27</v>
      </c>
    </row>
    <row r="3096" spans="1:4" x14ac:dyDescent="0.2">
      <c r="A3096" s="3">
        <v>3095</v>
      </c>
      <c r="B3096" s="3">
        <v>113.36748369999999</v>
      </c>
      <c r="C3096" s="3">
        <v>22.951582210000002</v>
      </c>
      <c r="D3096" s="3">
        <v>27</v>
      </c>
    </row>
    <row r="3097" spans="1:4" x14ac:dyDescent="0.2">
      <c r="A3097" s="3">
        <v>3096</v>
      </c>
      <c r="B3097" s="3">
        <v>113.3645144</v>
      </c>
      <c r="C3097" s="3">
        <v>22.95061617</v>
      </c>
      <c r="D3097" s="3">
        <v>27</v>
      </c>
    </row>
    <row r="3098" spans="1:4" x14ac:dyDescent="0.2">
      <c r="A3098" s="3">
        <v>3097</v>
      </c>
      <c r="B3098" s="3">
        <v>113.36745019999999</v>
      </c>
      <c r="C3098" s="3">
        <v>22.945315910000001</v>
      </c>
      <c r="D3098" s="3">
        <v>27</v>
      </c>
    </row>
    <row r="3099" spans="1:4" x14ac:dyDescent="0.2">
      <c r="A3099" s="3">
        <v>3098</v>
      </c>
      <c r="B3099" s="3">
        <v>113.3684988</v>
      </c>
      <c r="C3099" s="3">
        <v>22.947977600000002</v>
      </c>
      <c r="D3099" s="3">
        <v>27</v>
      </c>
    </row>
    <row r="3100" spans="1:4" x14ac:dyDescent="0.2">
      <c r="A3100" s="3">
        <v>3099</v>
      </c>
      <c r="B3100" s="3">
        <v>113.37047459999999</v>
      </c>
      <c r="C3100" s="3">
        <v>22.948947050000001</v>
      </c>
      <c r="D3100" s="3">
        <v>27</v>
      </c>
    </row>
    <row r="3101" spans="1:4" x14ac:dyDescent="0.2">
      <c r="A3101" s="3">
        <v>3100</v>
      </c>
      <c r="B3101" s="3">
        <v>113.3664553</v>
      </c>
      <c r="C3101" s="3">
        <v>22.946668500000001</v>
      </c>
      <c r="D3101" s="3">
        <v>27</v>
      </c>
    </row>
    <row r="3102" spans="1:4" x14ac:dyDescent="0.2">
      <c r="A3102" s="3">
        <v>3101</v>
      </c>
      <c r="B3102" s="3">
        <v>113.3698673</v>
      </c>
      <c r="C3102" s="3">
        <v>22.948212009999999</v>
      </c>
      <c r="D3102" s="3">
        <v>27</v>
      </c>
    </row>
    <row r="3103" spans="1:4" x14ac:dyDescent="0.2">
      <c r="A3103" s="3">
        <v>3102</v>
      </c>
      <c r="B3103" s="3">
        <v>113.3705575</v>
      </c>
      <c r="C3103" s="3">
        <v>22.94938578</v>
      </c>
      <c r="D3103" s="3">
        <v>27</v>
      </c>
    </row>
    <row r="3104" spans="1:4" x14ac:dyDescent="0.2">
      <c r="A3104" s="3">
        <v>3103</v>
      </c>
      <c r="B3104" s="3">
        <v>113.36971749999999</v>
      </c>
      <c r="C3104" s="3">
        <v>22.94807123</v>
      </c>
      <c r="D3104" s="3">
        <v>27</v>
      </c>
    </row>
    <row r="3105" spans="1:4" x14ac:dyDescent="0.2">
      <c r="A3105" s="3">
        <v>3104</v>
      </c>
      <c r="B3105" s="3">
        <v>113.36966030000001</v>
      </c>
      <c r="C3105" s="3">
        <v>22.951184959999999</v>
      </c>
      <c r="D3105" s="3">
        <v>27</v>
      </c>
    </row>
    <row r="3106" spans="1:4" x14ac:dyDescent="0.2">
      <c r="A3106" s="3">
        <v>3105</v>
      </c>
      <c r="B3106" s="3">
        <v>113.3636266</v>
      </c>
      <c r="C3106" s="3">
        <v>22.949822619999999</v>
      </c>
      <c r="D3106" s="3">
        <v>27</v>
      </c>
    </row>
    <row r="3107" spans="1:4" x14ac:dyDescent="0.2">
      <c r="A3107" s="3">
        <v>3106</v>
      </c>
      <c r="B3107" s="3">
        <v>113.3679302</v>
      </c>
      <c r="C3107" s="3">
        <v>22.951855590000001</v>
      </c>
      <c r="D3107" s="3">
        <v>27</v>
      </c>
    </row>
    <row r="3108" spans="1:4" x14ac:dyDescent="0.2">
      <c r="A3108" s="3">
        <v>3107</v>
      </c>
      <c r="B3108" s="3">
        <v>113.36993409999999</v>
      </c>
      <c r="C3108" s="3">
        <v>22.950314039999999</v>
      </c>
      <c r="D3108" s="3">
        <v>27</v>
      </c>
    </row>
    <row r="3109" spans="1:4" x14ac:dyDescent="0.2">
      <c r="A3109" s="3">
        <v>3108</v>
      </c>
      <c r="B3109" s="3">
        <v>113.3705396</v>
      </c>
      <c r="C3109" s="3">
        <v>22.948306259999999</v>
      </c>
      <c r="D3109" s="3">
        <v>27</v>
      </c>
    </row>
    <row r="3110" spans="1:4" x14ac:dyDescent="0.2">
      <c r="A3110" s="3">
        <v>3109</v>
      </c>
      <c r="B3110" s="3">
        <v>113.3711019</v>
      </c>
      <c r="C3110" s="3">
        <v>22.948912419999999</v>
      </c>
      <c r="D3110" s="3">
        <v>27</v>
      </c>
    </row>
    <row r="3111" spans="1:4" x14ac:dyDescent="0.2">
      <c r="A3111" s="3">
        <v>3110</v>
      </c>
      <c r="B3111" s="3">
        <v>113.37125279999999</v>
      </c>
      <c r="C3111" s="3">
        <v>22.948082620000001</v>
      </c>
      <c r="D3111" s="3">
        <v>27</v>
      </c>
    </row>
    <row r="3112" spans="1:4" x14ac:dyDescent="0.2">
      <c r="A3112" s="3">
        <v>3111</v>
      </c>
      <c r="B3112" s="3">
        <v>113.3669804</v>
      </c>
      <c r="C3112" s="3">
        <v>22.950118410000002</v>
      </c>
      <c r="D3112" s="3">
        <v>27</v>
      </c>
    </row>
    <row r="3113" spans="1:4" x14ac:dyDescent="0.2">
      <c r="A3113" s="3">
        <v>3112</v>
      </c>
      <c r="B3113" s="3">
        <v>113.3660094</v>
      </c>
      <c r="C3113" s="3">
        <v>22.952885380000001</v>
      </c>
      <c r="D3113" s="3">
        <v>27</v>
      </c>
    </row>
    <row r="3114" spans="1:4" x14ac:dyDescent="0.2">
      <c r="A3114" s="3">
        <v>3113</v>
      </c>
      <c r="B3114" s="3">
        <v>113.369173</v>
      </c>
      <c r="C3114" s="3">
        <v>22.94838068</v>
      </c>
      <c r="D3114" s="3">
        <v>27</v>
      </c>
    </row>
    <row r="3115" spans="1:4" x14ac:dyDescent="0.2">
      <c r="A3115" s="3">
        <v>3114</v>
      </c>
      <c r="B3115" s="3">
        <v>113.3627448</v>
      </c>
      <c r="C3115" s="3">
        <v>22.949790759999999</v>
      </c>
      <c r="D3115" s="3">
        <v>27</v>
      </c>
    </row>
    <row r="3116" spans="1:4" x14ac:dyDescent="0.2">
      <c r="A3116" s="3">
        <v>3115</v>
      </c>
      <c r="B3116" s="3">
        <v>113.36833729999999</v>
      </c>
      <c r="C3116" s="3">
        <v>22.944275350000002</v>
      </c>
      <c r="D3116" s="3">
        <v>35</v>
      </c>
    </row>
    <row r="3117" spans="1:4" x14ac:dyDescent="0.2">
      <c r="A3117" s="3">
        <v>3116</v>
      </c>
      <c r="B3117" s="3">
        <v>113.368066</v>
      </c>
      <c r="C3117" s="3">
        <v>22.952234270000002</v>
      </c>
      <c r="D3117" s="3">
        <v>27</v>
      </c>
    </row>
    <row r="3118" spans="1:4" x14ac:dyDescent="0.2">
      <c r="A3118" s="3">
        <v>3117</v>
      </c>
      <c r="B3118" s="3">
        <v>113.3641867</v>
      </c>
      <c r="C3118" s="3">
        <v>22.952780650000001</v>
      </c>
      <c r="D3118" s="3">
        <v>27</v>
      </c>
    </row>
    <row r="3119" spans="1:4" x14ac:dyDescent="0.2">
      <c r="A3119" s="3">
        <v>3118</v>
      </c>
      <c r="B3119" s="3">
        <v>113.3714825</v>
      </c>
      <c r="C3119" s="3">
        <v>22.949136939999999</v>
      </c>
      <c r="D3119" s="3">
        <v>27</v>
      </c>
    </row>
    <row r="3120" spans="1:4" x14ac:dyDescent="0.2">
      <c r="A3120" s="3">
        <v>3119</v>
      </c>
      <c r="B3120" s="3">
        <v>113.3641867</v>
      </c>
      <c r="C3120" s="3">
        <v>22.952780650000001</v>
      </c>
      <c r="D3120" s="3">
        <v>27</v>
      </c>
    </row>
    <row r="3121" spans="1:4" x14ac:dyDescent="0.2">
      <c r="A3121" s="3">
        <v>3120</v>
      </c>
      <c r="B3121" s="3">
        <v>113.3714825</v>
      </c>
      <c r="C3121" s="3">
        <v>22.949136939999999</v>
      </c>
      <c r="D3121" s="3">
        <v>27</v>
      </c>
    </row>
    <row r="3122" spans="1:4" x14ac:dyDescent="0.2">
      <c r="A3122" s="3">
        <v>3121</v>
      </c>
      <c r="B3122" s="3">
        <v>113.3685334</v>
      </c>
      <c r="C3122" s="3">
        <v>22.952900459999999</v>
      </c>
      <c r="D3122" s="3">
        <v>27</v>
      </c>
    </row>
    <row r="3123" spans="1:4" x14ac:dyDescent="0.2">
      <c r="A3123" s="3">
        <v>3122</v>
      </c>
      <c r="B3123" s="3">
        <v>113.36635819999999</v>
      </c>
      <c r="C3123" s="3">
        <v>22.949282499999999</v>
      </c>
      <c r="D3123" s="3">
        <v>27</v>
      </c>
    </row>
    <row r="3124" spans="1:4" x14ac:dyDescent="0.2">
      <c r="A3124" s="3">
        <v>3123</v>
      </c>
      <c r="B3124" s="3">
        <v>113.36851249999999</v>
      </c>
      <c r="C3124" s="3">
        <v>22.953086410000001</v>
      </c>
      <c r="D3124" s="3">
        <v>27</v>
      </c>
    </row>
    <row r="3125" spans="1:4" x14ac:dyDescent="0.2">
      <c r="A3125" s="3">
        <v>3124</v>
      </c>
      <c r="B3125" s="3">
        <v>113.36621510000001</v>
      </c>
      <c r="C3125" s="3">
        <v>22.953498870000001</v>
      </c>
      <c r="D3125" s="3">
        <v>27</v>
      </c>
    </row>
    <row r="3126" spans="1:4" x14ac:dyDescent="0.2">
      <c r="A3126" s="3">
        <v>3125</v>
      </c>
      <c r="B3126" s="3">
        <v>113.3647071</v>
      </c>
      <c r="C3126" s="3">
        <v>22.952716030000001</v>
      </c>
      <c r="D3126" s="3">
        <v>27</v>
      </c>
    </row>
    <row r="3127" spans="1:4" x14ac:dyDescent="0.2">
      <c r="A3127" s="3">
        <v>3126</v>
      </c>
      <c r="B3127" s="3">
        <v>113.3626297</v>
      </c>
      <c r="C3127" s="3">
        <v>22.95297755</v>
      </c>
      <c r="D3127" s="3">
        <v>27</v>
      </c>
    </row>
    <row r="3128" spans="1:4" x14ac:dyDescent="0.2">
      <c r="A3128" s="3">
        <v>3127</v>
      </c>
      <c r="B3128" s="3">
        <v>113.3663093</v>
      </c>
      <c r="C3128" s="3">
        <v>22.94925357</v>
      </c>
      <c r="D3128" s="3">
        <v>27</v>
      </c>
    </row>
    <row r="3129" spans="1:4" x14ac:dyDescent="0.2">
      <c r="A3129" s="3">
        <v>3128</v>
      </c>
      <c r="B3129" s="3">
        <v>113.3617169</v>
      </c>
      <c r="C3129" s="3">
        <v>22.95341956</v>
      </c>
      <c r="D3129" s="3">
        <v>45</v>
      </c>
    </row>
    <row r="3130" spans="1:4" x14ac:dyDescent="0.2">
      <c r="A3130" s="3">
        <v>3129</v>
      </c>
      <c r="B3130" s="3">
        <v>113.3638291</v>
      </c>
      <c r="C3130" s="3">
        <v>22.953476800000001</v>
      </c>
      <c r="D3130" s="3">
        <v>27</v>
      </c>
    </row>
    <row r="3131" spans="1:4" x14ac:dyDescent="0.2">
      <c r="A3131" s="3">
        <v>3130</v>
      </c>
      <c r="B3131" s="3">
        <v>113.3642636</v>
      </c>
      <c r="C3131" s="3">
        <v>22.95312741</v>
      </c>
      <c r="D3131" s="3">
        <v>27</v>
      </c>
    </row>
    <row r="3132" spans="1:4" x14ac:dyDescent="0.2">
      <c r="A3132" s="3">
        <v>3131</v>
      </c>
      <c r="B3132" s="3">
        <v>113.3654231</v>
      </c>
      <c r="C3132" s="3">
        <v>22.95350882</v>
      </c>
      <c r="D3132" s="3">
        <v>27</v>
      </c>
    </row>
    <row r="3133" spans="1:4" x14ac:dyDescent="0.2">
      <c r="A3133" s="3">
        <v>3132</v>
      </c>
      <c r="B3133" s="3">
        <v>113.3618728</v>
      </c>
      <c r="C3133" s="3">
        <v>22.952661679999999</v>
      </c>
      <c r="D3133" s="3">
        <v>45</v>
      </c>
    </row>
    <row r="3134" spans="1:4" x14ac:dyDescent="0.2">
      <c r="A3134" s="3">
        <v>3133</v>
      </c>
      <c r="B3134" s="3">
        <v>113.3666032</v>
      </c>
      <c r="C3134" s="3">
        <v>22.946264490000001</v>
      </c>
      <c r="D3134" s="3">
        <v>27</v>
      </c>
    </row>
    <row r="3135" spans="1:4" x14ac:dyDescent="0.2">
      <c r="A3135" s="3">
        <v>3134</v>
      </c>
      <c r="B3135" s="3">
        <v>113.3623072</v>
      </c>
      <c r="C3135" s="3">
        <v>22.953219870000002</v>
      </c>
      <c r="D3135" s="3">
        <v>45</v>
      </c>
    </row>
    <row r="3136" spans="1:4" x14ac:dyDescent="0.2">
      <c r="A3136" s="3">
        <v>3135</v>
      </c>
      <c r="B3136" s="3">
        <v>113.3617419</v>
      </c>
      <c r="C3136" s="3">
        <v>22.953260589999999</v>
      </c>
      <c r="D3136" s="3">
        <v>45</v>
      </c>
    </row>
    <row r="3137" spans="1:4" x14ac:dyDescent="0.2">
      <c r="A3137" s="3">
        <v>3136</v>
      </c>
      <c r="B3137" s="3">
        <v>113.3674528</v>
      </c>
      <c r="C3137" s="3">
        <v>22.951647220000002</v>
      </c>
      <c r="D3137" s="3">
        <v>27</v>
      </c>
    </row>
    <row r="3138" spans="1:4" x14ac:dyDescent="0.2">
      <c r="A3138" s="3">
        <v>3137</v>
      </c>
      <c r="B3138" s="3">
        <v>113.36452749999999</v>
      </c>
      <c r="C3138" s="3">
        <v>22.94962357</v>
      </c>
      <c r="D3138" s="3">
        <v>27</v>
      </c>
    </row>
    <row r="3139" spans="1:4" x14ac:dyDescent="0.2">
      <c r="A3139" s="3">
        <v>3138</v>
      </c>
      <c r="B3139" s="3">
        <v>113.3693279</v>
      </c>
      <c r="C3139" s="3">
        <v>22.94846248</v>
      </c>
      <c r="D3139" s="3">
        <v>27</v>
      </c>
    </row>
    <row r="3140" spans="1:4" x14ac:dyDescent="0.2">
      <c r="A3140" s="3">
        <v>3139</v>
      </c>
      <c r="B3140" s="3">
        <v>113.36278950000001</v>
      </c>
      <c r="C3140" s="3">
        <v>22.95329821</v>
      </c>
      <c r="D3140" s="3">
        <v>27</v>
      </c>
    </row>
    <row r="3141" spans="1:4" x14ac:dyDescent="0.2">
      <c r="A3141" s="3">
        <v>3140</v>
      </c>
      <c r="B3141" s="3">
        <v>113.3617469</v>
      </c>
      <c r="C3141" s="3">
        <v>22.953554459999999</v>
      </c>
      <c r="D3141" s="3">
        <v>45</v>
      </c>
    </row>
    <row r="3142" spans="1:4" x14ac:dyDescent="0.2">
      <c r="A3142" s="3">
        <v>3141</v>
      </c>
      <c r="B3142" s="3">
        <v>113.3630412</v>
      </c>
      <c r="C3142" s="3">
        <v>22.95223833</v>
      </c>
      <c r="D3142" s="3">
        <v>27</v>
      </c>
    </row>
    <row r="3143" spans="1:4" x14ac:dyDescent="0.2">
      <c r="A3143" s="3">
        <v>3142</v>
      </c>
      <c r="B3143" s="3">
        <v>113.3622932</v>
      </c>
      <c r="C3143" s="3">
        <v>22.953434789999999</v>
      </c>
      <c r="D3143" s="3">
        <v>45</v>
      </c>
    </row>
    <row r="3144" spans="1:4" x14ac:dyDescent="0.2">
      <c r="A3144" s="3">
        <v>3143</v>
      </c>
      <c r="B3144" s="3">
        <v>113.3616116</v>
      </c>
      <c r="C3144" s="3">
        <v>22.94631072</v>
      </c>
      <c r="D3144" s="3">
        <v>22</v>
      </c>
    </row>
    <row r="3145" spans="1:4" x14ac:dyDescent="0.2">
      <c r="A3145" s="3">
        <v>3144</v>
      </c>
      <c r="B3145" s="3">
        <v>113.3697942</v>
      </c>
      <c r="C3145" s="3">
        <v>22.95126179</v>
      </c>
      <c r="D3145" s="3">
        <v>27</v>
      </c>
    </row>
    <row r="3146" spans="1:4" x14ac:dyDescent="0.2">
      <c r="A3146" s="3">
        <v>3145</v>
      </c>
      <c r="B3146" s="3">
        <v>113.3665172</v>
      </c>
      <c r="C3146" s="3">
        <v>22.946542480000002</v>
      </c>
      <c r="D3146" s="3">
        <v>27</v>
      </c>
    </row>
    <row r="3147" spans="1:4" x14ac:dyDescent="0.2">
      <c r="A3147" s="3">
        <v>3146</v>
      </c>
      <c r="B3147" s="3">
        <v>113.3697734</v>
      </c>
      <c r="C3147" s="3">
        <v>22.94832306</v>
      </c>
      <c r="D3147" s="3">
        <v>27</v>
      </c>
    </row>
    <row r="3148" spans="1:4" x14ac:dyDescent="0.2">
      <c r="A3148" s="3">
        <v>3147</v>
      </c>
      <c r="B3148" s="3">
        <v>113.3697734</v>
      </c>
      <c r="C3148" s="3">
        <v>22.94832306</v>
      </c>
      <c r="D3148" s="3">
        <v>27</v>
      </c>
    </row>
    <row r="3149" spans="1:4" x14ac:dyDescent="0.2">
      <c r="A3149" s="3">
        <v>3148</v>
      </c>
      <c r="B3149" s="3">
        <v>113.36402390000001</v>
      </c>
      <c r="C3149" s="3">
        <v>22.95341458</v>
      </c>
      <c r="D3149" s="3">
        <v>27</v>
      </c>
    </row>
    <row r="3150" spans="1:4" x14ac:dyDescent="0.2">
      <c r="A3150" s="3">
        <v>3149</v>
      </c>
      <c r="B3150" s="3">
        <v>113.3638481</v>
      </c>
      <c r="C3150" s="3">
        <v>22.953063960000001</v>
      </c>
      <c r="D3150" s="3">
        <v>27</v>
      </c>
    </row>
    <row r="3151" spans="1:4" x14ac:dyDescent="0.2">
      <c r="A3151" s="3">
        <v>3150</v>
      </c>
      <c r="B3151" s="3">
        <v>113.363429</v>
      </c>
      <c r="C3151" s="3">
        <v>22.948822289999999</v>
      </c>
      <c r="D3151" s="3">
        <v>27</v>
      </c>
    </row>
    <row r="3152" spans="1:4" x14ac:dyDescent="0.2">
      <c r="A3152" s="3">
        <v>3151</v>
      </c>
      <c r="B3152" s="3">
        <v>113.3676299</v>
      </c>
      <c r="C3152" s="3">
        <v>22.946355270000002</v>
      </c>
      <c r="D3152" s="3">
        <v>27</v>
      </c>
    </row>
    <row r="3153" spans="1:4" x14ac:dyDescent="0.2">
      <c r="A3153" s="3">
        <v>3152</v>
      </c>
      <c r="B3153" s="3">
        <v>113.3637805</v>
      </c>
      <c r="C3153" s="3">
        <v>22.949612510000001</v>
      </c>
      <c r="D3153" s="3">
        <v>27</v>
      </c>
    </row>
    <row r="3154" spans="1:4" x14ac:dyDescent="0.2">
      <c r="A3154" s="3">
        <v>3153</v>
      </c>
      <c r="B3154" s="3">
        <v>113.37346169999999</v>
      </c>
      <c r="C3154" s="3">
        <v>22.94812044</v>
      </c>
      <c r="D3154" s="3">
        <v>6</v>
      </c>
    </row>
    <row r="3155" spans="1:4" x14ac:dyDescent="0.2">
      <c r="A3155" s="3">
        <v>3154</v>
      </c>
      <c r="B3155" s="3">
        <v>113.3780458</v>
      </c>
      <c r="C3155" s="3">
        <v>22.948814209999998</v>
      </c>
      <c r="D3155" s="3">
        <v>6</v>
      </c>
    </row>
    <row r="3156" spans="1:4" x14ac:dyDescent="0.2">
      <c r="A3156" s="3">
        <v>3155</v>
      </c>
      <c r="B3156" s="3">
        <v>113.37443279999999</v>
      </c>
      <c r="C3156" s="3">
        <v>22.948089549999999</v>
      </c>
      <c r="D3156" s="3">
        <v>6</v>
      </c>
    </row>
    <row r="3157" spans="1:4" x14ac:dyDescent="0.2">
      <c r="A3157" s="3">
        <v>3156</v>
      </c>
      <c r="B3157" s="3">
        <v>113.3747346</v>
      </c>
      <c r="C3157" s="3">
        <v>22.946396</v>
      </c>
      <c r="D3157" s="3">
        <v>6</v>
      </c>
    </row>
    <row r="3158" spans="1:4" x14ac:dyDescent="0.2">
      <c r="A3158" s="3">
        <v>3157</v>
      </c>
      <c r="B3158" s="3">
        <v>113.3785385</v>
      </c>
      <c r="C3158" s="3">
        <v>22.947878230000001</v>
      </c>
      <c r="D3158" s="3">
        <v>6</v>
      </c>
    </row>
    <row r="3159" spans="1:4" x14ac:dyDescent="0.2">
      <c r="A3159" s="3">
        <v>3158</v>
      </c>
      <c r="B3159" s="3">
        <v>113.377883</v>
      </c>
      <c r="C3159" s="3">
        <v>22.946861169999998</v>
      </c>
      <c r="D3159" s="3">
        <v>6</v>
      </c>
    </row>
    <row r="3160" spans="1:4" x14ac:dyDescent="0.2">
      <c r="A3160" s="3">
        <v>3159</v>
      </c>
      <c r="B3160" s="3">
        <v>113.37310530000001</v>
      </c>
      <c r="C3160" s="3">
        <v>22.944103479999999</v>
      </c>
      <c r="D3160" s="3">
        <v>6</v>
      </c>
    </row>
    <row r="3161" spans="1:4" x14ac:dyDescent="0.2">
      <c r="A3161" s="3">
        <v>3160</v>
      </c>
      <c r="B3161" s="3">
        <v>113.37895810000001</v>
      </c>
      <c r="C3161" s="3">
        <v>22.948327729999999</v>
      </c>
      <c r="D3161" s="3">
        <v>6</v>
      </c>
    </row>
    <row r="3162" spans="1:4" x14ac:dyDescent="0.2">
      <c r="A3162" s="3">
        <v>3161</v>
      </c>
      <c r="B3162" s="3">
        <v>113.37867420000001</v>
      </c>
      <c r="C3162" s="3">
        <v>22.950308100000001</v>
      </c>
      <c r="D3162" s="3">
        <v>6</v>
      </c>
    </row>
    <row r="3163" spans="1:4" x14ac:dyDescent="0.2">
      <c r="A3163" s="3">
        <v>3162</v>
      </c>
      <c r="B3163" s="3">
        <v>113.37372240000001</v>
      </c>
      <c r="C3163" s="3">
        <v>22.948950839999998</v>
      </c>
      <c r="D3163" s="3">
        <v>6</v>
      </c>
    </row>
    <row r="3164" spans="1:4" x14ac:dyDescent="0.2">
      <c r="A3164" s="3">
        <v>3163</v>
      </c>
      <c r="B3164" s="3">
        <v>113.37365440000001</v>
      </c>
      <c r="C3164" s="3">
        <v>22.949359730000001</v>
      </c>
      <c r="D3164" s="3">
        <v>6</v>
      </c>
    </row>
    <row r="3165" spans="1:4" x14ac:dyDescent="0.2">
      <c r="A3165" s="3">
        <v>3164</v>
      </c>
      <c r="B3165" s="3">
        <v>113.379126</v>
      </c>
      <c r="C3165" s="3">
        <v>22.948103700000001</v>
      </c>
      <c r="D3165" s="3">
        <v>6</v>
      </c>
    </row>
    <row r="3166" spans="1:4" x14ac:dyDescent="0.2">
      <c r="A3166" s="3">
        <v>3165</v>
      </c>
      <c r="B3166" s="3">
        <v>113.37376140000001</v>
      </c>
      <c r="C3166" s="3">
        <v>22.9482611</v>
      </c>
      <c r="D3166" s="3">
        <v>6</v>
      </c>
    </row>
    <row r="3167" spans="1:4" x14ac:dyDescent="0.2">
      <c r="A3167" s="3">
        <v>3166</v>
      </c>
      <c r="B3167" s="3">
        <v>113.3769059</v>
      </c>
      <c r="C3167" s="3">
        <v>22.945405560000001</v>
      </c>
      <c r="D3167" s="3">
        <v>6</v>
      </c>
    </row>
    <row r="3168" spans="1:4" x14ac:dyDescent="0.2">
      <c r="A3168" s="3">
        <v>3167</v>
      </c>
      <c r="B3168" s="3">
        <v>113.3733557</v>
      </c>
      <c r="C3168" s="3">
        <v>22.9496219</v>
      </c>
      <c r="D3168" s="3">
        <v>27</v>
      </c>
    </row>
    <row r="3169" spans="1:4" x14ac:dyDescent="0.2">
      <c r="A3169" s="3">
        <v>3168</v>
      </c>
      <c r="B3169" s="3">
        <v>113.37320579999999</v>
      </c>
      <c r="C3169" s="3">
        <v>22.949665020000001</v>
      </c>
      <c r="D3169" s="3">
        <v>27</v>
      </c>
    </row>
    <row r="3170" spans="1:4" x14ac:dyDescent="0.2">
      <c r="A3170" s="3">
        <v>3169</v>
      </c>
      <c r="B3170" s="3">
        <v>113.3804461</v>
      </c>
      <c r="C3170" s="3">
        <v>22.949047369999999</v>
      </c>
      <c r="D3170" s="3">
        <v>6</v>
      </c>
    </row>
    <row r="3171" spans="1:4" x14ac:dyDescent="0.2">
      <c r="A3171" s="3">
        <v>3170</v>
      </c>
      <c r="B3171" s="3">
        <v>113.374488</v>
      </c>
      <c r="C3171" s="3">
        <v>22.944216149999999</v>
      </c>
      <c r="D3171" s="3">
        <v>6</v>
      </c>
    </row>
    <row r="3172" spans="1:4" x14ac:dyDescent="0.2">
      <c r="A3172" s="3">
        <v>3171</v>
      </c>
      <c r="B3172" s="3">
        <v>113.3732488</v>
      </c>
      <c r="C3172" s="3">
        <v>22.94898727</v>
      </c>
      <c r="D3172" s="3">
        <v>27</v>
      </c>
    </row>
    <row r="3173" spans="1:4" x14ac:dyDescent="0.2">
      <c r="A3173" s="3">
        <v>3172</v>
      </c>
      <c r="B3173" s="3">
        <v>113.3721369</v>
      </c>
      <c r="C3173" s="3">
        <v>22.9486165</v>
      </c>
      <c r="D3173" s="3">
        <v>27</v>
      </c>
    </row>
    <row r="3174" spans="1:4" x14ac:dyDescent="0.2">
      <c r="A3174" s="3">
        <v>3173</v>
      </c>
      <c r="B3174" s="3">
        <v>113.3786072</v>
      </c>
      <c r="C3174" s="3">
        <v>22.950881899999999</v>
      </c>
      <c r="D3174" s="3">
        <v>6</v>
      </c>
    </row>
    <row r="3175" spans="1:4" x14ac:dyDescent="0.2">
      <c r="A3175" s="3">
        <v>3174</v>
      </c>
      <c r="B3175" s="3">
        <v>113.3731349</v>
      </c>
      <c r="C3175" s="3">
        <v>22.949767040000001</v>
      </c>
      <c r="D3175" s="3">
        <v>27</v>
      </c>
    </row>
    <row r="3176" spans="1:4" x14ac:dyDescent="0.2">
      <c r="A3176" s="3">
        <v>3175</v>
      </c>
      <c r="B3176" s="3">
        <v>113.3759477</v>
      </c>
      <c r="C3176" s="3">
        <v>22.944724650000001</v>
      </c>
      <c r="D3176" s="3">
        <v>6</v>
      </c>
    </row>
    <row r="3177" spans="1:4" x14ac:dyDescent="0.2">
      <c r="A3177" s="3">
        <v>3176</v>
      </c>
      <c r="B3177" s="3">
        <v>113.37183020000001</v>
      </c>
      <c r="C3177" s="3">
        <v>22.94855583</v>
      </c>
      <c r="D3177" s="3">
        <v>27</v>
      </c>
    </row>
    <row r="3178" spans="1:4" x14ac:dyDescent="0.2">
      <c r="A3178" s="3">
        <v>3177</v>
      </c>
      <c r="B3178" s="3">
        <v>113.3717013</v>
      </c>
      <c r="C3178" s="3">
        <v>22.94932064</v>
      </c>
      <c r="D3178" s="3">
        <v>27</v>
      </c>
    </row>
    <row r="3179" spans="1:4" x14ac:dyDescent="0.2">
      <c r="A3179" s="3">
        <v>3178</v>
      </c>
      <c r="B3179" s="3">
        <v>113.37398039999999</v>
      </c>
      <c r="C3179" s="3">
        <v>22.945422099999998</v>
      </c>
      <c r="D3179" s="3">
        <v>6</v>
      </c>
    </row>
    <row r="3180" spans="1:4" x14ac:dyDescent="0.2">
      <c r="A3180" s="3">
        <v>3179</v>
      </c>
      <c r="B3180" s="3">
        <v>113.37772870000001</v>
      </c>
      <c r="C3180" s="3">
        <v>22.952679809999999</v>
      </c>
      <c r="D3180" s="3">
        <v>6</v>
      </c>
    </row>
    <row r="3181" spans="1:4" x14ac:dyDescent="0.2">
      <c r="A3181" s="3">
        <v>3180</v>
      </c>
      <c r="B3181" s="3">
        <v>113.38098170000001</v>
      </c>
      <c r="C3181" s="3">
        <v>22.948650180000001</v>
      </c>
      <c r="D3181" s="3">
        <v>6</v>
      </c>
    </row>
    <row r="3182" spans="1:4" x14ac:dyDescent="0.2">
      <c r="A3182" s="3">
        <v>3181</v>
      </c>
      <c r="B3182" s="3">
        <v>113.3779019</v>
      </c>
      <c r="C3182" s="3">
        <v>22.948909279999999</v>
      </c>
      <c r="D3182" s="3">
        <v>6</v>
      </c>
    </row>
    <row r="3183" spans="1:4" x14ac:dyDescent="0.2">
      <c r="A3183" s="3">
        <v>3182</v>
      </c>
      <c r="B3183" s="3">
        <v>113.3729769</v>
      </c>
      <c r="C3183" s="3">
        <v>22.951880299999999</v>
      </c>
      <c r="D3183" s="3">
        <v>27</v>
      </c>
    </row>
    <row r="3184" spans="1:4" x14ac:dyDescent="0.2">
      <c r="A3184" s="3">
        <v>3183</v>
      </c>
      <c r="B3184" s="3">
        <v>113.37546810000001</v>
      </c>
      <c r="C3184" s="3">
        <v>22.944157300000001</v>
      </c>
      <c r="D3184" s="3">
        <v>6</v>
      </c>
    </row>
    <row r="3185" spans="1:4" x14ac:dyDescent="0.2">
      <c r="A3185" s="3">
        <v>3184</v>
      </c>
      <c r="B3185" s="3">
        <v>113.3800925</v>
      </c>
      <c r="C3185" s="3">
        <v>22.945964920000002</v>
      </c>
      <c r="D3185" s="3">
        <v>6</v>
      </c>
    </row>
    <row r="3186" spans="1:4" x14ac:dyDescent="0.2">
      <c r="A3186" s="3">
        <v>3185</v>
      </c>
      <c r="B3186" s="3">
        <v>113.3750965</v>
      </c>
      <c r="C3186" s="3">
        <v>22.944014689999999</v>
      </c>
      <c r="D3186" s="3">
        <v>6</v>
      </c>
    </row>
    <row r="3187" spans="1:4" x14ac:dyDescent="0.2">
      <c r="A3187" s="3">
        <v>3186</v>
      </c>
      <c r="B3187" s="3">
        <v>113.3717231</v>
      </c>
      <c r="C3187" s="3">
        <v>22.952119419999999</v>
      </c>
      <c r="D3187" s="3">
        <v>27</v>
      </c>
    </row>
    <row r="3188" spans="1:4" x14ac:dyDescent="0.2">
      <c r="A3188" s="3">
        <v>3187</v>
      </c>
      <c r="B3188" s="3">
        <v>113.38139080000001</v>
      </c>
      <c r="C3188" s="3">
        <v>22.943985900000001</v>
      </c>
      <c r="D3188" s="3">
        <v>6</v>
      </c>
    </row>
    <row r="3189" spans="1:4" x14ac:dyDescent="0.2">
      <c r="A3189" s="3">
        <v>3188</v>
      </c>
      <c r="B3189" s="3">
        <v>113.3718179</v>
      </c>
      <c r="C3189" s="3">
        <v>22.953230850000001</v>
      </c>
      <c r="D3189" s="3">
        <v>27</v>
      </c>
    </row>
    <row r="3190" spans="1:4" x14ac:dyDescent="0.2">
      <c r="A3190" s="3">
        <v>3189</v>
      </c>
      <c r="B3190" s="3">
        <v>113.3810527</v>
      </c>
      <c r="C3190" s="3">
        <v>22.948664130000001</v>
      </c>
      <c r="D3190" s="3">
        <v>6</v>
      </c>
    </row>
    <row r="3191" spans="1:4" x14ac:dyDescent="0.2">
      <c r="A3191" s="3">
        <v>3190</v>
      </c>
      <c r="B3191" s="3">
        <v>113.37182989999999</v>
      </c>
      <c r="C3191" s="3">
        <v>22.95281602</v>
      </c>
      <c r="D3191" s="3">
        <v>27</v>
      </c>
    </row>
    <row r="3192" spans="1:4" x14ac:dyDescent="0.2">
      <c r="A3192" s="3">
        <v>3191</v>
      </c>
      <c r="B3192" s="3">
        <v>113.3760431</v>
      </c>
      <c r="C3192" s="3">
        <v>22.952254369999999</v>
      </c>
      <c r="D3192" s="3">
        <v>6</v>
      </c>
    </row>
    <row r="3193" spans="1:4" x14ac:dyDescent="0.2">
      <c r="A3193" s="3">
        <v>3192</v>
      </c>
      <c r="B3193" s="3">
        <v>113.37349759999999</v>
      </c>
      <c r="C3193" s="3">
        <v>22.948287329999999</v>
      </c>
      <c r="D3193" s="3">
        <v>6</v>
      </c>
    </row>
    <row r="3194" spans="1:4" x14ac:dyDescent="0.2">
      <c r="A3194" s="3">
        <v>3193</v>
      </c>
      <c r="B3194" s="3">
        <v>113.3731107</v>
      </c>
      <c r="C3194" s="3">
        <v>22.95217804</v>
      </c>
      <c r="D3194" s="3">
        <v>27</v>
      </c>
    </row>
    <row r="3195" spans="1:4" x14ac:dyDescent="0.2">
      <c r="A3195" s="3">
        <v>3194</v>
      </c>
      <c r="B3195" s="3">
        <v>113.3759228</v>
      </c>
      <c r="C3195" s="3">
        <v>22.94412393</v>
      </c>
      <c r="D3195" s="3">
        <v>6</v>
      </c>
    </row>
    <row r="3196" spans="1:4" x14ac:dyDescent="0.2">
      <c r="A3196" s="3">
        <v>3195</v>
      </c>
      <c r="B3196" s="3">
        <v>113.37785</v>
      </c>
      <c r="C3196" s="3">
        <v>22.946972150000001</v>
      </c>
      <c r="D3196" s="3">
        <v>6</v>
      </c>
    </row>
    <row r="3197" spans="1:4" x14ac:dyDescent="0.2">
      <c r="A3197" s="3">
        <v>3196</v>
      </c>
      <c r="B3197" s="3">
        <v>113.37736959999999</v>
      </c>
      <c r="C3197" s="3">
        <v>22.944592539999999</v>
      </c>
      <c r="D3197" s="3">
        <v>6</v>
      </c>
    </row>
    <row r="3198" spans="1:4" x14ac:dyDescent="0.2">
      <c r="A3198" s="3">
        <v>3197</v>
      </c>
      <c r="B3198" s="3">
        <v>113.3773005</v>
      </c>
      <c r="C3198" s="3">
        <v>22.945603160000001</v>
      </c>
      <c r="D3198" s="3">
        <v>6</v>
      </c>
    </row>
    <row r="3199" spans="1:4" x14ac:dyDescent="0.2">
      <c r="A3199" s="3">
        <v>3198</v>
      </c>
      <c r="B3199" s="3">
        <v>113.37282999999999</v>
      </c>
      <c r="C3199" s="3">
        <v>22.952426200000001</v>
      </c>
      <c r="D3199" s="3">
        <v>27</v>
      </c>
    </row>
    <row r="3200" spans="1:4" x14ac:dyDescent="0.2">
      <c r="A3200" s="3">
        <v>3199</v>
      </c>
      <c r="B3200" s="3">
        <v>113.3808698</v>
      </c>
      <c r="C3200" s="3">
        <v>22.94912205</v>
      </c>
      <c r="D3200" s="3">
        <v>6</v>
      </c>
    </row>
    <row r="3201" spans="1:4" x14ac:dyDescent="0.2">
      <c r="A3201" s="3">
        <v>3200</v>
      </c>
      <c r="B3201" s="3">
        <v>113.3802</v>
      </c>
      <c r="C3201" s="3">
        <v>22.952435090000002</v>
      </c>
      <c r="D3201" s="3">
        <v>6</v>
      </c>
    </row>
    <row r="3202" spans="1:4" x14ac:dyDescent="0.2">
      <c r="A3202" s="3">
        <v>3201</v>
      </c>
      <c r="B3202" s="3">
        <v>113.3855533</v>
      </c>
      <c r="C3202" s="3">
        <v>22.949690140000001</v>
      </c>
      <c r="D3202" s="3">
        <v>6</v>
      </c>
    </row>
    <row r="3203" spans="1:4" x14ac:dyDescent="0.2">
      <c r="A3203" s="3">
        <v>3202</v>
      </c>
      <c r="B3203" s="3">
        <v>113.38465770000001</v>
      </c>
      <c r="C3203" s="3">
        <v>22.949389709999998</v>
      </c>
      <c r="D3203" s="3">
        <v>6</v>
      </c>
    </row>
    <row r="3204" spans="1:4" x14ac:dyDescent="0.2">
      <c r="A3204" s="3">
        <v>3203</v>
      </c>
      <c r="B3204" s="3">
        <v>113.38643190000001</v>
      </c>
      <c r="C3204" s="3">
        <v>22.95052639</v>
      </c>
      <c r="D3204" s="3">
        <v>6</v>
      </c>
    </row>
    <row r="3205" spans="1:4" x14ac:dyDescent="0.2">
      <c r="A3205" s="3">
        <v>3204</v>
      </c>
      <c r="B3205" s="3">
        <v>113.3843708</v>
      </c>
      <c r="C3205" s="3">
        <v>22.949842669999999</v>
      </c>
      <c r="D3205" s="3">
        <v>6</v>
      </c>
    </row>
    <row r="3206" spans="1:4" x14ac:dyDescent="0.2">
      <c r="A3206" s="3">
        <v>3205</v>
      </c>
      <c r="B3206" s="3">
        <v>113.3839871</v>
      </c>
      <c r="C3206" s="3">
        <v>22.948613399999999</v>
      </c>
      <c r="D3206" s="3">
        <v>6</v>
      </c>
    </row>
    <row r="3207" spans="1:4" x14ac:dyDescent="0.2">
      <c r="A3207" s="3">
        <v>3206</v>
      </c>
      <c r="B3207" s="3">
        <v>113.3836702</v>
      </c>
      <c r="C3207" s="3">
        <v>22.949149340000002</v>
      </c>
      <c r="D3207" s="3">
        <v>6</v>
      </c>
    </row>
    <row r="3208" spans="1:4" x14ac:dyDescent="0.2">
      <c r="A3208" s="3">
        <v>3207</v>
      </c>
      <c r="B3208" s="3">
        <v>113.38329640000001</v>
      </c>
      <c r="C3208" s="3">
        <v>22.94945542</v>
      </c>
      <c r="D3208" s="3">
        <v>6</v>
      </c>
    </row>
    <row r="3209" spans="1:4" x14ac:dyDescent="0.2">
      <c r="A3209" s="3">
        <v>3208</v>
      </c>
      <c r="B3209" s="3">
        <v>113.38335240000001</v>
      </c>
      <c r="C3209" s="3">
        <v>22.949023570000001</v>
      </c>
      <c r="D3209" s="3">
        <v>6</v>
      </c>
    </row>
    <row r="3210" spans="1:4" x14ac:dyDescent="0.2">
      <c r="A3210" s="3">
        <v>3209</v>
      </c>
      <c r="B3210" s="3">
        <v>113.3832874</v>
      </c>
      <c r="C3210" s="3">
        <v>22.94870075</v>
      </c>
      <c r="D3210" s="3">
        <v>6</v>
      </c>
    </row>
    <row r="3211" spans="1:4" x14ac:dyDescent="0.2">
      <c r="A3211" s="3">
        <v>3210</v>
      </c>
      <c r="B3211" s="3">
        <v>113.3838308</v>
      </c>
      <c r="C3211" s="3">
        <v>22.95339444</v>
      </c>
      <c r="D3211" s="3">
        <v>6</v>
      </c>
    </row>
    <row r="3212" spans="1:4" x14ac:dyDescent="0.2">
      <c r="A3212" s="3">
        <v>3211</v>
      </c>
      <c r="B3212" s="3">
        <v>113.38623990000001</v>
      </c>
      <c r="C3212" s="3">
        <v>22.950783359999999</v>
      </c>
      <c r="D3212" s="3">
        <v>6</v>
      </c>
    </row>
    <row r="3213" spans="1:4" x14ac:dyDescent="0.2">
      <c r="A3213" s="3">
        <v>3212</v>
      </c>
      <c r="B3213" s="3">
        <v>113.3896958</v>
      </c>
      <c r="C3213" s="3">
        <v>22.95206452</v>
      </c>
      <c r="D3213" s="3">
        <v>34</v>
      </c>
    </row>
    <row r="3214" spans="1:4" x14ac:dyDescent="0.2">
      <c r="A3214" s="3">
        <v>3213</v>
      </c>
      <c r="B3214" s="3">
        <v>113.39110959999999</v>
      </c>
      <c r="C3214" s="3">
        <v>22.95055078</v>
      </c>
      <c r="D3214" s="3">
        <v>34</v>
      </c>
    </row>
    <row r="3215" spans="1:4" x14ac:dyDescent="0.2">
      <c r="A3215" s="3">
        <v>3214</v>
      </c>
      <c r="B3215" s="3">
        <v>113.3878236</v>
      </c>
      <c r="C3215" s="3">
        <v>22.9472682</v>
      </c>
      <c r="D3215" s="3">
        <v>6</v>
      </c>
    </row>
    <row r="3216" spans="1:4" x14ac:dyDescent="0.2">
      <c r="A3216" s="3">
        <v>3215</v>
      </c>
      <c r="B3216" s="3">
        <v>113.3818735</v>
      </c>
      <c r="C3216" s="3">
        <v>22.944512370000002</v>
      </c>
      <c r="D3216" s="3">
        <v>6</v>
      </c>
    </row>
    <row r="3217" spans="1:4" x14ac:dyDescent="0.2">
      <c r="A3217" s="3">
        <v>3216</v>
      </c>
      <c r="B3217" s="3">
        <v>113.3816447</v>
      </c>
      <c r="C3217" s="3">
        <v>22.943873780000001</v>
      </c>
      <c r="D3217" s="3">
        <v>6</v>
      </c>
    </row>
    <row r="3218" spans="1:4" x14ac:dyDescent="0.2">
      <c r="A3218" s="3">
        <v>3217</v>
      </c>
      <c r="B3218" s="3">
        <v>113.3845287</v>
      </c>
      <c r="C3218" s="3">
        <v>22.95062725</v>
      </c>
      <c r="D3218" s="3">
        <v>6</v>
      </c>
    </row>
    <row r="3219" spans="1:4" x14ac:dyDescent="0.2">
      <c r="A3219" s="3">
        <v>3218</v>
      </c>
      <c r="B3219" s="3">
        <v>113.3987631</v>
      </c>
      <c r="C3219" s="3">
        <v>22.946192050000001</v>
      </c>
      <c r="D3219" s="3">
        <v>34</v>
      </c>
    </row>
    <row r="3220" spans="1:4" x14ac:dyDescent="0.2">
      <c r="A3220" s="3">
        <v>3219</v>
      </c>
      <c r="B3220" s="3">
        <v>113.398028</v>
      </c>
      <c r="C3220" s="3">
        <v>22.945561260000002</v>
      </c>
      <c r="D3220" s="3">
        <v>34</v>
      </c>
    </row>
    <row r="3221" spans="1:4" x14ac:dyDescent="0.2">
      <c r="A3221" s="3">
        <v>3220</v>
      </c>
      <c r="B3221" s="3">
        <v>113.39763170000001</v>
      </c>
      <c r="C3221" s="3">
        <v>22.94913172</v>
      </c>
      <c r="D3221" s="3">
        <v>34</v>
      </c>
    </row>
    <row r="3222" spans="1:4" x14ac:dyDescent="0.2">
      <c r="A3222" s="3">
        <v>3221</v>
      </c>
      <c r="B3222" s="3">
        <v>113.3969398</v>
      </c>
      <c r="C3222" s="3">
        <v>22.946920639999998</v>
      </c>
      <c r="D3222" s="3">
        <v>34</v>
      </c>
    </row>
    <row r="3223" spans="1:4" x14ac:dyDescent="0.2">
      <c r="A3223" s="3">
        <v>3222</v>
      </c>
      <c r="B3223" s="3">
        <v>113.39561140000001</v>
      </c>
      <c r="C3223" s="3">
        <v>22.950485149999999</v>
      </c>
      <c r="D3223" s="3">
        <v>34</v>
      </c>
    </row>
    <row r="3224" spans="1:4" x14ac:dyDescent="0.2">
      <c r="A3224" s="3">
        <v>3223</v>
      </c>
      <c r="B3224" s="3">
        <v>113.3965487</v>
      </c>
      <c r="C3224" s="3">
        <v>22.94695463</v>
      </c>
      <c r="D3224" s="3">
        <v>34</v>
      </c>
    </row>
    <row r="3225" spans="1:4" x14ac:dyDescent="0.2">
      <c r="A3225" s="3">
        <v>3224</v>
      </c>
      <c r="B3225" s="3">
        <v>113.39360379999999</v>
      </c>
      <c r="C3225" s="3">
        <v>22.94367523</v>
      </c>
      <c r="D3225" s="3">
        <v>34</v>
      </c>
    </row>
    <row r="3226" spans="1:4" x14ac:dyDescent="0.2">
      <c r="A3226" s="3">
        <v>3225</v>
      </c>
      <c r="B3226" s="3">
        <v>113.39911410000001</v>
      </c>
      <c r="C3226" s="3">
        <v>22.947395570000001</v>
      </c>
      <c r="D3226" s="3">
        <v>34</v>
      </c>
    </row>
    <row r="3227" spans="1:4" x14ac:dyDescent="0.2">
      <c r="A3227" s="3">
        <v>3226</v>
      </c>
      <c r="B3227" s="3">
        <v>113.3966558</v>
      </c>
      <c r="C3227" s="3">
        <v>22.945392290000001</v>
      </c>
      <c r="D3227" s="3">
        <v>34</v>
      </c>
    </row>
    <row r="3228" spans="1:4" x14ac:dyDescent="0.2">
      <c r="A3228" s="3">
        <v>3227</v>
      </c>
      <c r="B3228" s="3">
        <v>113.3999244</v>
      </c>
      <c r="C3228" s="3">
        <v>22.946329120000001</v>
      </c>
      <c r="D3228" s="3">
        <v>34</v>
      </c>
    </row>
    <row r="3229" spans="1:4" x14ac:dyDescent="0.2">
      <c r="A3229" s="3">
        <v>3228</v>
      </c>
      <c r="B3229" s="3">
        <v>113.3953693</v>
      </c>
      <c r="C3229" s="3">
        <v>22.95165867</v>
      </c>
      <c r="D3229" s="3">
        <v>34</v>
      </c>
    </row>
    <row r="3230" spans="1:4" x14ac:dyDescent="0.2">
      <c r="A3230" s="3">
        <v>3229</v>
      </c>
      <c r="B3230" s="3">
        <v>113.39584480000001</v>
      </c>
      <c r="C3230" s="3">
        <v>22.945315340000001</v>
      </c>
      <c r="D3230" s="3">
        <v>34</v>
      </c>
    </row>
    <row r="3231" spans="1:4" x14ac:dyDescent="0.2">
      <c r="A3231" s="3">
        <v>3230</v>
      </c>
      <c r="B3231" s="3">
        <v>113.3995333</v>
      </c>
      <c r="C3231" s="3">
        <v>22.946554970000001</v>
      </c>
      <c r="D3231" s="3">
        <v>34</v>
      </c>
    </row>
    <row r="3232" spans="1:4" x14ac:dyDescent="0.2">
      <c r="A3232" s="3">
        <v>3231</v>
      </c>
      <c r="B3232" s="3">
        <v>113.3966669</v>
      </c>
      <c r="C3232" s="3">
        <v>22.944999459999998</v>
      </c>
      <c r="D3232" s="3">
        <v>34</v>
      </c>
    </row>
    <row r="3233" spans="1:4" x14ac:dyDescent="0.2">
      <c r="A3233" s="3">
        <v>3232</v>
      </c>
      <c r="B3233" s="3">
        <v>113.3962447</v>
      </c>
      <c r="C3233" s="3">
        <v>22.94668575</v>
      </c>
      <c r="D3233" s="3">
        <v>34</v>
      </c>
    </row>
    <row r="3234" spans="1:4" x14ac:dyDescent="0.2">
      <c r="A3234" s="3">
        <v>3233</v>
      </c>
      <c r="B3234" s="3">
        <v>113.397622</v>
      </c>
      <c r="C3234" s="3">
        <v>22.944386739999999</v>
      </c>
      <c r="D3234" s="3">
        <v>34</v>
      </c>
    </row>
    <row r="3235" spans="1:4" x14ac:dyDescent="0.2">
      <c r="A3235" s="3">
        <v>3234</v>
      </c>
      <c r="B3235" s="3">
        <v>113.39730179999999</v>
      </c>
      <c r="C3235" s="3">
        <v>22.947271499999999</v>
      </c>
      <c r="D3235" s="3">
        <v>34</v>
      </c>
    </row>
    <row r="3236" spans="1:4" x14ac:dyDescent="0.2">
      <c r="A3236" s="3">
        <v>3235</v>
      </c>
      <c r="B3236" s="3">
        <v>113.3943378</v>
      </c>
      <c r="C3236" s="3">
        <v>22.944351860000001</v>
      </c>
      <c r="D3236" s="3">
        <v>34</v>
      </c>
    </row>
    <row r="3237" spans="1:4" x14ac:dyDescent="0.2">
      <c r="A3237" s="3">
        <v>3236</v>
      </c>
      <c r="B3237" s="3">
        <v>113.4014258</v>
      </c>
      <c r="C3237" s="3">
        <v>22.946856159999999</v>
      </c>
      <c r="D3237" s="3">
        <v>34</v>
      </c>
    </row>
    <row r="3238" spans="1:4" x14ac:dyDescent="0.2">
      <c r="A3238" s="3">
        <v>3237</v>
      </c>
      <c r="B3238" s="3">
        <v>113.4003735</v>
      </c>
      <c r="C3238" s="3">
        <v>22.946834979999998</v>
      </c>
      <c r="D3238" s="3">
        <v>34</v>
      </c>
    </row>
    <row r="3239" spans="1:4" x14ac:dyDescent="0.2">
      <c r="A3239" s="3">
        <v>3238</v>
      </c>
      <c r="B3239" s="3">
        <v>113.39433080000001</v>
      </c>
      <c r="C3239" s="3">
        <v>22.944224909999999</v>
      </c>
      <c r="D3239" s="3">
        <v>34</v>
      </c>
    </row>
    <row r="3240" spans="1:4" x14ac:dyDescent="0.2">
      <c r="A3240" s="3">
        <v>3239</v>
      </c>
      <c r="B3240" s="3">
        <v>113.3992338</v>
      </c>
      <c r="C3240" s="3">
        <v>22.95287725</v>
      </c>
      <c r="D3240" s="3">
        <v>34</v>
      </c>
    </row>
    <row r="3241" spans="1:4" x14ac:dyDescent="0.2">
      <c r="A3241" s="3">
        <v>3240</v>
      </c>
      <c r="B3241" s="3">
        <v>113.400165</v>
      </c>
      <c r="C3241" s="3">
        <v>22.95236259</v>
      </c>
      <c r="D3241" s="3">
        <v>34</v>
      </c>
    </row>
    <row r="3242" spans="1:4" x14ac:dyDescent="0.2">
      <c r="A3242" s="3">
        <v>3241</v>
      </c>
      <c r="B3242" s="3">
        <v>113.3954323</v>
      </c>
      <c r="C3242" s="3">
        <v>22.95209947</v>
      </c>
      <c r="D3242" s="3">
        <v>34</v>
      </c>
    </row>
    <row r="3243" spans="1:4" x14ac:dyDescent="0.2">
      <c r="A3243" s="3">
        <v>3242</v>
      </c>
      <c r="B3243" s="3">
        <v>113.39673759999999</v>
      </c>
      <c r="C3243" s="3">
        <v>22.949181679999999</v>
      </c>
      <c r="D3243" s="3">
        <v>34</v>
      </c>
    </row>
    <row r="3244" spans="1:4" x14ac:dyDescent="0.2">
      <c r="A3244" s="3">
        <v>3243</v>
      </c>
      <c r="B3244" s="3">
        <v>113.3942918</v>
      </c>
      <c r="C3244" s="3">
        <v>22.943619170000002</v>
      </c>
      <c r="D3244" s="3">
        <v>34</v>
      </c>
    </row>
    <row r="3245" spans="1:4" x14ac:dyDescent="0.2">
      <c r="A3245" s="3">
        <v>3244</v>
      </c>
      <c r="B3245" s="3">
        <v>113.39218750000001</v>
      </c>
      <c r="C3245" s="3">
        <v>22.950681490000001</v>
      </c>
      <c r="D3245" s="3">
        <v>34</v>
      </c>
    </row>
    <row r="3246" spans="1:4" x14ac:dyDescent="0.2">
      <c r="A3246" s="3">
        <v>3245</v>
      </c>
      <c r="B3246" s="3">
        <v>113.3931158</v>
      </c>
      <c r="C3246" s="3">
        <v>22.945354590000001</v>
      </c>
      <c r="D3246" s="3">
        <v>34</v>
      </c>
    </row>
    <row r="3247" spans="1:4" x14ac:dyDescent="0.2">
      <c r="A3247" s="3">
        <v>3246</v>
      </c>
      <c r="B3247" s="3">
        <v>113.39563029999999</v>
      </c>
      <c r="C3247" s="3">
        <v>22.951758609999999</v>
      </c>
      <c r="D3247" s="3">
        <v>34</v>
      </c>
    </row>
    <row r="3248" spans="1:4" x14ac:dyDescent="0.2">
      <c r="A3248" s="3">
        <v>3247</v>
      </c>
      <c r="B3248" s="3">
        <v>113.3998244</v>
      </c>
      <c r="C3248" s="3">
        <v>22.946174169999999</v>
      </c>
      <c r="D3248" s="3">
        <v>34</v>
      </c>
    </row>
    <row r="3249" spans="1:4" x14ac:dyDescent="0.2">
      <c r="A3249" s="3">
        <v>3248</v>
      </c>
      <c r="B3249" s="3">
        <v>113.39284790000001</v>
      </c>
      <c r="C3249" s="3">
        <v>22.94379829</v>
      </c>
      <c r="D3249" s="3">
        <v>34</v>
      </c>
    </row>
    <row r="3250" spans="1:4" x14ac:dyDescent="0.2">
      <c r="A3250" s="3">
        <v>3249</v>
      </c>
      <c r="B3250" s="3">
        <v>113.39218529999999</v>
      </c>
      <c r="C3250" s="3">
        <v>22.953516279999999</v>
      </c>
      <c r="D3250" s="3">
        <v>34</v>
      </c>
    </row>
    <row r="3251" spans="1:4" x14ac:dyDescent="0.2">
      <c r="A3251" s="3">
        <v>3250</v>
      </c>
      <c r="B3251" s="3">
        <v>113.40649500000001</v>
      </c>
      <c r="C3251" s="3">
        <v>22.949585639999999</v>
      </c>
      <c r="D3251" s="3">
        <v>34</v>
      </c>
    </row>
    <row r="3252" spans="1:4" x14ac:dyDescent="0.2">
      <c r="A3252" s="3">
        <v>3251</v>
      </c>
      <c r="B3252" s="3">
        <v>113.4059967</v>
      </c>
      <c r="C3252" s="3">
        <v>22.949867309999998</v>
      </c>
      <c r="D3252" s="3">
        <v>34</v>
      </c>
    </row>
    <row r="3253" spans="1:4" x14ac:dyDescent="0.2">
      <c r="A3253" s="3">
        <v>3252</v>
      </c>
      <c r="B3253" s="3">
        <v>113.4048622</v>
      </c>
      <c r="C3253" s="3">
        <v>22.948527439999999</v>
      </c>
      <c r="D3253" s="3">
        <v>34</v>
      </c>
    </row>
    <row r="3254" spans="1:4" x14ac:dyDescent="0.2">
      <c r="A3254" s="3">
        <v>3253</v>
      </c>
      <c r="B3254" s="3">
        <v>113.4066961</v>
      </c>
      <c r="C3254" s="3">
        <v>22.95020646</v>
      </c>
      <c r="D3254" s="3">
        <v>34</v>
      </c>
    </row>
    <row r="3255" spans="1:4" x14ac:dyDescent="0.2">
      <c r="A3255" s="3">
        <v>3254</v>
      </c>
      <c r="B3255" s="3">
        <v>113.4047461</v>
      </c>
      <c r="C3255" s="3">
        <v>22.948963209999999</v>
      </c>
      <c r="D3255" s="3">
        <v>34</v>
      </c>
    </row>
    <row r="3256" spans="1:4" x14ac:dyDescent="0.2">
      <c r="A3256" s="3">
        <v>3255</v>
      </c>
      <c r="B3256" s="3">
        <v>113.4043489</v>
      </c>
      <c r="C3256" s="3">
        <v>22.949050029999999</v>
      </c>
      <c r="D3256" s="3">
        <v>34</v>
      </c>
    </row>
    <row r="3257" spans="1:4" x14ac:dyDescent="0.2">
      <c r="A3257" s="3">
        <v>3256</v>
      </c>
      <c r="B3257" s="3">
        <v>113.4043509</v>
      </c>
      <c r="C3257" s="3">
        <v>22.94887211</v>
      </c>
      <c r="D3257" s="3">
        <v>34</v>
      </c>
    </row>
    <row r="3258" spans="1:4" x14ac:dyDescent="0.2">
      <c r="A3258" s="3">
        <v>3257</v>
      </c>
      <c r="B3258" s="3">
        <v>113.4041838</v>
      </c>
      <c r="C3258" s="3">
        <v>22.94859117</v>
      </c>
      <c r="D3258" s="3">
        <v>34</v>
      </c>
    </row>
    <row r="3259" spans="1:4" x14ac:dyDescent="0.2">
      <c r="A3259" s="3">
        <v>3258</v>
      </c>
      <c r="B3259" s="3">
        <v>113.4038867</v>
      </c>
      <c r="C3259" s="3">
        <v>22.947903369999999</v>
      </c>
      <c r="D3259" s="3">
        <v>34</v>
      </c>
    </row>
    <row r="3260" spans="1:4" x14ac:dyDescent="0.2">
      <c r="A3260" s="3">
        <v>3259</v>
      </c>
      <c r="B3260" s="3">
        <v>113.4080369</v>
      </c>
      <c r="C3260" s="3">
        <v>22.951192679999998</v>
      </c>
      <c r="D3260" s="3">
        <v>34</v>
      </c>
    </row>
    <row r="3261" spans="1:4" x14ac:dyDescent="0.2">
      <c r="A3261" s="3">
        <v>3260</v>
      </c>
      <c r="B3261" s="3">
        <v>113.40870839999999</v>
      </c>
      <c r="C3261" s="3">
        <v>22.95108608</v>
      </c>
      <c r="D3261" s="3">
        <v>34</v>
      </c>
    </row>
    <row r="3262" spans="1:4" x14ac:dyDescent="0.2">
      <c r="A3262" s="3">
        <v>3261</v>
      </c>
      <c r="B3262" s="3">
        <v>113.4030564</v>
      </c>
      <c r="C3262" s="3">
        <v>22.947888129999999</v>
      </c>
      <c r="D3262" s="3">
        <v>34</v>
      </c>
    </row>
    <row r="3263" spans="1:4" x14ac:dyDescent="0.2">
      <c r="A3263" s="3">
        <v>3262</v>
      </c>
      <c r="B3263" s="3">
        <v>113.4052433</v>
      </c>
      <c r="C3263" s="3">
        <v>22.949292249999999</v>
      </c>
      <c r="D3263" s="3">
        <v>34</v>
      </c>
    </row>
    <row r="3264" spans="1:4" x14ac:dyDescent="0.2">
      <c r="A3264" s="3">
        <v>3263</v>
      </c>
      <c r="B3264" s="3">
        <v>113.40277020000001</v>
      </c>
      <c r="C3264" s="3">
        <v>22.94809596</v>
      </c>
      <c r="D3264" s="3">
        <v>34</v>
      </c>
    </row>
    <row r="3265" spans="1:4" x14ac:dyDescent="0.2">
      <c r="A3265" s="3">
        <v>3264</v>
      </c>
      <c r="B3265" s="3">
        <v>113.40244819999999</v>
      </c>
      <c r="C3265" s="3">
        <v>22.947263230000001</v>
      </c>
      <c r="D3265" s="3">
        <v>34</v>
      </c>
    </row>
    <row r="3266" spans="1:4" x14ac:dyDescent="0.2">
      <c r="A3266" s="3">
        <v>3265</v>
      </c>
      <c r="B3266" s="3">
        <v>113.402208</v>
      </c>
      <c r="C3266" s="3">
        <v>22.947553039999999</v>
      </c>
      <c r="D3266" s="3">
        <v>34</v>
      </c>
    </row>
    <row r="3267" spans="1:4" x14ac:dyDescent="0.2">
      <c r="A3267" s="3">
        <v>3266</v>
      </c>
      <c r="B3267" s="3">
        <v>113.40954290000001</v>
      </c>
      <c r="C3267" s="3">
        <v>22.952011150000001</v>
      </c>
      <c r="D3267" s="3">
        <v>34</v>
      </c>
    </row>
    <row r="3268" spans="1:4" x14ac:dyDescent="0.2">
      <c r="A3268" s="3">
        <v>3267</v>
      </c>
      <c r="B3268" s="3">
        <v>113.4022239</v>
      </c>
      <c r="C3268" s="3">
        <v>22.950058980000001</v>
      </c>
      <c r="D3268" s="3">
        <v>34</v>
      </c>
    </row>
    <row r="3269" spans="1:4" x14ac:dyDescent="0.2">
      <c r="A3269" s="3">
        <v>3268</v>
      </c>
      <c r="B3269" s="3">
        <v>113.41058870000001</v>
      </c>
      <c r="C3269" s="3">
        <v>22.952195700000001</v>
      </c>
      <c r="D3269" s="3">
        <v>34</v>
      </c>
    </row>
    <row r="3270" spans="1:4" x14ac:dyDescent="0.2">
      <c r="A3270" s="3">
        <v>3269</v>
      </c>
      <c r="B3270" s="3">
        <v>113.4037367</v>
      </c>
      <c r="C3270" s="3">
        <v>22.947373549999998</v>
      </c>
      <c r="D3270" s="3">
        <v>34</v>
      </c>
    </row>
    <row r="3271" spans="1:4" x14ac:dyDescent="0.2">
      <c r="A3271" s="3">
        <v>3270</v>
      </c>
      <c r="B3271" s="3">
        <v>113.410991</v>
      </c>
      <c r="C3271" s="3">
        <v>22.952831679999999</v>
      </c>
      <c r="D3271" s="3">
        <v>34</v>
      </c>
    </row>
    <row r="3272" spans="1:4" x14ac:dyDescent="0.2">
      <c r="A3272" s="3">
        <v>3271</v>
      </c>
      <c r="B3272" s="3">
        <v>113.4037367</v>
      </c>
      <c r="C3272" s="3">
        <v>22.947373549999998</v>
      </c>
      <c r="D3272" s="3">
        <v>34</v>
      </c>
    </row>
    <row r="3273" spans="1:4" x14ac:dyDescent="0.2">
      <c r="A3273" s="3">
        <v>3272</v>
      </c>
      <c r="B3273" s="3">
        <v>113.40602560000001</v>
      </c>
      <c r="C3273" s="3">
        <v>22.952202329999999</v>
      </c>
      <c r="D3273" s="3">
        <v>34</v>
      </c>
    </row>
    <row r="3274" spans="1:4" x14ac:dyDescent="0.2">
      <c r="A3274" s="3">
        <v>3273</v>
      </c>
      <c r="B3274" s="3">
        <v>113.404545</v>
      </c>
      <c r="C3274" s="3">
        <v>22.948844189999999</v>
      </c>
      <c r="D3274" s="3">
        <v>34</v>
      </c>
    </row>
    <row r="3275" spans="1:4" x14ac:dyDescent="0.2">
      <c r="A3275" s="3">
        <v>3274</v>
      </c>
      <c r="B3275" s="3">
        <v>113.4054404</v>
      </c>
      <c r="C3275" s="3">
        <v>22.949335309999999</v>
      </c>
      <c r="D3275" s="3">
        <v>34</v>
      </c>
    </row>
    <row r="3276" spans="1:4" x14ac:dyDescent="0.2">
      <c r="A3276" s="3">
        <v>3275</v>
      </c>
      <c r="B3276" s="3">
        <v>113.40401490000001</v>
      </c>
      <c r="C3276" s="3">
        <v>22.94670292</v>
      </c>
      <c r="D3276" s="3">
        <v>34</v>
      </c>
    </row>
    <row r="3277" spans="1:4" x14ac:dyDescent="0.2">
      <c r="A3277" s="3">
        <v>3276</v>
      </c>
      <c r="B3277" s="3">
        <v>113.41330840000001</v>
      </c>
      <c r="C3277" s="3">
        <v>22.947629500000001</v>
      </c>
      <c r="D3277" s="3">
        <v>34</v>
      </c>
    </row>
    <row r="3278" spans="1:4" x14ac:dyDescent="0.2">
      <c r="A3278" s="3">
        <v>3277</v>
      </c>
      <c r="B3278" s="3">
        <v>113.4126624</v>
      </c>
      <c r="C3278" s="3">
        <v>22.953323600000001</v>
      </c>
      <c r="D3278" s="3">
        <v>34</v>
      </c>
    </row>
    <row r="3279" spans="1:4" x14ac:dyDescent="0.2">
      <c r="A3279" s="3">
        <v>3278</v>
      </c>
      <c r="B3279" s="3">
        <v>113.4367927</v>
      </c>
      <c r="C3279" s="3">
        <v>22.949488250000002</v>
      </c>
      <c r="D3279" s="3">
        <v>12</v>
      </c>
    </row>
    <row r="3280" spans="1:4" x14ac:dyDescent="0.2">
      <c r="A3280" s="3">
        <v>3279</v>
      </c>
      <c r="B3280" s="3">
        <v>113.4355741</v>
      </c>
      <c r="C3280" s="3">
        <v>22.950777599999999</v>
      </c>
      <c r="D3280" s="3">
        <v>12</v>
      </c>
    </row>
    <row r="3281" spans="1:4" x14ac:dyDescent="0.2">
      <c r="A3281" s="3">
        <v>3280</v>
      </c>
      <c r="B3281" s="3">
        <v>113.4344299</v>
      </c>
      <c r="C3281" s="3">
        <v>22.950947599999999</v>
      </c>
      <c r="D3281" s="3">
        <v>12</v>
      </c>
    </row>
    <row r="3282" spans="1:4" x14ac:dyDescent="0.2">
      <c r="A3282" s="3">
        <v>3281</v>
      </c>
      <c r="B3282" s="3">
        <v>113.4347044</v>
      </c>
      <c r="C3282" s="3">
        <v>22.95145784</v>
      </c>
      <c r="D3282" s="3">
        <v>12</v>
      </c>
    </row>
    <row r="3283" spans="1:4" x14ac:dyDescent="0.2">
      <c r="A3283" s="3">
        <v>3282</v>
      </c>
      <c r="B3283" s="3">
        <v>113.4404485</v>
      </c>
      <c r="C3283" s="3">
        <v>22.949687820000001</v>
      </c>
      <c r="D3283" s="3">
        <v>12</v>
      </c>
    </row>
    <row r="3284" spans="1:4" x14ac:dyDescent="0.2">
      <c r="A3284" s="3">
        <v>3283</v>
      </c>
      <c r="B3284" s="3">
        <v>113.4333847</v>
      </c>
      <c r="C3284" s="3">
        <v>22.952403270000001</v>
      </c>
      <c r="D3284" s="3">
        <v>12</v>
      </c>
    </row>
    <row r="3285" spans="1:4" x14ac:dyDescent="0.2">
      <c r="A3285" s="3">
        <v>3284</v>
      </c>
      <c r="B3285" s="3">
        <v>113.4328087</v>
      </c>
      <c r="C3285" s="3">
        <v>22.952335380000001</v>
      </c>
      <c r="D3285" s="3">
        <v>12</v>
      </c>
    </row>
    <row r="3286" spans="1:4" x14ac:dyDescent="0.2">
      <c r="A3286" s="3">
        <v>3285</v>
      </c>
      <c r="B3286" s="3">
        <v>113.4316508</v>
      </c>
      <c r="C3286" s="3">
        <v>22.947792499999998</v>
      </c>
      <c r="D3286" s="3">
        <v>12</v>
      </c>
    </row>
    <row r="3287" spans="1:4" x14ac:dyDescent="0.2">
      <c r="A3287" s="3">
        <v>3286</v>
      </c>
      <c r="B3287" s="3">
        <v>113.4372509</v>
      </c>
      <c r="C3287" s="3">
        <v>22.945071930000001</v>
      </c>
      <c r="D3287" s="3">
        <v>12</v>
      </c>
    </row>
    <row r="3288" spans="1:4" x14ac:dyDescent="0.2">
      <c r="A3288" s="3">
        <v>3287</v>
      </c>
      <c r="B3288" s="3">
        <v>113.4320372</v>
      </c>
      <c r="C3288" s="3">
        <v>22.95290692</v>
      </c>
      <c r="D3288" s="3">
        <v>12</v>
      </c>
    </row>
    <row r="3289" spans="1:4" x14ac:dyDescent="0.2">
      <c r="A3289" s="3">
        <v>3288</v>
      </c>
      <c r="B3289" s="3">
        <v>113.4423388</v>
      </c>
      <c r="C3289" s="3">
        <v>22.949571509999998</v>
      </c>
      <c r="D3289" s="3">
        <v>12</v>
      </c>
    </row>
    <row r="3290" spans="1:4" x14ac:dyDescent="0.2">
      <c r="A3290" s="3">
        <v>3289</v>
      </c>
      <c r="B3290" s="3">
        <v>113.4688726</v>
      </c>
      <c r="C3290" s="3">
        <v>22.945997349999999</v>
      </c>
      <c r="D3290" s="3">
        <v>1</v>
      </c>
    </row>
    <row r="3291" spans="1:4" x14ac:dyDescent="0.2">
      <c r="A3291" s="3">
        <v>3290</v>
      </c>
      <c r="B3291" s="3">
        <v>113.4705087</v>
      </c>
      <c r="C3291" s="3">
        <v>22.947714130000001</v>
      </c>
      <c r="D3291" s="3">
        <v>1</v>
      </c>
    </row>
    <row r="3292" spans="1:4" x14ac:dyDescent="0.2">
      <c r="A3292" s="3">
        <v>3291</v>
      </c>
      <c r="B3292" s="3">
        <v>113.4713995</v>
      </c>
      <c r="C3292" s="3">
        <v>22.94814543</v>
      </c>
      <c r="D3292" s="3">
        <v>1</v>
      </c>
    </row>
    <row r="3293" spans="1:4" x14ac:dyDescent="0.2">
      <c r="A3293" s="3">
        <v>3292</v>
      </c>
      <c r="B3293" s="3">
        <v>113.46735270000001</v>
      </c>
      <c r="C3293" s="3">
        <v>22.947946389999998</v>
      </c>
      <c r="D3293" s="3">
        <v>1</v>
      </c>
    </row>
    <row r="3294" spans="1:4" x14ac:dyDescent="0.2">
      <c r="A3294" s="3">
        <v>3293</v>
      </c>
      <c r="B3294" s="3">
        <v>113.47145690000001</v>
      </c>
      <c r="C3294" s="3">
        <v>22.94579658</v>
      </c>
      <c r="D3294" s="3">
        <v>1</v>
      </c>
    </row>
    <row r="3295" spans="1:4" x14ac:dyDescent="0.2">
      <c r="A3295" s="3">
        <v>3294</v>
      </c>
      <c r="B3295" s="3">
        <v>113.4782982</v>
      </c>
      <c r="C3295" s="3">
        <v>22.950016269999999</v>
      </c>
      <c r="D3295" s="3">
        <v>1</v>
      </c>
    </row>
    <row r="3296" spans="1:4" x14ac:dyDescent="0.2">
      <c r="A3296" s="3">
        <v>3295</v>
      </c>
      <c r="B3296" s="3">
        <v>113.4785121</v>
      </c>
      <c r="C3296" s="3">
        <v>22.94727206</v>
      </c>
      <c r="D3296" s="3">
        <v>1</v>
      </c>
    </row>
    <row r="3297" spans="1:4" x14ac:dyDescent="0.2">
      <c r="A3297" s="3">
        <v>3296</v>
      </c>
      <c r="B3297" s="3">
        <v>113.4734984</v>
      </c>
      <c r="C3297" s="3">
        <v>22.948256270000002</v>
      </c>
      <c r="D3297" s="3">
        <v>1</v>
      </c>
    </row>
    <row r="3298" spans="1:4" x14ac:dyDescent="0.2">
      <c r="A3298" s="3">
        <v>3297</v>
      </c>
      <c r="B3298" s="3">
        <v>113.47415530000001</v>
      </c>
      <c r="C3298" s="3">
        <v>22.95101296</v>
      </c>
      <c r="D3298" s="3">
        <v>1</v>
      </c>
    </row>
    <row r="3299" spans="1:4" x14ac:dyDescent="0.2">
      <c r="A3299" s="3">
        <v>3298</v>
      </c>
      <c r="B3299" s="3">
        <v>113.47723879999999</v>
      </c>
      <c r="C3299" s="3">
        <v>22.947684200000001</v>
      </c>
      <c r="D3299" s="3">
        <v>1</v>
      </c>
    </row>
    <row r="3300" spans="1:4" x14ac:dyDescent="0.2">
      <c r="A3300" s="3">
        <v>3299</v>
      </c>
      <c r="B3300" s="3">
        <v>113.47428360000001</v>
      </c>
      <c r="C3300" s="3">
        <v>22.95359122</v>
      </c>
      <c r="D3300" s="3">
        <v>1</v>
      </c>
    </row>
    <row r="3301" spans="1:4" x14ac:dyDescent="0.2">
      <c r="A3301" s="3">
        <v>3300</v>
      </c>
      <c r="B3301" s="3">
        <v>113.47641299999999</v>
      </c>
      <c r="C3301" s="3">
        <v>22.947385950000001</v>
      </c>
      <c r="D3301" s="3">
        <v>1</v>
      </c>
    </row>
    <row r="3302" spans="1:4" x14ac:dyDescent="0.2">
      <c r="A3302" s="3">
        <v>3301</v>
      </c>
      <c r="B3302" s="3">
        <v>113.4737408</v>
      </c>
      <c r="C3302" s="3">
        <v>22.95359668</v>
      </c>
      <c r="D3302" s="3">
        <v>1</v>
      </c>
    </row>
    <row r="3303" spans="1:4" x14ac:dyDescent="0.2">
      <c r="A3303" s="3">
        <v>3302</v>
      </c>
      <c r="B3303" s="3">
        <v>113.47530829999999</v>
      </c>
      <c r="C3303" s="3">
        <v>22.94856828</v>
      </c>
      <c r="D3303" s="3">
        <v>1</v>
      </c>
    </row>
    <row r="3304" spans="1:4" x14ac:dyDescent="0.2">
      <c r="A3304" s="3">
        <v>3303</v>
      </c>
      <c r="B3304" s="3">
        <v>113.47387260000001</v>
      </c>
      <c r="C3304" s="3">
        <v>22.948581189999999</v>
      </c>
      <c r="D3304" s="3">
        <v>1</v>
      </c>
    </row>
    <row r="3305" spans="1:4" x14ac:dyDescent="0.2">
      <c r="A3305" s="3">
        <v>3304</v>
      </c>
      <c r="B3305" s="3">
        <v>113.48125810000001</v>
      </c>
      <c r="C3305" s="3">
        <v>22.951415310000002</v>
      </c>
      <c r="D3305" s="3">
        <v>1</v>
      </c>
    </row>
    <row r="3306" spans="1:4" x14ac:dyDescent="0.2">
      <c r="A3306" s="3">
        <v>3305</v>
      </c>
      <c r="B3306" s="3">
        <v>113.47968</v>
      </c>
      <c r="C3306" s="3">
        <v>22.94759432</v>
      </c>
      <c r="D3306" s="3">
        <v>1</v>
      </c>
    </row>
    <row r="3307" spans="1:4" x14ac:dyDescent="0.2">
      <c r="A3307" s="3">
        <v>3306</v>
      </c>
      <c r="B3307" s="3">
        <v>113.47706100000001</v>
      </c>
      <c r="C3307" s="3">
        <v>22.951086239999999</v>
      </c>
      <c r="D3307" s="3">
        <v>1</v>
      </c>
    </row>
    <row r="3308" spans="1:4" x14ac:dyDescent="0.2">
      <c r="A3308" s="3">
        <v>3307</v>
      </c>
      <c r="B3308" s="3">
        <v>113.48067330000001</v>
      </c>
      <c r="C3308" s="3">
        <v>22.9488117</v>
      </c>
      <c r="D3308" s="3">
        <v>1</v>
      </c>
    </row>
    <row r="3309" spans="1:4" x14ac:dyDescent="0.2">
      <c r="A3309" s="3">
        <v>3308</v>
      </c>
      <c r="B3309" s="3">
        <v>113.4881613</v>
      </c>
      <c r="C3309" s="3">
        <v>22.945296389999999</v>
      </c>
      <c r="D3309" s="3">
        <v>1</v>
      </c>
    </row>
    <row r="3310" spans="1:4" x14ac:dyDescent="0.2">
      <c r="A3310" s="3">
        <v>3309</v>
      </c>
      <c r="B3310" s="3">
        <v>113.482051</v>
      </c>
      <c r="C3310" s="3">
        <v>22.94786715</v>
      </c>
      <c r="D3310" s="3">
        <v>1</v>
      </c>
    </row>
    <row r="3311" spans="1:4" x14ac:dyDescent="0.2">
      <c r="A3311" s="3">
        <v>3310</v>
      </c>
      <c r="B3311" s="3">
        <v>113.4886711</v>
      </c>
      <c r="C3311" s="3">
        <v>22.944569220000002</v>
      </c>
      <c r="D3311" s="3">
        <v>1</v>
      </c>
    </row>
    <row r="3312" spans="1:4" x14ac:dyDescent="0.2">
      <c r="A3312" s="3">
        <v>3311</v>
      </c>
      <c r="B3312" s="3">
        <v>113.483469</v>
      </c>
      <c r="C3312" s="3">
        <v>22.94648492</v>
      </c>
      <c r="D3312" s="3">
        <v>1</v>
      </c>
    </row>
    <row r="3313" spans="1:4" x14ac:dyDescent="0.2">
      <c r="A3313" s="3">
        <v>3312</v>
      </c>
      <c r="B3313" s="3">
        <v>113.48273349999999</v>
      </c>
      <c r="C3313" s="3">
        <v>22.94595297</v>
      </c>
      <c r="D3313" s="3">
        <v>1</v>
      </c>
    </row>
    <row r="3314" spans="1:4" x14ac:dyDescent="0.2">
      <c r="A3314" s="3">
        <v>3313</v>
      </c>
      <c r="B3314" s="3">
        <v>113.5016832</v>
      </c>
      <c r="C3314" s="3">
        <v>22.95056675</v>
      </c>
      <c r="D3314" s="3">
        <v>1</v>
      </c>
    </row>
    <row r="3315" spans="1:4" x14ac:dyDescent="0.2">
      <c r="A3315" s="3">
        <v>3314</v>
      </c>
      <c r="B3315" s="3">
        <v>113.5039292</v>
      </c>
      <c r="C3315" s="3">
        <v>22.948580289999999</v>
      </c>
      <c r="D3315" s="3">
        <v>1</v>
      </c>
    </row>
    <row r="3316" spans="1:4" x14ac:dyDescent="0.2">
      <c r="A3316" s="3">
        <v>3315</v>
      </c>
      <c r="B3316" s="3">
        <v>113.50221620000001</v>
      </c>
      <c r="C3316" s="3">
        <v>22.94870714</v>
      </c>
      <c r="D3316" s="3">
        <v>1</v>
      </c>
    </row>
    <row r="3317" spans="1:4" x14ac:dyDescent="0.2">
      <c r="A3317" s="3">
        <v>3316</v>
      </c>
      <c r="B3317" s="3">
        <v>113.29915990000001</v>
      </c>
      <c r="C3317" s="3">
        <v>22.938126319999999</v>
      </c>
      <c r="D3317" s="3">
        <v>9</v>
      </c>
    </row>
    <row r="3318" spans="1:4" x14ac:dyDescent="0.2">
      <c r="A3318" s="3">
        <v>3317</v>
      </c>
      <c r="B3318" s="3">
        <v>113.2997757</v>
      </c>
      <c r="C3318" s="3">
        <v>22.9390149</v>
      </c>
      <c r="D3318" s="3">
        <v>9</v>
      </c>
    </row>
    <row r="3319" spans="1:4" x14ac:dyDescent="0.2">
      <c r="A3319" s="3">
        <v>3318</v>
      </c>
      <c r="B3319" s="3">
        <v>113.3009205</v>
      </c>
      <c r="C3319" s="3">
        <v>22.939821590000001</v>
      </c>
      <c r="D3319" s="3">
        <v>9</v>
      </c>
    </row>
    <row r="3320" spans="1:4" x14ac:dyDescent="0.2">
      <c r="A3320" s="3">
        <v>3319</v>
      </c>
      <c r="B3320" s="3">
        <v>113.3041832</v>
      </c>
      <c r="C3320" s="3">
        <v>22.94151514</v>
      </c>
      <c r="D3320" s="3">
        <v>9</v>
      </c>
    </row>
    <row r="3321" spans="1:4" x14ac:dyDescent="0.2">
      <c r="A3321" s="3">
        <v>3320</v>
      </c>
      <c r="B3321" s="3">
        <v>113.30860199999999</v>
      </c>
      <c r="C3321" s="3">
        <v>22.933910359999999</v>
      </c>
      <c r="D3321" s="3">
        <v>9</v>
      </c>
    </row>
    <row r="3322" spans="1:4" x14ac:dyDescent="0.2">
      <c r="A3322" s="3">
        <v>3321</v>
      </c>
      <c r="B3322" s="3">
        <v>113.31099210000001</v>
      </c>
      <c r="C3322" s="3">
        <v>22.93534034</v>
      </c>
      <c r="D3322" s="3">
        <v>9</v>
      </c>
    </row>
    <row r="3323" spans="1:4" x14ac:dyDescent="0.2">
      <c r="A3323" s="3">
        <v>3322</v>
      </c>
      <c r="B3323" s="3">
        <v>113.31168769999999</v>
      </c>
      <c r="C3323" s="3">
        <v>22.93540501</v>
      </c>
      <c r="D3323" s="3">
        <v>9</v>
      </c>
    </row>
    <row r="3324" spans="1:4" x14ac:dyDescent="0.2">
      <c r="A3324" s="3">
        <v>3323</v>
      </c>
      <c r="B3324" s="3">
        <v>113.3051342</v>
      </c>
      <c r="C3324" s="3">
        <v>22.942868870000002</v>
      </c>
      <c r="D3324" s="3">
        <v>9</v>
      </c>
    </row>
    <row r="3325" spans="1:4" x14ac:dyDescent="0.2">
      <c r="A3325" s="3">
        <v>3324</v>
      </c>
      <c r="B3325" s="3">
        <v>113.3109781</v>
      </c>
      <c r="C3325" s="3">
        <v>22.935456309999999</v>
      </c>
      <c r="D3325" s="3">
        <v>9</v>
      </c>
    </row>
    <row r="3326" spans="1:4" x14ac:dyDescent="0.2">
      <c r="A3326" s="3">
        <v>3325</v>
      </c>
      <c r="B3326" s="3">
        <v>113.31330319999999</v>
      </c>
      <c r="C3326" s="3">
        <v>22.938880520000001</v>
      </c>
      <c r="D3326" s="3">
        <v>9</v>
      </c>
    </row>
    <row r="3327" spans="1:4" x14ac:dyDescent="0.2">
      <c r="A3327" s="3">
        <v>3326</v>
      </c>
      <c r="B3327" s="3">
        <v>113.3154936</v>
      </c>
      <c r="C3327" s="3">
        <v>22.939467140000001</v>
      </c>
      <c r="D3327" s="3">
        <v>9</v>
      </c>
    </row>
    <row r="3328" spans="1:4" x14ac:dyDescent="0.2">
      <c r="A3328" s="3">
        <v>3327</v>
      </c>
      <c r="B3328" s="3">
        <v>113.3154607</v>
      </c>
      <c r="C3328" s="3">
        <v>22.939266279999998</v>
      </c>
      <c r="D3328" s="3">
        <v>9</v>
      </c>
    </row>
    <row r="3329" spans="1:4" x14ac:dyDescent="0.2">
      <c r="A3329" s="3">
        <v>3328</v>
      </c>
      <c r="B3329" s="3">
        <v>113.3182351</v>
      </c>
      <c r="C3329" s="3">
        <v>22.93866727</v>
      </c>
      <c r="D3329" s="3">
        <v>9</v>
      </c>
    </row>
    <row r="3330" spans="1:4" x14ac:dyDescent="0.2">
      <c r="A3330" s="3">
        <v>3329</v>
      </c>
      <c r="B3330" s="3">
        <v>113.31473920000001</v>
      </c>
      <c r="C3330" s="3">
        <v>22.938944790000001</v>
      </c>
      <c r="D3330" s="3">
        <v>9</v>
      </c>
    </row>
    <row r="3331" spans="1:4" x14ac:dyDescent="0.2">
      <c r="A3331" s="3">
        <v>3330</v>
      </c>
      <c r="B3331" s="3">
        <v>113.3127363</v>
      </c>
      <c r="C3331" s="3">
        <v>22.939492319999999</v>
      </c>
      <c r="D3331" s="3">
        <v>9</v>
      </c>
    </row>
    <row r="3332" spans="1:4" x14ac:dyDescent="0.2">
      <c r="A3332" s="3">
        <v>3331</v>
      </c>
      <c r="B3332" s="3">
        <v>113.3135066</v>
      </c>
      <c r="C3332" s="3">
        <v>22.94090628</v>
      </c>
      <c r="D3332" s="3">
        <v>9</v>
      </c>
    </row>
    <row r="3333" spans="1:4" x14ac:dyDescent="0.2">
      <c r="A3333" s="3">
        <v>3332</v>
      </c>
      <c r="B3333" s="3">
        <v>113.3134238</v>
      </c>
      <c r="C3333" s="3">
        <v>22.941098350000001</v>
      </c>
      <c r="D3333" s="3">
        <v>9</v>
      </c>
    </row>
    <row r="3334" spans="1:4" x14ac:dyDescent="0.2">
      <c r="A3334" s="3">
        <v>3333</v>
      </c>
      <c r="B3334" s="3">
        <v>113.3133911</v>
      </c>
      <c r="C3334" s="3">
        <v>22.936366419999999</v>
      </c>
      <c r="D3334" s="3">
        <v>9</v>
      </c>
    </row>
    <row r="3335" spans="1:4" x14ac:dyDescent="0.2">
      <c r="A3335" s="3">
        <v>3334</v>
      </c>
      <c r="B3335" s="3">
        <v>113.3127155</v>
      </c>
      <c r="C3335" s="3">
        <v>22.937159350000002</v>
      </c>
      <c r="D3335" s="3">
        <v>9</v>
      </c>
    </row>
    <row r="3336" spans="1:4" x14ac:dyDescent="0.2">
      <c r="A3336" s="3">
        <v>3335</v>
      </c>
      <c r="B3336" s="3">
        <v>113.3195395</v>
      </c>
      <c r="C3336" s="3">
        <v>22.936933509999999</v>
      </c>
      <c r="D3336" s="3">
        <v>9</v>
      </c>
    </row>
    <row r="3337" spans="1:4" x14ac:dyDescent="0.2">
      <c r="A3337" s="3">
        <v>3336</v>
      </c>
      <c r="B3337" s="3">
        <v>113.3196554</v>
      </c>
      <c r="C3337" s="3">
        <v>22.934175450000001</v>
      </c>
      <c r="D3337" s="3">
        <v>9</v>
      </c>
    </row>
    <row r="3338" spans="1:4" x14ac:dyDescent="0.2">
      <c r="A3338" s="3">
        <v>3337</v>
      </c>
      <c r="B3338" s="3">
        <v>113.32672959999999</v>
      </c>
      <c r="C3338" s="3">
        <v>22.938910920000001</v>
      </c>
      <c r="D3338" s="3">
        <v>9</v>
      </c>
    </row>
    <row r="3339" spans="1:4" x14ac:dyDescent="0.2">
      <c r="A3339" s="3">
        <v>3338</v>
      </c>
      <c r="B3339" s="3">
        <v>113.32619870000001</v>
      </c>
      <c r="C3339" s="3">
        <v>22.938955920000001</v>
      </c>
      <c r="D3339" s="3">
        <v>9</v>
      </c>
    </row>
    <row r="3340" spans="1:4" x14ac:dyDescent="0.2">
      <c r="A3340" s="3">
        <v>3339</v>
      </c>
      <c r="B3340" s="3">
        <v>113.3262026</v>
      </c>
      <c r="C3340" s="3">
        <v>22.93965961</v>
      </c>
      <c r="D3340" s="3">
        <v>9</v>
      </c>
    </row>
    <row r="3341" spans="1:4" x14ac:dyDescent="0.2">
      <c r="A3341" s="3">
        <v>3340</v>
      </c>
      <c r="B3341" s="3">
        <v>113.32600119999999</v>
      </c>
      <c r="C3341" s="3">
        <v>22.937670839999999</v>
      </c>
      <c r="D3341" s="3">
        <v>9</v>
      </c>
    </row>
    <row r="3342" spans="1:4" x14ac:dyDescent="0.2">
      <c r="A3342" s="3">
        <v>3341</v>
      </c>
      <c r="B3342" s="3">
        <v>113.3273105</v>
      </c>
      <c r="C3342" s="3">
        <v>22.937409450000001</v>
      </c>
      <c r="D3342" s="3">
        <v>9</v>
      </c>
    </row>
    <row r="3343" spans="1:4" x14ac:dyDescent="0.2">
      <c r="A3343" s="3">
        <v>3342</v>
      </c>
      <c r="B3343" s="3">
        <v>113.3261746</v>
      </c>
      <c r="C3343" s="3">
        <v>22.94019544</v>
      </c>
      <c r="D3343" s="3">
        <v>9</v>
      </c>
    </row>
    <row r="3344" spans="1:4" x14ac:dyDescent="0.2">
      <c r="A3344" s="3">
        <v>3343</v>
      </c>
      <c r="B3344" s="3">
        <v>113.3285487</v>
      </c>
      <c r="C3344" s="3">
        <v>22.940589750000001</v>
      </c>
      <c r="D3344" s="3">
        <v>10</v>
      </c>
    </row>
    <row r="3345" spans="1:4" x14ac:dyDescent="0.2">
      <c r="A3345" s="3">
        <v>3344</v>
      </c>
      <c r="B3345" s="3">
        <v>113.3253473</v>
      </c>
      <c r="C3345" s="3">
        <v>22.939895150000002</v>
      </c>
      <c r="D3345" s="3">
        <v>9</v>
      </c>
    </row>
    <row r="3346" spans="1:4" x14ac:dyDescent="0.2">
      <c r="A3346" s="3">
        <v>3345</v>
      </c>
      <c r="B3346" s="3">
        <v>113.32486830000001</v>
      </c>
      <c r="C3346" s="3">
        <v>22.94025491</v>
      </c>
      <c r="D3346" s="3">
        <v>9</v>
      </c>
    </row>
    <row r="3347" spans="1:4" x14ac:dyDescent="0.2">
      <c r="A3347" s="3">
        <v>3346</v>
      </c>
      <c r="B3347" s="3">
        <v>113.3249172</v>
      </c>
      <c r="C3347" s="3">
        <v>22.940821580000001</v>
      </c>
      <c r="D3347" s="3">
        <v>9</v>
      </c>
    </row>
    <row r="3348" spans="1:4" x14ac:dyDescent="0.2">
      <c r="A3348" s="3">
        <v>3347</v>
      </c>
      <c r="B3348" s="3">
        <v>113.32324970000001</v>
      </c>
      <c r="C3348" s="3">
        <v>22.93876564</v>
      </c>
      <c r="D3348" s="3">
        <v>9</v>
      </c>
    </row>
    <row r="3349" spans="1:4" x14ac:dyDescent="0.2">
      <c r="A3349" s="3">
        <v>3348</v>
      </c>
      <c r="B3349" s="3">
        <v>113.3272776</v>
      </c>
      <c r="C3349" s="3">
        <v>22.936104060000002</v>
      </c>
      <c r="D3349" s="3">
        <v>9</v>
      </c>
    </row>
    <row r="3350" spans="1:4" x14ac:dyDescent="0.2">
      <c r="A3350" s="3">
        <v>3349</v>
      </c>
      <c r="B3350" s="3">
        <v>113.3236259</v>
      </c>
      <c r="C3350" s="3">
        <v>22.938913849999999</v>
      </c>
      <c r="D3350" s="3">
        <v>9</v>
      </c>
    </row>
    <row r="3351" spans="1:4" x14ac:dyDescent="0.2">
      <c r="A3351" s="3">
        <v>3350</v>
      </c>
      <c r="B3351" s="3">
        <v>113.3251408</v>
      </c>
      <c r="C3351" s="3">
        <v>22.938851979999999</v>
      </c>
      <c r="D3351" s="3">
        <v>9</v>
      </c>
    </row>
    <row r="3352" spans="1:4" x14ac:dyDescent="0.2">
      <c r="A3352" s="3">
        <v>3351</v>
      </c>
      <c r="B3352" s="3">
        <v>113.3289273</v>
      </c>
      <c r="C3352" s="3">
        <v>22.936236869999998</v>
      </c>
      <c r="D3352" s="3">
        <v>10</v>
      </c>
    </row>
    <row r="3353" spans="1:4" x14ac:dyDescent="0.2">
      <c r="A3353" s="3">
        <v>3352</v>
      </c>
      <c r="B3353" s="3">
        <v>113.32933439999999</v>
      </c>
      <c r="C3353" s="3">
        <v>22.936271080000001</v>
      </c>
      <c r="D3353" s="3">
        <v>10</v>
      </c>
    </row>
    <row r="3354" spans="1:4" x14ac:dyDescent="0.2">
      <c r="A3354" s="3">
        <v>3353</v>
      </c>
      <c r="B3354" s="3">
        <v>113.3302863</v>
      </c>
      <c r="C3354" s="3">
        <v>22.939587880000001</v>
      </c>
      <c r="D3354" s="3">
        <v>10</v>
      </c>
    </row>
    <row r="3355" spans="1:4" x14ac:dyDescent="0.2">
      <c r="A3355" s="3">
        <v>3354</v>
      </c>
      <c r="B3355" s="3">
        <v>113.3232805</v>
      </c>
      <c r="C3355" s="3">
        <v>22.940631790000001</v>
      </c>
      <c r="D3355" s="3">
        <v>9</v>
      </c>
    </row>
    <row r="3356" spans="1:4" x14ac:dyDescent="0.2">
      <c r="A3356" s="3">
        <v>3355</v>
      </c>
      <c r="B3356" s="3">
        <v>113.33091109999999</v>
      </c>
      <c r="C3356" s="3">
        <v>22.93917587</v>
      </c>
      <c r="D3356" s="3">
        <v>10</v>
      </c>
    </row>
    <row r="3357" spans="1:4" x14ac:dyDescent="0.2">
      <c r="A3357" s="3">
        <v>3356</v>
      </c>
      <c r="B3357" s="3">
        <v>113.3235469</v>
      </c>
      <c r="C3357" s="3">
        <v>22.9417638</v>
      </c>
      <c r="D3357" s="3">
        <v>9</v>
      </c>
    </row>
    <row r="3358" spans="1:4" x14ac:dyDescent="0.2">
      <c r="A3358" s="3">
        <v>3357</v>
      </c>
      <c r="B3358" s="3">
        <v>113.32393810000001</v>
      </c>
      <c r="C3358" s="3">
        <v>22.942545719999998</v>
      </c>
      <c r="D3358" s="3">
        <v>9</v>
      </c>
    </row>
    <row r="3359" spans="1:4" x14ac:dyDescent="0.2">
      <c r="A3359" s="3">
        <v>3358</v>
      </c>
      <c r="B3359" s="3">
        <v>113.33041</v>
      </c>
      <c r="C3359" s="3">
        <v>22.940649199999999</v>
      </c>
      <c r="D3359" s="3">
        <v>10</v>
      </c>
    </row>
    <row r="3360" spans="1:4" x14ac:dyDescent="0.2">
      <c r="A3360" s="3">
        <v>3359</v>
      </c>
      <c r="B3360" s="3">
        <v>113.32518570000001</v>
      </c>
      <c r="C3360" s="3">
        <v>22.938856900000001</v>
      </c>
      <c r="D3360" s="3">
        <v>9</v>
      </c>
    </row>
    <row r="3361" spans="1:4" x14ac:dyDescent="0.2">
      <c r="A3361" s="3">
        <v>3360</v>
      </c>
      <c r="B3361" s="3">
        <v>113.3315739</v>
      </c>
      <c r="C3361" s="3">
        <v>22.93634582</v>
      </c>
      <c r="D3361" s="3">
        <v>10</v>
      </c>
    </row>
    <row r="3362" spans="1:4" x14ac:dyDescent="0.2">
      <c r="A3362" s="3">
        <v>3361</v>
      </c>
      <c r="B3362" s="3">
        <v>113.32427629999999</v>
      </c>
      <c r="C3362" s="3">
        <v>22.942849939999999</v>
      </c>
      <c r="D3362" s="3">
        <v>9</v>
      </c>
    </row>
    <row r="3363" spans="1:4" x14ac:dyDescent="0.2">
      <c r="A3363" s="3">
        <v>3362</v>
      </c>
      <c r="B3363" s="3">
        <v>113.3220281</v>
      </c>
      <c r="C3363" s="3">
        <v>22.941634759999999</v>
      </c>
      <c r="D3363" s="3">
        <v>9</v>
      </c>
    </row>
    <row r="3364" spans="1:4" x14ac:dyDescent="0.2">
      <c r="A3364" s="3">
        <v>3363</v>
      </c>
      <c r="B3364" s="3">
        <v>113.32178759999999</v>
      </c>
      <c r="C3364" s="3">
        <v>22.9409685</v>
      </c>
      <c r="D3364" s="3">
        <v>9</v>
      </c>
    </row>
    <row r="3365" spans="1:4" x14ac:dyDescent="0.2">
      <c r="A3365" s="3">
        <v>3364</v>
      </c>
      <c r="B3365" s="3">
        <v>113.3359042</v>
      </c>
      <c r="C3365" s="3">
        <v>22.93707843</v>
      </c>
      <c r="D3365" s="3">
        <v>10</v>
      </c>
    </row>
    <row r="3366" spans="1:4" x14ac:dyDescent="0.2">
      <c r="A3366" s="3">
        <v>3365</v>
      </c>
      <c r="B3366" s="3">
        <v>113.3381519</v>
      </c>
      <c r="C3366" s="3">
        <v>22.935915810000001</v>
      </c>
      <c r="D3366" s="3">
        <v>10</v>
      </c>
    </row>
    <row r="3367" spans="1:4" x14ac:dyDescent="0.2">
      <c r="A3367" s="3">
        <v>3366</v>
      </c>
      <c r="B3367" s="3">
        <v>113.33591699999999</v>
      </c>
      <c r="C3367" s="3">
        <v>22.94050296</v>
      </c>
      <c r="D3367" s="3">
        <v>10</v>
      </c>
    </row>
    <row r="3368" spans="1:4" x14ac:dyDescent="0.2">
      <c r="A3368" s="3">
        <v>3367</v>
      </c>
      <c r="B3368" s="3">
        <v>113.3353182</v>
      </c>
      <c r="C3368" s="3">
        <v>22.940296159999999</v>
      </c>
      <c r="D3368" s="3">
        <v>10</v>
      </c>
    </row>
    <row r="3369" spans="1:4" x14ac:dyDescent="0.2">
      <c r="A3369" s="3">
        <v>3368</v>
      </c>
      <c r="B3369" s="3">
        <v>113.3372517</v>
      </c>
      <c r="C3369" s="3">
        <v>22.93622332</v>
      </c>
      <c r="D3369" s="3">
        <v>10</v>
      </c>
    </row>
    <row r="3370" spans="1:4" x14ac:dyDescent="0.2">
      <c r="A3370" s="3">
        <v>3369</v>
      </c>
      <c r="B3370" s="3">
        <v>113.33545119999999</v>
      </c>
      <c r="C3370" s="3">
        <v>22.93553592</v>
      </c>
      <c r="D3370" s="3">
        <v>10</v>
      </c>
    </row>
    <row r="3371" spans="1:4" x14ac:dyDescent="0.2">
      <c r="A3371" s="3">
        <v>3370</v>
      </c>
      <c r="B3371" s="3">
        <v>113.3362217</v>
      </c>
      <c r="C3371" s="3">
        <v>22.935308599999999</v>
      </c>
      <c r="D3371" s="3">
        <v>10</v>
      </c>
    </row>
    <row r="3372" spans="1:4" x14ac:dyDescent="0.2">
      <c r="A3372" s="3">
        <v>3371</v>
      </c>
      <c r="B3372" s="3">
        <v>113.3356229</v>
      </c>
      <c r="C3372" s="3">
        <v>22.935119780000001</v>
      </c>
      <c r="D3372" s="3">
        <v>10</v>
      </c>
    </row>
    <row r="3373" spans="1:4" x14ac:dyDescent="0.2">
      <c r="A3373" s="3">
        <v>3372</v>
      </c>
      <c r="B3373" s="3">
        <v>113.3350011</v>
      </c>
      <c r="C3373" s="3">
        <v>22.93522089</v>
      </c>
      <c r="D3373" s="3">
        <v>10</v>
      </c>
    </row>
    <row r="3374" spans="1:4" x14ac:dyDescent="0.2">
      <c r="A3374" s="3">
        <v>3373</v>
      </c>
      <c r="B3374" s="3">
        <v>113.3356339</v>
      </c>
      <c r="C3374" s="3">
        <v>22.934942830000001</v>
      </c>
      <c r="D3374" s="3">
        <v>10</v>
      </c>
    </row>
    <row r="3375" spans="1:4" x14ac:dyDescent="0.2">
      <c r="A3375" s="3">
        <v>3374</v>
      </c>
      <c r="B3375" s="3">
        <v>113.3408956</v>
      </c>
      <c r="C3375" s="3">
        <v>22.936317689999999</v>
      </c>
      <c r="D3375" s="3">
        <v>10</v>
      </c>
    </row>
    <row r="3376" spans="1:4" x14ac:dyDescent="0.2">
      <c r="A3376" s="3">
        <v>3375</v>
      </c>
      <c r="B3376" s="3">
        <v>113.3353305</v>
      </c>
      <c r="C3376" s="3">
        <v>22.93473848</v>
      </c>
      <c r="D3376" s="3">
        <v>10</v>
      </c>
    </row>
    <row r="3377" spans="1:4" x14ac:dyDescent="0.2">
      <c r="A3377" s="3">
        <v>3376</v>
      </c>
      <c r="B3377" s="3">
        <v>113.3320727</v>
      </c>
      <c r="C3377" s="3">
        <v>22.93957752</v>
      </c>
      <c r="D3377" s="3">
        <v>10</v>
      </c>
    </row>
    <row r="3378" spans="1:4" x14ac:dyDescent="0.2">
      <c r="A3378" s="3">
        <v>3377</v>
      </c>
      <c r="B3378" s="3">
        <v>113.3355541</v>
      </c>
      <c r="C3378" s="3">
        <v>22.934435199999999</v>
      </c>
      <c r="D3378" s="3">
        <v>10</v>
      </c>
    </row>
    <row r="3379" spans="1:4" x14ac:dyDescent="0.2">
      <c r="A3379" s="3">
        <v>3378</v>
      </c>
      <c r="B3379" s="3">
        <v>113.3371709</v>
      </c>
      <c r="C3379" s="3">
        <v>22.934308269999999</v>
      </c>
      <c r="D3379" s="3">
        <v>10</v>
      </c>
    </row>
    <row r="3380" spans="1:4" x14ac:dyDescent="0.2">
      <c r="A3380" s="3">
        <v>3379</v>
      </c>
      <c r="B3380" s="3">
        <v>113.3349912</v>
      </c>
      <c r="C3380" s="3">
        <v>22.934470220000001</v>
      </c>
      <c r="D3380" s="3">
        <v>10</v>
      </c>
    </row>
    <row r="3381" spans="1:4" x14ac:dyDescent="0.2">
      <c r="A3381" s="3">
        <v>3380</v>
      </c>
      <c r="B3381" s="3">
        <v>113.3355092</v>
      </c>
      <c r="C3381" s="3">
        <v>22.934229370000001</v>
      </c>
      <c r="D3381" s="3">
        <v>10</v>
      </c>
    </row>
    <row r="3382" spans="1:4" x14ac:dyDescent="0.2">
      <c r="A3382" s="3">
        <v>3381</v>
      </c>
      <c r="B3382" s="3">
        <v>113.3411751</v>
      </c>
      <c r="C3382" s="3">
        <v>22.936232230000002</v>
      </c>
      <c r="D3382" s="3">
        <v>10</v>
      </c>
    </row>
    <row r="3383" spans="1:4" x14ac:dyDescent="0.2">
      <c r="A3383" s="3">
        <v>3382</v>
      </c>
      <c r="B3383" s="3">
        <v>113.3367099</v>
      </c>
      <c r="C3383" s="3">
        <v>22.933923279999998</v>
      </c>
      <c r="D3383" s="3">
        <v>10</v>
      </c>
    </row>
    <row r="3384" spans="1:4" x14ac:dyDescent="0.2">
      <c r="A3384" s="3">
        <v>3383</v>
      </c>
      <c r="B3384" s="3">
        <v>113.3332027</v>
      </c>
      <c r="C3384" s="3">
        <v>22.934811409999998</v>
      </c>
      <c r="D3384" s="3">
        <v>10</v>
      </c>
    </row>
    <row r="3385" spans="1:4" x14ac:dyDescent="0.2">
      <c r="A3385" s="3">
        <v>3384</v>
      </c>
      <c r="B3385" s="3">
        <v>113.34117070000001</v>
      </c>
      <c r="C3385" s="3">
        <v>22.941891850000001</v>
      </c>
      <c r="D3385" s="3">
        <v>10</v>
      </c>
    </row>
    <row r="3386" spans="1:4" x14ac:dyDescent="0.2">
      <c r="A3386" s="3">
        <v>3385</v>
      </c>
      <c r="B3386" s="3">
        <v>113.33278060000001</v>
      </c>
      <c r="C3386" s="3">
        <v>22.934244440000001</v>
      </c>
      <c r="D3386" s="3">
        <v>10</v>
      </c>
    </row>
    <row r="3387" spans="1:4" x14ac:dyDescent="0.2">
      <c r="A3387" s="3">
        <v>3386</v>
      </c>
      <c r="B3387" s="3">
        <v>113.341534</v>
      </c>
      <c r="C3387" s="3">
        <v>22.943228640000001</v>
      </c>
      <c r="D3387" s="3">
        <v>32</v>
      </c>
    </row>
    <row r="3388" spans="1:4" x14ac:dyDescent="0.2">
      <c r="A3388" s="3">
        <v>3387</v>
      </c>
      <c r="B3388" s="3">
        <v>113.3413145</v>
      </c>
      <c r="C3388" s="3">
        <v>22.941803629999999</v>
      </c>
      <c r="D3388" s="3">
        <v>10</v>
      </c>
    </row>
    <row r="3389" spans="1:4" x14ac:dyDescent="0.2">
      <c r="A3389" s="3">
        <v>3388</v>
      </c>
      <c r="B3389" s="3">
        <v>113.3322493</v>
      </c>
      <c r="C3389" s="3">
        <v>22.939632159999999</v>
      </c>
      <c r="D3389" s="3">
        <v>10</v>
      </c>
    </row>
    <row r="3390" spans="1:4" x14ac:dyDescent="0.2">
      <c r="A3390" s="3">
        <v>3389</v>
      </c>
      <c r="B3390" s="3">
        <v>113.34693230000001</v>
      </c>
      <c r="C3390" s="3">
        <v>22.94008663</v>
      </c>
      <c r="D3390" s="3">
        <v>32</v>
      </c>
    </row>
    <row r="3391" spans="1:4" x14ac:dyDescent="0.2">
      <c r="A3391" s="3">
        <v>3390</v>
      </c>
      <c r="B3391" s="3">
        <v>113.3484077</v>
      </c>
      <c r="C3391" s="3">
        <v>22.940477999999999</v>
      </c>
      <c r="D3391" s="3">
        <v>32</v>
      </c>
    </row>
    <row r="3392" spans="1:4" x14ac:dyDescent="0.2">
      <c r="A3392" s="3">
        <v>3391</v>
      </c>
      <c r="B3392" s="3">
        <v>113.3474047</v>
      </c>
      <c r="C3392" s="3">
        <v>22.937264030000001</v>
      </c>
      <c r="D3392" s="3">
        <v>32</v>
      </c>
    </row>
    <row r="3393" spans="1:4" x14ac:dyDescent="0.2">
      <c r="A3393" s="3">
        <v>3392</v>
      </c>
      <c r="B3393" s="3">
        <v>113.3478975</v>
      </c>
      <c r="C3393" s="3">
        <v>22.941132570000001</v>
      </c>
      <c r="D3393" s="3">
        <v>32</v>
      </c>
    </row>
    <row r="3394" spans="1:4" x14ac:dyDescent="0.2">
      <c r="A3394" s="3">
        <v>3393</v>
      </c>
      <c r="B3394" s="3">
        <v>113.3491594</v>
      </c>
      <c r="C3394" s="3">
        <v>22.940235869999999</v>
      </c>
      <c r="D3394" s="3">
        <v>32</v>
      </c>
    </row>
    <row r="3395" spans="1:4" x14ac:dyDescent="0.2">
      <c r="A3395" s="3">
        <v>3394</v>
      </c>
      <c r="B3395" s="3">
        <v>113.3485874</v>
      </c>
      <c r="C3395" s="3">
        <v>22.939504119999999</v>
      </c>
      <c r="D3395" s="3">
        <v>32</v>
      </c>
    </row>
    <row r="3396" spans="1:4" x14ac:dyDescent="0.2">
      <c r="A3396" s="3">
        <v>3395</v>
      </c>
      <c r="B3396" s="3">
        <v>113.3488261</v>
      </c>
      <c r="C3396" s="3">
        <v>22.938360209999999</v>
      </c>
      <c r="D3396" s="3">
        <v>32</v>
      </c>
    </row>
    <row r="3397" spans="1:4" x14ac:dyDescent="0.2">
      <c r="A3397" s="3">
        <v>3396</v>
      </c>
      <c r="B3397" s="3">
        <v>113.34452570000001</v>
      </c>
      <c r="C3397" s="3">
        <v>22.939121140000001</v>
      </c>
      <c r="D3397" s="3">
        <v>10</v>
      </c>
    </row>
    <row r="3398" spans="1:4" x14ac:dyDescent="0.2">
      <c r="A3398" s="3">
        <v>3397</v>
      </c>
      <c r="B3398" s="3">
        <v>113.3454132</v>
      </c>
      <c r="C3398" s="3">
        <v>22.937788179999998</v>
      </c>
      <c r="D3398" s="3">
        <v>10</v>
      </c>
    </row>
    <row r="3399" spans="1:4" x14ac:dyDescent="0.2">
      <c r="A3399" s="3">
        <v>3398</v>
      </c>
      <c r="B3399" s="3">
        <v>113.34458170000001</v>
      </c>
      <c r="C3399" s="3">
        <v>22.937627670000001</v>
      </c>
      <c r="D3399" s="3">
        <v>10</v>
      </c>
    </row>
    <row r="3400" spans="1:4" x14ac:dyDescent="0.2">
      <c r="A3400" s="3">
        <v>3399</v>
      </c>
      <c r="B3400" s="3">
        <v>113.3461918</v>
      </c>
      <c r="C3400" s="3">
        <v>22.937093149999999</v>
      </c>
      <c r="D3400" s="3">
        <v>10</v>
      </c>
    </row>
    <row r="3401" spans="1:4" x14ac:dyDescent="0.2">
      <c r="A3401" s="3">
        <v>3400</v>
      </c>
      <c r="B3401" s="3">
        <v>113.34961749999999</v>
      </c>
      <c r="C3401" s="3">
        <v>22.942403200000001</v>
      </c>
      <c r="D3401" s="3">
        <v>32</v>
      </c>
    </row>
    <row r="3402" spans="1:4" x14ac:dyDescent="0.2">
      <c r="A3402" s="3">
        <v>3401</v>
      </c>
      <c r="B3402" s="3">
        <v>113.3486255</v>
      </c>
      <c r="C3402" s="3">
        <v>22.937163049999999</v>
      </c>
      <c r="D3402" s="3">
        <v>43</v>
      </c>
    </row>
    <row r="3403" spans="1:4" x14ac:dyDescent="0.2">
      <c r="A3403" s="3">
        <v>3402</v>
      </c>
      <c r="B3403" s="3">
        <v>113.34405270000001</v>
      </c>
      <c r="C3403" s="3">
        <v>22.93686791</v>
      </c>
      <c r="D3403" s="3">
        <v>10</v>
      </c>
    </row>
    <row r="3404" spans="1:4" x14ac:dyDescent="0.2">
      <c r="A3404" s="3">
        <v>3403</v>
      </c>
      <c r="B3404" s="3">
        <v>113.3452206</v>
      </c>
      <c r="C3404" s="3">
        <v>22.93658302</v>
      </c>
      <c r="D3404" s="3">
        <v>10</v>
      </c>
    </row>
    <row r="3405" spans="1:4" x14ac:dyDescent="0.2">
      <c r="A3405" s="3">
        <v>3404</v>
      </c>
      <c r="B3405" s="3">
        <v>113.3489428</v>
      </c>
      <c r="C3405" s="3">
        <v>22.939790410000001</v>
      </c>
      <c r="D3405" s="3">
        <v>32</v>
      </c>
    </row>
    <row r="3406" spans="1:4" x14ac:dyDescent="0.2">
      <c r="A3406" s="3">
        <v>3405</v>
      </c>
      <c r="B3406" s="3">
        <v>113.3489448</v>
      </c>
      <c r="C3406" s="3">
        <v>22.939788409999998</v>
      </c>
      <c r="D3406" s="3">
        <v>32</v>
      </c>
    </row>
    <row r="3407" spans="1:4" x14ac:dyDescent="0.2">
      <c r="A3407" s="3">
        <v>3406</v>
      </c>
      <c r="B3407" s="3">
        <v>113.3482968</v>
      </c>
      <c r="C3407" s="3">
        <v>22.94098997</v>
      </c>
      <c r="D3407" s="3">
        <v>32</v>
      </c>
    </row>
    <row r="3408" spans="1:4" x14ac:dyDescent="0.2">
      <c r="A3408" s="3">
        <v>3407</v>
      </c>
      <c r="B3408" s="3">
        <v>113.3430216</v>
      </c>
      <c r="C3408" s="3">
        <v>22.936770750000001</v>
      </c>
      <c r="D3408" s="3">
        <v>10</v>
      </c>
    </row>
    <row r="3409" spans="1:4" x14ac:dyDescent="0.2">
      <c r="A3409" s="3">
        <v>3408</v>
      </c>
      <c r="B3409" s="3">
        <v>113.3482449</v>
      </c>
      <c r="C3409" s="3">
        <v>22.941390890000001</v>
      </c>
      <c r="D3409" s="3">
        <v>32</v>
      </c>
    </row>
    <row r="3410" spans="1:4" x14ac:dyDescent="0.2">
      <c r="A3410" s="3">
        <v>3409</v>
      </c>
      <c r="B3410" s="3">
        <v>113.3488392</v>
      </c>
      <c r="C3410" s="3">
        <v>22.936193100000001</v>
      </c>
      <c r="D3410" s="3">
        <v>43</v>
      </c>
    </row>
    <row r="3411" spans="1:4" x14ac:dyDescent="0.2">
      <c r="A3411" s="3">
        <v>3410</v>
      </c>
      <c r="B3411" s="3">
        <v>113.34458050000001</v>
      </c>
      <c r="C3411" s="3">
        <v>22.94047947</v>
      </c>
      <c r="D3411" s="3">
        <v>32</v>
      </c>
    </row>
    <row r="3412" spans="1:4" x14ac:dyDescent="0.2">
      <c r="A3412" s="3">
        <v>3411</v>
      </c>
      <c r="B3412" s="3">
        <v>113.3437593</v>
      </c>
      <c r="C3412" s="3">
        <v>22.936534559999998</v>
      </c>
      <c r="D3412" s="3">
        <v>10</v>
      </c>
    </row>
    <row r="3413" spans="1:4" x14ac:dyDescent="0.2">
      <c r="A3413" s="3">
        <v>3412</v>
      </c>
      <c r="B3413" s="3">
        <v>113.3436404</v>
      </c>
      <c r="C3413" s="3">
        <v>22.938372990000001</v>
      </c>
      <c r="D3413" s="3">
        <v>10</v>
      </c>
    </row>
    <row r="3414" spans="1:4" x14ac:dyDescent="0.2">
      <c r="A3414" s="3">
        <v>3413</v>
      </c>
      <c r="B3414" s="3">
        <v>113.3500607</v>
      </c>
      <c r="C3414" s="3">
        <v>22.94198166</v>
      </c>
      <c r="D3414" s="3">
        <v>32</v>
      </c>
    </row>
    <row r="3415" spans="1:4" x14ac:dyDescent="0.2">
      <c r="A3415" s="3">
        <v>3414</v>
      </c>
      <c r="B3415" s="3">
        <v>113.3489141</v>
      </c>
      <c r="C3415" s="3">
        <v>22.93571918</v>
      </c>
      <c r="D3415" s="3">
        <v>43</v>
      </c>
    </row>
    <row r="3416" spans="1:4" x14ac:dyDescent="0.2">
      <c r="A3416" s="3">
        <v>3415</v>
      </c>
      <c r="B3416" s="3">
        <v>113.3490376</v>
      </c>
      <c r="C3416" s="3">
        <v>22.940051149999999</v>
      </c>
      <c r="D3416" s="3">
        <v>32</v>
      </c>
    </row>
    <row r="3417" spans="1:4" x14ac:dyDescent="0.2">
      <c r="A3417" s="3">
        <v>3416</v>
      </c>
      <c r="B3417" s="3">
        <v>113.3490376</v>
      </c>
      <c r="C3417" s="3">
        <v>22.940051149999999</v>
      </c>
      <c r="D3417" s="3">
        <v>32</v>
      </c>
    </row>
    <row r="3418" spans="1:4" x14ac:dyDescent="0.2">
      <c r="A3418" s="3">
        <v>3417</v>
      </c>
      <c r="B3418" s="3">
        <v>113.3462633</v>
      </c>
      <c r="C3418" s="3">
        <v>22.942381789999999</v>
      </c>
      <c r="D3418" s="3">
        <v>32</v>
      </c>
    </row>
    <row r="3419" spans="1:4" x14ac:dyDescent="0.2">
      <c r="A3419" s="3">
        <v>3418</v>
      </c>
      <c r="B3419" s="3">
        <v>113.3484126</v>
      </c>
      <c r="C3419" s="3">
        <v>22.941868410000001</v>
      </c>
      <c r="D3419" s="3">
        <v>32</v>
      </c>
    </row>
    <row r="3420" spans="1:4" x14ac:dyDescent="0.2">
      <c r="A3420" s="3">
        <v>3419</v>
      </c>
      <c r="B3420" s="3">
        <v>113.3451159</v>
      </c>
      <c r="C3420" s="3">
        <v>22.93486892</v>
      </c>
      <c r="D3420" s="3">
        <v>10</v>
      </c>
    </row>
    <row r="3421" spans="1:4" x14ac:dyDescent="0.2">
      <c r="A3421" s="3">
        <v>3420</v>
      </c>
      <c r="B3421" s="3">
        <v>113.3471591</v>
      </c>
      <c r="C3421" s="3">
        <v>22.937036540000001</v>
      </c>
      <c r="D3421" s="3">
        <v>43</v>
      </c>
    </row>
    <row r="3422" spans="1:4" x14ac:dyDescent="0.2">
      <c r="A3422" s="3">
        <v>3421</v>
      </c>
      <c r="B3422" s="3">
        <v>113.34765489999999</v>
      </c>
      <c r="C3422" s="3">
        <v>22.942262499999998</v>
      </c>
      <c r="D3422" s="3">
        <v>32</v>
      </c>
    </row>
    <row r="3423" spans="1:4" x14ac:dyDescent="0.2">
      <c r="A3423" s="3">
        <v>3422</v>
      </c>
      <c r="B3423" s="3">
        <v>113.3486796</v>
      </c>
      <c r="C3423" s="3">
        <v>22.9339853</v>
      </c>
      <c r="D3423" s="3">
        <v>43</v>
      </c>
    </row>
    <row r="3424" spans="1:4" x14ac:dyDescent="0.2">
      <c r="A3424" s="3">
        <v>3423</v>
      </c>
      <c r="B3424" s="3">
        <v>113.3431011</v>
      </c>
      <c r="C3424" s="3">
        <v>22.942137339999999</v>
      </c>
      <c r="D3424" s="3">
        <v>32</v>
      </c>
    </row>
    <row r="3425" spans="1:4" x14ac:dyDescent="0.2">
      <c r="A3425" s="3">
        <v>3424</v>
      </c>
      <c r="B3425" s="3">
        <v>113.34982309999999</v>
      </c>
      <c r="C3425" s="3">
        <v>22.94242886</v>
      </c>
      <c r="D3425" s="3">
        <v>32</v>
      </c>
    </row>
    <row r="3426" spans="1:4" x14ac:dyDescent="0.2">
      <c r="A3426" s="3">
        <v>3425</v>
      </c>
      <c r="B3426" s="3">
        <v>113.3475656</v>
      </c>
      <c r="C3426" s="3">
        <v>22.933696269999999</v>
      </c>
      <c r="D3426" s="3">
        <v>43</v>
      </c>
    </row>
    <row r="3427" spans="1:4" x14ac:dyDescent="0.2">
      <c r="A3427" s="3">
        <v>3426</v>
      </c>
      <c r="B3427" s="3">
        <v>113.34713170000001</v>
      </c>
      <c r="C3427" s="3">
        <v>22.943352910000002</v>
      </c>
      <c r="D3427" s="3">
        <v>32</v>
      </c>
    </row>
    <row r="3428" spans="1:4" x14ac:dyDescent="0.2">
      <c r="A3428" s="3">
        <v>3427</v>
      </c>
      <c r="B3428" s="3">
        <v>113.3488084</v>
      </c>
      <c r="C3428" s="3">
        <v>22.933868140000001</v>
      </c>
      <c r="D3428" s="3">
        <v>43</v>
      </c>
    </row>
    <row r="3429" spans="1:4" x14ac:dyDescent="0.2">
      <c r="A3429" s="3">
        <v>3428</v>
      </c>
      <c r="B3429" s="3">
        <v>113.343671</v>
      </c>
      <c r="C3429" s="3">
        <v>22.942436220000001</v>
      </c>
      <c r="D3429" s="3">
        <v>32</v>
      </c>
    </row>
    <row r="3430" spans="1:4" x14ac:dyDescent="0.2">
      <c r="A3430" s="3">
        <v>3429</v>
      </c>
      <c r="B3430" s="3">
        <v>113.34354980000001</v>
      </c>
      <c r="C3430" s="3">
        <v>22.933916029999999</v>
      </c>
      <c r="D3430" s="3">
        <v>10</v>
      </c>
    </row>
    <row r="3431" spans="1:4" x14ac:dyDescent="0.2">
      <c r="A3431" s="3">
        <v>3430</v>
      </c>
      <c r="B3431" s="3">
        <v>113.3510016</v>
      </c>
      <c r="C3431" s="3">
        <v>22.934730210000001</v>
      </c>
      <c r="D3431" s="3">
        <v>43</v>
      </c>
    </row>
    <row r="3432" spans="1:4" x14ac:dyDescent="0.2">
      <c r="A3432" s="3">
        <v>3431</v>
      </c>
      <c r="B3432" s="3">
        <v>113.3505189</v>
      </c>
      <c r="C3432" s="3">
        <v>22.942277799999999</v>
      </c>
      <c r="D3432" s="3">
        <v>32</v>
      </c>
    </row>
    <row r="3433" spans="1:4" x14ac:dyDescent="0.2">
      <c r="A3433" s="3">
        <v>3432</v>
      </c>
      <c r="B3433" s="3">
        <v>113.3515306</v>
      </c>
      <c r="C3433" s="3">
        <v>22.936366679999999</v>
      </c>
      <c r="D3433" s="3">
        <v>43</v>
      </c>
    </row>
    <row r="3434" spans="1:4" x14ac:dyDescent="0.2">
      <c r="A3434" s="3">
        <v>3433</v>
      </c>
      <c r="B3434" s="3">
        <v>113.35060729999999</v>
      </c>
      <c r="C3434" s="3">
        <v>22.934132099999999</v>
      </c>
      <c r="D3434" s="3">
        <v>43</v>
      </c>
    </row>
    <row r="3435" spans="1:4" x14ac:dyDescent="0.2">
      <c r="A3435" s="3">
        <v>3434</v>
      </c>
      <c r="B3435" s="3">
        <v>113.35113939999999</v>
      </c>
      <c r="C3435" s="3">
        <v>22.934388139999999</v>
      </c>
      <c r="D3435" s="3">
        <v>43</v>
      </c>
    </row>
    <row r="3436" spans="1:4" x14ac:dyDescent="0.2">
      <c r="A3436" s="3">
        <v>3435</v>
      </c>
      <c r="B3436" s="3">
        <v>113.3424363</v>
      </c>
      <c r="C3436" s="3">
        <v>22.942623300000001</v>
      </c>
      <c r="D3436" s="3">
        <v>32</v>
      </c>
    </row>
    <row r="3437" spans="1:4" x14ac:dyDescent="0.2">
      <c r="A3437" s="3">
        <v>3436</v>
      </c>
      <c r="B3437" s="3">
        <v>113.351416</v>
      </c>
      <c r="C3437" s="3">
        <v>22.934284739999999</v>
      </c>
      <c r="D3437" s="3">
        <v>43</v>
      </c>
    </row>
    <row r="3438" spans="1:4" x14ac:dyDescent="0.2">
      <c r="A3438" s="3">
        <v>3437</v>
      </c>
      <c r="B3438" s="3">
        <v>113.3455421</v>
      </c>
      <c r="C3438" s="3">
        <v>22.935685849999999</v>
      </c>
      <c r="D3438" s="3">
        <v>10</v>
      </c>
    </row>
    <row r="3439" spans="1:4" x14ac:dyDescent="0.2">
      <c r="A3439" s="3">
        <v>3438</v>
      </c>
      <c r="B3439" s="3">
        <v>113.34398059999999</v>
      </c>
      <c r="C3439" s="3">
        <v>22.94128117</v>
      </c>
      <c r="D3439" s="3">
        <v>32</v>
      </c>
    </row>
    <row r="3440" spans="1:4" x14ac:dyDescent="0.2">
      <c r="A3440" s="3">
        <v>3439</v>
      </c>
      <c r="B3440" s="3">
        <v>113.3513205</v>
      </c>
      <c r="C3440" s="3">
        <v>22.943472010000001</v>
      </c>
      <c r="D3440" s="3">
        <v>32</v>
      </c>
    </row>
    <row r="3441" spans="1:4" x14ac:dyDescent="0.2">
      <c r="A3441" s="3">
        <v>3440</v>
      </c>
      <c r="B3441" s="3">
        <v>113.3453683</v>
      </c>
      <c r="C3441" s="3">
        <v>22.937208500000001</v>
      </c>
      <c r="D3441" s="3">
        <v>10</v>
      </c>
    </row>
    <row r="3442" spans="1:4" x14ac:dyDescent="0.2">
      <c r="A3442" s="3">
        <v>3441</v>
      </c>
      <c r="B3442" s="3">
        <v>113.3477479</v>
      </c>
      <c r="C3442" s="3">
        <v>22.938781819999999</v>
      </c>
      <c r="D3442" s="3">
        <v>32</v>
      </c>
    </row>
    <row r="3443" spans="1:4" x14ac:dyDescent="0.2">
      <c r="A3443" s="3">
        <v>3442</v>
      </c>
      <c r="B3443" s="3">
        <v>113.35134290000001</v>
      </c>
      <c r="C3443" s="3">
        <v>22.936438949999999</v>
      </c>
      <c r="D3443" s="3">
        <v>43</v>
      </c>
    </row>
    <row r="3444" spans="1:4" x14ac:dyDescent="0.2">
      <c r="A3444" s="3">
        <v>3443</v>
      </c>
      <c r="B3444" s="3">
        <v>113.34548719999999</v>
      </c>
      <c r="C3444" s="3">
        <v>22.935923840000001</v>
      </c>
      <c r="D3444" s="3">
        <v>10</v>
      </c>
    </row>
    <row r="3445" spans="1:4" x14ac:dyDescent="0.2">
      <c r="A3445" s="3">
        <v>3444</v>
      </c>
      <c r="B3445" s="3">
        <v>113.3510386</v>
      </c>
      <c r="C3445" s="3">
        <v>22.934742150000002</v>
      </c>
      <c r="D3445" s="3">
        <v>43</v>
      </c>
    </row>
    <row r="3446" spans="1:4" x14ac:dyDescent="0.2">
      <c r="A3446" s="3">
        <v>3445</v>
      </c>
      <c r="B3446" s="3">
        <v>113.3443139</v>
      </c>
      <c r="C3446" s="3">
        <v>22.942271170000001</v>
      </c>
      <c r="D3446" s="3">
        <v>32</v>
      </c>
    </row>
    <row r="3447" spans="1:4" x14ac:dyDescent="0.2">
      <c r="A3447" s="3">
        <v>3446</v>
      </c>
      <c r="B3447" s="3">
        <v>113.3485752</v>
      </c>
      <c r="C3447" s="3">
        <v>22.94349545</v>
      </c>
      <c r="D3447" s="3">
        <v>32</v>
      </c>
    </row>
    <row r="3448" spans="1:4" x14ac:dyDescent="0.2">
      <c r="A3448" s="3">
        <v>3447</v>
      </c>
      <c r="B3448" s="3">
        <v>113.34642700000001</v>
      </c>
      <c r="C3448" s="3">
        <v>22.943604990000001</v>
      </c>
      <c r="D3448" s="3">
        <v>32</v>
      </c>
    </row>
    <row r="3449" spans="1:4" x14ac:dyDescent="0.2">
      <c r="A3449" s="3">
        <v>3448</v>
      </c>
      <c r="B3449" s="3">
        <v>113.3566253</v>
      </c>
      <c r="C3449" s="3">
        <v>22.938457020000001</v>
      </c>
      <c r="D3449" s="3">
        <v>22</v>
      </c>
    </row>
    <row r="3450" spans="1:4" x14ac:dyDescent="0.2">
      <c r="A3450" s="3">
        <v>3449</v>
      </c>
      <c r="B3450" s="3">
        <v>113.3560123</v>
      </c>
      <c r="C3450" s="3">
        <v>22.938510900000001</v>
      </c>
      <c r="D3450" s="3">
        <v>22</v>
      </c>
    </row>
    <row r="3451" spans="1:4" x14ac:dyDescent="0.2">
      <c r="A3451" s="3">
        <v>3450</v>
      </c>
      <c r="B3451" s="3">
        <v>113.3580722</v>
      </c>
      <c r="C3451" s="3">
        <v>22.938299990000001</v>
      </c>
      <c r="D3451" s="3">
        <v>22</v>
      </c>
    </row>
    <row r="3452" spans="1:4" x14ac:dyDescent="0.2">
      <c r="A3452" s="3">
        <v>3451</v>
      </c>
      <c r="B3452" s="3">
        <v>113.3576618</v>
      </c>
      <c r="C3452" s="3">
        <v>22.938526490000001</v>
      </c>
      <c r="D3452" s="3">
        <v>22</v>
      </c>
    </row>
    <row r="3453" spans="1:4" x14ac:dyDescent="0.2">
      <c r="A3453" s="3">
        <v>3452</v>
      </c>
      <c r="B3453" s="3">
        <v>113.3554072</v>
      </c>
      <c r="C3453" s="3">
        <v>22.93892662</v>
      </c>
      <c r="D3453" s="3">
        <v>22</v>
      </c>
    </row>
    <row r="3454" spans="1:4" x14ac:dyDescent="0.2">
      <c r="A3454" s="3">
        <v>3453</v>
      </c>
      <c r="B3454" s="3">
        <v>113.35896459999999</v>
      </c>
      <c r="C3454" s="3">
        <v>22.942497960000001</v>
      </c>
      <c r="D3454" s="3">
        <v>22</v>
      </c>
    </row>
    <row r="3455" spans="1:4" x14ac:dyDescent="0.2">
      <c r="A3455" s="3">
        <v>3454</v>
      </c>
      <c r="B3455" s="3">
        <v>113.3551975</v>
      </c>
      <c r="C3455" s="3">
        <v>22.939217809999999</v>
      </c>
      <c r="D3455" s="3">
        <v>22</v>
      </c>
    </row>
    <row r="3456" spans="1:4" x14ac:dyDescent="0.2">
      <c r="A3456" s="3">
        <v>3455</v>
      </c>
      <c r="B3456" s="3">
        <v>113.35535419999999</v>
      </c>
      <c r="C3456" s="3">
        <v>22.93985631</v>
      </c>
      <c r="D3456" s="3">
        <v>22</v>
      </c>
    </row>
    <row r="3457" spans="1:4" x14ac:dyDescent="0.2">
      <c r="A3457" s="3">
        <v>3456</v>
      </c>
      <c r="B3457" s="3">
        <v>113.3586244</v>
      </c>
      <c r="C3457" s="3">
        <v>22.938476139999999</v>
      </c>
      <c r="D3457" s="3">
        <v>22</v>
      </c>
    </row>
    <row r="3458" spans="1:4" x14ac:dyDescent="0.2">
      <c r="A3458" s="3">
        <v>3457</v>
      </c>
      <c r="B3458" s="3">
        <v>113.3579974</v>
      </c>
      <c r="C3458" s="3">
        <v>22.937182570000001</v>
      </c>
      <c r="D3458" s="3">
        <v>22</v>
      </c>
    </row>
    <row r="3459" spans="1:4" x14ac:dyDescent="0.2">
      <c r="A3459" s="3">
        <v>3458</v>
      </c>
      <c r="B3459" s="3">
        <v>113.3580103</v>
      </c>
      <c r="C3459" s="3">
        <v>22.93729351</v>
      </c>
      <c r="D3459" s="3">
        <v>22</v>
      </c>
    </row>
    <row r="3460" spans="1:4" x14ac:dyDescent="0.2">
      <c r="A3460" s="3">
        <v>3459</v>
      </c>
      <c r="B3460" s="3">
        <v>113.35515650000001</v>
      </c>
      <c r="C3460" s="3">
        <v>22.939816619999998</v>
      </c>
      <c r="D3460" s="3">
        <v>22</v>
      </c>
    </row>
    <row r="3461" spans="1:4" x14ac:dyDescent="0.2">
      <c r="A3461" s="3">
        <v>3460</v>
      </c>
      <c r="B3461" s="3">
        <v>113.35645839999999</v>
      </c>
      <c r="C3461" s="3">
        <v>22.941255080000001</v>
      </c>
      <c r="D3461" s="3">
        <v>22</v>
      </c>
    </row>
    <row r="3462" spans="1:4" x14ac:dyDescent="0.2">
      <c r="A3462" s="3">
        <v>3461</v>
      </c>
      <c r="B3462" s="3">
        <v>113.3573614</v>
      </c>
      <c r="C3462" s="3">
        <v>22.936081949999998</v>
      </c>
      <c r="D3462" s="3">
        <v>43</v>
      </c>
    </row>
    <row r="3463" spans="1:4" x14ac:dyDescent="0.2">
      <c r="A3463" s="3">
        <v>3462</v>
      </c>
      <c r="B3463" s="3">
        <v>113.35594020000001</v>
      </c>
      <c r="C3463" s="3">
        <v>22.941453760000002</v>
      </c>
      <c r="D3463" s="3">
        <v>22</v>
      </c>
    </row>
    <row r="3464" spans="1:4" x14ac:dyDescent="0.2">
      <c r="A3464" s="3">
        <v>3463</v>
      </c>
      <c r="B3464" s="3">
        <v>113.35510050000001</v>
      </c>
      <c r="C3464" s="3">
        <v>22.940852270000001</v>
      </c>
      <c r="D3464" s="3">
        <v>22</v>
      </c>
    </row>
    <row r="3465" spans="1:4" x14ac:dyDescent="0.2">
      <c r="A3465" s="3">
        <v>3464</v>
      </c>
      <c r="B3465" s="3">
        <v>113.3557794</v>
      </c>
      <c r="C3465" s="3">
        <v>22.942135709999999</v>
      </c>
      <c r="D3465" s="3">
        <v>22</v>
      </c>
    </row>
    <row r="3466" spans="1:4" x14ac:dyDescent="0.2">
      <c r="A3466" s="3">
        <v>3465</v>
      </c>
      <c r="B3466" s="3">
        <v>113.3555922</v>
      </c>
      <c r="C3466" s="3">
        <v>22.934366270000002</v>
      </c>
      <c r="D3466" s="3">
        <v>43</v>
      </c>
    </row>
    <row r="3467" spans="1:4" x14ac:dyDescent="0.2">
      <c r="A3467" s="3">
        <v>3466</v>
      </c>
      <c r="B3467" s="3">
        <v>113.3569995</v>
      </c>
      <c r="C3467" s="3">
        <v>22.941950989999999</v>
      </c>
      <c r="D3467" s="3">
        <v>22</v>
      </c>
    </row>
    <row r="3468" spans="1:4" x14ac:dyDescent="0.2">
      <c r="A3468" s="3">
        <v>3467</v>
      </c>
      <c r="B3468" s="3">
        <v>113.3574079</v>
      </c>
      <c r="C3468" s="3">
        <v>22.942077350000002</v>
      </c>
      <c r="D3468" s="3">
        <v>22</v>
      </c>
    </row>
    <row r="3469" spans="1:4" x14ac:dyDescent="0.2">
      <c r="A3469" s="3">
        <v>3468</v>
      </c>
      <c r="B3469" s="3">
        <v>113.3598707</v>
      </c>
      <c r="C3469" s="3">
        <v>22.936073409999999</v>
      </c>
      <c r="D3469" s="3">
        <v>35</v>
      </c>
    </row>
    <row r="3470" spans="1:4" x14ac:dyDescent="0.2">
      <c r="A3470" s="3">
        <v>3469</v>
      </c>
      <c r="B3470" s="3">
        <v>113.35451639999999</v>
      </c>
      <c r="C3470" s="3">
        <v>22.94160583</v>
      </c>
      <c r="D3470" s="3">
        <v>22</v>
      </c>
    </row>
    <row r="3471" spans="1:4" x14ac:dyDescent="0.2">
      <c r="A3471" s="3">
        <v>3470</v>
      </c>
      <c r="B3471" s="3">
        <v>113.3521404</v>
      </c>
      <c r="C3471" s="3">
        <v>22.939366450000001</v>
      </c>
      <c r="D3471" s="3">
        <v>32</v>
      </c>
    </row>
    <row r="3472" spans="1:4" x14ac:dyDescent="0.2">
      <c r="A3472" s="3">
        <v>3471</v>
      </c>
      <c r="B3472" s="3">
        <v>113.3526339</v>
      </c>
      <c r="C3472" s="3">
        <v>22.934612680000001</v>
      </c>
      <c r="D3472" s="3">
        <v>43</v>
      </c>
    </row>
    <row r="3473" spans="1:4" x14ac:dyDescent="0.2">
      <c r="A3473" s="3">
        <v>3472</v>
      </c>
      <c r="B3473" s="3">
        <v>113.3560325</v>
      </c>
      <c r="C3473" s="3">
        <v>22.934273659999999</v>
      </c>
      <c r="D3473" s="3">
        <v>43</v>
      </c>
    </row>
    <row r="3474" spans="1:4" x14ac:dyDescent="0.2">
      <c r="A3474" s="3">
        <v>3473</v>
      </c>
      <c r="B3474" s="3">
        <v>113.35687799999999</v>
      </c>
      <c r="C3474" s="3">
        <v>22.9371562</v>
      </c>
      <c r="D3474" s="3">
        <v>22</v>
      </c>
    </row>
    <row r="3475" spans="1:4" x14ac:dyDescent="0.2">
      <c r="A3475" s="3">
        <v>3474</v>
      </c>
      <c r="B3475" s="3">
        <v>113.3599052</v>
      </c>
      <c r="C3475" s="3">
        <v>22.942231759999999</v>
      </c>
      <c r="D3475" s="3">
        <v>22</v>
      </c>
    </row>
    <row r="3476" spans="1:4" x14ac:dyDescent="0.2">
      <c r="A3476" s="3">
        <v>3475</v>
      </c>
      <c r="B3476" s="3">
        <v>113.3554874</v>
      </c>
      <c r="C3476" s="3">
        <v>22.933787670000001</v>
      </c>
      <c r="D3476" s="3">
        <v>43</v>
      </c>
    </row>
    <row r="3477" spans="1:4" x14ac:dyDescent="0.2">
      <c r="A3477" s="3">
        <v>3476</v>
      </c>
      <c r="B3477" s="3">
        <v>113.35857540000001</v>
      </c>
      <c r="C3477" s="3">
        <v>22.9384902</v>
      </c>
      <c r="D3477" s="3">
        <v>22</v>
      </c>
    </row>
    <row r="3478" spans="1:4" x14ac:dyDescent="0.2">
      <c r="A3478" s="3">
        <v>3477</v>
      </c>
      <c r="B3478" s="3">
        <v>113.35472</v>
      </c>
      <c r="C3478" s="3">
        <v>22.942799019999999</v>
      </c>
      <c r="D3478" s="3">
        <v>22</v>
      </c>
    </row>
    <row r="3479" spans="1:4" x14ac:dyDescent="0.2">
      <c r="A3479" s="3">
        <v>3478</v>
      </c>
      <c r="B3479" s="3">
        <v>113.35841240000001</v>
      </c>
      <c r="C3479" s="3">
        <v>22.942217849999999</v>
      </c>
      <c r="D3479" s="3">
        <v>22</v>
      </c>
    </row>
    <row r="3480" spans="1:4" x14ac:dyDescent="0.2">
      <c r="A3480" s="3">
        <v>3479</v>
      </c>
      <c r="B3480" s="3">
        <v>113.3596336</v>
      </c>
      <c r="C3480" s="3">
        <v>22.942830879999999</v>
      </c>
      <c r="D3480" s="3">
        <v>22</v>
      </c>
    </row>
    <row r="3481" spans="1:4" x14ac:dyDescent="0.2">
      <c r="A3481" s="3">
        <v>3480</v>
      </c>
      <c r="B3481" s="3">
        <v>113.35841240000001</v>
      </c>
      <c r="C3481" s="3">
        <v>22.942217849999999</v>
      </c>
      <c r="D3481" s="3">
        <v>22</v>
      </c>
    </row>
    <row r="3482" spans="1:4" x14ac:dyDescent="0.2">
      <c r="A3482" s="3">
        <v>3481</v>
      </c>
      <c r="B3482" s="3">
        <v>113.3596336</v>
      </c>
      <c r="C3482" s="3">
        <v>22.942830879999999</v>
      </c>
      <c r="D3482" s="3">
        <v>22</v>
      </c>
    </row>
    <row r="3483" spans="1:4" x14ac:dyDescent="0.2">
      <c r="A3483" s="3">
        <v>3482</v>
      </c>
      <c r="B3483" s="3">
        <v>113.3599052</v>
      </c>
      <c r="C3483" s="3">
        <v>22.942231759999999</v>
      </c>
      <c r="D3483" s="3">
        <v>22</v>
      </c>
    </row>
    <row r="3484" spans="1:4" x14ac:dyDescent="0.2">
      <c r="A3484" s="3">
        <v>3483</v>
      </c>
      <c r="B3484" s="3">
        <v>113.3545963</v>
      </c>
      <c r="C3484" s="3">
        <v>22.941615710000001</v>
      </c>
      <c r="D3484" s="3">
        <v>22</v>
      </c>
    </row>
    <row r="3485" spans="1:4" x14ac:dyDescent="0.2">
      <c r="A3485" s="3">
        <v>3484</v>
      </c>
      <c r="B3485" s="3">
        <v>113.35301080000001</v>
      </c>
      <c r="C3485" s="3">
        <v>22.941778070000002</v>
      </c>
      <c r="D3485" s="3">
        <v>22</v>
      </c>
    </row>
    <row r="3486" spans="1:4" x14ac:dyDescent="0.2">
      <c r="A3486" s="3">
        <v>3485</v>
      </c>
      <c r="B3486" s="3">
        <v>113.3609718</v>
      </c>
      <c r="C3486" s="3">
        <v>22.94200141</v>
      </c>
      <c r="D3486" s="3">
        <v>22</v>
      </c>
    </row>
    <row r="3487" spans="1:4" x14ac:dyDescent="0.2">
      <c r="A3487" s="3">
        <v>3486</v>
      </c>
      <c r="B3487" s="3">
        <v>113.35224959999999</v>
      </c>
      <c r="C3487" s="3">
        <v>22.93439038</v>
      </c>
      <c r="D3487" s="3">
        <v>43</v>
      </c>
    </row>
    <row r="3488" spans="1:4" x14ac:dyDescent="0.2">
      <c r="A3488" s="3">
        <v>3487</v>
      </c>
      <c r="B3488" s="3">
        <v>113.3564463</v>
      </c>
      <c r="C3488" s="3">
        <v>22.943529130000002</v>
      </c>
      <c r="D3488" s="3">
        <v>22</v>
      </c>
    </row>
    <row r="3489" spans="1:4" x14ac:dyDescent="0.2">
      <c r="A3489" s="3">
        <v>3488</v>
      </c>
      <c r="B3489" s="3">
        <v>113.3517732</v>
      </c>
      <c r="C3489" s="3">
        <v>22.936881079999999</v>
      </c>
      <c r="D3489" s="3">
        <v>43</v>
      </c>
    </row>
    <row r="3490" spans="1:4" x14ac:dyDescent="0.2">
      <c r="A3490" s="3">
        <v>3489</v>
      </c>
      <c r="B3490" s="3">
        <v>113.3542927</v>
      </c>
      <c r="C3490" s="3">
        <v>22.942547770000001</v>
      </c>
      <c r="D3490" s="3">
        <v>22</v>
      </c>
    </row>
    <row r="3491" spans="1:4" x14ac:dyDescent="0.2">
      <c r="A3491" s="3">
        <v>3490</v>
      </c>
      <c r="B3491" s="3">
        <v>113.3573839</v>
      </c>
      <c r="C3491" s="3">
        <v>22.94341382</v>
      </c>
      <c r="D3491" s="3">
        <v>22</v>
      </c>
    </row>
    <row r="3492" spans="1:4" x14ac:dyDescent="0.2">
      <c r="A3492" s="3">
        <v>3491</v>
      </c>
      <c r="B3492" s="3">
        <v>113.35944689999999</v>
      </c>
      <c r="C3492" s="3">
        <v>22.942368340000002</v>
      </c>
      <c r="D3492" s="3">
        <v>22</v>
      </c>
    </row>
    <row r="3493" spans="1:4" x14ac:dyDescent="0.2">
      <c r="A3493" s="3">
        <v>3492</v>
      </c>
      <c r="B3493" s="3">
        <v>113.3614165</v>
      </c>
      <c r="C3493" s="3">
        <v>22.936251240000001</v>
      </c>
      <c r="D3493" s="3">
        <v>35</v>
      </c>
    </row>
    <row r="3494" spans="1:4" x14ac:dyDescent="0.2">
      <c r="A3494" s="3">
        <v>3493</v>
      </c>
      <c r="B3494" s="3">
        <v>113.3614705</v>
      </c>
      <c r="C3494" s="3">
        <v>22.935657419999998</v>
      </c>
      <c r="D3494" s="3">
        <v>35</v>
      </c>
    </row>
    <row r="3495" spans="1:4" x14ac:dyDescent="0.2">
      <c r="A3495" s="3">
        <v>3494</v>
      </c>
      <c r="B3495" s="3">
        <v>113.35555170000001</v>
      </c>
      <c r="C3495" s="3">
        <v>22.943172610000001</v>
      </c>
      <c r="D3495" s="3">
        <v>22</v>
      </c>
    </row>
    <row r="3496" spans="1:4" x14ac:dyDescent="0.2">
      <c r="A3496" s="3">
        <v>3495</v>
      </c>
      <c r="B3496" s="3">
        <v>113.3599052</v>
      </c>
      <c r="C3496" s="3">
        <v>22.942231759999999</v>
      </c>
      <c r="D3496" s="3">
        <v>22</v>
      </c>
    </row>
    <row r="3497" spans="1:4" x14ac:dyDescent="0.2">
      <c r="A3497" s="3">
        <v>3496</v>
      </c>
      <c r="B3497" s="3">
        <v>113.3526952</v>
      </c>
      <c r="C3497" s="3">
        <v>22.943221950000002</v>
      </c>
      <c r="D3497" s="3">
        <v>22</v>
      </c>
    </row>
    <row r="3498" spans="1:4" x14ac:dyDescent="0.2">
      <c r="A3498" s="3">
        <v>3497</v>
      </c>
      <c r="B3498" s="3">
        <v>113.360038</v>
      </c>
      <c r="C3498" s="3">
        <v>22.9433501</v>
      </c>
      <c r="D3498" s="3">
        <v>22</v>
      </c>
    </row>
    <row r="3499" spans="1:4" x14ac:dyDescent="0.2">
      <c r="A3499" s="3">
        <v>3498</v>
      </c>
      <c r="B3499" s="3">
        <v>113.3608095</v>
      </c>
      <c r="C3499" s="3">
        <v>22.934700710000001</v>
      </c>
      <c r="D3499" s="3">
        <v>35</v>
      </c>
    </row>
    <row r="3500" spans="1:4" x14ac:dyDescent="0.2">
      <c r="A3500" s="3">
        <v>3499</v>
      </c>
      <c r="B3500" s="3">
        <v>113.360061</v>
      </c>
      <c r="C3500" s="3">
        <v>22.94219756</v>
      </c>
      <c r="D3500" s="3">
        <v>22</v>
      </c>
    </row>
    <row r="3501" spans="1:4" x14ac:dyDescent="0.2">
      <c r="A3501" s="3">
        <v>3500</v>
      </c>
      <c r="B3501" s="3">
        <v>113.3585537</v>
      </c>
      <c r="C3501" s="3">
        <v>22.934845769999999</v>
      </c>
      <c r="D3501" s="3">
        <v>43</v>
      </c>
    </row>
    <row r="3502" spans="1:4" x14ac:dyDescent="0.2">
      <c r="A3502" s="3">
        <v>3501</v>
      </c>
      <c r="B3502" s="3">
        <v>113.3585874</v>
      </c>
      <c r="C3502" s="3">
        <v>22.938490179999999</v>
      </c>
      <c r="D3502" s="3">
        <v>22</v>
      </c>
    </row>
    <row r="3503" spans="1:4" x14ac:dyDescent="0.2">
      <c r="A3503" s="3">
        <v>3502</v>
      </c>
      <c r="B3503" s="3">
        <v>113.3527048</v>
      </c>
      <c r="C3503" s="3">
        <v>22.934214740000002</v>
      </c>
      <c r="D3503" s="3">
        <v>43</v>
      </c>
    </row>
    <row r="3504" spans="1:4" x14ac:dyDescent="0.2">
      <c r="A3504" s="3">
        <v>3503</v>
      </c>
      <c r="B3504" s="3">
        <v>113.3600936</v>
      </c>
      <c r="C3504" s="3">
        <v>22.933751090000001</v>
      </c>
      <c r="D3504" s="3">
        <v>35</v>
      </c>
    </row>
    <row r="3505" spans="1:4" x14ac:dyDescent="0.2">
      <c r="A3505" s="3">
        <v>3504</v>
      </c>
      <c r="B3505" s="3">
        <v>113.35299310000001</v>
      </c>
      <c r="C3505" s="3">
        <v>22.93790474</v>
      </c>
      <c r="D3505" s="3">
        <v>43</v>
      </c>
    </row>
    <row r="3506" spans="1:4" x14ac:dyDescent="0.2">
      <c r="A3506" s="3">
        <v>3505</v>
      </c>
      <c r="B3506" s="3">
        <v>113.3520639</v>
      </c>
      <c r="C3506" s="3">
        <v>22.934381680000001</v>
      </c>
      <c r="D3506" s="3">
        <v>43</v>
      </c>
    </row>
    <row r="3507" spans="1:4" x14ac:dyDescent="0.2">
      <c r="A3507" s="3">
        <v>3506</v>
      </c>
      <c r="B3507" s="3">
        <v>113.3601328</v>
      </c>
      <c r="C3507" s="3">
        <v>22.943636850000001</v>
      </c>
      <c r="D3507" s="3">
        <v>22</v>
      </c>
    </row>
    <row r="3508" spans="1:4" x14ac:dyDescent="0.2">
      <c r="A3508" s="3">
        <v>3507</v>
      </c>
      <c r="B3508" s="3">
        <v>113.35200639999999</v>
      </c>
      <c r="C3508" s="3">
        <v>22.942783210000002</v>
      </c>
      <c r="D3508" s="3">
        <v>32</v>
      </c>
    </row>
    <row r="3509" spans="1:4" x14ac:dyDescent="0.2">
      <c r="A3509" s="3">
        <v>3508</v>
      </c>
      <c r="B3509" s="3">
        <v>113.3549629</v>
      </c>
      <c r="C3509" s="3">
        <v>22.938237579999999</v>
      </c>
      <c r="D3509" s="3">
        <v>22</v>
      </c>
    </row>
    <row r="3510" spans="1:4" x14ac:dyDescent="0.2">
      <c r="A3510" s="3">
        <v>3509</v>
      </c>
      <c r="B3510" s="3">
        <v>113.360057</v>
      </c>
      <c r="C3510" s="3">
        <v>22.94309719</v>
      </c>
      <c r="D3510" s="3">
        <v>22</v>
      </c>
    </row>
    <row r="3511" spans="1:4" x14ac:dyDescent="0.2">
      <c r="A3511" s="3">
        <v>3510</v>
      </c>
      <c r="B3511" s="3">
        <v>113.36145140000001</v>
      </c>
      <c r="C3511" s="3">
        <v>22.938044439999999</v>
      </c>
      <c r="D3511" s="3">
        <v>35</v>
      </c>
    </row>
    <row r="3512" spans="1:4" x14ac:dyDescent="0.2">
      <c r="A3512" s="3">
        <v>3511</v>
      </c>
      <c r="B3512" s="3">
        <v>113.35167490000001</v>
      </c>
      <c r="C3512" s="3">
        <v>22.942925679999998</v>
      </c>
      <c r="D3512" s="3">
        <v>32</v>
      </c>
    </row>
    <row r="3513" spans="1:4" x14ac:dyDescent="0.2">
      <c r="A3513" s="3">
        <v>3512</v>
      </c>
      <c r="B3513" s="3">
        <v>113.35695459999999</v>
      </c>
      <c r="C3513" s="3">
        <v>22.941926070000001</v>
      </c>
      <c r="D3513" s="3">
        <v>22</v>
      </c>
    </row>
    <row r="3514" spans="1:4" x14ac:dyDescent="0.2">
      <c r="A3514" s="3">
        <v>3513</v>
      </c>
      <c r="B3514" s="3">
        <v>113.35303500000001</v>
      </c>
      <c r="C3514" s="3">
        <v>22.938012619999999</v>
      </c>
      <c r="D3514" s="3">
        <v>43</v>
      </c>
    </row>
    <row r="3515" spans="1:4" x14ac:dyDescent="0.2">
      <c r="A3515" s="3">
        <v>3514</v>
      </c>
      <c r="B3515" s="3">
        <v>113.35251</v>
      </c>
      <c r="C3515" s="3">
        <v>22.936682009999998</v>
      </c>
      <c r="D3515" s="3">
        <v>43</v>
      </c>
    </row>
    <row r="3516" spans="1:4" x14ac:dyDescent="0.2">
      <c r="A3516" s="3">
        <v>3515</v>
      </c>
      <c r="B3516" s="3">
        <v>113.3559612</v>
      </c>
      <c r="C3516" s="3">
        <v>22.941299789999999</v>
      </c>
      <c r="D3516" s="3">
        <v>22</v>
      </c>
    </row>
    <row r="3517" spans="1:4" x14ac:dyDescent="0.2">
      <c r="A3517" s="3">
        <v>3516</v>
      </c>
      <c r="B3517" s="3">
        <v>113.36029360000001</v>
      </c>
      <c r="C3517" s="3">
        <v>22.943620639999999</v>
      </c>
      <c r="D3517" s="3">
        <v>22</v>
      </c>
    </row>
    <row r="3518" spans="1:4" x14ac:dyDescent="0.2">
      <c r="A3518" s="3">
        <v>3517</v>
      </c>
      <c r="B3518" s="3">
        <v>113.3582646</v>
      </c>
      <c r="C3518" s="3">
        <v>22.942247049999999</v>
      </c>
      <c r="D3518" s="3">
        <v>22</v>
      </c>
    </row>
    <row r="3519" spans="1:4" x14ac:dyDescent="0.2">
      <c r="A3519" s="3">
        <v>3518</v>
      </c>
      <c r="B3519" s="3">
        <v>113.3567189</v>
      </c>
      <c r="C3519" s="3">
        <v>22.942568139999999</v>
      </c>
      <c r="D3519" s="3">
        <v>22</v>
      </c>
    </row>
    <row r="3520" spans="1:4" x14ac:dyDescent="0.2">
      <c r="A3520" s="3">
        <v>3519</v>
      </c>
      <c r="B3520" s="3">
        <v>113.3522007</v>
      </c>
      <c r="C3520" s="3">
        <v>22.934375459999998</v>
      </c>
      <c r="D3520" s="3">
        <v>43</v>
      </c>
    </row>
    <row r="3521" spans="1:4" x14ac:dyDescent="0.2">
      <c r="A3521" s="3">
        <v>3520</v>
      </c>
      <c r="B3521" s="3">
        <v>113.35243629999999</v>
      </c>
      <c r="C3521" s="3">
        <v>22.934156189999999</v>
      </c>
      <c r="D3521" s="3">
        <v>43</v>
      </c>
    </row>
    <row r="3522" spans="1:4" x14ac:dyDescent="0.2">
      <c r="A3522" s="3">
        <v>3521</v>
      </c>
      <c r="B3522" s="3">
        <v>113.35770979999999</v>
      </c>
      <c r="C3522" s="3">
        <v>22.93728694</v>
      </c>
      <c r="D3522" s="3">
        <v>22</v>
      </c>
    </row>
    <row r="3523" spans="1:4" x14ac:dyDescent="0.2">
      <c r="A3523" s="3">
        <v>3522</v>
      </c>
      <c r="B3523" s="3">
        <v>113.3567169</v>
      </c>
      <c r="C3523" s="3">
        <v>22.942542159999999</v>
      </c>
      <c r="D3523" s="3">
        <v>22</v>
      </c>
    </row>
    <row r="3524" spans="1:4" x14ac:dyDescent="0.2">
      <c r="A3524" s="3">
        <v>3523</v>
      </c>
      <c r="B3524" s="3">
        <v>113.36010090000001</v>
      </c>
      <c r="C3524" s="3">
        <v>22.94310312</v>
      </c>
      <c r="D3524" s="3">
        <v>22</v>
      </c>
    </row>
    <row r="3525" spans="1:4" x14ac:dyDescent="0.2">
      <c r="A3525" s="3">
        <v>3524</v>
      </c>
      <c r="B3525" s="3">
        <v>113.3565183</v>
      </c>
      <c r="C3525" s="3">
        <v>22.94210163</v>
      </c>
      <c r="D3525" s="3">
        <v>22</v>
      </c>
    </row>
    <row r="3526" spans="1:4" x14ac:dyDescent="0.2">
      <c r="A3526" s="3">
        <v>3525</v>
      </c>
      <c r="B3526" s="3">
        <v>113.3561923</v>
      </c>
      <c r="C3526" s="3">
        <v>22.934274420000001</v>
      </c>
      <c r="D3526" s="3">
        <v>43</v>
      </c>
    </row>
    <row r="3527" spans="1:4" x14ac:dyDescent="0.2">
      <c r="A3527" s="3">
        <v>3526</v>
      </c>
      <c r="B3527" s="3">
        <v>113.36016979999999</v>
      </c>
      <c r="C3527" s="3">
        <v>22.94362881</v>
      </c>
      <c r="D3527" s="3">
        <v>22</v>
      </c>
    </row>
    <row r="3528" spans="1:4" x14ac:dyDescent="0.2">
      <c r="A3528" s="3">
        <v>3527</v>
      </c>
      <c r="B3528" s="3">
        <v>113.354726</v>
      </c>
      <c r="C3528" s="3">
        <v>22.942775019999999</v>
      </c>
      <c r="D3528" s="3">
        <v>22</v>
      </c>
    </row>
    <row r="3529" spans="1:4" x14ac:dyDescent="0.2">
      <c r="A3529" s="3">
        <v>3528</v>
      </c>
      <c r="B3529" s="3">
        <v>113.36042209999999</v>
      </c>
      <c r="C3529" s="3">
        <v>22.933751640000001</v>
      </c>
      <c r="D3529" s="3">
        <v>35</v>
      </c>
    </row>
    <row r="3530" spans="1:4" x14ac:dyDescent="0.2">
      <c r="A3530" s="3">
        <v>3529</v>
      </c>
      <c r="B3530" s="3">
        <v>113.3575786</v>
      </c>
      <c r="C3530" s="3">
        <v>22.94224303</v>
      </c>
      <c r="D3530" s="3">
        <v>22</v>
      </c>
    </row>
    <row r="3531" spans="1:4" x14ac:dyDescent="0.2">
      <c r="A3531" s="3">
        <v>3530</v>
      </c>
      <c r="B3531" s="3">
        <v>113.3554578</v>
      </c>
      <c r="C3531" s="3">
        <v>22.943437639999999</v>
      </c>
      <c r="D3531" s="3">
        <v>22</v>
      </c>
    </row>
    <row r="3532" spans="1:4" x14ac:dyDescent="0.2">
      <c r="A3532" s="3">
        <v>3531</v>
      </c>
      <c r="B3532" s="3">
        <v>113.3613295</v>
      </c>
      <c r="C3532" s="3">
        <v>22.938378459999999</v>
      </c>
      <c r="D3532" s="3">
        <v>35</v>
      </c>
    </row>
    <row r="3533" spans="1:4" x14ac:dyDescent="0.2">
      <c r="A3533" s="3">
        <v>3532</v>
      </c>
      <c r="B3533" s="3">
        <v>113.3586693</v>
      </c>
      <c r="C3533" s="3">
        <v>22.938539049999999</v>
      </c>
      <c r="D3533" s="3">
        <v>22</v>
      </c>
    </row>
    <row r="3534" spans="1:4" x14ac:dyDescent="0.2">
      <c r="A3534" s="3">
        <v>3533</v>
      </c>
      <c r="B3534" s="3">
        <v>113.3613618</v>
      </c>
      <c r="C3534" s="3">
        <v>22.933678400000002</v>
      </c>
      <c r="D3534" s="3">
        <v>35</v>
      </c>
    </row>
    <row r="3535" spans="1:4" x14ac:dyDescent="0.2">
      <c r="A3535" s="3">
        <v>3534</v>
      </c>
      <c r="B3535" s="3">
        <v>113.3526038</v>
      </c>
      <c r="C3535" s="3">
        <v>22.936710850000001</v>
      </c>
      <c r="D3535" s="3">
        <v>43</v>
      </c>
    </row>
    <row r="3536" spans="1:4" x14ac:dyDescent="0.2">
      <c r="A3536" s="3">
        <v>3535</v>
      </c>
      <c r="B3536" s="3">
        <v>113.3564233</v>
      </c>
      <c r="C3536" s="3">
        <v>22.943541159999999</v>
      </c>
      <c r="D3536" s="3">
        <v>22</v>
      </c>
    </row>
    <row r="3537" spans="1:4" x14ac:dyDescent="0.2">
      <c r="A3537" s="3">
        <v>3536</v>
      </c>
      <c r="B3537" s="3">
        <v>113.35842340000001</v>
      </c>
      <c r="C3537" s="3">
        <v>22.942396760000001</v>
      </c>
      <c r="D3537" s="3">
        <v>22</v>
      </c>
    </row>
    <row r="3538" spans="1:4" x14ac:dyDescent="0.2">
      <c r="A3538" s="3">
        <v>3537</v>
      </c>
      <c r="B3538" s="3">
        <v>113.3607281</v>
      </c>
      <c r="C3538" s="3">
        <v>22.94197475</v>
      </c>
      <c r="D3538" s="3">
        <v>22</v>
      </c>
    </row>
    <row r="3539" spans="1:4" x14ac:dyDescent="0.2">
      <c r="A3539" s="3">
        <v>3538</v>
      </c>
      <c r="B3539" s="3">
        <v>113.36014489999999</v>
      </c>
      <c r="C3539" s="3">
        <v>22.94226342</v>
      </c>
      <c r="D3539" s="3">
        <v>22</v>
      </c>
    </row>
    <row r="3540" spans="1:4" x14ac:dyDescent="0.2">
      <c r="A3540" s="3">
        <v>3539</v>
      </c>
      <c r="B3540" s="3">
        <v>113.3573899</v>
      </c>
      <c r="C3540" s="3">
        <v>22.94336783</v>
      </c>
      <c r="D3540" s="3">
        <v>22</v>
      </c>
    </row>
    <row r="3541" spans="1:4" x14ac:dyDescent="0.2">
      <c r="A3541" s="3">
        <v>3540</v>
      </c>
      <c r="B3541" s="3">
        <v>113.3664508</v>
      </c>
      <c r="C3541" s="3">
        <v>22.939007749999998</v>
      </c>
      <c r="D3541" s="3">
        <v>35</v>
      </c>
    </row>
    <row r="3542" spans="1:4" x14ac:dyDescent="0.2">
      <c r="A3542" s="3">
        <v>3541</v>
      </c>
      <c r="B3542" s="3">
        <v>113.3663639</v>
      </c>
      <c r="C3542" s="3">
        <v>22.938812930000001</v>
      </c>
      <c r="D3542" s="3">
        <v>35</v>
      </c>
    </row>
    <row r="3543" spans="1:4" x14ac:dyDescent="0.2">
      <c r="A3543" s="3">
        <v>3542</v>
      </c>
      <c r="B3543" s="3">
        <v>113.3695092</v>
      </c>
      <c r="C3543" s="3">
        <v>22.940733560000002</v>
      </c>
      <c r="D3543" s="3">
        <v>35</v>
      </c>
    </row>
    <row r="3544" spans="1:4" x14ac:dyDescent="0.2">
      <c r="A3544" s="3">
        <v>3543</v>
      </c>
      <c r="B3544" s="3">
        <v>113.3632439</v>
      </c>
      <c r="C3544" s="3">
        <v>22.939379540000001</v>
      </c>
      <c r="D3544" s="3">
        <v>35</v>
      </c>
    </row>
    <row r="3545" spans="1:4" x14ac:dyDescent="0.2">
      <c r="A3545" s="3">
        <v>3544</v>
      </c>
      <c r="B3545" s="3">
        <v>113.3651155</v>
      </c>
      <c r="C3545" s="3">
        <v>22.938257669999999</v>
      </c>
      <c r="D3545" s="3">
        <v>35</v>
      </c>
    </row>
    <row r="3546" spans="1:4" x14ac:dyDescent="0.2">
      <c r="A3546" s="3">
        <v>3545</v>
      </c>
      <c r="B3546" s="3">
        <v>113.3651255</v>
      </c>
      <c r="C3546" s="3">
        <v>22.938800430000001</v>
      </c>
      <c r="D3546" s="3">
        <v>35</v>
      </c>
    </row>
    <row r="3547" spans="1:4" x14ac:dyDescent="0.2">
      <c r="A3547" s="3">
        <v>3546</v>
      </c>
      <c r="B3547" s="3">
        <v>113.36589069999999</v>
      </c>
      <c r="C3547" s="3">
        <v>22.93683833</v>
      </c>
      <c r="D3547" s="3">
        <v>35</v>
      </c>
    </row>
    <row r="3548" spans="1:4" x14ac:dyDescent="0.2">
      <c r="A3548" s="3">
        <v>3547</v>
      </c>
      <c r="B3548" s="3">
        <v>113.3678002</v>
      </c>
      <c r="C3548" s="3">
        <v>22.938785280000001</v>
      </c>
      <c r="D3548" s="3">
        <v>35</v>
      </c>
    </row>
    <row r="3549" spans="1:4" x14ac:dyDescent="0.2">
      <c r="A3549" s="3">
        <v>3548</v>
      </c>
      <c r="B3549" s="3">
        <v>113.3677752</v>
      </c>
      <c r="C3549" s="3">
        <v>22.93921813</v>
      </c>
      <c r="D3549" s="3">
        <v>35</v>
      </c>
    </row>
    <row r="3550" spans="1:4" x14ac:dyDescent="0.2">
      <c r="A3550" s="3">
        <v>3549</v>
      </c>
      <c r="B3550" s="3">
        <v>113.3666985</v>
      </c>
      <c r="C3550" s="3">
        <v>22.939406290000001</v>
      </c>
      <c r="D3550" s="3">
        <v>35</v>
      </c>
    </row>
    <row r="3551" spans="1:4" x14ac:dyDescent="0.2">
      <c r="A3551" s="3">
        <v>3550</v>
      </c>
      <c r="B3551" s="3">
        <v>113.367125</v>
      </c>
      <c r="C3551" s="3">
        <v>22.939855600000001</v>
      </c>
      <c r="D3551" s="3">
        <v>35</v>
      </c>
    </row>
    <row r="3552" spans="1:4" x14ac:dyDescent="0.2">
      <c r="A3552" s="3">
        <v>3551</v>
      </c>
      <c r="B3552" s="3">
        <v>113.36539209999999</v>
      </c>
      <c r="C3552" s="3">
        <v>22.939583769999999</v>
      </c>
      <c r="D3552" s="3">
        <v>35</v>
      </c>
    </row>
    <row r="3553" spans="1:4" x14ac:dyDescent="0.2">
      <c r="A3553" s="3">
        <v>3552</v>
      </c>
      <c r="B3553" s="3">
        <v>113.3655919</v>
      </c>
      <c r="C3553" s="3">
        <v>22.938126149999999</v>
      </c>
      <c r="D3553" s="3">
        <v>35</v>
      </c>
    </row>
    <row r="3554" spans="1:4" x14ac:dyDescent="0.2">
      <c r="A3554" s="3">
        <v>3553</v>
      </c>
      <c r="B3554" s="3">
        <v>113.3655718</v>
      </c>
      <c r="C3554" s="3">
        <v>22.93997139</v>
      </c>
      <c r="D3554" s="3">
        <v>35</v>
      </c>
    </row>
    <row r="3555" spans="1:4" x14ac:dyDescent="0.2">
      <c r="A3555" s="3">
        <v>3554</v>
      </c>
      <c r="B3555" s="3">
        <v>113.3653461</v>
      </c>
      <c r="C3555" s="3">
        <v>22.940174580000001</v>
      </c>
      <c r="D3555" s="3">
        <v>35</v>
      </c>
    </row>
    <row r="3556" spans="1:4" x14ac:dyDescent="0.2">
      <c r="A3556" s="3">
        <v>3555</v>
      </c>
      <c r="B3556" s="3">
        <v>113.36367629999999</v>
      </c>
      <c r="C3556" s="3">
        <v>22.938699270000001</v>
      </c>
      <c r="D3556" s="3">
        <v>35</v>
      </c>
    </row>
    <row r="3557" spans="1:4" x14ac:dyDescent="0.2">
      <c r="A3557" s="3">
        <v>3556</v>
      </c>
      <c r="B3557" s="3">
        <v>113.36614609999999</v>
      </c>
      <c r="C3557" s="3">
        <v>22.940495479999999</v>
      </c>
      <c r="D3557" s="3">
        <v>35</v>
      </c>
    </row>
    <row r="3558" spans="1:4" x14ac:dyDescent="0.2">
      <c r="A3558" s="3">
        <v>3557</v>
      </c>
      <c r="B3558" s="3">
        <v>113.3703491</v>
      </c>
      <c r="C3558" s="3">
        <v>22.942931739999999</v>
      </c>
      <c r="D3558" s="3">
        <v>35</v>
      </c>
    </row>
    <row r="3559" spans="1:4" x14ac:dyDescent="0.2">
      <c r="A3559" s="3">
        <v>3558</v>
      </c>
      <c r="B3559" s="3">
        <v>113.3645013</v>
      </c>
      <c r="C3559" s="3">
        <v>22.938723230000001</v>
      </c>
      <c r="D3559" s="3">
        <v>35</v>
      </c>
    </row>
    <row r="3560" spans="1:4" x14ac:dyDescent="0.2">
      <c r="A3560" s="3">
        <v>3559</v>
      </c>
      <c r="B3560" s="3">
        <v>113.3667853</v>
      </c>
      <c r="C3560" s="3">
        <v>22.94083758</v>
      </c>
      <c r="D3560" s="3">
        <v>35</v>
      </c>
    </row>
    <row r="3561" spans="1:4" x14ac:dyDescent="0.2">
      <c r="A3561" s="3">
        <v>3560</v>
      </c>
      <c r="B3561" s="3">
        <v>113.3689737</v>
      </c>
      <c r="C3561" s="3">
        <v>22.941808689999998</v>
      </c>
      <c r="D3561" s="3">
        <v>35</v>
      </c>
    </row>
    <row r="3562" spans="1:4" x14ac:dyDescent="0.2">
      <c r="A3562" s="3">
        <v>3561</v>
      </c>
      <c r="B3562" s="3">
        <v>113.36475609999999</v>
      </c>
      <c r="C3562" s="3">
        <v>22.93696066</v>
      </c>
      <c r="D3562" s="3">
        <v>35</v>
      </c>
    </row>
    <row r="3563" spans="1:4" x14ac:dyDescent="0.2">
      <c r="A3563" s="3">
        <v>3562</v>
      </c>
      <c r="B3563" s="3">
        <v>113.3685933</v>
      </c>
      <c r="C3563" s="3">
        <v>22.939252190000001</v>
      </c>
      <c r="D3563" s="3">
        <v>35</v>
      </c>
    </row>
    <row r="3564" spans="1:4" x14ac:dyDescent="0.2">
      <c r="A3564" s="3">
        <v>3563</v>
      </c>
      <c r="B3564" s="3">
        <v>113.3668065</v>
      </c>
      <c r="C3564" s="3">
        <v>22.937375020000001</v>
      </c>
      <c r="D3564" s="3">
        <v>35</v>
      </c>
    </row>
    <row r="3565" spans="1:4" x14ac:dyDescent="0.2">
      <c r="A3565" s="3">
        <v>3564</v>
      </c>
      <c r="B3565" s="3">
        <v>113.3696841</v>
      </c>
      <c r="C3565" s="3">
        <v>22.938635260000002</v>
      </c>
      <c r="D3565" s="3">
        <v>35</v>
      </c>
    </row>
    <row r="3566" spans="1:4" x14ac:dyDescent="0.2">
      <c r="A3566" s="3">
        <v>3565</v>
      </c>
      <c r="B3566" s="3">
        <v>113.3674015</v>
      </c>
      <c r="C3566" s="3">
        <v>22.94140363</v>
      </c>
      <c r="D3566" s="3">
        <v>35</v>
      </c>
    </row>
    <row r="3567" spans="1:4" x14ac:dyDescent="0.2">
      <c r="A3567" s="3">
        <v>3566</v>
      </c>
      <c r="B3567" s="3">
        <v>113.36260470000001</v>
      </c>
      <c r="C3567" s="3">
        <v>22.939367359999999</v>
      </c>
      <c r="D3567" s="3">
        <v>35</v>
      </c>
    </row>
    <row r="3568" spans="1:4" x14ac:dyDescent="0.2">
      <c r="A3568" s="3">
        <v>3567</v>
      </c>
      <c r="B3568" s="3">
        <v>113.3663272</v>
      </c>
      <c r="C3568" s="3">
        <v>22.935855230000001</v>
      </c>
      <c r="D3568" s="3">
        <v>35</v>
      </c>
    </row>
    <row r="3569" spans="1:4" x14ac:dyDescent="0.2">
      <c r="A3569" s="3">
        <v>3568</v>
      </c>
      <c r="B3569" s="3">
        <v>113.3646779</v>
      </c>
      <c r="C3569" s="3">
        <v>22.940859110000002</v>
      </c>
      <c r="D3569" s="3">
        <v>35</v>
      </c>
    </row>
    <row r="3570" spans="1:4" x14ac:dyDescent="0.2">
      <c r="A3570" s="3">
        <v>3569</v>
      </c>
      <c r="B3570" s="3">
        <v>113.3645054</v>
      </c>
      <c r="C3570" s="3">
        <v>22.936185300000002</v>
      </c>
      <c r="D3570" s="3">
        <v>35</v>
      </c>
    </row>
    <row r="3571" spans="1:4" x14ac:dyDescent="0.2">
      <c r="A3571" s="3">
        <v>3570</v>
      </c>
      <c r="B3571" s="3">
        <v>113.36545529999999</v>
      </c>
      <c r="C3571" s="3">
        <v>22.935555399999998</v>
      </c>
      <c r="D3571" s="3">
        <v>35</v>
      </c>
    </row>
    <row r="3572" spans="1:4" x14ac:dyDescent="0.2">
      <c r="A3572" s="3">
        <v>3571</v>
      </c>
      <c r="B3572" s="3">
        <v>113.3663921</v>
      </c>
      <c r="C3572" s="3">
        <v>22.93534537</v>
      </c>
      <c r="D3572" s="3">
        <v>35</v>
      </c>
    </row>
    <row r="3573" spans="1:4" x14ac:dyDescent="0.2">
      <c r="A3573" s="3">
        <v>3572</v>
      </c>
      <c r="B3573" s="3">
        <v>113.36345780000001</v>
      </c>
      <c r="C3573" s="3">
        <v>22.93600769</v>
      </c>
      <c r="D3573" s="3">
        <v>35</v>
      </c>
    </row>
    <row r="3574" spans="1:4" x14ac:dyDescent="0.2">
      <c r="A3574" s="3">
        <v>3573</v>
      </c>
      <c r="B3574" s="3">
        <v>113.36372849999999</v>
      </c>
      <c r="C3574" s="3">
        <v>22.93538161</v>
      </c>
      <c r="D3574" s="3">
        <v>35</v>
      </c>
    </row>
    <row r="3575" spans="1:4" x14ac:dyDescent="0.2">
      <c r="A3575" s="3">
        <v>3574</v>
      </c>
      <c r="B3575" s="3">
        <v>113.362421</v>
      </c>
      <c r="C3575" s="3">
        <v>22.938939779999998</v>
      </c>
      <c r="D3575" s="3">
        <v>35</v>
      </c>
    </row>
    <row r="3576" spans="1:4" x14ac:dyDescent="0.2">
      <c r="A3576" s="3">
        <v>3575</v>
      </c>
      <c r="B3576" s="3">
        <v>113.36651999999999</v>
      </c>
      <c r="C3576" s="3">
        <v>22.934547550000001</v>
      </c>
      <c r="D3576" s="3">
        <v>35</v>
      </c>
    </row>
    <row r="3577" spans="1:4" x14ac:dyDescent="0.2">
      <c r="A3577" s="3">
        <v>3576</v>
      </c>
      <c r="B3577" s="3">
        <v>113.3653652</v>
      </c>
      <c r="C3577" s="3">
        <v>22.937750579999999</v>
      </c>
      <c r="D3577" s="3">
        <v>35</v>
      </c>
    </row>
    <row r="3578" spans="1:4" x14ac:dyDescent="0.2">
      <c r="A3578" s="3">
        <v>3577</v>
      </c>
      <c r="B3578" s="3">
        <v>113.3631652</v>
      </c>
      <c r="C3578" s="3">
        <v>22.935967080000001</v>
      </c>
      <c r="D3578" s="3">
        <v>35</v>
      </c>
    </row>
    <row r="3579" spans="1:4" x14ac:dyDescent="0.2">
      <c r="A3579" s="3">
        <v>3578</v>
      </c>
      <c r="B3579" s="3">
        <v>113.3690596</v>
      </c>
      <c r="C3579" s="3">
        <v>22.941601689999999</v>
      </c>
      <c r="D3579" s="3">
        <v>35</v>
      </c>
    </row>
    <row r="3580" spans="1:4" x14ac:dyDescent="0.2">
      <c r="A3580" s="3">
        <v>3579</v>
      </c>
      <c r="B3580" s="3">
        <v>113.3647722</v>
      </c>
      <c r="C3580" s="3">
        <v>22.93461563</v>
      </c>
      <c r="D3580" s="3">
        <v>35</v>
      </c>
    </row>
    <row r="3581" spans="1:4" x14ac:dyDescent="0.2">
      <c r="A3581" s="3">
        <v>3580</v>
      </c>
      <c r="B3581" s="3">
        <v>113.36706890000001</v>
      </c>
      <c r="C3581" s="3">
        <v>22.941816840000001</v>
      </c>
      <c r="D3581" s="3">
        <v>35</v>
      </c>
    </row>
    <row r="3582" spans="1:4" x14ac:dyDescent="0.2">
      <c r="A3582" s="3">
        <v>3581</v>
      </c>
      <c r="B3582" s="3">
        <v>113.3701397</v>
      </c>
      <c r="C3582" s="3">
        <v>22.937840120000001</v>
      </c>
      <c r="D3582" s="3">
        <v>35</v>
      </c>
    </row>
    <row r="3583" spans="1:4" x14ac:dyDescent="0.2">
      <c r="A3583" s="3">
        <v>3582</v>
      </c>
      <c r="B3583" s="3">
        <v>113.37108569999999</v>
      </c>
      <c r="C3583" s="3">
        <v>22.938599809999999</v>
      </c>
      <c r="D3583" s="3">
        <v>35</v>
      </c>
    </row>
    <row r="3584" spans="1:4" x14ac:dyDescent="0.2">
      <c r="A3584" s="3">
        <v>3583</v>
      </c>
      <c r="B3584" s="3">
        <v>113.3689567</v>
      </c>
      <c r="C3584" s="3">
        <v>22.941713750000002</v>
      </c>
      <c r="D3584" s="3">
        <v>35</v>
      </c>
    </row>
    <row r="3585" spans="1:4" x14ac:dyDescent="0.2">
      <c r="A3585" s="3">
        <v>3584</v>
      </c>
      <c r="B3585" s="3">
        <v>113.3715131</v>
      </c>
      <c r="C3585" s="3">
        <v>22.940428600000001</v>
      </c>
      <c r="D3585" s="3">
        <v>35</v>
      </c>
    </row>
    <row r="3586" spans="1:4" x14ac:dyDescent="0.2">
      <c r="A3586" s="3">
        <v>3585</v>
      </c>
      <c r="B3586" s="3">
        <v>113.3642613</v>
      </c>
      <c r="C3586" s="3">
        <v>22.94278581</v>
      </c>
      <c r="D3586" s="3">
        <v>35</v>
      </c>
    </row>
    <row r="3587" spans="1:4" x14ac:dyDescent="0.2">
      <c r="A3587" s="3">
        <v>3586</v>
      </c>
      <c r="B3587" s="3">
        <v>113.3668407</v>
      </c>
      <c r="C3587" s="3">
        <v>22.934014399999999</v>
      </c>
      <c r="D3587" s="3">
        <v>35</v>
      </c>
    </row>
    <row r="3588" spans="1:4" x14ac:dyDescent="0.2">
      <c r="A3588" s="3">
        <v>3587</v>
      </c>
      <c r="B3588" s="3">
        <v>113.36601709999999</v>
      </c>
      <c r="C3588" s="3">
        <v>22.943161499999999</v>
      </c>
      <c r="D3588" s="3">
        <v>35</v>
      </c>
    </row>
    <row r="3589" spans="1:4" x14ac:dyDescent="0.2">
      <c r="A3589" s="3">
        <v>3588</v>
      </c>
      <c r="B3589" s="3">
        <v>113.36601210000001</v>
      </c>
      <c r="C3589" s="3">
        <v>22.943161509999999</v>
      </c>
      <c r="D3589" s="3">
        <v>35</v>
      </c>
    </row>
    <row r="3590" spans="1:4" x14ac:dyDescent="0.2">
      <c r="A3590" s="3">
        <v>3589</v>
      </c>
      <c r="B3590" s="3">
        <v>113.3710925</v>
      </c>
      <c r="C3590" s="3">
        <v>22.940605949999998</v>
      </c>
      <c r="D3590" s="3">
        <v>35</v>
      </c>
    </row>
    <row r="3591" spans="1:4" x14ac:dyDescent="0.2">
      <c r="A3591" s="3">
        <v>3590</v>
      </c>
      <c r="B3591" s="3">
        <v>113.3662673</v>
      </c>
      <c r="C3591" s="3">
        <v>22.93506863</v>
      </c>
      <c r="D3591" s="3">
        <v>35</v>
      </c>
    </row>
    <row r="3592" spans="1:4" x14ac:dyDescent="0.2">
      <c r="A3592" s="3">
        <v>3591</v>
      </c>
      <c r="B3592" s="3">
        <v>113.3635195</v>
      </c>
      <c r="C3592" s="3">
        <v>22.939180270000001</v>
      </c>
      <c r="D3592" s="3">
        <v>35</v>
      </c>
    </row>
    <row r="3593" spans="1:4" x14ac:dyDescent="0.2">
      <c r="A3593" s="3">
        <v>3592</v>
      </c>
      <c r="B3593" s="3">
        <v>113.36683170000001</v>
      </c>
      <c r="C3593" s="3">
        <v>22.93384648</v>
      </c>
      <c r="D3593" s="3">
        <v>35</v>
      </c>
    </row>
    <row r="3594" spans="1:4" x14ac:dyDescent="0.2">
      <c r="A3594" s="3">
        <v>3593</v>
      </c>
      <c r="B3594" s="3">
        <v>113.3626814</v>
      </c>
      <c r="C3594" s="3">
        <v>22.942287029999999</v>
      </c>
      <c r="D3594" s="3">
        <v>22</v>
      </c>
    </row>
    <row r="3595" spans="1:4" x14ac:dyDescent="0.2">
      <c r="A3595" s="3">
        <v>3594</v>
      </c>
      <c r="B3595" s="3">
        <v>113.3709056</v>
      </c>
      <c r="C3595" s="3">
        <v>22.94156774</v>
      </c>
      <c r="D3595" s="3">
        <v>35</v>
      </c>
    </row>
    <row r="3596" spans="1:4" x14ac:dyDescent="0.2">
      <c r="A3596" s="3">
        <v>3595</v>
      </c>
      <c r="B3596" s="3">
        <v>113.3656569</v>
      </c>
      <c r="C3596" s="3">
        <v>22.937770220000001</v>
      </c>
      <c r="D3596" s="3">
        <v>35</v>
      </c>
    </row>
    <row r="3597" spans="1:4" x14ac:dyDescent="0.2">
      <c r="A3597" s="3">
        <v>3596</v>
      </c>
      <c r="B3597" s="3">
        <v>113.3663248</v>
      </c>
      <c r="C3597" s="3">
        <v>22.941556819999999</v>
      </c>
      <c r="D3597" s="3">
        <v>35</v>
      </c>
    </row>
    <row r="3598" spans="1:4" x14ac:dyDescent="0.2">
      <c r="A3598" s="3">
        <v>3597</v>
      </c>
      <c r="B3598" s="3">
        <v>113.3621665</v>
      </c>
      <c r="C3598" s="3">
        <v>22.936043340000001</v>
      </c>
      <c r="D3598" s="3">
        <v>35</v>
      </c>
    </row>
    <row r="3599" spans="1:4" x14ac:dyDescent="0.2">
      <c r="A3599" s="3">
        <v>3598</v>
      </c>
      <c r="B3599" s="3">
        <v>113.3646079</v>
      </c>
      <c r="C3599" s="3">
        <v>22.942225610000001</v>
      </c>
      <c r="D3599" s="3">
        <v>35</v>
      </c>
    </row>
    <row r="3600" spans="1:4" x14ac:dyDescent="0.2">
      <c r="A3600" s="3">
        <v>3599</v>
      </c>
      <c r="B3600" s="3">
        <v>113.3642389</v>
      </c>
      <c r="C3600" s="3">
        <v>22.93489417</v>
      </c>
      <c r="D3600" s="3">
        <v>35</v>
      </c>
    </row>
    <row r="3601" spans="1:4" x14ac:dyDescent="0.2">
      <c r="A3601" s="3">
        <v>3600</v>
      </c>
      <c r="B3601" s="3">
        <v>113.36191770000001</v>
      </c>
      <c r="C3601" s="3">
        <v>22.93789688</v>
      </c>
      <c r="D3601" s="3">
        <v>35</v>
      </c>
    </row>
    <row r="3602" spans="1:4" x14ac:dyDescent="0.2">
      <c r="A3602" s="3">
        <v>3601</v>
      </c>
      <c r="B3602" s="3">
        <v>113.3711983</v>
      </c>
      <c r="C3602" s="3">
        <v>22.941608420000001</v>
      </c>
      <c r="D3602" s="3">
        <v>35</v>
      </c>
    </row>
    <row r="3603" spans="1:4" x14ac:dyDescent="0.2">
      <c r="A3603" s="3">
        <v>3602</v>
      </c>
      <c r="B3603" s="3">
        <v>113.3707098</v>
      </c>
      <c r="C3603" s="3">
        <v>22.942211669999999</v>
      </c>
      <c r="D3603" s="3">
        <v>35</v>
      </c>
    </row>
    <row r="3604" spans="1:4" x14ac:dyDescent="0.2">
      <c r="A3604" s="3">
        <v>3603</v>
      </c>
      <c r="B3604" s="3">
        <v>113.3690505</v>
      </c>
      <c r="C3604" s="3">
        <v>22.94335895</v>
      </c>
      <c r="D3604" s="3">
        <v>35</v>
      </c>
    </row>
    <row r="3605" spans="1:4" x14ac:dyDescent="0.2">
      <c r="A3605" s="3">
        <v>3604</v>
      </c>
      <c r="B3605" s="3">
        <v>113.36411560000001</v>
      </c>
      <c r="C3605" s="3">
        <v>22.94058892</v>
      </c>
      <c r="D3605" s="3">
        <v>35</v>
      </c>
    </row>
    <row r="3606" spans="1:4" x14ac:dyDescent="0.2">
      <c r="A3606" s="3">
        <v>3605</v>
      </c>
      <c r="B3606" s="3">
        <v>113.3646272</v>
      </c>
      <c r="C3606" s="3">
        <v>22.93731867</v>
      </c>
      <c r="D3606" s="3">
        <v>35</v>
      </c>
    </row>
    <row r="3607" spans="1:4" x14ac:dyDescent="0.2">
      <c r="A3607" s="3">
        <v>3606</v>
      </c>
      <c r="B3607" s="3">
        <v>113.3618006</v>
      </c>
      <c r="C3607" s="3">
        <v>22.941825380000001</v>
      </c>
      <c r="D3607" s="3">
        <v>22</v>
      </c>
    </row>
    <row r="3608" spans="1:4" x14ac:dyDescent="0.2">
      <c r="A3608" s="3">
        <v>3607</v>
      </c>
      <c r="B3608" s="3">
        <v>113.36431229999999</v>
      </c>
      <c r="C3608" s="3">
        <v>22.942492869999999</v>
      </c>
      <c r="D3608" s="3">
        <v>35</v>
      </c>
    </row>
    <row r="3609" spans="1:4" x14ac:dyDescent="0.2">
      <c r="A3609" s="3">
        <v>3608</v>
      </c>
      <c r="B3609" s="3">
        <v>113.3662937</v>
      </c>
      <c r="C3609" s="3">
        <v>22.943177169999998</v>
      </c>
      <c r="D3609" s="3">
        <v>35</v>
      </c>
    </row>
    <row r="3610" spans="1:4" x14ac:dyDescent="0.2">
      <c r="A3610" s="3">
        <v>3609</v>
      </c>
      <c r="B3610" s="3">
        <v>113.3639177</v>
      </c>
      <c r="C3610" s="3">
        <v>22.94305013</v>
      </c>
      <c r="D3610" s="3">
        <v>35</v>
      </c>
    </row>
    <row r="3611" spans="1:4" x14ac:dyDescent="0.2">
      <c r="A3611" s="3">
        <v>3610</v>
      </c>
      <c r="B3611" s="3">
        <v>113.3634548</v>
      </c>
      <c r="C3611" s="3">
        <v>22.935494909999999</v>
      </c>
      <c r="D3611" s="3">
        <v>35</v>
      </c>
    </row>
    <row r="3612" spans="1:4" x14ac:dyDescent="0.2">
      <c r="A3612" s="3">
        <v>3611</v>
      </c>
      <c r="B3612" s="3">
        <v>113.3634169</v>
      </c>
      <c r="C3612" s="3">
        <v>22.93507713</v>
      </c>
      <c r="D3612" s="3">
        <v>35</v>
      </c>
    </row>
    <row r="3613" spans="1:4" x14ac:dyDescent="0.2">
      <c r="A3613" s="3">
        <v>3612</v>
      </c>
      <c r="B3613" s="3">
        <v>113.36302019999999</v>
      </c>
      <c r="C3613" s="3">
        <v>22.937995409999999</v>
      </c>
      <c r="D3613" s="3">
        <v>35</v>
      </c>
    </row>
    <row r="3614" spans="1:4" x14ac:dyDescent="0.2">
      <c r="A3614" s="3">
        <v>3613</v>
      </c>
      <c r="B3614" s="3">
        <v>113.3636103</v>
      </c>
      <c r="C3614" s="3">
        <v>22.94060455</v>
      </c>
      <c r="D3614" s="3">
        <v>35</v>
      </c>
    </row>
    <row r="3615" spans="1:4" x14ac:dyDescent="0.2">
      <c r="A3615" s="3">
        <v>3614</v>
      </c>
      <c r="B3615" s="3">
        <v>113.36184110000001</v>
      </c>
      <c r="C3615" s="3">
        <v>22.933980640000001</v>
      </c>
      <c r="D3615" s="3">
        <v>35</v>
      </c>
    </row>
    <row r="3616" spans="1:4" x14ac:dyDescent="0.2">
      <c r="A3616" s="3">
        <v>3615</v>
      </c>
      <c r="B3616" s="3">
        <v>113.36783509999999</v>
      </c>
      <c r="C3616" s="3">
        <v>22.9403136</v>
      </c>
      <c r="D3616" s="3">
        <v>35</v>
      </c>
    </row>
    <row r="3617" spans="1:4" x14ac:dyDescent="0.2">
      <c r="A3617" s="3">
        <v>3616</v>
      </c>
      <c r="B3617" s="3">
        <v>113.3660821</v>
      </c>
      <c r="C3617" s="3">
        <v>22.941659059999999</v>
      </c>
      <c r="D3617" s="3">
        <v>35</v>
      </c>
    </row>
    <row r="3618" spans="1:4" x14ac:dyDescent="0.2">
      <c r="A3618" s="3">
        <v>3617</v>
      </c>
      <c r="B3618" s="3">
        <v>113.36272030000001</v>
      </c>
      <c r="C3618" s="3">
        <v>22.943188599999999</v>
      </c>
      <c r="D3618" s="3">
        <v>22</v>
      </c>
    </row>
    <row r="3619" spans="1:4" x14ac:dyDescent="0.2">
      <c r="A3619" s="3">
        <v>3618</v>
      </c>
      <c r="B3619" s="3">
        <v>113.3629455</v>
      </c>
      <c r="C3619" s="3">
        <v>22.936202260000002</v>
      </c>
      <c r="D3619" s="3">
        <v>35</v>
      </c>
    </row>
    <row r="3620" spans="1:4" x14ac:dyDescent="0.2">
      <c r="A3620" s="3">
        <v>3619</v>
      </c>
      <c r="B3620" s="3">
        <v>113.36511969999999</v>
      </c>
      <c r="C3620" s="3">
        <v>22.93618854</v>
      </c>
      <c r="D3620" s="3">
        <v>35</v>
      </c>
    </row>
    <row r="3621" spans="1:4" x14ac:dyDescent="0.2">
      <c r="A3621" s="3">
        <v>3620</v>
      </c>
      <c r="B3621" s="3">
        <v>113.3646469</v>
      </c>
      <c r="C3621" s="3">
        <v>22.940824159999998</v>
      </c>
      <c r="D3621" s="3">
        <v>35</v>
      </c>
    </row>
    <row r="3622" spans="1:4" x14ac:dyDescent="0.2">
      <c r="A3622" s="3">
        <v>3621</v>
      </c>
      <c r="B3622" s="3">
        <v>113.3618101</v>
      </c>
      <c r="C3622" s="3">
        <v>22.93517318</v>
      </c>
      <c r="D3622" s="3">
        <v>35</v>
      </c>
    </row>
    <row r="3623" spans="1:4" x14ac:dyDescent="0.2">
      <c r="A3623" s="3">
        <v>3622</v>
      </c>
      <c r="B3623" s="3">
        <v>113.3688439</v>
      </c>
      <c r="C3623" s="3">
        <v>22.941570939999998</v>
      </c>
      <c r="D3623" s="3">
        <v>35</v>
      </c>
    </row>
    <row r="3624" spans="1:4" x14ac:dyDescent="0.2">
      <c r="A3624" s="3">
        <v>3623</v>
      </c>
      <c r="B3624" s="3">
        <v>113.3677541</v>
      </c>
      <c r="C3624" s="3">
        <v>22.941381239999998</v>
      </c>
      <c r="D3624" s="3">
        <v>35</v>
      </c>
    </row>
    <row r="3625" spans="1:4" x14ac:dyDescent="0.2">
      <c r="A3625" s="3">
        <v>3624</v>
      </c>
      <c r="B3625" s="3">
        <v>113.3650877</v>
      </c>
      <c r="C3625" s="3">
        <v>22.93606763</v>
      </c>
      <c r="D3625" s="3">
        <v>35</v>
      </c>
    </row>
    <row r="3626" spans="1:4" x14ac:dyDescent="0.2">
      <c r="A3626" s="3">
        <v>3625</v>
      </c>
      <c r="B3626" s="3">
        <v>113.36626889999999</v>
      </c>
      <c r="C3626" s="3">
        <v>22.9410591</v>
      </c>
      <c r="D3626" s="3">
        <v>35</v>
      </c>
    </row>
    <row r="3627" spans="1:4" x14ac:dyDescent="0.2">
      <c r="A3627" s="3">
        <v>3626</v>
      </c>
      <c r="B3627" s="3">
        <v>113.363174</v>
      </c>
      <c r="C3627" s="3">
        <v>22.938001209999999</v>
      </c>
      <c r="D3627" s="3">
        <v>35</v>
      </c>
    </row>
    <row r="3628" spans="1:4" x14ac:dyDescent="0.2">
      <c r="A3628" s="3">
        <v>3627</v>
      </c>
      <c r="B3628" s="3">
        <v>113.364929</v>
      </c>
      <c r="C3628" s="3">
        <v>22.934551460000002</v>
      </c>
      <c r="D3628" s="3">
        <v>35</v>
      </c>
    </row>
    <row r="3629" spans="1:4" x14ac:dyDescent="0.2">
      <c r="A3629" s="3">
        <v>3628</v>
      </c>
      <c r="B3629" s="3">
        <v>113.3630873</v>
      </c>
      <c r="C3629" s="3">
        <v>22.93627305</v>
      </c>
      <c r="D3629" s="3">
        <v>35</v>
      </c>
    </row>
    <row r="3630" spans="1:4" x14ac:dyDescent="0.2">
      <c r="A3630" s="3">
        <v>3629</v>
      </c>
      <c r="B3630" s="3">
        <v>113.3662719</v>
      </c>
      <c r="C3630" s="3">
        <v>22.941701819999999</v>
      </c>
      <c r="D3630" s="3">
        <v>35</v>
      </c>
    </row>
    <row r="3631" spans="1:4" x14ac:dyDescent="0.2">
      <c r="A3631" s="3">
        <v>3630</v>
      </c>
      <c r="B3631" s="3">
        <v>113.36347379999999</v>
      </c>
      <c r="C3631" s="3">
        <v>22.93526898</v>
      </c>
      <c r="D3631" s="3">
        <v>35</v>
      </c>
    </row>
    <row r="3632" spans="1:4" x14ac:dyDescent="0.2">
      <c r="A3632" s="3">
        <v>3631</v>
      </c>
      <c r="B3632" s="3">
        <v>113.3648635</v>
      </c>
      <c r="C3632" s="3">
        <v>22.942906010000002</v>
      </c>
      <c r="D3632" s="3">
        <v>35</v>
      </c>
    </row>
    <row r="3633" spans="1:4" x14ac:dyDescent="0.2">
      <c r="A3633" s="3">
        <v>3632</v>
      </c>
      <c r="B3633" s="3">
        <v>113.3652455</v>
      </c>
      <c r="C3633" s="3">
        <v>22.936044450000001</v>
      </c>
      <c r="D3633" s="3">
        <v>35</v>
      </c>
    </row>
    <row r="3634" spans="1:4" x14ac:dyDescent="0.2">
      <c r="A3634" s="3">
        <v>3633</v>
      </c>
      <c r="B3634" s="3">
        <v>113.3636372</v>
      </c>
      <c r="C3634" s="3">
        <v>22.940635499999999</v>
      </c>
      <c r="D3634" s="3">
        <v>35</v>
      </c>
    </row>
    <row r="3635" spans="1:4" x14ac:dyDescent="0.2">
      <c r="A3635" s="3">
        <v>3634</v>
      </c>
      <c r="B3635" s="3">
        <v>113.3634438</v>
      </c>
      <c r="C3635" s="3">
        <v>22.936205619999999</v>
      </c>
      <c r="D3635" s="3">
        <v>35</v>
      </c>
    </row>
    <row r="3636" spans="1:4" x14ac:dyDescent="0.2">
      <c r="A3636" s="3">
        <v>3635</v>
      </c>
      <c r="B3636" s="3">
        <v>113.3651606</v>
      </c>
      <c r="C3636" s="3">
        <v>22.93661431</v>
      </c>
      <c r="D3636" s="3">
        <v>35</v>
      </c>
    </row>
    <row r="3637" spans="1:4" x14ac:dyDescent="0.2">
      <c r="A3637" s="3">
        <v>3636</v>
      </c>
      <c r="B3637" s="3">
        <v>113.3617461</v>
      </c>
      <c r="C3637" s="3">
        <v>22.935287209999998</v>
      </c>
      <c r="D3637" s="3">
        <v>35</v>
      </c>
    </row>
    <row r="3638" spans="1:4" x14ac:dyDescent="0.2">
      <c r="A3638" s="3">
        <v>3637</v>
      </c>
      <c r="B3638" s="3">
        <v>113.36706890000001</v>
      </c>
      <c r="C3638" s="3">
        <v>22.941816840000001</v>
      </c>
      <c r="D3638" s="3">
        <v>35</v>
      </c>
    </row>
    <row r="3639" spans="1:4" x14ac:dyDescent="0.2">
      <c r="A3639" s="3">
        <v>3638</v>
      </c>
      <c r="B3639" s="3">
        <v>113.36608750000001</v>
      </c>
      <c r="C3639" s="3">
        <v>22.93579454</v>
      </c>
      <c r="D3639" s="3">
        <v>35</v>
      </c>
    </row>
    <row r="3640" spans="1:4" x14ac:dyDescent="0.2">
      <c r="A3640" s="3">
        <v>3639</v>
      </c>
      <c r="B3640" s="3">
        <v>113.3625837</v>
      </c>
      <c r="C3640" s="3">
        <v>22.94009308</v>
      </c>
      <c r="D3640" s="3">
        <v>35</v>
      </c>
    </row>
    <row r="3641" spans="1:4" x14ac:dyDescent="0.2">
      <c r="A3641" s="3">
        <v>3640</v>
      </c>
      <c r="B3641" s="3">
        <v>113.3710217</v>
      </c>
      <c r="C3641" s="3">
        <v>22.938844769999999</v>
      </c>
      <c r="D3641" s="3">
        <v>35</v>
      </c>
    </row>
    <row r="3642" spans="1:4" x14ac:dyDescent="0.2">
      <c r="A3642" s="3">
        <v>3641</v>
      </c>
      <c r="B3642" s="3">
        <v>113.3664677</v>
      </c>
      <c r="C3642" s="3">
        <v>22.941041869999999</v>
      </c>
      <c r="D3642" s="3">
        <v>35</v>
      </c>
    </row>
    <row r="3643" spans="1:4" x14ac:dyDescent="0.2">
      <c r="A3643" s="3">
        <v>3642</v>
      </c>
      <c r="B3643" s="3">
        <v>113.3627113</v>
      </c>
      <c r="C3643" s="3">
        <v>22.943189610000001</v>
      </c>
      <c r="D3643" s="3">
        <v>22</v>
      </c>
    </row>
    <row r="3644" spans="1:4" x14ac:dyDescent="0.2">
      <c r="A3644" s="3">
        <v>3643</v>
      </c>
      <c r="B3644" s="3">
        <v>113.3618565</v>
      </c>
      <c r="C3644" s="3">
        <v>22.941833299999999</v>
      </c>
      <c r="D3644" s="3">
        <v>22</v>
      </c>
    </row>
    <row r="3645" spans="1:4" x14ac:dyDescent="0.2">
      <c r="A3645" s="3">
        <v>3644</v>
      </c>
      <c r="B3645" s="3">
        <v>113.3638978</v>
      </c>
      <c r="C3645" s="3">
        <v>22.942853230000001</v>
      </c>
      <c r="D3645" s="3">
        <v>35</v>
      </c>
    </row>
    <row r="3646" spans="1:4" x14ac:dyDescent="0.2">
      <c r="A3646" s="3">
        <v>3645</v>
      </c>
      <c r="B3646" s="3">
        <v>113.3647277</v>
      </c>
      <c r="C3646" s="3">
        <v>22.942460369999999</v>
      </c>
      <c r="D3646" s="3">
        <v>35</v>
      </c>
    </row>
    <row r="3647" spans="1:4" x14ac:dyDescent="0.2">
      <c r="A3647" s="3">
        <v>3646</v>
      </c>
      <c r="B3647" s="3">
        <v>113.3695075</v>
      </c>
      <c r="C3647" s="3">
        <v>22.935764670000001</v>
      </c>
      <c r="D3647" s="3">
        <v>35</v>
      </c>
    </row>
    <row r="3648" spans="1:4" x14ac:dyDescent="0.2">
      <c r="A3648" s="3">
        <v>3647</v>
      </c>
      <c r="B3648" s="3">
        <v>113.3619913</v>
      </c>
      <c r="C3648" s="3">
        <v>22.942626789999998</v>
      </c>
      <c r="D3648" s="3">
        <v>22</v>
      </c>
    </row>
    <row r="3649" spans="1:4" x14ac:dyDescent="0.2">
      <c r="A3649" s="3">
        <v>3648</v>
      </c>
      <c r="B3649" s="3">
        <v>113.36500770000001</v>
      </c>
      <c r="C3649" s="3">
        <v>22.937116280000001</v>
      </c>
      <c r="D3649" s="3">
        <v>35</v>
      </c>
    </row>
    <row r="3650" spans="1:4" x14ac:dyDescent="0.2">
      <c r="A3650" s="3">
        <v>3649</v>
      </c>
      <c r="B3650" s="3">
        <v>113.36381249999999</v>
      </c>
      <c r="C3650" s="3">
        <v>22.933685220000001</v>
      </c>
      <c r="D3650" s="3">
        <v>35</v>
      </c>
    </row>
    <row r="3651" spans="1:4" x14ac:dyDescent="0.2">
      <c r="A3651" s="3">
        <v>3650</v>
      </c>
      <c r="B3651" s="3">
        <v>113.36271139999999</v>
      </c>
      <c r="C3651" s="3">
        <v>22.94242393</v>
      </c>
      <c r="D3651" s="3">
        <v>22</v>
      </c>
    </row>
    <row r="3652" spans="1:4" x14ac:dyDescent="0.2">
      <c r="A3652" s="3">
        <v>3651</v>
      </c>
      <c r="B3652" s="3">
        <v>113.367734</v>
      </c>
      <c r="C3652" s="3">
        <v>22.94356333</v>
      </c>
      <c r="D3652" s="3">
        <v>35</v>
      </c>
    </row>
    <row r="3653" spans="1:4" x14ac:dyDescent="0.2">
      <c r="A3653" s="3">
        <v>3652</v>
      </c>
      <c r="B3653" s="3">
        <v>113.36571739999999</v>
      </c>
      <c r="C3653" s="3">
        <v>22.943155869999998</v>
      </c>
      <c r="D3653" s="3">
        <v>35</v>
      </c>
    </row>
    <row r="3654" spans="1:4" x14ac:dyDescent="0.2">
      <c r="A3654" s="3">
        <v>3653</v>
      </c>
      <c r="B3654" s="3">
        <v>113.3657903</v>
      </c>
      <c r="C3654" s="3">
        <v>22.943171769999999</v>
      </c>
      <c r="D3654" s="3">
        <v>35</v>
      </c>
    </row>
    <row r="3655" spans="1:4" x14ac:dyDescent="0.2">
      <c r="A3655" s="3">
        <v>3654</v>
      </c>
      <c r="B3655" s="3">
        <v>113.3777218</v>
      </c>
      <c r="C3655" s="3">
        <v>22.93644171</v>
      </c>
      <c r="D3655" s="3">
        <v>44</v>
      </c>
    </row>
    <row r="3656" spans="1:4" x14ac:dyDescent="0.2">
      <c r="A3656" s="3">
        <v>3655</v>
      </c>
      <c r="B3656" s="3">
        <v>113.3760169</v>
      </c>
      <c r="C3656" s="3">
        <v>22.94074728</v>
      </c>
      <c r="D3656" s="3">
        <v>44</v>
      </c>
    </row>
    <row r="3657" spans="1:4" x14ac:dyDescent="0.2">
      <c r="A3657" s="3">
        <v>3656</v>
      </c>
      <c r="B3657" s="3">
        <v>113.3780288</v>
      </c>
      <c r="C3657" s="3">
        <v>22.934066470000001</v>
      </c>
      <c r="D3657" s="3">
        <v>44</v>
      </c>
    </row>
    <row r="3658" spans="1:4" x14ac:dyDescent="0.2">
      <c r="A3658" s="3">
        <v>3657</v>
      </c>
      <c r="B3658" s="3">
        <v>113.3740209</v>
      </c>
      <c r="C3658" s="3">
        <v>22.937761309999999</v>
      </c>
      <c r="D3658" s="3">
        <v>44</v>
      </c>
    </row>
    <row r="3659" spans="1:4" x14ac:dyDescent="0.2">
      <c r="A3659" s="3">
        <v>3658</v>
      </c>
      <c r="B3659" s="3">
        <v>113.37592220000001</v>
      </c>
      <c r="C3659" s="3">
        <v>22.93725783</v>
      </c>
      <c r="D3659" s="3">
        <v>44</v>
      </c>
    </row>
    <row r="3660" spans="1:4" x14ac:dyDescent="0.2">
      <c r="A3660" s="3">
        <v>3659</v>
      </c>
      <c r="B3660" s="3">
        <v>113.3746373</v>
      </c>
      <c r="C3660" s="3">
        <v>22.938536419999998</v>
      </c>
      <c r="D3660" s="3">
        <v>44</v>
      </c>
    </row>
    <row r="3661" spans="1:4" x14ac:dyDescent="0.2">
      <c r="A3661" s="3">
        <v>3660</v>
      </c>
      <c r="B3661" s="3">
        <v>113.3764429</v>
      </c>
      <c r="C3661" s="3">
        <v>22.936447739999998</v>
      </c>
      <c r="D3661" s="3">
        <v>44</v>
      </c>
    </row>
    <row r="3662" spans="1:4" x14ac:dyDescent="0.2">
      <c r="A3662" s="3">
        <v>3661</v>
      </c>
      <c r="B3662" s="3">
        <v>113.37731410000001</v>
      </c>
      <c r="C3662" s="3">
        <v>22.93789542</v>
      </c>
      <c r="D3662" s="3">
        <v>44</v>
      </c>
    </row>
    <row r="3663" spans="1:4" x14ac:dyDescent="0.2">
      <c r="A3663" s="3">
        <v>3662</v>
      </c>
      <c r="B3663" s="3">
        <v>113.374813</v>
      </c>
      <c r="C3663" s="3">
        <v>22.940558410000001</v>
      </c>
      <c r="D3663" s="3">
        <v>44</v>
      </c>
    </row>
    <row r="3664" spans="1:4" x14ac:dyDescent="0.2">
      <c r="A3664" s="3">
        <v>3663</v>
      </c>
      <c r="B3664" s="3">
        <v>113.3762538</v>
      </c>
      <c r="C3664" s="3">
        <v>22.93960556</v>
      </c>
      <c r="D3664" s="3">
        <v>44</v>
      </c>
    </row>
    <row r="3665" spans="1:4" x14ac:dyDescent="0.2">
      <c r="A3665" s="3">
        <v>3664</v>
      </c>
      <c r="B3665" s="3">
        <v>113.3799542</v>
      </c>
      <c r="C3665" s="3">
        <v>22.93730669</v>
      </c>
      <c r="D3665" s="3">
        <v>44</v>
      </c>
    </row>
    <row r="3666" spans="1:4" x14ac:dyDescent="0.2">
      <c r="A3666" s="3">
        <v>3665</v>
      </c>
      <c r="B3666" s="3">
        <v>113.37417170000001</v>
      </c>
      <c r="C3666" s="3">
        <v>22.937499280000001</v>
      </c>
      <c r="D3666" s="3">
        <v>44</v>
      </c>
    </row>
    <row r="3667" spans="1:4" x14ac:dyDescent="0.2">
      <c r="A3667" s="3">
        <v>3666</v>
      </c>
      <c r="B3667" s="3">
        <v>113.3777667</v>
      </c>
      <c r="C3667" s="3">
        <v>22.9373243</v>
      </c>
      <c r="D3667" s="3">
        <v>44</v>
      </c>
    </row>
    <row r="3668" spans="1:4" x14ac:dyDescent="0.2">
      <c r="A3668" s="3">
        <v>3667</v>
      </c>
      <c r="B3668" s="3">
        <v>113.3762107</v>
      </c>
      <c r="C3668" s="3">
        <v>22.941280890000002</v>
      </c>
      <c r="D3668" s="3">
        <v>6</v>
      </c>
    </row>
    <row r="3669" spans="1:4" x14ac:dyDescent="0.2">
      <c r="A3669" s="3">
        <v>3668</v>
      </c>
      <c r="B3669" s="3">
        <v>113.3736971</v>
      </c>
      <c r="C3669" s="3">
        <v>22.93879317</v>
      </c>
      <c r="D3669" s="3">
        <v>35</v>
      </c>
    </row>
    <row r="3670" spans="1:4" x14ac:dyDescent="0.2">
      <c r="A3670" s="3">
        <v>3669</v>
      </c>
      <c r="B3670" s="3">
        <v>113.3741727</v>
      </c>
      <c r="C3670" s="3">
        <v>22.938018060000001</v>
      </c>
      <c r="D3670" s="3">
        <v>44</v>
      </c>
    </row>
    <row r="3671" spans="1:4" x14ac:dyDescent="0.2">
      <c r="A3671" s="3">
        <v>3670</v>
      </c>
      <c r="B3671" s="3">
        <v>113.37584699999999</v>
      </c>
      <c r="C3671" s="3">
        <v>22.941728009999999</v>
      </c>
      <c r="D3671" s="3">
        <v>6</v>
      </c>
    </row>
    <row r="3672" spans="1:4" x14ac:dyDescent="0.2">
      <c r="A3672" s="3">
        <v>3671</v>
      </c>
      <c r="B3672" s="3">
        <v>113.3776289</v>
      </c>
      <c r="C3672" s="3">
        <v>22.936348819999999</v>
      </c>
      <c r="D3672" s="3">
        <v>44</v>
      </c>
    </row>
    <row r="3673" spans="1:4" x14ac:dyDescent="0.2">
      <c r="A3673" s="3">
        <v>3672</v>
      </c>
      <c r="B3673" s="3">
        <v>113.3777128</v>
      </c>
      <c r="C3673" s="3">
        <v>22.937668200000001</v>
      </c>
      <c r="D3673" s="3">
        <v>44</v>
      </c>
    </row>
    <row r="3674" spans="1:4" x14ac:dyDescent="0.2">
      <c r="A3674" s="3">
        <v>3673</v>
      </c>
      <c r="B3674" s="3">
        <v>113.37715729999999</v>
      </c>
      <c r="C3674" s="3">
        <v>22.93559651</v>
      </c>
      <c r="D3674" s="3">
        <v>44</v>
      </c>
    </row>
    <row r="3675" spans="1:4" x14ac:dyDescent="0.2">
      <c r="A3675" s="3">
        <v>3674</v>
      </c>
      <c r="B3675" s="3">
        <v>113.3734973</v>
      </c>
      <c r="C3675" s="3">
        <v>22.938569449999999</v>
      </c>
      <c r="D3675" s="3">
        <v>35</v>
      </c>
    </row>
    <row r="3676" spans="1:4" x14ac:dyDescent="0.2">
      <c r="A3676" s="3">
        <v>3675</v>
      </c>
      <c r="B3676" s="3">
        <v>113.3738371</v>
      </c>
      <c r="C3676" s="3">
        <v>22.93664695</v>
      </c>
      <c r="D3676" s="3">
        <v>44</v>
      </c>
    </row>
    <row r="3677" spans="1:4" x14ac:dyDescent="0.2">
      <c r="A3677" s="3">
        <v>3676</v>
      </c>
      <c r="B3677" s="3">
        <v>113.37626160000001</v>
      </c>
      <c r="C3677" s="3">
        <v>22.942970129999999</v>
      </c>
      <c r="D3677" s="3">
        <v>6</v>
      </c>
    </row>
    <row r="3678" spans="1:4" x14ac:dyDescent="0.2">
      <c r="A3678" s="3">
        <v>3677</v>
      </c>
      <c r="B3678" s="3">
        <v>113.3734006</v>
      </c>
      <c r="C3678" s="3">
        <v>22.93531192</v>
      </c>
      <c r="D3678" s="3">
        <v>44</v>
      </c>
    </row>
    <row r="3679" spans="1:4" x14ac:dyDescent="0.2">
      <c r="A3679" s="3">
        <v>3678</v>
      </c>
      <c r="B3679" s="3">
        <v>113.3799222</v>
      </c>
      <c r="C3679" s="3">
        <v>22.936852900000002</v>
      </c>
      <c r="D3679" s="3">
        <v>44</v>
      </c>
    </row>
    <row r="3680" spans="1:4" x14ac:dyDescent="0.2">
      <c r="A3680" s="3">
        <v>3679</v>
      </c>
      <c r="B3680" s="3">
        <v>113.37714440000001</v>
      </c>
      <c r="C3680" s="3">
        <v>22.93506575</v>
      </c>
      <c r="D3680" s="3">
        <v>44</v>
      </c>
    </row>
    <row r="3681" spans="1:4" x14ac:dyDescent="0.2">
      <c r="A3681" s="3">
        <v>3680</v>
      </c>
      <c r="B3681" s="3">
        <v>113.3801792</v>
      </c>
      <c r="C3681" s="3">
        <v>22.935215410000001</v>
      </c>
      <c r="D3681" s="3">
        <v>44</v>
      </c>
    </row>
    <row r="3682" spans="1:4" x14ac:dyDescent="0.2">
      <c r="A3682" s="3">
        <v>3681</v>
      </c>
      <c r="B3682" s="3">
        <v>113.3800112</v>
      </c>
      <c r="C3682" s="3">
        <v>22.936610940000001</v>
      </c>
      <c r="D3682" s="3">
        <v>44</v>
      </c>
    </row>
    <row r="3683" spans="1:4" x14ac:dyDescent="0.2">
      <c r="A3683" s="3">
        <v>3682</v>
      </c>
      <c r="B3683" s="3">
        <v>113.3781371</v>
      </c>
      <c r="C3683" s="3">
        <v>22.94257979</v>
      </c>
      <c r="D3683" s="3">
        <v>6</v>
      </c>
    </row>
    <row r="3684" spans="1:4" x14ac:dyDescent="0.2">
      <c r="A3684" s="3">
        <v>3683</v>
      </c>
      <c r="B3684" s="3">
        <v>113.3770574</v>
      </c>
      <c r="C3684" s="3">
        <v>22.935232750000001</v>
      </c>
      <c r="D3684" s="3">
        <v>44</v>
      </c>
    </row>
    <row r="3685" spans="1:4" x14ac:dyDescent="0.2">
      <c r="A3685" s="3">
        <v>3684</v>
      </c>
      <c r="B3685" s="3">
        <v>113.3749572</v>
      </c>
      <c r="C3685" s="3">
        <v>22.935537400000001</v>
      </c>
      <c r="D3685" s="3">
        <v>44</v>
      </c>
    </row>
    <row r="3686" spans="1:4" x14ac:dyDescent="0.2">
      <c r="A3686" s="3">
        <v>3685</v>
      </c>
      <c r="B3686" s="3">
        <v>113.3732814</v>
      </c>
      <c r="C3686" s="3">
        <v>22.939259360000001</v>
      </c>
      <c r="D3686" s="3">
        <v>35</v>
      </c>
    </row>
    <row r="3687" spans="1:4" x14ac:dyDescent="0.2">
      <c r="A3687" s="3">
        <v>3686</v>
      </c>
      <c r="B3687" s="3">
        <v>113.38036169999999</v>
      </c>
      <c r="C3687" s="3">
        <v>22.940075230000001</v>
      </c>
      <c r="D3687" s="3">
        <v>44</v>
      </c>
    </row>
    <row r="3688" spans="1:4" x14ac:dyDescent="0.2">
      <c r="A3688" s="3">
        <v>3687</v>
      </c>
      <c r="B3688" s="3">
        <v>113.3747918</v>
      </c>
      <c r="C3688" s="3">
        <v>22.943344239999998</v>
      </c>
      <c r="D3688" s="3">
        <v>6</v>
      </c>
    </row>
    <row r="3689" spans="1:4" x14ac:dyDescent="0.2">
      <c r="A3689" s="3">
        <v>3688</v>
      </c>
      <c r="B3689" s="3">
        <v>113.3797974</v>
      </c>
      <c r="C3689" s="3">
        <v>22.935927379999999</v>
      </c>
      <c r="D3689" s="3">
        <v>44</v>
      </c>
    </row>
    <row r="3690" spans="1:4" x14ac:dyDescent="0.2">
      <c r="A3690" s="3">
        <v>3689</v>
      </c>
      <c r="B3690" s="3">
        <v>113.3797974</v>
      </c>
      <c r="C3690" s="3">
        <v>22.935927379999999</v>
      </c>
      <c r="D3690" s="3">
        <v>44</v>
      </c>
    </row>
    <row r="3691" spans="1:4" x14ac:dyDescent="0.2">
      <c r="A3691" s="3">
        <v>3690</v>
      </c>
      <c r="B3691" s="3">
        <v>113.37383320000001</v>
      </c>
      <c r="C3691" s="3">
        <v>22.934986649999999</v>
      </c>
      <c r="D3691" s="3">
        <v>44</v>
      </c>
    </row>
    <row r="3692" spans="1:4" x14ac:dyDescent="0.2">
      <c r="A3692" s="3">
        <v>3691</v>
      </c>
      <c r="B3692" s="3">
        <v>113.3799901</v>
      </c>
      <c r="C3692" s="3">
        <v>22.937818440000001</v>
      </c>
      <c r="D3692" s="3">
        <v>44</v>
      </c>
    </row>
    <row r="3693" spans="1:4" x14ac:dyDescent="0.2">
      <c r="A3693" s="3">
        <v>3692</v>
      </c>
      <c r="B3693" s="3">
        <v>113.3768244</v>
      </c>
      <c r="C3693" s="3">
        <v>22.937879819999999</v>
      </c>
      <c r="D3693" s="3">
        <v>44</v>
      </c>
    </row>
    <row r="3694" spans="1:4" x14ac:dyDescent="0.2">
      <c r="A3694" s="3">
        <v>3693</v>
      </c>
      <c r="B3694" s="3">
        <v>113.3788141</v>
      </c>
      <c r="C3694" s="3">
        <v>22.93496949</v>
      </c>
      <c r="D3694" s="3">
        <v>44</v>
      </c>
    </row>
    <row r="3695" spans="1:4" x14ac:dyDescent="0.2">
      <c r="A3695" s="3">
        <v>3694</v>
      </c>
      <c r="B3695" s="3">
        <v>113.3728559</v>
      </c>
      <c r="C3695" s="3">
        <v>22.938889929999998</v>
      </c>
      <c r="D3695" s="3">
        <v>35</v>
      </c>
    </row>
    <row r="3696" spans="1:4" x14ac:dyDescent="0.2">
      <c r="A3696" s="3">
        <v>3695</v>
      </c>
      <c r="B3696" s="3">
        <v>113.37495029999999</v>
      </c>
      <c r="C3696" s="3">
        <v>22.934489849999999</v>
      </c>
      <c r="D3696" s="3">
        <v>44</v>
      </c>
    </row>
    <row r="3697" spans="1:4" x14ac:dyDescent="0.2">
      <c r="A3697" s="3">
        <v>3696</v>
      </c>
      <c r="B3697" s="3">
        <v>113.3731353</v>
      </c>
      <c r="C3697" s="3">
        <v>22.943293789999998</v>
      </c>
      <c r="D3697" s="3">
        <v>6</v>
      </c>
    </row>
    <row r="3698" spans="1:4" x14ac:dyDescent="0.2">
      <c r="A3698" s="3">
        <v>3697</v>
      </c>
      <c r="B3698" s="3">
        <v>113.37777800000001</v>
      </c>
      <c r="C3698" s="3">
        <v>22.934150630000001</v>
      </c>
      <c r="D3698" s="3">
        <v>44</v>
      </c>
    </row>
    <row r="3699" spans="1:4" x14ac:dyDescent="0.2">
      <c r="A3699" s="3">
        <v>3698</v>
      </c>
      <c r="B3699" s="3">
        <v>113.3725992</v>
      </c>
      <c r="C3699" s="3">
        <v>22.93821346</v>
      </c>
      <c r="D3699" s="3">
        <v>35</v>
      </c>
    </row>
    <row r="3700" spans="1:4" x14ac:dyDescent="0.2">
      <c r="A3700" s="3">
        <v>3699</v>
      </c>
      <c r="B3700" s="3">
        <v>113.380359</v>
      </c>
      <c r="C3700" s="3">
        <v>22.935435200000001</v>
      </c>
      <c r="D3700" s="3">
        <v>44</v>
      </c>
    </row>
    <row r="3701" spans="1:4" x14ac:dyDescent="0.2">
      <c r="A3701" s="3">
        <v>3700</v>
      </c>
      <c r="B3701" s="3">
        <v>113.378186</v>
      </c>
      <c r="C3701" s="3">
        <v>22.943039559999999</v>
      </c>
      <c r="D3701" s="3">
        <v>6</v>
      </c>
    </row>
    <row r="3702" spans="1:4" x14ac:dyDescent="0.2">
      <c r="A3702" s="3">
        <v>3701</v>
      </c>
      <c r="B3702" s="3">
        <v>113.37277690000001</v>
      </c>
      <c r="C3702" s="3">
        <v>22.939638689999999</v>
      </c>
      <c r="D3702" s="3">
        <v>35</v>
      </c>
    </row>
    <row r="3703" spans="1:4" x14ac:dyDescent="0.2">
      <c r="A3703" s="3">
        <v>3702</v>
      </c>
      <c r="B3703" s="3">
        <v>113.3769017</v>
      </c>
      <c r="C3703" s="3">
        <v>22.933778490000002</v>
      </c>
      <c r="D3703" s="3">
        <v>44</v>
      </c>
    </row>
    <row r="3704" spans="1:4" x14ac:dyDescent="0.2">
      <c r="A3704" s="3">
        <v>3703</v>
      </c>
      <c r="B3704" s="3">
        <v>113.3759658</v>
      </c>
      <c r="C3704" s="3">
        <v>22.943449180000002</v>
      </c>
      <c r="D3704" s="3">
        <v>6</v>
      </c>
    </row>
    <row r="3705" spans="1:4" x14ac:dyDescent="0.2">
      <c r="A3705" s="3">
        <v>3704</v>
      </c>
      <c r="B3705" s="3">
        <v>113.3738183</v>
      </c>
      <c r="C3705" s="3">
        <v>22.93451087</v>
      </c>
      <c r="D3705" s="3">
        <v>44</v>
      </c>
    </row>
    <row r="3706" spans="1:4" x14ac:dyDescent="0.2">
      <c r="A3706" s="3">
        <v>3705</v>
      </c>
      <c r="B3706" s="3">
        <v>113.3802201</v>
      </c>
      <c r="C3706" s="3">
        <v>22.935296350000002</v>
      </c>
      <c r="D3706" s="3">
        <v>44</v>
      </c>
    </row>
    <row r="3707" spans="1:4" x14ac:dyDescent="0.2">
      <c r="A3707" s="3">
        <v>3706</v>
      </c>
      <c r="B3707" s="3">
        <v>113.38075980000001</v>
      </c>
      <c r="C3707" s="3">
        <v>22.935370949999999</v>
      </c>
      <c r="D3707" s="3">
        <v>44</v>
      </c>
    </row>
    <row r="3708" spans="1:4" x14ac:dyDescent="0.2">
      <c r="A3708" s="3">
        <v>3707</v>
      </c>
      <c r="B3708" s="3">
        <v>113.3795337</v>
      </c>
      <c r="C3708" s="3">
        <v>22.93436522</v>
      </c>
      <c r="D3708" s="3">
        <v>44</v>
      </c>
    </row>
    <row r="3709" spans="1:4" x14ac:dyDescent="0.2">
      <c r="A3709" s="3">
        <v>3708</v>
      </c>
      <c r="B3709" s="3">
        <v>113.3776199</v>
      </c>
      <c r="C3709" s="3">
        <v>22.936819629999999</v>
      </c>
      <c r="D3709" s="3">
        <v>44</v>
      </c>
    </row>
    <row r="3710" spans="1:4" x14ac:dyDescent="0.2">
      <c r="A3710" s="3">
        <v>3709</v>
      </c>
      <c r="B3710" s="3">
        <v>113.3727179</v>
      </c>
      <c r="C3710" s="3">
        <v>22.940151530000001</v>
      </c>
      <c r="D3710" s="3">
        <v>35</v>
      </c>
    </row>
    <row r="3711" spans="1:4" x14ac:dyDescent="0.2">
      <c r="A3711" s="3">
        <v>3710</v>
      </c>
      <c r="B3711" s="3">
        <v>113.3803221</v>
      </c>
      <c r="C3711" s="3">
        <v>22.934995409999999</v>
      </c>
      <c r="D3711" s="3">
        <v>44</v>
      </c>
    </row>
    <row r="3712" spans="1:4" x14ac:dyDescent="0.2">
      <c r="A3712" s="3">
        <v>3711</v>
      </c>
      <c r="B3712" s="3">
        <v>113.37326469999999</v>
      </c>
      <c r="C3712" s="3">
        <v>22.935107129999999</v>
      </c>
      <c r="D3712" s="3">
        <v>44</v>
      </c>
    </row>
    <row r="3713" spans="1:4" x14ac:dyDescent="0.2">
      <c r="A3713" s="3">
        <v>3712</v>
      </c>
      <c r="B3713" s="3">
        <v>113.3737588</v>
      </c>
      <c r="C3713" s="3">
        <v>22.942893380000001</v>
      </c>
      <c r="D3713" s="3">
        <v>6</v>
      </c>
    </row>
    <row r="3714" spans="1:4" x14ac:dyDescent="0.2">
      <c r="A3714" s="3">
        <v>3713</v>
      </c>
      <c r="B3714" s="3">
        <v>113.381416</v>
      </c>
      <c r="C3714" s="3">
        <v>22.941649869999999</v>
      </c>
      <c r="D3714" s="3">
        <v>6</v>
      </c>
    </row>
    <row r="3715" spans="1:4" x14ac:dyDescent="0.2">
      <c r="A3715" s="3">
        <v>3714</v>
      </c>
      <c r="B3715" s="3">
        <v>113.3722573</v>
      </c>
      <c r="C3715" s="3">
        <v>22.941191539999998</v>
      </c>
      <c r="D3715" s="3">
        <v>35</v>
      </c>
    </row>
    <row r="3716" spans="1:4" x14ac:dyDescent="0.2">
      <c r="A3716" s="3">
        <v>3715</v>
      </c>
      <c r="B3716" s="3">
        <v>113.3811216</v>
      </c>
      <c r="C3716" s="3">
        <v>22.935312740000001</v>
      </c>
      <c r="D3716" s="3">
        <v>44</v>
      </c>
    </row>
    <row r="3717" spans="1:4" x14ac:dyDescent="0.2">
      <c r="A3717" s="3">
        <v>3716</v>
      </c>
      <c r="B3717" s="3">
        <v>113.37398349999999</v>
      </c>
      <c r="C3717" s="3">
        <v>22.943411950000002</v>
      </c>
      <c r="D3717" s="3">
        <v>6</v>
      </c>
    </row>
    <row r="3718" spans="1:4" x14ac:dyDescent="0.2">
      <c r="A3718" s="3">
        <v>3717</v>
      </c>
      <c r="B3718" s="3">
        <v>113.3798845</v>
      </c>
      <c r="C3718" s="3">
        <v>22.934090090000002</v>
      </c>
      <c r="D3718" s="3">
        <v>44</v>
      </c>
    </row>
    <row r="3719" spans="1:4" x14ac:dyDescent="0.2">
      <c r="A3719" s="3">
        <v>3718</v>
      </c>
      <c r="B3719" s="3">
        <v>113.3770942</v>
      </c>
      <c r="C3719" s="3">
        <v>22.938003550000001</v>
      </c>
      <c r="D3719" s="3">
        <v>44</v>
      </c>
    </row>
    <row r="3720" spans="1:4" x14ac:dyDescent="0.2">
      <c r="A3720" s="3">
        <v>3719</v>
      </c>
      <c r="B3720" s="3">
        <v>113.3814134</v>
      </c>
      <c r="C3720" s="3">
        <v>22.935644409999998</v>
      </c>
      <c r="D3720" s="3">
        <v>44</v>
      </c>
    </row>
    <row r="3721" spans="1:4" x14ac:dyDescent="0.2">
      <c r="A3721" s="3">
        <v>3720</v>
      </c>
      <c r="B3721" s="3">
        <v>113.37768490000001</v>
      </c>
      <c r="C3721" s="3">
        <v>22.936184839999999</v>
      </c>
      <c r="D3721" s="3">
        <v>44</v>
      </c>
    </row>
    <row r="3722" spans="1:4" x14ac:dyDescent="0.2">
      <c r="A3722" s="3">
        <v>3721</v>
      </c>
      <c r="B3722" s="3">
        <v>113.372715</v>
      </c>
      <c r="C3722" s="3">
        <v>22.93921293</v>
      </c>
      <c r="D3722" s="3">
        <v>35</v>
      </c>
    </row>
    <row r="3723" spans="1:4" x14ac:dyDescent="0.2">
      <c r="A3723" s="3">
        <v>3722</v>
      </c>
      <c r="B3723" s="3">
        <v>113.3737234</v>
      </c>
      <c r="C3723" s="3">
        <v>22.933879220000001</v>
      </c>
      <c r="D3723" s="3">
        <v>44</v>
      </c>
    </row>
    <row r="3724" spans="1:4" x14ac:dyDescent="0.2">
      <c r="A3724" s="3">
        <v>3723</v>
      </c>
      <c r="B3724" s="3">
        <v>113.3744627</v>
      </c>
      <c r="C3724" s="3">
        <v>22.933709610000001</v>
      </c>
      <c r="D3724" s="3">
        <v>44</v>
      </c>
    </row>
    <row r="3725" spans="1:4" x14ac:dyDescent="0.2">
      <c r="A3725" s="3">
        <v>3724</v>
      </c>
      <c r="B3725" s="3">
        <v>113.38135490000001</v>
      </c>
      <c r="C3725" s="3">
        <v>22.942991339999999</v>
      </c>
      <c r="D3725" s="3">
        <v>6</v>
      </c>
    </row>
    <row r="3726" spans="1:4" x14ac:dyDescent="0.2">
      <c r="A3726" s="3">
        <v>3725</v>
      </c>
      <c r="B3726" s="3">
        <v>113.373912</v>
      </c>
      <c r="C3726" s="3">
        <v>22.936696860000001</v>
      </c>
      <c r="D3726" s="3">
        <v>44</v>
      </c>
    </row>
    <row r="3727" spans="1:4" x14ac:dyDescent="0.2">
      <c r="A3727" s="3">
        <v>3726</v>
      </c>
      <c r="B3727" s="3">
        <v>113.3799901</v>
      </c>
      <c r="C3727" s="3">
        <v>22.937893410000001</v>
      </c>
      <c r="D3727" s="3">
        <v>44</v>
      </c>
    </row>
    <row r="3728" spans="1:4" x14ac:dyDescent="0.2">
      <c r="A3728" s="3">
        <v>3727</v>
      </c>
      <c r="B3728" s="3">
        <v>113.3731829</v>
      </c>
      <c r="C3728" s="3">
        <v>22.93369981</v>
      </c>
      <c r="D3728" s="3">
        <v>44</v>
      </c>
    </row>
    <row r="3729" spans="1:4" x14ac:dyDescent="0.2">
      <c r="A3729" s="3">
        <v>3728</v>
      </c>
      <c r="B3729" s="3">
        <v>113.3741807</v>
      </c>
      <c r="C3729" s="3">
        <v>22.938139</v>
      </c>
      <c r="D3729" s="3">
        <v>44</v>
      </c>
    </row>
    <row r="3730" spans="1:4" x14ac:dyDescent="0.2">
      <c r="A3730" s="3">
        <v>3729</v>
      </c>
      <c r="B3730" s="3">
        <v>113.3775689</v>
      </c>
      <c r="C3730" s="3">
        <v>22.93743941</v>
      </c>
      <c r="D3730" s="3">
        <v>44</v>
      </c>
    </row>
    <row r="3731" spans="1:4" x14ac:dyDescent="0.2">
      <c r="A3731" s="3">
        <v>3730</v>
      </c>
      <c r="B3731" s="3">
        <v>113.37669579999999</v>
      </c>
      <c r="C3731" s="3">
        <v>22.933953580000001</v>
      </c>
      <c r="D3731" s="3">
        <v>44</v>
      </c>
    </row>
    <row r="3732" spans="1:4" x14ac:dyDescent="0.2">
      <c r="A3732" s="3">
        <v>3731</v>
      </c>
      <c r="B3732" s="3">
        <v>113.3770985</v>
      </c>
      <c r="C3732" s="3">
        <v>22.933949250000001</v>
      </c>
      <c r="D3732" s="3">
        <v>44</v>
      </c>
    </row>
    <row r="3733" spans="1:4" x14ac:dyDescent="0.2">
      <c r="A3733" s="3">
        <v>3732</v>
      </c>
      <c r="B3733" s="3">
        <v>113.3737271</v>
      </c>
      <c r="C3733" s="3">
        <v>22.938801139999999</v>
      </c>
      <c r="D3733" s="3">
        <v>35</v>
      </c>
    </row>
    <row r="3734" spans="1:4" x14ac:dyDescent="0.2">
      <c r="A3734" s="3">
        <v>3733</v>
      </c>
      <c r="B3734" s="3">
        <v>113.3737163</v>
      </c>
      <c r="C3734" s="3">
        <v>22.935354610000001</v>
      </c>
      <c r="D3734" s="3">
        <v>44</v>
      </c>
    </row>
    <row r="3735" spans="1:4" x14ac:dyDescent="0.2">
      <c r="A3735" s="3">
        <v>3734</v>
      </c>
      <c r="B3735" s="3">
        <v>113.37264399999999</v>
      </c>
      <c r="C3735" s="3">
        <v>22.939753769999999</v>
      </c>
      <c r="D3735" s="3">
        <v>35</v>
      </c>
    </row>
    <row r="3736" spans="1:4" x14ac:dyDescent="0.2">
      <c r="A3736" s="3">
        <v>3735</v>
      </c>
      <c r="B3736" s="3">
        <v>113.372653</v>
      </c>
      <c r="C3736" s="3">
        <v>22.940011649999999</v>
      </c>
      <c r="D3736" s="3">
        <v>35</v>
      </c>
    </row>
    <row r="3737" spans="1:4" x14ac:dyDescent="0.2">
      <c r="A3737" s="3">
        <v>3736</v>
      </c>
      <c r="B3737" s="3">
        <v>113.37983029999999</v>
      </c>
      <c r="C3737" s="3">
        <v>22.936846970000001</v>
      </c>
      <c r="D3737" s="3">
        <v>44</v>
      </c>
    </row>
    <row r="3738" spans="1:4" x14ac:dyDescent="0.2">
      <c r="A3738" s="3">
        <v>3737</v>
      </c>
      <c r="B3738" s="3">
        <v>113.37374730000001</v>
      </c>
      <c r="C3738" s="3">
        <v>22.934595900000001</v>
      </c>
      <c r="D3738" s="3">
        <v>44</v>
      </c>
    </row>
    <row r="3739" spans="1:4" x14ac:dyDescent="0.2">
      <c r="A3739" s="3">
        <v>3738</v>
      </c>
      <c r="B3739" s="3">
        <v>113.3730247</v>
      </c>
      <c r="C3739" s="3">
        <v>22.938850779999999</v>
      </c>
      <c r="D3739" s="3">
        <v>35</v>
      </c>
    </row>
    <row r="3740" spans="1:4" x14ac:dyDescent="0.2">
      <c r="A3740" s="3">
        <v>3739</v>
      </c>
      <c r="B3740" s="3">
        <v>113.37712430000001</v>
      </c>
      <c r="C3740" s="3">
        <v>22.93645218</v>
      </c>
      <c r="D3740" s="3">
        <v>44</v>
      </c>
    </row>
    <row r="3741" spans="1:4" x14ac:dyDescent="0.2">
      <c r="A3741" s="3">
        <v>3740</v>
      </c>
      <c r="B3741" s="3">
        <v>113.3785299</v>
      </c>
      <c r="C3741" s="3">
        <v>22.941918770000001</v>
      </c>
      <c r="D3741" s="3">
        <v>6</v>
      </c>
    </row>
    <row r="3742" spans="1:4" x14ac:dyDescent="0.2">
      <c r="A3742" s="3">
        <v>3741</v>
      </c>
      <c r="B3742" s="3">
        <v>113.37375230000001</v>
      </c>
      <c r="C3742" s="3">
        <v>22.935325580000001</v>
      </c>
      <c r="D3742" s="3">
        <v>44</v>
      </c>
    </row>
    <row r="3743" spans="1:4" x14ac:dyDescent="0.2">
      <c r="A3743" s="3">
        <v>3742</v>
      </c>
      <c r="B3743" s="3">
        <v>113.37371640000001</v>
      </c>
      <c r="C3743" s="3">
        <v>22.934593929999998</v>
      </c>
      <c r="D3743" s="3">
        <v>44</v>
      </c>
    </row>
    <row r="3744" spans="1:4" x14ac:dyDescent="0.2">
      <c r="A3744" s="3">
        <v>3743</v>
      </c>
      <c r="B3744" s="3">
        <v>113.3727719</v>
      </c>
      <c r="C3744" s="3">
        <v>22.939873590000001</v>
      </c>
      <c r="D3744" s="3">
        <v>35</v>
      </c>
    </row>
    <row r="3745" spans="1:4" x14ac:dyDescent="0.2">
      <c r="A3745" s="3">
        <v>3744</v>
      </c>
      <c r="B3745" s="3">
        <v>113.37275390000001</v>
      </c>
      <c r="C3745" s="3">
        <v>22.94015649</v>
      </c>
      <c r="D3745" s="3">
        <v>35</v>
      </c>
    </row>
    <row r="3746" spans="1:4" x14ac:dyDescent="0.2">
      <c r="A3746" s="3">
        <v>3745</v>
      </c>
      <c r="B3746" s="3">
        <v>113.3764485</v>
      </c>
      <c r="C3746" s="3">
        <v>22.941657530000001</v>
      </c>
      <c r="D3746" s="3">
        <v>6</v>
      </c>
    </row>
    <row r="3747" spans="1:4" x14ac:dyDescent="0.2">
      <c r="A3747" s="3">
        <v>3746</v>
      </c>
      <c r="B3747" s="3">
        <v>113.3733611</v>
      </c>
      <c r="C3747" s="3">
        <v>22.943010699999999</v>
      </c>
      <c r="D3747" s="3">
        <v>6</v>
      </c>
    </row>
    <row r="3748" spans="1:4" x14ac:dyDescent="0.2">
      <c r="A3748" s="3">
        <v>3747</v>
      </c>
      <c r="B3748" s="3">
        <v>113.3800402</v>
      </c>
      <c r="C3748" s="3">
        <v>22.936583930000001</v>
      </c>
      <c r="D3748" s="3">
        <v>44</v>
      </c>
    </row>
    <row r="3749" spans="1:4" x14ac:dyDescent="0.2">
      <c r="A3749" s="3">
        <v>3748</v>
      </c>
      <c r="B3749" s="3">
        <v>113.38044499999999</v>
      </c>
      <c r="C3749" s="3">
        <v>22.93543614</v>
      </c>
      <c r="D3749" s="3">
        <v>44</v>
      </c>
    </row>
    <row r="3750" spans="1:4" x14ac:dyDescent="0.2">
      <c r="A3750" s="3">
        <v>3749</v>
      </c>
      <c r="B3750" s="3">
        <v>113.3761926</v>
      </c>
      <c r="C3750" s="3">
        <v>22.94319209</v>
      </c>
      <c r="D3750" s="3">
        <v>6</v>
      </c>
    </row>
    <row r="3751" spans="1:4" x14ac:dyDescent="0.2">
      <c r="A3751" s="3">
        <v>3750</v>
      </c>
      <c r="B3751" s="3">
        <v>113.3808087</v>
      </c>
      <c r="C3751" s="3">
        <v>22.935886700000001</v>
      </c>
      <c r="D3751" s="3">
        <v>44</v>
      </c>
    </row>
    <row r="3752" spans="1:4" x14ac:dyDescent="0.2">
      <c r="A3752" s="3">
        <v>3751</v>
      </c>
      <c r="B3752" s="3">
        <v>113.3737967</v>
      </c>
      <c r="C3752" s="3">
        <v>22.942818370000001</v>
      </c>
      <c r="D3752" s="3">
        <v>6</v>
      </c>
    </row>
    <row r="3753" spans="1:4" x14ac:dyDescent="0.2">
      <c r="A3753" s="3">
        <v>3752</v>
      </c>
      <c r="B3753" s="3">
        <v>113.3772208</v>
      </c>
      <c r="C3753" s="3">
        <v>22.942397580000002</v>
      </c>
      <c r="D3753" s="3">
        <v>6</v>
      </c>
    </row>
    <row r="3754" spans="1:4" x14ac:dyDescent="0.2">
      <c r="A3754" s="3">
        <v>3753</v>
      </c>
      <c r="B3754" s="3">
        <v>113.37233670000001</v>
      </c>
      <c r="C3754" s="3">
        <v>22.933906539999999</v>
      </c>
      <c r="D3754" s="3">
        <v>35</v>
      </c>
    </row>
    <row r="3755" spans="1:4" x14ac:dyDescent="0.2">
      <c r="A3755" s="3">
        <v>3754</v>
      </c>
      <c r="B3755" s="3">
        <v>113.3720046</v>
      </c>
      <c r="C3755" s="3">
        <v>22.94105484</v>
      </c>
      <c r="D3755" s="3">
        <v>35</v>
      </c>
    </row>
    <row r="3756" spans="1:4" x14ac:dyDescent="0.2">
      <c r="A3756" s="3">
        <v>3755</v>
      </c>
      <c r="B3756" s="3">
        <v>113.3722278</v>
      </c>
      <c r="C3756" s="3">
        <v>22.934674319999999</v>
      </c>
      <c r="D3756" s="3">
        <v>35</v>
      </c>
    </row>
    <row r="3757" spans="1:4" x14ac:dyDescent="0.2">
      <c r="A3757" s="3">
        <v>3756</v>
      </c>
      <c r="B3757" s="3">
        <v>113.3781192</v>
      </c>
      <c r="C3757" s="3">
        <v>22.94150926</v>
      </c>
      <c r="D3757" s="3">
        <v>6</v>
      </c>
    </row>
    <row r="3758" spans="1:4" x14ac:dyDescent="0.2">
      <c r="A3758" s="3">
        <v>3757</v>
      </c>
      <c r="B3758" s="3">
        <v>113.3786028</v>
      </c>
      <c r="C3758" s="3">
        <v>22.941998680000001</v>
      </c>
      <c r="D3758" s="3">
        <v>6</v>
      </c>
    </row>
    <row r="3759" spans="1:4" x14ac:dyDescent="0.2">
      <c r="A3759" s="3">
        <v>3758</v>
      </c>
      <c r="B3759" s="3">
        <v>113.3766553</v>
      </c>
      <c r="C3759" s="3">
        <v>22.941991219999998</v>
      </c>
      <c r="D3759" s="3">
        <v>6</v>
      </c>
    </row>
    <row r="3760" spans="1:4" x14ac:dyDescent="0.2">
      <c r="A3760" s="3">
        <v>3759</v>
      </c>
      <c r="B3760" s="3">
        <v>113.3777039</v>
      </c>
      <c r="C3760" s="3">
        <v>22.935984909999998</v>
      </c>
      <c r="D3760" s="3">
        <v>44</v>
      </c>
    </row>
    <row r="3761" spans="1:4" x14ac:dyDescent="0.2">
      <c r="A3761" s="3">
        <v>3760</v>
      </c>
      <c r="B3761" s="3">
        <v>113.3723207</v>
      </c>
      <c r="C3761" s="3">
        <v>22.933814590000001</v>
      </c>
      <c r="D3761" s="3">
        <v>35</v>
      </c>
    </row>
    <row r="3762" spans="1:4" x14ac:dyDescent="0.2">
      <c r="A3762" s="3">
        <v>3761</v>
      </c>
      <c r="B3762" s="3">
        <v>113.3814134</v>
      </c>
      <c r="C3762" s="3">
        <v>22.935601429999998</v>
      </c>
      <c r="D3762" s="3">
        <v>44</v>
      </c>
    </row>
    <row r="3763" spans="1:4" x14ac:dyDescent="0.2">
      <c r="A3763" s="3">
        <v>3762</v>
      </c>
      <c r="B3763" s="3">
        <v>113.3723167</v>
      </c>
      <c r="C3763" s="3">
        <v>22.933946540000001</v>
      </c>
      <c r="D3763" s="3">
        <v>35</v>
      </c>
    </row>
    <row r="3764" spans="1:4" x14ac:dyDescent="0.2">
      <c r="A3764" s="3">
        <v>3763</v>
      </c>
      <c r="B3764" s="3">
        <v>113.37710149999999</v>
      </c>
      <c r="C3764" s="3">
        <v>22.933893279999999</v>
      </c>
      <c r="D3764" s="3">
        <v>44</v>
      </c>
    </row>
    <row r="3765" spans="1:4" x14ac:dyDescent="0.2">
      <c r="A3765" s="3">
        <v>3764</v>
      </c>
      <c r="B3765" s="3">
        <v>113.37723769999999</v>
      </c>
      <c r="C3765" s="3">
        <v>22.943311179999998</v>
      </c>
      <c r="D3765" s="3">
        <v>6</v>
      </c>
    </row>
    <row r="3766" spans="1:4" x14ac:dyDescent="0.2">
      <c r="A3766" s="3">
        <v>3765</v>
      </c>
      <c r="B3766" s="3">
        <v>113.3722028</v>
      </c>
      <c r="C3766" s="3">
        <v>22.934628360000001</v>
      </c>
      <c r="D3766" s="3">
        <v>35</v>
      </c>
    </row>
    <row r="3767" spans="1:4" x14ac:dyDescent="0.2">
      <c r="A3767" s="3">
        <v>3766</v>
      </c>
      <c r="B3767" s="3">
        <v>113.3718317</v>
      </c>
      <c r="C3767" s="3">
        <v>22.941182959999999</v>
      </c>
      <c r="D3767" s="3">
        <v>35</v>
      </c>
    </row>
    <row r="3768" spans="1:4" x14ac:dyDescent="0.2">
      <c r="A3768" s="3">
        <v>3767</v>
      </c>
      <c r="B3768" s="3">
        <v>113.3766868</v>
      </c>
      <c r="C3768" s="3">
        <v>22.933929599999999</v>
      </c>
      <c r="D3768" s="3">
        <v>44</v>
      </c>
    </row>
    <row r="3769" spans="1:4" x14ac:dyDescent="0.2">
      <c r="A3769" s="3">
        <v>3768</v>
      </c>
      <c r="B3769" s="3">
        <v>113.371871</v>
      </c>
      <c r="C3769" s="3">
        <v>22.935931140000001</v>
      </c>
      <c r="D3769" s="3">
        <v>35</v>
      </c>
    </row>
    <row r="3770" spans="1:4" x14ac:dyDescent="0.2">
      <c r="A3770" s="3">
        <v>3769</v>
      </c>
      <c r="B3770" s="3">
        <v>113.3728349</v>
      </c>
      <c r="C3770" s="3">
        <v>22.93896891</v>
      </c>
      <c r="D3770" s="3">
        <v>35</v>
      </c>
    </row>
    <row r="3771" spans="1:4" x14ac:dyDescent="0.2">
      <c r="A3771" s="3">
        <v>3770</v>
      </c>
      <c r="B3771" s="3">
        <v>113.3874284</v>
      </c>
      <c r="C3771" s="3">
        <v>22.937848349999999</v>
      </c>
      <c r="D3771" s="3">
        <v>44</v>
      </c>
    </row>
    <row r="3772" spans="1:4" x14ac:dyDescent="0.2">
      <c r="A3772" s="3">
        <v>3771</v>
      </c>
      <c r="B3772" s="3">
        <v>113.3879551</v>
      </c>
      <c r="C3772" s="3">
        <v>22.94040506</v>
      </c>
      <c r="D3772" s="3">
        <v>44</v>
      </c>
    </row>
    <row r="3773" spans="1:4" x14ac:dyDescent="0.2">
      <c r="A3773" s="3">
        <v>3772</v>
      </c>
      <c r="B3773" s="3">
        <v>113.38738530000001</v>
      </c>
      <c r="C3773" s="3">
        <v>22.939779550000001</v>
      </c>
      <c r="D3773" s="3">
        <v>44</v>
      </c>
    </row>
    <row r="3774" spans="1:4" x14ac:dyDescent="0.2">
      <c r="A3774" s="3">
        <v>3773</v>
      </c>
      <c r="B3774" s="3">
        <v>113.3857349</v>
      </c>
      <c r="C3774" s="3">
        <v>22.94029505</v>
      </c>
      <c r="D3774" s="3">
        <v>44</v>
      </c>
    </row>
    <row r="3775" spans="1:4" x14ac:dyDescent="0.2">
      <c r="A3775" s="3">
        <v>3774</v>
      </c>
      <c r="B3775" s="3">
        <v>113.38655850000001</v>
      </c>
      <c r="C3775" s="3">
        <v>22.94049459</v>
      </c>
      <c r="D3775" s="3">
        <v>44</v>
      </c>
    </row>
    <row r="3776" spans="1:4" x14ac:dyDescent="0.2">
      <c r="A3776" s="3">
        <v>3775</v>
      </c>
      <c r="B3776" s="3">
        <v>113.385993</v>
      </c>
      <c r="C3776" s="3">
        <v>22.936762420000001</v>
      </c>
      <c r="D3776" s="3">
        <v>44</v>
      </c>
    </row>
    <row r="3777" spans="1:4" x14ac:dyDescent="0.2">
      <c r="A3777" s="3">
        <v>3776</v>
      </c>
      <c r="B3777" s="3">
        <v>113.3844835</v>
      </c>
      <c r="C3777" s="3">
        <v>22.938520409999999</v>
      </c>
      <c r="D3777" s="3">
        <v>44</v>
      </c>
    </row>
    <row r="3778" spans="1:4" x14ac:dyDescent="0.2">
      <c r="A3778" s="3">
        <v>3777</v>
      </c>
      <c r="B3778" s="3">
        <v>113.3879402</v>
      </c>
      <c r="C3778" s="3">
        <v>22.937960100000002</v>
      </c>
      <c r="D3778" s="3">
        <v>44</v>
      </c>
    </row>
    <row r="3779" spans="1:4" x14ac:dyDescent="0.2">
      <c r="A3779" s="3">
        <v>3778</v>
      </c>
      <c r="B3779" s="3">
        <v>113.3841097</v>
      </c>
      <c r="C3779" s="3">
        <v>22.93850162</v>
      </c>
      <c r="D3779" s="3">
        <v>44</v>
      </c>
    </row>
    <row r="3780" spans="1:4" x14ac:dyDescent="0.2">
      <c r="A3780" s="3">
        <v>3779</v>
      </c>
      <c r="B3780" s="3">
        <v>113.3871827</v>
      </c>
      <c r="C3780" s="3">
        <v>22.935379489999999</v>
      </c>
      <c r="D3780" s="3">
        <v>44</v>
      </c>
    </row>
    <row r="3781" spans="1:4" x14ac:dyDescent="0.2">
      <c r="A3781" s="3">
        <v>3780</v>
      </c>
      <c r="B3781" s="3">
        <v>113.38867190000001</v>
      </c>
      <c r="C3781" s="3">
        <v>22.94004696</v>
      </c>
      <c r="D3781" s="3">
        <v>44</v>
      </c>
    </row>
    <row r="3782" spans="1:4" x14ac:dyDescent="0.2">
      <c r="A3782" s="3">
        <v>3781</v>
      </c>
      <c r="B3782" s="3">
        <v>113.38423969999999</v>
      </c>
      <c r="C3782" s="3">
        <v>22.937599930000001</v>
      </c>
      <c r="D3782" s="3">
        <v>44</v>
      </c>
    </row>
    <row r="3783" spans="1:4" x14ac:dyDescent="0.2">
      <c r="A3783" s="3">
        <v>3782</v>
      </c>
      <c r="B3783" s="3">
        <v>113.3863449</v>
      </c>
      <c r="C3783" s="3">
        <v>22.93601658</v>
      </c>
      <c r="D3783" s="3">
        <v>44</v>
      </c>
    </row>
    <row r="3784" spans="1:4" x14ac:dyDescent="0.2">
      <c r="A3784" s="3">
        <v>3783</v>
      </c>
      <c r="B3784" s="3">
        <v>113.38495949999999</v>
      </c>
      <c r="C3784" s="3">
        <v>22.935250549999999</v>
      </c>
      <c r="D3784" s="3">
        <v>44</v>
      </c>
    </row>
    <row r="3785" spans="1:4" x14ac:dyDescent="0.2">
      <c r="A3785" s="3">
        <v>3784</v>
      </c>
      <c r="B3785" s="3">
        <v>113.3884551</v>
      </c>
      <c r="C3785" s="3">
        <v>22.937739010000001</v>
      </c>
      <c r="D3785" s="3">
        <v>44</v>
      </c>
    </row>
    <row r="3786" spans="1:4" x14ac:dyDescent="0.2">
      <c r="A3786" s="3">
        <v>3785</v>
      </c>
      <c r="B3786" s="3">
        <v>113.38772640000001</v>
      </c>
      <c r="C3786" s="3">
        <v>22.936631739999999</v>
      </c>
      <c r="D3786" s="3">
        <v>44</v>
      </c>
    </row>
    <row r="3787" spans="1:4" x14ac:dyDescent="0.2">
      <c r="A3787" s="3">
        <v>3786</v>
      </c>
      <c r="B3787" s="3">
        <v>113.386213</v>
      </c>
      <c r="C3787" s="3">
        <v>22.93579673</v>
      </c>
      <c r="D3787" s="3">
        <v>44</v>
      </c>
    </row>
    <row r="3788" spans="1:4" x14ac:dyDescent="0.2">
      <c r="A3788" s="3">
        <v>3787</v>
      </c>
      <c r="B3788" s="3">
        <v>113.386059</v>
      </c>
      <c r="C3788" s="3">
        <v>22.935785800000001</v>
      </c>
      <c r="D3788" s="3">
        <v>44</v>
      </c>
    </row>
    <row r="3789" spans="1:4" x14ac:dyDescent="0.2">
      <c r="A3789" s="3">
        <v>3788</v>
      </c>
      <c r="B3789" s="3">
        <v>113.38343</v>
      </c>
      <c r="C3789" s="3">
        <v>22.938543970000001</v>
      </c>
      <c r="D3789" s="3">
        <v>44</v>
      </c>
    </row>
    <row r="3790" spans="1:4" x14ac:dyDescent="0.2">
      <c r="A3790" s="3">
        <v>3789</v>
      </c>
      <c r="B3790" s="3">
        <v>113.3895466</v>
      </c>
      <c r="C3790" s="3">
        <v>22.940298559999999</v>
      </c>
      <c r="D3790" s="3">
        <v>44</v>
      </c>
    </row>
    <row r="3791" spans="1:4" x14ac:dyDescent="0.2">
      <c r="A3791" s="3">
        <v>3790</v>
      </c>
      <c r="B3791" s="3">
        <v>113.3840706</v>
      </c>
      <c r="C3791" s="3">
        <v>22.94050579</v>
      </c>
      <c r="D3791" s="3">
        <v>44</v>
      </c>
    </row>
    <row r="3792" spans="1:4" x14ac:dyDescent="0.2">
      <c r="A3792" s="3">
        <v>3791</v>
      </c>
      <c r="B3792" s="3">
        <v>113.3888528</v>
      </c>
      <c r="C3792" s="3">
        <v>22.94054968</v>
      </c>
      <c r="D3792" s="3">
        <v>44</v>
      </c>
    </row>
    <row r="3793" spans="1:4" x14ac:dyDescent="0.2">
      <c r="A3793" s="3">
        <v>3792</v>
      </c>
      <c r="B3793" s="3">
        <v>113.3891247</v>
      </c>
      <c r="C3793" s="3">
        <v>22.940619559999998</v>
      </c>
      <c r="D3793" s="3">
        <v>44</v>
      </c>
    </row>
    <row r="3794" spans="1:4" x14ac:dyDescent="0.2">
      <c r="A3794" s="3">
        <v>3793</v>
      </c>
      <c r="B3794" s="3">
        <v>113.3890167</v>
      </c>
      <c r="C3794" s="3">
        <v>22.940838500000002</v>
      </c>
      <c r="D3794" s="3">
        <v>44</v>
      </c>
    </row>
    <row r="3795" spans="1:4" x14ac:dyDescent="0.2">
      <c r="A3795" s="3">
        <v>3794</v>
      </c>
      <c r="B3795" s="3">
        <v>113.38384069999999</v>
      </c>
      <c r="C3795" s="3">
        <v>22.940811790000001</v>
      </c>
      <c r="D3795" s="3">
        <v>44</v>
      </c>
    </row>
    <row r="3796" spans="1:4" x14ac:dyDescent="0.2">
      <c r="A3796" s="3">
        <v>3795</v>
      </c>
      <c r="B3796" s="3">
        <v>113.383911</v>
      </c>
      <c r="C3796" s="3">
        <v>22.936351630000001</v>
      </c>
      <c r="D3796" s="3">
        <v>44</v>
      </c>
    </row>
    <row r="3797" spans="1:4" x14ac:dyDescent="0.2">
      <c r="A3797" s="3">
        <v>3796</v>
      </c>
      <c r="B3797" s="3">
        <v>113.3883153</v>
      </c>
      <c r="C3797" s="3">
        <v>22.93571391</v>
      </c>
      <c r="D3797" s="3">
        <v>44</v>
      </c>
    </row>
    <row r="3798" spans="1:4" x14ac:dyDescent="0.2">
      <c r="A3798" s="3">
        <v>3797</v>
      </c>
      <c r="B3798" s="3">
        <v>113.3831641</v>
      </c>
      <c r="C3798" s="3">
        <v>22.93995653</v>
      </c>
      <c r="D3798" s="3">
        <v>44</v>
      </c>
    </row>
    <row r="3799" spans="1:4" x14ac:dyDescent="0.2">
      <c r="A3799" s="3">
        <v>3798</v>
      </c>
      <c r="B3799" s="3">
        <v>113.38711670000001</v>
      </c>
      <c r="C3799" s="3">
        <v>22.935054650000001</v>
      </c>
      <c r="D3799" s="3">
        <v>44</v>
      </c>
    </row>
    <row r="3800" spans="1:4" x14ac:dyDescent="0.2">
      <c r="A3800" s="3">
        <v>3799</v>
      </c>
      <c r="B3800" s="3">
        <v>113.3865199</v>
      </c>
      <c r="C3800" s="3">
        <v>22.934736040000001</v>
      </c>
      <c r="D3800" s="3">
        <v>44</v>
      </c>
    </row>
    <row r="3801" spans="1:4" x14ac:dyDescent="0.2">
      <c r="A3801" s="3">
        <v>3800</v>
      </c>
      <c r="B3801" s="3">
        <v>113.386223</v>
      </c>
      <c r="C3801" s="3">
        <v>22.93473517</v>
      </c>
      <c r="D3801" s="3">
        <v>44</v>
      </c>
    </row>
    <row r="3802" spans="1:4" x14ac:dyDescent="0.2">
      <c r="A3802" s="3">
        <v>3801</v>
      </c>
      <c r="B3802" s="3">
        <v>113.3827855</v>
      </c>
      <c r="C3802" s="3">
        <v>22.93670912</v>
      </c>
      <c r="D3802" s="3">
        <v>44</v>
      </c>
    </row>
    <row r="3803" spans="1:4" x14ac:dyDescent="0.2">
      <c r="A3803" s="3">
        <v>3802</v>
      </c>
      <c r="B3803" s="3">
        <v>113.3847287</v>
      </c>
      <c r="C3803" s="3">
        <v>22.934945800000001</v>
      </c>
      <c r="D3803" s="3">
        <v>44</v>
      </c>
    </row>
    <row r="3804" spans="1:4" x14ac:dyDescent="0.2">
      <c r="A3804" s="3">
        <v>3803</v>
      </c>
      <c r="B3804" s="3">
        <v>113.3902144</v>
      </c>
      <c r="C3804" s="3">
        <v>22.940910110000001</v>
      </c>
      <c r="D3804" s="3">
        <v>34</v>
      </c>
    </row>
    <row r="3805" spans="1:4" x14ac:dyDescent="0.2">
      <c r="A3805" s="3">
        <v>3804</v>
      </c>
      <c r="B3805" s="3">
        <v>113.3858292</v>
      </c>
      <c r="C3805" s="3">
        <v>22.934589410000001</v>
      </c>
      <c r="D3805" s="3">
        <v>44</v>
      </c>
    </row>
    <row r="3806" spans="1:4" x14ac:dyDescent="0.2">
      <c r="A3806" s="3">
        <v>3805</v>
      </c>
      <c r="B3806" s="3">
        <v>113.3840075</v>
      </c>
      <c r="C3806" s="3">
        <v>22.941928220000001</v>
      </c>
      <c r="D3806" s="3">
        <v>6</v>
      </c>
    </row>
    <row r="3807" spans="1:4" x14ac:dyDescent="0.2">
      <c r="A3807" s="3">
        <v>3806</v>
      </c>
      <c r="B3807" s="3">
        <v>113.39060259999999</v>
      </c>
      <c r="C3807" s="3">
        <v>22.937113610000001</v>
      </c>
      <c r="D3807" s="3">
        <v>44</v>
      </c>
    </row>
    <row r="3808" spans="1:4" x14ac:dyDescent="0.2">
      <c r="A3808" s="3">
        <v>3807</v>
      </c>
      <c r="B3808" s="3">
        <v>113.3837431</v>
      </c>
      <c r="C3808" s="3">
        <v>22.935176219999999</v>
      </c>
      <c r="D3808" s="3">
        <v>44</v>
      </c>
    </row>
    <row r="3809" spans="1:4" x14ac:dyDescent="0.2">
      <c r="A3809" s="3">
        <v>3808</v>
      </c>
      <c r="B3809" s="3">
        <v>113.39061529999999</v>
      </c>
      <c r="C3809" s="3">
        <v>22.941310829999999</v>
      </c>
      <c r="D3809" s="3">
        <v>34</v>
      </c>
    </row>
    <row r="3810" spans="1:4" x14ac:dyDescent="0.2">
      <c r="A3810" s="3">
        <v>3809</v>
      </c>
      <c r="B3810" s="3">
        <v>113.3823235</v>
      </c>
      <c r="C3810" s="3">
        <v>22.941253469999999</v>
      </c>
      <c r="D3810" s="3">
        <v>44</v>
      </c>
    </row>
    <row r="3811" spans="1:4" x14ac:dyDescent="0.2">
      <c r="A3811" s="3">
        <v>3810</v>
      </c>
      <c r="B3811" s="3">
        <v>113.38354080000001</v>
      </c>
      <c r="C3811" s="3">
        <v>22.941257759999999</v>
      </c>
      <c r="D3811" s="3">
        <v>44</v>
      </c>
    </row>
    <row r="3812" spans="1:4" x14ac:dyDescent="0.2">
      <c r="A3812" s="3">
        <v>3811</v>
      </c>
      <c r="B3812" s="3">
        <v>113.3914582</v>
      </c>
      <c r="C3812" s="3">
        <v>22.94082783</v>
      </c>
      <c r="D3812" s="3">
        <v>34</v>
      </c>
    </row>
    <row r="3813" spans="1:4" x14ac:dyDescent="0.2">
      <c r="A3813" s="3">
        <v>3812</v>
      </c>
      <c r="B3813" s="3">
        <v>113.39129819999999</v>
      </c>
      <c r="C3813" s="3">
        <v>22.941439599999999</v>
      </c>
      <c r="D3813" s="3">
        <v>34</v>
      </c>
    </row>
    <row r="3814" spans="1:4" x14ac:dyDescent="0.2">
      <c r="A3814" s="3">
        <v>3813</v>
      </c>
      <c r="B3814" s="3">
        <v>113.3821186</v>
      </c>
      <c r="C3814" s="3">
        <v>22.940502909999999</v>
      </c>
      <c r="D3814" s="3">
        <v>44</v>
      </c>
    </row>
    <row r="3815" spans="1:4" x14ac:dyDescent="0.2">
      <c r="A3815" s="3">
        <v>3814</v>
      </c>
      <c r="B3815" s="3">
        <v>113.3914394</v>
      </c>
      <c r="C3815" s="3">
        <v>22.93916553</v>
      </c>
      <c r="D3815" s="3">
        <v>34</v>
      </c>
    </row>
    <row r="3816" spans="1:4" x14ac:dyDescent="0.2">
      <c r="A3816" s="3">
        <v>3815</v>
      </c>
      <c r="B3816" s="3">
        <v>113.383724</v>
      </c>
      <c r="C3816" s="3">
        <v>22.937088419999998</v>
      </c>
      <c r="D3816" s="3">
        <v>44</v>
      </c>
    </row>
    <row r="3817" spans="1:4" x14ac:dyDescent="0.2">
      <c r="A3817" s="3">
        <v>3816</v>
      </c>
      <c r="B3817" s="3">
        <v>113.3818761</v>
      </c>
      <c r="C3817" s="3">
        <v>22.935250280000002</v>
      </c>
      <c r="D3817" s="3">
        <v>44</v>
      </c>
    </row>
    <row r="3818" spans="1:4" x14ac:dyDescent="0.2">
      <c r="A3818" s="3">
        <v>3817</v>
      </c>
      <c r="B3818" s="3">
        <v>113.3903759</v>
      </c>
      <c r="C3818" s="3">
        <v>22.934104940000001</v>
      </c>
      <c r="D3818" s="3">
        <v>44</v>
      </c>
    </row>
    <row r="3819" spans="1:4" x14ac:dyDescent="0.2">
      <c r="A3819" s="3">
        <v>3818</v>
      </c>
      <c r="B3819" s="3">
        <v>113.38373</v>
      </c>
      <c r="C3819" s="3">
        <v>22.93758021</v>
      </c>
      <c r="D3819" s="3">
        <v>44</v>
      </c>
    </row>
    <row r="3820" spans="1:4" x14ac:dyDescent="0.2">
      <c r="A3820" s="3">
        <v>3819</v>
      </c>
      <c r="B3820" s="3">
        <v>113.3823768</v>
      </c>
      <c r="C3820" s="3">
        <v>22.935313950000001</v>
      </c>
      <c r="D3820" s="3">
        <v>44</v>
      </c>
    </row>
    <row r="3821" spans="1:4" x14ac:dyDescent="0.2">
      <c r="A3821" s="3">
        <v>3820</v>
      </c>
      <c r="B3821" s="3">
        <v>113.3862316</v>
      </c>
      <c r="C3821" s="3">
        <v>22.94097253</v>
      </c>
      <c r="D3821" s="3">
        <v>44</v>
      </c>
    </row>
    <row r="3822" spans="1:4" x14ac:dyDescent="0.2">
      <c r="A3822" s="3">
        <v>3821</v>
      </c>
      <c r="B3822" s="3">
        <v>113.383354</v>
      </c>
      <c r="C3822" s="3">
        <v>22.939474619999999</v>
      </c>
      <c r="D3822" s="3">
        <v>44</v>
      </c>
    </row>
    <row r="3823" spans="1:4" x14ac:dyDescent="0.2">
      <c r="A3823" s="3">
        <v>3822</v>
      </c>
      <c r="B3823" s="3">
        <v>113.3866048</v>
      </c>
      <c r="C3823" s="3">
        <v>22.936711169999999</v>
      </c>
      <c r="D3823" s="3">
        <v>44</v>
      </c>
    </row>
    <row r="3824" spans="1:4" x14ac:dyDescent="0.2">
      <c r="A3824" s="3">
        <v>3823</v>
      </c>
      <c r="B3824" s="3">
        <v>113.38655</v>
      </c>
      <c r="C3824" s="3">
        <v>22.934269220000001</v>
      </c>
      <c r="D3824" s="3">
        <v>44</v>
      </c>
    </row>
    <row r="3825" spans="1:4" x14ac:dyDescent="0.2">
      <c r="A3825" s="3">
        <v>3824</v>
      </c>
      <c r="B3825" s="3">
        <v>113.39150840000001</v>
      </c>
      <c r="C3825" s="3">
        <v>22.93814695</v>
      </c>
      <c r="D3825" s="3">
        <v>34</v>
      </c>
    </row>
    <row r="3826" spans="1:4" x14ac:dyDescent="0.2">
      <c r="A3826" s="3">
        <v>3825</v>
      </c>
      <c r="B3826" s="3">
        <v>113.39711629999999</v>
      </c>
      <c r="C3826" s="3">
        <v>22.939408830000001</v>
      </c>
      <c r="D3826" s="3">
        <v>34</v>
      </c>
    </row>
    <row r="3827" spans="1:4" x14ac:dyDescent="0.2">
      <c r="A3827" s="3">
        <v>3826</v>
      </c>
      <c r="B3827" s="3">
        <v>113.3955852</v>
      </c>
      <c r="C3827" s="3">
        <v>22.93833931</v>
      </c>
      <c r="D3827" s="3">
        <v>34</v>
      </c>
    </row>
    <row r="3828" spans="1:4" x14ac:dyDescent="0.2">
      <c r="A3828" s="3">
        <v>3827</v>
      </c>
      <c r="B3828" s="3">
        <v>113.3947932</v>
      </c>
      <c r="C3828" s="3">
        <v>22.938347360000002</v>
      </c>
      <c r="D3828" s="3">
        <v>34</v>
      </c>
    </row>
    <row r="3829" spans="1:4" x14ac:dyDescent="0.2">
      <c r="A3829" s="3">
        <v>3828</v>
      </c>
      <c r="B3829" s="3">
        <v>113.39445720000001</v>
      </c>
      <c r="C3829" s="3">
        <v>22.93834039</v>
      </c>
      <c r="D3829" s="3">
        <v>34</v>
      </c>
    </row>
    <row r="3830" spans="1:4" x14ac:dyDescent="0.2">
      <c r="A3830" s="3">
        <v>3829</v>
      </c>
      <c r="B3830" s="3">
        <v>113.3963392</v>
      </c>
      <c r="C3830" s="3">
        <v>22.940299450000001</v>
      </c>
      <c r="D3830" s="3">
        <v>34</v>
      </c>
    </row>
    <row r="3831" spans="1:4" x14ac:dyDescent="0.2">
      <c r="A3831" s="3">
        <v>3830</v>
      </c>
      <c r="B3831" s="3">
        <v>113.3966884</v>
      </c>
      <c r="C3831" s="3">
        <v>22.937778519999998</v>
      </c>
      <c r="D3831" s="3">
        <v>34</v>
      </c>
    </row>
    <row r="3832" spans="1:4" x14ac:dyDescent="0.2">
      <c r="A3832" s="3">
        <v>3831</v>
      </c>
      <c r="B3832" s="3">
        <v>113.3936102</v>
      </c>
      <c r="C3832" s="3">
        <v>22.939063180000002</v>
      </c>
      <c r="D3832" s="3">
        <v>34</v>
      </c>
    </row>
    <row r="3833" spans="1:4" x14ac:dyDescent="0.2">
      <c r="A3833" s="3">
        <v>3832</v>
      </c>
      <c r="B3833" s="3">
        <v>113.3936731</v>
      </c>
      <c r="C3833" s="3">
        <v>22.9401747</v>
      </c>
      <c r="D3833" s="3">
        <v>34</v>
      </c>
    </row>
    <row r="3834" spans="1:4" x14ac:dyDescent="0.2">
      <c r="A3834" s="3">
        <v>3833</v>
      </c>
      <c r="B3834" s="3">
        <v>113.3956481</v>
      </c>
      <c r="C3834" s="3">
        <v>22.939822679999999</v>
      </c>
      <c r="D3834" s="3">
        <v>34</v>
      </c>
    </row>
    <row r="3835" spans="1:4" x14ac:dyDescent="0.2">
      <c r="A3835" s="3">
        <v>3834</v>
      </c>
      <c r="B3835" s="3">
        <v>113.3926632</v>
      </c>
      <c r="C3835" s="3">
        <v>22.939999929999999</v>
      </c>
      <c r="D3835" s="3">
        <v>34</v>
      </c>
    </row>
    <row r="3836" spans="1:4" x14ac:dyDescent="0.2">
      <c r="A3836" s="3">
        <v>3835</v>
      </c>
      <c r="B3836" s="3">
        <v>113.400406</v>
      </c>
      <c r="C3836" s="3">
        <v>22.939648030000001</v>
      </c>
      <c r="D3836" s="3">
        <v>34</v>
      </c>
    </row>
    <row r="3837" spans="1:4" x14ac:dyDescent="0.2">
      <c r="A3837" s="3">
        <v>3836</v>
      </c>
      <c r="B3837" s="3">
        <v>113.3926032</v>
      </c>
      <c r="C3837" s="3">
        <v>22.939835009999999</v>
      </c>
      <c r="D3837" s="3">
        <v>34</v>
      </c>
    </row>
    <row r="3838" spans="1:4" x14ac:dyDescent="0.2">
      <c r="A3838" s="3">
        <v>3837</v>
      </c>
      <c r="B3838" s="3">
        <v>113.399817</v>
      </c>
      <c r="C3838" s="3">
        <v>22.937402890000001</v>
      </c>
      <c r="D3838" s="3">
        <v>34</v>
      </c>
    </row>
    <row r="3839" spans="1:4" x14ac:dyDescent="0.2">
      <c r="A3839" s="3">
        <v>3838</v>
      </c>
      <c r="B3839" s="3">
        <v>113.39252620000001</v>
      </c>
      <c r="C3839" s="3">
        <v>22.940189879999998</v>
      </c>
      <c r="D3839" s="3">
        <v>34</v>
      </c>
    </row>
    <row r="3840" spans="1:4" x14ac:dyDescent="0.2">
      <c r="A3840" s="3">
        <v>3839</v>
      </c>
      <c r="B3840" s="3">
        <v>113.3929612</v>
      </c>
      <c r="C3840" s="3">
        <v>22.93931517</v>
      </c>
      <c r="D3840" s="3">
        <v>34</v>
      </c>
    </row>
    <row r="3841" spans="1:4" x14ac:dyDescent="0.2">
      <c r="A3841" s="3">
        <v>3840</v>
      </c>
      <c r="B3841" s="3">
        <v>113.3952769</v>
      </c>
      <c r="C3841" s="3">
        <v>22.942455580000001</v>
      </c>
      <c r="D3841" s="3">
        <v>34</v>
      </c>
    </row>
    <row r="3842" spans="1:4" x14ac:dyDescent="0.2">
      <c r="A3842" s="3">
        <v>3841</v>
      </c>
      <c r="B3842" s="3">
        <v>113.39241920000001</v>
      </c>
      <c r="C3842" s="3">
        <v>22.940412800000001</v>
      </c>
      <c r="D3842" s="3">
        <v>34</v>
      </c>
    </row>
    <row r="3843" spans="1:4" x14ac:dyDescent="0.2">
      <c r="A3843" s="3">
        <v>3842</v>
      </c>
      <c r="B3843" s="3">
        <v>113.3990755</v>
      </c>
      <c r="C3843" s="3">
        <v>22.94223276</v>
      </c>
      <c r="D3843" s="3">
        <v>34</v>
      </c>
    </row>
    <row r="3844" spans="1:4" x14ac:dyDescent="0.2">
      <c r="A3844" s="3">
        <v>3843</v>
      </c>
      <c r="B3844" s="3">
        <v>113.3956481</v>
      </c>
      <c r="C3844" s="3">
        <v>22.939822679999999</v>
      </c>
      <c r="D3844" s="3">
        <v>34</v>
      </c>
    </row>
    <row r="3845" spans="1:4" x14ac:dyDescent="0.2">
      <c r="A3845" s="3">
        <v>3844</v>
      </c>
      <c r="B3845" s="3">
        <v>113.39243209999999</v>
      </c>
      <c r="C3845" s="3">
        <v>22.94067969</v>
      </c>
      <c r="D3845" s="3">
        <v>34</v>
      </c>
    </row>
    <row r="3846" spans="1:4" x14ac:dyDescent="0.2">
      <c r="A3846" s="3">
        <v>3845</v>
      </c>
      <c r="B3846" s="3">
        <v>113.39227409999999</v>
      </c>
      <c r="C3846" s="3">
        <v>22.940790669999998</v>
      </c>
      <c r="D3846" s="3">
        <v>34</v>
      </c>
    </row>
    <row r="3847" spans="1:4" x14ac:dyDescent="0.2">
      <c r="A3847" s="3">
        <v>3846</v>
      </c>
      <c r="B3847" s="3">
        <v>113.3983333</v>
      </c>
      <c r="C3847" s="3">
        <v>22.942937390000001</v>
      </c>
      <c r="D3847" s="3">
        <v>34</v>
      </c>
    </row>
    <row r="3848" spans="1:4" x14ac:dyDescent="0.2">
      <c r="A3848" s="3">
        <v>3847</v>
      </c>
      <c r="B3848" s="3">
        <v>113.3931394</v>
      </c>
      <c r="C3848" s="3">
        <v>22.936650270000001</v>
      </c>
      <c r="D3848" s="3">
        <v>34</v>
      </c>
    </row>
    <row r="3849" spans="1:4" x14ac:dyDescent="0.2">
      <c r="A3849" s="3">
        <v>3848</v>
      </c>
      <c r="B3849" s="3">
        <v>113.3927322</v>
      </c>
      <c r="C3849" s="3">
        <v>22.939768019999999</v>
      </c>
      <c r="D3849" s="3">
        <v>34</v>
      </c>
    </row>
    <row r="3850" spans="1:4" x14ac:dyDescent="0.2">
      <c r="A3850" s="3">
        <v>3849</v>
      </c>
      <c r="B3850" s="3">
        <v>113.39339390000001</v>
      </c>
      <c r="C3850" s="3">
        <v>22.943419370000001</v>
      </c>
      <c r="D3850" s="3">
        <v>34</v>
      </c>
    </row>
    <row r="3851" spans="1:4" x14ac:dyDescent="0.2">
      <c r="A3851" s="3">
        <v>3850</v>
      </c>
      <c r="B3851" s="3">
        <v>113.39193109999999</v>
      </c>
      <c r="C3851" s="3">
        <v>22.941442460000001</v>
      </c>
      <c r="D3851" s="3">
        <v>34</v>
      </c>
    </row>
    <row r="3852" spans="1:4" x14ac:dyDescent="0.2">
      <c r="A3852" s="3">
        <v>3851</v>
      </c>
      <c r="B3852" s="3">
        <v>113.4008024</v>
      </c>
      <c r="C3852" s="3">
        <v>22.935065030000001</v>
      </c>
      <c r="D3852" s="3">
        <v>34</v>
      </c>
    </row>
    <row r="3853" spans="1:4" x14ac:dyDescent="0.2">
      <c r="A3853" s="3">
        <v>3852</v>
      </c>
      <c r="B3853" s="3">
        <v>113.3932899</v>
      </c>
      <c r="C3853" s="3">
        <v>22.943006560000001</v>
      </c>
      <c r="D3853" s="3">
        <v>34</v>
      </c>
    </row>
    <row r="3854" spans="1:4" x14ac:dyDescent="0.2">
      <c r="A3854" s="3">
        <v>3853</v>
      </c>
      <c r="B3854" s="3">
        <v>113.4005059</v>
      </c>
      <c r="C3854" s="3">
        <v>22.941500260000002</v>
      </c>
      <c r="D3854" s="3">
        <v>34</v>
      </c>
    </row>
    <row r="3855" spans="1:4" x14ac:dyDescent="0.2">
      <c r="A3855" s="3">
        <v>3854</v>
      </c>
      <c r="B3855" s="3">
        <v>113.3928919</v>
      </c>
      <c r="C3855" s="3">
        <v>22.942970639999999</v>
      </c>
      <c r="D3855" s="3">
        <v>34</v>
      </c>
    </row>
    <row r="3856" spans="1:4" x14ac:dyDescent="0.2">
      <c r="A3856" s="3">
        <v>3855</v>
      </c>
      <c r="B3856" s="3">
        <v>113.392644</v>
      </c>
      <c r="C3856" s="3">
        <v>22.942805750000002</v>
      </c>
      <c r="D3856" s="3">
        <v>34</v>
      </c>
    </row>
    <row r="3857" spans="1:4" x14ac:dyDescent="0.2">
      <c r="A3857" s="3">
        <v>3856</v>
      </c>
      <c r="B3857" s="3">
        <v>113.39212499999999</v>
      </c>
      <c r="C3857" s="3">
        <v>22.943149699999999</v>
      </c>
      <c r="D3857" s="3">
        <v>34</v>
      </c>
    </row>
    <row r="3858" spans="1:4" x14ac:dyDescent="0.2">
      <c r="A3858" s="3">
        <v>3857</v>
      </c>
      <c r="B3858" s="3">
        <v>113.39882540000001</v>
      </c>
      <c r="C3858" s="3">
        <v>22.94261857</v>
      </c>
      <c r="D3858" s="3">
        <v>34</v>
      </c>
    </row>
    <row r="3859" spans="1:4" x14ac:dyDescent="0.2">
      <c r="A3859" s="3">
        <v>3858</v>
      </c>
      <c r="B3859" s="3">
        <v>113.3999312</v>
      </c>
      <c r="C3859" s="3">
        <v>22.934723040000002</v>
      </c>
      <c r="D3859" s="3">
        <v>34</v>
      </c>
    </row>
    <row r="3860" spans="1:4" x14ac:dyDescent="0.2">
      <c r="A3860" s="3">
        <v>3859</v>
      </c>
      <c r="B3860" s="3">
        <v>113.3931394</v>
      </c>
      <c r="C3860" s="3">
        <v>22.936650270000001</v>
      </c>
      <c r="D3860" s="3">
        <v>34</v>
      </c>
    </row>
    <row r="3861" spans="1:4" x14ac:dyDescent="0.2">
      <c r="A3861" s="3">
        <v>3860</v>
      </c>
      <c r="B3861" s="3">
        <v>113.3958392</v>
      </c>
      <c r="C3861" s="3">
        <v>22.939271900000001</v>
      </c>
      <c r="D3861" s="3">
        <v>34</v>
      </c>
    </row>
    <row r="3862" spans="1:4" x14ac:dyDescent="0.2">
      <c r="A3862" s="3">
        <v>3861</v>
      </c>
      <c r="B3862" s="3">
        <v>113.392358</v>
      </c>
      <c r="C3862" s="3">
        <v>22.942209049999999</v>
      </c>
      <c r="D3862" s="3">
        <v>34</v>
      </c>
    </row>
    <row r="3863" spans="1:4" x14ac:dyDescent="0.2">
      <c r="A3863" s="3">
        <v>3862</v>
      </c>
      <c r="B3863" s="3">
        <v>113.391958</v>
      </c>
      <c r="C3863" s="3">
        <v>22.943300669999999</v>
      </c>
      <c r="D3863" s="3">
        <v>34</v>
      </c>
    </row>
    <row r="3864" spans="1:4" x14ac:dyDescent="0.2">
      <c r="A3864" s="3">
        <v>3863</v>
      </c>
      <c r="B3864" s="3">
        <v>113.40801279999999</v>
      </c>
      <c r="C3864" s="3">
        <v>22.937508480000002</v>
      </c>
      <c r="D3864" s="3">
        <v>34</v>
      </c>
    </row>
    <row r="3865" spans="1:4" x14ac:dyDescent="0.2">
      <c r="A3865" s="3">
        <v>3864</v>
      </c>
      <c r="B3865" s="3">
        <v>113.40299090000001</v>
      </c>
      <c r="C3865" s="3">
        <v>22.938992880000001</v>
      </c>
      <c r="D3865" s="3">
        <v>34</v>
      </c>
    </row>
    <row r="3866" spans="1:4" x14ac:dyDescent="0.2">
      <c r="A3866" s="3">
        <v>3865</v>
      </c>
      <c r="B3866" s="3">
        <v>113.4031061</v>
      </c>
      <c r="C3866" s="3">
        <v>22.93794935</v>
      </c>
      <c r="D3866" s="3">
        <v>34</v>
      </c>
    </row>
    <row r="3867" spans="1:4" x14ac:dyDescent="0.2">
      <c r="A3867" s="3">
        <v>3866</v>
      </c>
      <c r="B3867" s="3">
        <v>113.40872450000001</v>
      </c>
      <c r="C3867" s="3">
        <v>22.934666050000001</v>
      </c>
      <c r="D3867" s="3">
        <v>34</v>
      </c>
    </row>
    <row r="3868" spans="1:4" x14ac:dyDescent="0.2">
      <c r="A3868" s="3">
        <v>3867</v>
      </c>
      <c r="B3868" s="3">
        <v>113.4033869</v>
      </c>
      <c r="C3868" s="3">
        <v>22.941948740000001</v>
      </c>
      <c r="D3868" s="3">
        <v>34</v>
      </c>
    </row>
    <row r="3869" spans="1:4" x14ac:dyDescent="0.2">
      <c r="A3869" s="3">
        <v>3868</v>
      </c>
      <c r="B3869" s="3">
        <v>113.4020975</v>
      </c>
      <c r="C3869" s="3">
        <v>22.940630949999999</v>
      </c>
      <c r="D3869" s="3">
        <v>34</v>
      </c>
    </row>
    <row r="3870" spans="1:4" x14ac:dyDescent="0.2">
      <c r="A3870" s="3">
        <v>3869</v>
      </c>
      <c r="B3870" s="3">
        <v>113.40339090000001</v>
      </c>
      <c r="C3870" s="3">
        <v>22.94273441</v>
      </c>
      <c r="D3870" s="3">
        <v>34</v>
      </c>
    </row>
    <row r="3871" spans="1:4" x14ac:dyDescent="0.2">
      <c r="A3871" s="3">
        <v>3870</v>
      </c>
      <c r="B3871" s="3">
        <v>113.40167030000001</v>
      </c>
      <c r="C3871" s="3">
        <v>22.941474500000002</v>
      </c>
      <c r="D3871" s="3">
        <v>34</v>
      </c>
    </row>
    <row r="3872" spans="1:4" x14ac:dyDescent="0.2">
      <c r="A3872" s="3">
        <v>3871</v>
      </c>
      <c r="B3872" s="3">
        <v>113.40762549999999</v>
      </c>
      <c r="C3872" s="3">
        <v>22.93822698</v>
      </c>
      <c r="D3872" s="3">
        <v>34</v>
      </c>
    </row>
    <row r="3873" spans="1:4" x14ac:dyDescent="0.2">
      <c r="A3873" s="3">
        <v>3872</v>
      </c>
      <c r="B3873" s="3">
        <v>113.40680279999999</v>
      </c>
      <c r="C3873" s="3">
        <v>22.93999685</v>
      </c>
      <c r="D3873" s="3">
        <v>34</v>
      </c>
    </row>
    <row r="3874" spans="1:4" x14ac:dyDescent="0.2">
      <c r="A3874" s="3">
        <v>3873</v>
      </c>
      <c r="B3874" s="3">
        <v>113.4020544</v>
      </c>
      <c r="C3874" s="3">
        <v>22.942050340000002</v>
      </c>
      <c r="D3874" s="3">
        <v>34</v>
      </c>
    </row>
    <row r="3875" spans="1:4" x14ac:dyDescent="0.2">
      <c r="A3875" s="3">
        <v>3874</v>
      </c>
      <c r="B3875" s="3">
        <v>113.4026901</v>
      </c>
      <c r="C3875" s="3">
        <v>22.935428300000002</v>
      </c>
      <c r="D3875" s="3">
        <v>34</v>
      </c>
    </row>
    <row r="3876" spans="1:4" x14ac:dyDescent="0.2">
      <c r="A3876" s="3">
        <v>3875</v>
      </c>
      <c r="B3876" s="3">
        <v>113.4017844</v>
      </c>
      <c r="C3876" s="3">
        <v>22.939666290000002</v>
      </c>
      <c r="D3876" s="3">
        <v>34</v>
      </c>
    </row>
    <row r="3877" spans="1:4" x14ac:dyDescent="0.2">
      <c r="A3877" s="3">
        <v>3876</v>
      </c>
      <c r="B3877" s="3">
        <v>113.4067838</v>
      </c>
      <c r="C3877" s="3">
        <v>22.94021974</v>
      </c>
      <c r="D3877" s="3">
        <v>34</v>
      </c>
    </row>
    <row r="3878" spans="1:4" x14ac:dyDescent="0.2">
      <c r="A3878" s="3">
        <v>3877</v>
      </c>
      <c r="B3878" s="3">
        <v>113.40225150000001</v>
      </c>
      <c r="C3878" s="3">
        <v>22.941041819999999</v>
      </c>
      <c r="D3878" s="3">
        <v>34</v>
      </c>
    </row>
    <row r="3879" spans="1:4" x14ac:dyDescent="0.2">
      <c r="A3879" s="3">
        <v>3878</v>
      </c>
      <c r="B3879" s="3">
        <v>113.40172440000001</v>
      </c>
      <c r="C3879" s="3">
        <v>22.939836199999998</v>
      </c>
      <c r="D3879" s="3">
        <v>34</v>
      </c>
    </row>
    <row r="3880" spans="1:4" x14ac:dyDescent="0.2">
      <c r="A3880" s="3">
        <v>3879</v>
      </c>
      <c r="B3880" s="3">
        <v>113.46973250000001</v>
      </c>
      <c r="C3880" s="3">
        <v>22.942891029999998</v>
      </c>
      <c r="D3880" s="3">
        <v>1</v>
      </c>
    </row>
    <row r="3881" spans="1:4" x14ac:dyDescent="0.2">
      <c r="A3881" s="3">
        <v>3880</v>
      </c>
      <c r="B3881" s="3">
        <v>113.4808223</v>
      </c>
      <c r="C3881" s="3">
        <v>22.940668590000001</v>
      </c>
      <c r="D3881" s="3">
        <v>1</v>
      </c>
    </row>
    <row r="3882" spans="1:4" x14ac:dyDescent="0.2">
      <c r="A3882" s="3">
        <v>3881</v>
      </c>
      <c r="B3882" s="3">
        <v>113.48059550000001</v>
      </c>
      <c r="C3882" s="3">
        <v>22.94106876</v>
      </c>
      <c r="D3882" s="3">
        <v>1</v>
      </c>
    </row>
    <row r="3883" spans="1:4" x14ac:dyDescent="0.2">
      <c r="A3883" s="3">
        <v>3882</v>
      </c>
      <c r="B3883" s="3">
        <v>113.4803266</v>
      </c>
      <c r="C3883" s="3">
        <v>22.94178367</v>
      </c>
      <c r="D3883" s="3">
        <v>1</v>
      </c>
    </row>
    <row r="3884" spans="1:4" x14ac:dyDescent="0.2">
      <c r="A3884" s="3">
        <v>3883</v>
      </c>
      <c r="B3884" s="3">
        <v>113.2807842</v>
      </c>
      <c r="C3884" s="3">
        <v>22.92663774</v>
      </c>
      <c r="D3884" s="3">
        <v>33</v>
      </c>
    </row>
    <row r="3885" spans="1:4" x14ac:dyDescent="0.2">
      <c r="A3885" s="3">
        <v>3884</v>
      </c>
      <c r="B3885" s="3">
        <v>113.3238341</v>
      </c>
      <c r="C3885" s="3">
        <v>22.92968935</v>
      </c>
      <c r="D3885" s="3">
        <v>9</v>
      </c>
    </row>
    <row r="3886" spans="1:4" x14ac:dyDescent="0.2">
      <c r="A3886" s="3">
        <v>3885</v>
      </c>
      <c r="B3886" s="3">
        <v>113.3284551</v>
      </c>
      <c r="C3886" s="3">
        <v>22.923986920000001</v>
      </c>
      <c r="D3886" s="3">
        <v>46</v>
      </c>
    </row>
    <row r="3887" spans="1:4" x14ac:dyDescent="0.2">
      <c r="A3887" s="3">
        <v>3886</v>
      </c>
      <c r="B3887" s="3">
        <v>113.32388899999999</v>
      </c>
      <c r="C3887" s="3">
        <v>22.929578289999998</v>
      </c>
      <c r="D3887" s="3">
        <v>9</v>
      </c>
    </row>
    <row r="3888" spans="1:4" x14ac:dyDescent="0.2">
      <c r="A3888" s="3">
        <v>3887</v>
      </c>
      <c r="B3888" s="3">
        <v>113.33630290000001</v>
      </c>
      <c r="C3888" s="3">
        <v>22.930150619999999</v>
      </c>
      <c r="D3888" s="3">
        <v>10</v>
      </c>
    </row>
    <row r="3889" spans="1:4" x14ac:dyDescent="0.2">
      <c r="A3889" s="3">
        <v>3888</v>
      </c>
      <c r="B3889" s="3">
        <v>113.33560629999999</v>
      </c>
      <c r="C3889" s="3">
        <v>22.93056773</v>
      </c>
      <c r="D3889" s="3">
        <v>10</v>
      </c>
    </row>
    <row r="3890" spans="1:4" x14ac:dyDescent="0.2">
      <c r="A3890" s="3">
        <v>3889</v>
      </c>
      <c r="B3890" s="3">
        <v>113.3325384</v>
      </c>
      <c r="C3890" s="3">
        <v>22.930221589999999</v>
      </c>
      <c r="D3890" s="3">
        <v>10</v>
      </c>
    </row>
    <row r="3891" spans="1:4" x14ac:dyDescent="0.2">
      <c r="A3891" s="3">
        <v>3890</v>
      </c>
      <c r="B3891" s="3">
        <v>113.338477</v>
      </c>
      <c r="C3891" s="3">
        <v>22.925270690000001</v>
      </c>
      <c r="D3891" s="3">
        <v>46</v>
      </c>
    </row>
    <row r="3892" spans="1:4" x14ac:dyDescent="0.2">
      <c r="A3892" s="3">
        <v>3891</v>
      </c>
      <c r="B3892" s="3">
        <v>113.33557570000001</v>
      </c>
      <c r="C3892" s="3">
        <v>22.924627279999999</v>
      </c>
      <c r="D3892" s="3">
        <v>46</v>
      </c>
    </row>
    <row r="3893" spans="1:4" x14ac:dyDescent="0.2">
      <c r="A3893" s="3">
        <v>3892</v>
      </c>
      <c r="B3893" s="3">
        <v>113.3352474</v>
      </c>
      <c r="C3893" s="3">
        <v>22.924077109999999</v>
      </c>
      <c r="D3893" s="3">
        <v>46</v>
      </c>
    </row>
    <row r="3894" spans="1:4" x14ac:dyDescent="0.2">
      <c r="A3894" s="3">
        <v>3893</v>
      </c>
      <c r="B3894" s="3">
        <v>113.3410681</v>
      </c>
      <c r="C3894" s="3">
        <v>22.924026550000001</v>
      </c>
      <c r="D3894" s="3">
        <v>46</v>
      </c>
    </row>
    <row r="3895" spans="1:4" x14ac:dyDescent="0.2">
      <c r="A3895" s="3">
        <v>3894</v>
      </c>
      <c r="B3895" s="3">
        <v>113.34151629999999</v>
      </c>
      <c r="C3895" s="3">
        <v>22.9243916</v>
      </c>
      <c r="D3895" s="3">
        <v>46</v>
      </c>
    </row>
    <row r="3896" spans="1:4" x14ac:dyDescent="0.2">
      <c r="A3896" s="3">
        <v>3895</v>
      </c>
      <c r="B3896" s="3">
        <v>113.3466426</v>
      </c>
      <c r="C3896" s="3">
        <v>22.929109749999999</v>
      </c>
      <c r="D3896" s="3">
        <v>43</v>
      </c>
    </row>
    <row r="3897" spans="1:4" x14ac:dyDescent="0.2">
      <c r="A3897" s="3">
        <v>3896</v>
      </c>
      <c r="B3897" s="3">
        <v>113.34646600000001</v>
      </c>
      <c r="C3897" s="3">
        <v>22.927730619999998</v>
      </c>
      <c r="D3897" s="3">
        <v>43</v>
      </c>
    </row>
    <row r="3898" spans="1:4" x14ac:dyDescent="0.2">
      <c r="A3898" s="3">
        <v>3897</v>
      </c>
      <c r="B3898" s="3">
        <v>113.3463351</v>
      </c>
      <c r="C3898" s="3">
        <v>22.92961605</v>
      </c>
      <c r="D3898" s="3">
        <v>43</v>
      </c>
    </row>
    <row r="3899" spans="1:4" x14ac:dyDescent="0.2">
      <c r="A3899" s="3">
        <v>3898</v>
      </c>
      <c r="B3899" s="3">
        <v>113.3466117</v>
      </c>
      <c r="C3899" s="3">
        <v>22.928318130000001</v>
      </c>
      <c r="D3899" s="3">
        <v>43</v>
      </c>
    </row>
    <row r="3900" spans="1:4" x14ac:dyDescent="0.2">
      <c r="A3900" s="3">
        <v>3899</v>
      </c>
      <c r="B3900" s="3">
        <v>113.34634440000001</v>
      </c>
      <c r="C3900" s="3">
        <v>22.923974399999999</v>
      </c>
      <c r="D3900" s="3">
        <v>43</v>
      </c>
    </row>
    <row r="3901" spans="1:4" x14ac:dyDescent="0.2">
      <c r="A3901" s="3">
        <v>3900</v>
      </c>
      <c r="B3901" s="3">
        <v>113.3465808</v>
      </c>
      <c r="C3901" s="3">
        <v>22.926766829999998</v>
      </c>
      <c r="D3901" s="3">
        <v>43</v>
      </c>
    </row>
    <row r="3902" spans="1:4" x14ac:dyDescent="0.2">
      <c r="A3902" s="3">
        <v>3901</v>
      </c>
      <c r="B3902" s="3">
        <v>113.3496564</v>
      </c>
      <c r="C3902" s="3">
        <v>22.927653360000001</v>
      </c>
      <c r="D3902" s="3">
        <v>43</v>
      </c>
    </row>
    <row r="3903" spans="1:4" x14ac:dyDescent="0.2">
      <c r="A3903" s="3">
        <v>3902</v>
      </c>
      <c r="B3903" s="3">
        <v>113.3466956</v>
      </c>
      <c r="C3903" s="3">
        <v>22.92669167</v>
      </c>
      <c r="D3903" s="3">
        <v>43</v>
      </c>
    </row>
    <row r="3904" spans="1:4" x14ac:dyDescent="0.2">
      <c r="A3904" s="3">
        <v>3903</v>
      </c>
      <c r="B3904" s="3">
        <v>113.34488570000001</v>
      </c>
      <c r="C3904" s="3">
        <v>22.930005359999999</v>
      </c>
      <c r="D3904" s="3">
        <v>43</v>
      </c>
    </row>
    <row r="3905" spans="1:4" x14ac:dyDescent="0.2">
      <c r="A3905" s="3">
        <v>3904</v>
      </c>
      <c r="B3905" s="3">
        <v>113.3489766</v>
      </c>
      <c r="C3905" s="3">
        <v>22.9271067</v>
      </c>
      <c r="D3905" s="3">
        <v>43</v>
      </c>
    </row>
    <row r="3906" spans="1:4" x14ac:dyDescent="0.2">
      <c r="A3906" s="3">
        <v>3905</v>
      </c>
      <c r="B3906" s="3">
        <v>113.3495336</v>
      </c>
      <c r="C3906" s="3">
        <v>22.927522620000001</v>
      </c>
      <c r="D3906" s="3">
        <v>43</v>
      </c>
    </row>
    <row r="3907" spans="1:4" x14ac:dyDescent="0.2">
      <c r="A3907" s="3">
        <v>3906</v>
      </c>
      <c r="B3907" s="3">
        <v>113.34783229999999</v>
      </c>
      <c r="C3907" s="3">
        <v>22.931441769999999</v>
      </c>
      <c r="D3907" s="3">
        <v>43</v>
      </c>
    </row>
    <row r="3908" spans="1:4" x14ac:dyDescent="0.2">
      <c r="A3908" s="3">
        <v>3907</v>
      </c>
      <c r="B3908" s="3">
        <v>113.3461437</v>
      </c>
      <c r="C3908" s="3">
        <v>22.925727009999999</v>
      </c>
      <c r="D3908" s="3">
        <v>43</v>
      </c>
    </row>
    <row r="3909" spans="1:4" x14ac:dyDescent="0.2">
      <c r="A3909" s="3">
        <v>3908</v>
      </c>
      <c r="B3909" s="3">
        <v>113.3492512</v>
      </c>
      <c r="C3909" s="3">
        <v>22.926484510000002</v>
      </c>
      <c r="D3909" s="3">
        <v>43</v>
      </c>
    </row>
    <row r="3910" spans="1:4" x14ac:dyDescent="0.2">
      <c r="A3910" s="3">
        <v>3909</v>
      </c>
      <c r="B3910" s="3">
        <v>113.3505827</v>
      </c>
      <c r="C3910" s="3">
        <v>22.92898031</v>
      </c>
      <c r="D3910" s="3">
        <v>43</v>
      </c>
    </row>
    <row r="3911" spans="1:4" x14ac:dyDescent="0.2">
      <c r="A3911" s="3">
        <v>3910</v>
      </c>
      <c r="B3911" s="3">
        <v>113.3495716</v>
      </c>
      <c r="C3911" s="3">
        <v>22.926121139999999</v>
      </c>
      <c r="D3911" s="3">
        <v>43</v>
      </c>
    </row>
    <row r="3912" spans="1:4" x14ac:dyDescent="0.2">
      <c r="A3912" s="3">
        <v>3911</v>
      </c>
      <c r="B3912" s="3">
        <v>113.34970920000001</v>
      </c>
      <c r="C3912" s="3">
        <v>22.928615870000002</v>
      </c>
      <c r="D3912" s="3">
        <v>43</v>
      </c>
    </row>
    <row r="3913" spans="1:4" x14ac:dyDescent="0.2">
      <c r="A3913" s="3">
        <v>3912</v>
      </c>
      <c r="B3913" s="3">
        <v>113.3506896</v>
      </c>
      <c r="C3913" s="3">
        <v>22.928205460000001</v>
      </c>
      <c r="D3913" s="3">
        <v>43</v>
      </c>
    </row>
    <row r="3914" spans="1:4" x14ac:dyDescent="0.2">
      <c r="A3914" s="3">
        <v>3913</v>
      </c>
      <c r="B3914" s="3">
        <v>113.3506017</v>
      </c>
      <c r="C3914" s="3">
        <v>22.92956203</v>
      </c>
      <c r="D3914" s="3">
        <v>43</v>
      </c>
    </row>
    <row r="3915" spans="1:4" x14ac:dyDescent="0.2">
      <c r="A3915" s="3">
        <v>3914</v>
      </c>
      <c r="B3915" s="3">
        <v>113.351035</v>
      </c>
      <c r="C3915" s="3">
        <v>22.92886463</v>
      </c>
      <c r="D3915" s="3">
        <v>43</v>
      </c>
    </row>
    <row r="3916" spans="1:4" x14ac:dyDescent="0.2">
      <c r="A3916" s="3">
        <v>3915</v>
      </c>
      <c r="B3916" s="3">
        <v>113.347915</v>
      </c>
      <c r="C3916" s="3">
        <v>22.933322839999999</v>
      </c>
      <c r="D3916" s="3">
        <v>43</v>
      </c>
    </row>
    <row r="3917" spans="1:4" x14ac:dyDescent="0.2">
      <c r="A3917" s="3">
        <v>3916</v>
      </c>
      <c r="B3917" s="3">
        <v>113.351556</v>
      </c>
      <c r="C3917" s="3">
        <v>22.929782410000001</v>
      </c>
      <c r="D3917" s="3">
        <v>43</v>
      </c>
    </row>
    <row r="3918" spans="1:4" x14ac:dyDescent="0.2">
      <c r="A3918" s="3">
        <v>3917</v>
      </c>
      <c r="B3918" s="3">
        <v>113.3439882</v>
      </c>
      <c r="C3918" s="3">
        <v>22.932229979999999</v>
      </c>
      <c r="D3918" s="3">
        <v>10</v>
      </c>
    </row>
    <row r="3919" spans="1:4" x14ac:dyDescent="0.2">
      <c r="A3919" s="3">
        <v>3918</v>
      </c>
      <c r="B3919" s="3">
        <v>113.3482025</v>
      </c>
      <c r="C3919" s="3">
        <v>22.93328838</v>
      </c>
      <c r="D3919" s="3">
        <v>43</v>
      </c>
    </row>
    <row r="3920" spans="1:4" x14ac:dyDescent="0.2">
      <c r="A3920" s="3">
        <v>3919</v>
      </c>
      <c r="B3920" s="3">
        <v>113.34758859999999</v>
      </c>
      <c r="C3920" s="3">
        <v>22.93325741</v>
      </c>
      <c r="D3920" s="3">
        <v>43</v>
      </c>
    </row>
    <row r="3921" spans="1:4" x14ac:dyDescent="0.2">
      <c r="A3921" s="3">
        <v>3920</v>
      </c>
      <c r="B3921" s="3">
        <v>113.3460413</v>
      </c>
      <c r="C3921" s="3">
        <v>22.933565890000001</v>
      </c>
      <c r="D3921" s="3">
        <v>43</v>
      </c>
    </row>
    <row r="3922" spans="1:4" x14ac:dyDescent="0.2">
      <c r="A3922" s="3">
        <v>3921</v>
      </c>
      <c r="B3922" s="3">
        <v>113.34824039999999</v>
      </c>
      <c r="C3922" s="3">
        <v>22.933585189999999</v>
      </c>
      <c r="D3922" s="3">
        <v>43</v>
      </c>
    </row>
    <row r="3923" spans="1:4" x14ac:dyDescent="0.2">
      <c r="A3923" s="3">
        <v>3922</v>
      </c>
      <c r="B3923" s="3">
        <v>113.3502324</v>
      </c>
      <c r="C3923" s="3">
        <v>22.927691410000001</v>
      </c>
      <c r="D3923" s="3">
        <v>43</v>
      </c>
    </row>
    <row r="3924" spans="1:4" x14ac:dyDescent="0.2">
      <c r="A3924" s="3">
        <v>3923</v>
      </c>
      <c r="B3924" s="3">
        <v>113.34635179999999</v>
      </c>
      <c r="C3924" s="3">
        <v>22.93346141</v>
      </c>
      <c r="D3924" s="3">
        <v>43</v>
      </c>
    </row>
    <row r="3925" spans="1:4" x14ac:dyDescent="0.2">
      <c r="A3925" s="3">
        <v>3924</v>
      </c>
      <c r="B3925" s="3">
        <v>113.3510481</v>
      </c>
      <c r="C3925" s="3">
        <v>22.927207299999999</v>
      </c>
      <c r="D3925" s="3">
        <v>43</v>
      </c>
    </row>
    <row r="3926" spans="1:4" x14ac:dyDescent="0.2">
      <c r="A3926" s="3">
        <v>3925</v>
      </c>
      <c r="B3926" s="3">
        <v>113.3491758</v>
      </c>
      <c r="C3926" s="3">
        <v>22.933539669999998</v>
      </c>
      <c r="D3926" s="3">
        <v>43</v>
      </c>
    </row>
    <row r="3927" spans="1:4" x14ac:dyDescent="0.2">
      <c r="A3927" s="3">
        <v>3926</v>
      </c>
      <c r="B3927" s="3">
        <v>113.3483203</v>
      </c>
      <c r="C3927" s="3">
        <v>22.93361805</v>
      </c>
      <c r="D3927" s="3">
        <v>43</v>
      </c>
    </row>
    <row r="3928" spans="1:4" x14ac:dyDescent="0.2">
      <c r="A3928" s="3">
        <v>3927</v>
      </c>
      <c r="B3928" s="3">
        <v>113.3511905</v>
      </c>
      <c r="C3928" s="3">
        <v>22.931741169999999</v>
      </c>
      <c r="D3928" s="3">
        <v>43</v>
      </c>
    </row>
    <row r="3929" spans="1:4" x14ac:dyDescent="0.2">
      <c r="A3929" s="3">
        <v>3928</v>
      </c>
      <c r="B3929" s="3">
        <v>113.3506379</v>
      </c>
      <c r="C3929" s="3">
        <v>22.924787980000001</v>
      </c>
      <c r="D3929" s="3">
        <v>43</v>
      </c>
    </row>
    <row r="3930" spans="1:4" x14ac:dyDescent="0.2">
      <c r="A3930" s="3">
        <v>3929</v>
      </c>
      <c r="B3930" s="3">
        <v>113.3488983</v>
      </c>
      <c r="C3930" s="3">
        <v>22.933491149999998</v>
      </c>
      <c r="D3930" s="3">
        <v>43</v>
      </c>
    </row>
    <row r="3931" spans="1:4" x14ac:dyDescent="0.2">
      <c r="A3931" s="3">
        <v>3930</v>
      </c>
      <c r="B3931" s="3">
        <v>113.3500258</v>
      </c>
      <c r="C3931" s="3">
        <v>22.927274919999999</v>
      </c>
      <c r="D3931" s="3">
        <v>43</v>
      </c>
    </row>
    <row r="3932" spans="1:4" x14ac:dyDescent="0.2">
      <c r="A3932" s="3">
        <v>3931</v>
      </c>
      <c r="B3932" s="3">
        <v>113.34707349999999</v>
      </c>
      <c r="C3932" s="3">
        <v>22.932947410000001</v>
      </c>
      <c r="D3932" s="3">
        <v>43</v>
      </c>
    </row>
    <row r="3933" spans="1:4" x14ac:dyDescent="0.2">
      <c r="A3933" s="3">
        <v>3932</v>
      </c>
      <c r="B3933" s="3">
        <v>113.351039</v>
      </c>
      <c r="C3933" s="3">
        <v>22.928870620000001</v>
      </c>
      <c r="D3933" s="3">
        <v>43</v>
      </c>
    </row>
    <row r="3934" spans="1:4" x14ac:dyDescent="0.2">
      <c r="A3934" s="3">
        <v>3933</v>
      </c>
      <c r="B3934" s="3">
        <v>113.351062</v>
      </c>
      <c r="C3934" s="3">
        <v>22.928259839999999</v>
      </c>
      <c r="D3934" s="3">
        <v>43</v>
      </c>
    </row>
    <row r="3935" spans="1:4" x14ac:dyDescent="0.2">
      <c r="A3935" s="3">
        <v>3934</v>
      </c>
      <c r="B3935" s="3">
        <v>113.3494718</v>
      </c>
      <c r="C3935" s="3">
        <v>22.926490149999999</v>
      </c>
      <c r="D3935" s="3">
        <v>43</v>
      </c>
    </row>
    <row r="3936" spans="1:4" x14ac:dyDescent="0.2">
      <c r="A3936" s="3">
        <v>3935</v>
      </c>
      <c r="B3936" s="3">
        <v>113.3542568</v>
      </c>
      <c r="C3936" s="3">
        <v>22.927660110000001</v>
      </c>
      <c r="D3936" s="3">
        <v>43</v>
      </c>
    </row>
    <row r="3937" spans="1:4" x14ac:dyDescent="0.2">
      <c r="A3937" s="3">
        <v>3936</v>
      </c>
      <c r="B3937" s="3">
        <v>113.35668200000001</v>
      </c>
      <c r="C3937" s="3">
        <v>22.927866399999999</v>
      </c>
      <c r="D3937" s="3">
        <v>43</v>
      </c>
    </row>
    <row r="3938" spans="1:4" x14ac:dyDescent="0.2">
      <c r="A3938" s="3">
        <v>3937</v>
      </c>
      <c r="B3938" s="3">
        <v>113.3562184</v>
      </c>
      <c r="C3938" s="3">
        <v>22.932772020000002</v>
      </c>
      <c r="D3938" s="3">
        <v>43</v>
      </c>
    </row>
    <row r="3939" spans="1:4" x14ac:dyDescent="0.2">
      <c r="A3939" s="3">
        <v>3938</v>
      </c>
      <c r="B3939" s="3">
        <v>113.35555359999999</v>
      </c>
      <c r="C3939" s="3">
        <v>22.929161520000001</v>
      </c>
      <c r="D3939" s="3">
        <v>43</v>
      </c>
    </row>
    <row r="3940" spans="1:4" x14ac:dyDescent="0.2">
      <c r="A3940" s="3">
        <v>3939</v>
      </c>
      <c r="B3940" s="3">
        <v>113.3577064</v>
      </c>
      <c r="C3940" s="3">
        <v>22.92762901</v>
      </c>
      <c r="D3940" s="3">
        <v>43</v>
      </c>
    </row>
    <row r="3941" spans="1:4" x14ac:dyDescent="0.2">
      <c r="A3941" s="3">
        <v>3940</v>
      </c>
      <c r="B3941" s="3">
        <v>113.354726</v>
      </c>
      <c r="C3941" s="3">
        <v>22.928335109999999</v>
      </c>
      <c r="D3941" s="3">
        <v>43</v>
      </c>
    </row>
    <row r="3942" spans="1:4" x14ac:dyDescent="0.2">
      <c r="A3942" s="3">
        <v>3941</v>
      </c>
      <c r="B3942" s="3">
        <v>113.3544634</v>
      </c>
      <c r="C3942" s="3">
        <v>22.928758330000001</v>
      </c>
      <c r="D3942" s="3">
        <v>43</v>
      </c>
    </row>
    <row r="3943" spans="1:4" x14ac:dyDescent="0.2">
      <c r="A3943" s="3">
        <v>3942</v>
      </c>
      <c r="B3943" s="3">
        <v>113.35558469999999</v>
      </c>
      <c r="C3943" s="3">
        <v>22.926905420000001</v>
      </c>
      <c r="D3943" s="3">
        <v>43</v>
      </c>
    </row>
    <row r="3944" spans="1:4" x14ac:dyDescent="0.2">
      <c r="A3944" s="3">
        <v>3943</v>
      </c>
      <c r="B3944" s="3">
        <v>113.3573019</v>
      </c>
      <c r="C3944" s="3">
        <v>22.930599350000001</v>
      </c>
      <c r="D3944" s="3">
        <v>43</v>
      </c>
    </row>
    <row r="3945" spans="1:4" x14ac:dyDescent="0.2">
      <c r="A3945" s="3">
        <v>3944</v>
      </c>
      <c r="B3945" s="3">
        <v>113.35939399999999</v>
      </c>
      <c r="C3945" s="3">
        <v>22.92712384</v>
      </c>
      <c r="D3945" s="3">
        <v>21</v>
      </c>
    </row>
    <row r="3946" spans="1:4" x14ac:dyDescent="0.2">
      <c r="A3946" s="3">
        <v>3945</v>
      </c>
      <c r="B3946" s="3">
        <v>113.3574546</v>
      </c>
      <c r="C3946" s="3">
        <v>22.930698079999999</v>
      </c>
      <c r="D3946" s="3">
        <v>43</v>
      </c>
    </row>
    <row r="3947" spans="1:4" x14ac:dyDescent="0.2">
      <c r="A3947" s="3">
        <v>3946</v>
      </c>
      <c r="B3947" s="3">
        <v>113.3550723</v>
      </c>
      <c r="C3947" s="3">
        <v>22.929959910000001</v>
      </c>
      <c r="D3947" s="3">
        <v>43</v>
      </c>
    </row>
    <row r="3948" spans="1:4" x14ac:dyDescent="0.2">
      <c r="A3948" s="3">
        <v>3947</v>
      </c>
      <c r="B3948" s="3">
        <v>113.35630930000001</v>
      </c>
      <c r="C3948" s="3">
        <v>22.93090067</v>
      </c>
      <c r="D3948" s="3">
        <v>43</v>
      </c>
    </row>
    <row r="3949" spans="1:4" x14ac:dyDescent="0.2">
      <c r="A3949" s="3">
        <v>3948</v>
      </c>
      <c r="B3949" s="3">
        <v>113.356008</v>
      </c>
      <c r="C3949" s="3">
        <v>22.928170260000002</v>
      </c>
      <c r="D3949" s="3">
        <v>43</v>
      </c>
    </row>
    <row r="3950" spans="1:4" x14ac:dyDescent="0.2">
      <c r="A3950" s="3">
        <v>3949</v>
      </c>
      <c r="B3950" s="3">
        <v>113.3588508</v>
      </c>
      <c r="C3950" s="3">
        <v>22.927671369999999</v>
      </c>
      <c r="D3950" s="3">
        <v>21</v>
      </c>
    </row>
    <row r="3951" spans="1:4" x14ac:dyDescent="0.2">
      <c r="A3951" s="3">
        <v>3950</v>
      </c>
      <c r="B3951" s="3">
        <v>113.3548607</v>
      </c>
      <c r="C3951" s="3">
        <v>22.929678339999999</v>
      </c>
      <c r="D3951" s="3">
        <v>43</v>
      </c>
    </row>
    <row r="3952" spans="1:4" x14ac:dyDescent="0.2">
      <c r="A3952" s="3">
        <v>3951</v>
      </c>
      <c r="B3952" s="3">
        <v>113.3564272</v>
      </c>
      <c r="C3952" s="3">
        <v>22.931052430000001</v>
      </c>
      <c r="D3952" s="3">
        <v>43</v>
      </c>
    </row>
    <row r="3953" spans="1:4" x14ac:dyDescent="0.2">
      <c r="A3953" s="3">
        <v>3952</v>
      </c>
      <c r="B3953" s="3">
        <v>113.3590634</v>
      </c>
      <c r="C3953" s="3">
        <v>22.927823010000001</v>
      </c>
      <c r="D3953" s="3">
        <v>21</v>
      </c>
    </row>
    <row r="3954" spans="1:4" x14ac:dyDescent="0.2">
      <c r="A3954" s="3">
        <v>3953</v>
      </c>
      <c r="B3954" s="3">
        <v>113.35405110000001</v>
      </c>
      <c r="C3954" s="3">
        <v>22.927494490000001</v>
      </c>
      <c r="D3954" s="3">
        <v>43</v>
      </c>
    </row>
    <row r="3955" spans="1:4" x14ac:dyDescent="0.2">
      <c r="A3955" s="3">
        <v>3954</v>
      </c>
      <c r="B3955" s="3">
        <v>113.3586978</v>
      </c>
      <c r="C3955" s="3">
        <v>22.93070131</v>
      </c>
      <c r="D3955" s="3">
        <v>43</v>
      </c>
    </row>
    <row r="3956" spans="1:4" x14ac:dyDescent="0.2">
      <c r="A3956" s="3">
        <v>3955</v>
      </c>
      <c r="B3956" s="3">
        <v>113.3592222</v>
      </c>
      <c r="C3956" s="3">
        <v>22.927160059999999</v>
      </c>
      <c r="D3956" s="3">
        <v>21</v>
      </c>
    </row>
    <row r="3957" spans="1:4" x14ac:dyDescent="0.2">
      <c r="A3957" s="3">
        <v>3956</v>
      </c>
      <c r="B3957" s="3">
        <v>113.359421</v>
      </c>
      <c r="C3957" s="3">
        <v>22.927300729999999</v>
      </c>
      <c r="D3957" s="3">
        <v>21</v>
      </c>
    </row>
    <row r="3958" spans="1:4" x14ac:dyDescent="0.2">
      <c r="A3958" s="3">
        <v>3957</v>
      </c>
      <c r="B3958" s="3">
        <v>113.3536766</v>
      </c>
      <c r="C3958" s="3">
        <v>22.929320300000001</v>
      </c>
      <c r="D3958" s="3">
        <v>43</v>
      </c>
    </row>
    <row r="3959" spans="1:4" x14ac:dyDescent="0.2">
      <c r="A3959" s="3">
        <v>3958</v>
      </c>
      <c r="B3959" s="3">
        <v>113.3564701</v>
      </c>
      <c r="C3959" s="3">
        <v>22.931511180000001</v>
      </c>
      <c r="D3959" s="3">
        <v>43</v>
      </c>
    </row>
    <row r="3960" spans="1:4" x14ac:dyDescent="0.2">
      <c r="A3960" s="3">
        <v>3959</v>
      </c>
      <c r="B3960" s="3">
        <v>113.3538205</v>
      </c>
      <c r="C3960" s="3">
        <v>22.927813709999999</v>
      </c>
      <c r="D3960" s="3">
        <v>43</v>
      </c>
    </row>
    <row r="3961" spans="1:4" x14ac:dyDescent="0.2">
      <c r="A3961" s="3">
        <v>3960</v>
      </c>
      <c r="B3961" s="3">
        <v>113.3554096</v>
      </c>
      <c r="C3961" s="3">
        <v>22.93218646</v>
      </c>
      <c r="D3961" s="3">
        <v>43</v>
      </c>
    </row>
    <row r="3962" spans="1:4" x14ac:dyDescent="0.2">
      <c r="A3962" s="3">
        <v>3961</v>
      </c>
      <c r="B3962" s="3">
        <v>113.3597994</v>
      </c>
      <c r="C3962" s="3">
        <v>22.927655049999998</v>
      </c>
      <c r="D3962" s="3">
        <v>21</v>
      </c>
    </row>
    <row r="3963" spans="1:4" x14ac:dyDescent="0.2">
      <c r="A3963" s="3">
        <v>3962</v>
      </c>
      <c r="B3963" s="3">
        <v>113.3536895</v>
      </c>
      <c r="C3963" s="3">
        <v>22.929800069999999</v>
      </c>
      <c r="D3963" s="3">
        <v>43</v>
      </c>
    </row>
    <row r="3964" spans="1:4" x14ac:dyDescent="0.2">
      <c r="A3964" s="3">
        <v>3963</v>
      </c>
      <c r="B3964" s="3">
        <v>113.3599572</v>
      </c>
      <c r="C3964" s="3">
        <v>22.92769182</v>
      </c>
      <c r="D3964" s="3">
        <v>21</v>
      </c>
    </row>
    <row r="3965" spans="1:4" x14ac:dyDescent="0.2">
      <c r="A3965" s="3">
        <v>3964</v>
      </c>
      <c r="B3965" s="3">
        <v>113.35777210000001</v>
      </c>
      <c r="C3965" s="3">
        <v>22.931707200000002</v>
      </c>
      <c r="D3965" s="3">
        <v>43</v>
      </c>
    </row>
    <row r="3966" spans="1:4" x14ac:dyDescent="0.2">
      <c r="A3966" s="3">
        <v>3965</v>
      </c>
      <c r="B3966" s="3">
        <v>113.3530277</v>
      </c>
      <c r="C3966" s="3">
        <v>22.928288729999998</v>
      </c>
      <c r="D3966" s="3">
        <v>43</v>
      </c>
    </row>
    <row r="3967" spans="1:4" x14ac:dyDescent="0.2">
      <c r="A3967" s="3">
        <v>3966</v>
      </c>
      <c r="B3967" s="3">
        <v>113.3536884</v>
      </c>
      <c r="C3967" s="3">
        <v>22.931473369999999</v>
      </c>
      <c r="D3967" s="3">
        <v>43</v>
      </c>
    </row>
    <row r="3968" spans="1:4" x14ac:dyDescent="0.2">
      <c r="A3968" s="3">
        <v>3967</v>
      </c>
      <c r="B3968" s="3">
        <v>113.3555566</v>
      </c>
      <c r="C3968" s="3">
        <v>22.93010512</v>
      </c>
      <c r="D3968" s="3">
        <v>43</v>
      </c>
    </row>
    <row r="3969" spans="1:4" x14ac:dyDescent="0.2">
      <c r="A3969" s="3">
        <v>3968</v>
      </c>
      <c r="B3969" s="3">
        <v>113.3602166</v>
      </c>
      <c r="C3969" s="3">
        <v>22.930719190000001</v>
      </c>
      <c r="D3969" s="3">
        <v>21</v>
      </c>
    </row>
    <row r="3970" spans="1:4" x14ac:dyDescent="0.2">
      <c r="A3970" s="3">
        <v>3969</v>
      </c>
      <c r="B3970" s="3">
        <v>113.3532752</v>
      </c>
      <c r="C3970" s="3">
        <v>22.929792719999998</v>
      </c>
      <c r="D3970" s="3">
        <v>43</v>
      </c>
    </row>
    <row r="3971" spans="1:4" x14ac:dyDescent="0.2">
      <c r="A3971" s="3">
        <v>3970</v>
      </c>
      <c r="B3971" s="3">
        <v>113.3594836</v>
      </c>
      <c r="C3971" s="3">
        <v>22.93179275</v>
      </c>
      <c r="D3971" s="3">
        <v>43</v>
      </c>
    </row>
    <row r="3972" spans="1:4" x14ac:dyDescent="0.2">
      <c r="A3972" s="3">
        <v>3971</v>
      </c>
      <c r="B3972" s="3">
        <v>113.3518607</v>
      </c>
      <c r="C3972" s="3">
        <v>22.927537869999998</v>
      </c>
      <c r="D3972" s="3">
        <v>43</v>
      </c>
    </row>
    <row r="3973" spans="1:4" x14ac:dyDescent="0.2">
      <c r="A3973" s="3">
        <v>3972</v>
      </c>
      <c r="B3973" s="3">
        <v>113.36108659999999</v>
      </c>
      <c r="C3973" s="3">
        <v>22.9276673</v>
      </c>
      <c r="D3973" s="3">
        <v>21</v>
      </c>
    </row>
    <row r="3974" spans="1:4" x14ac:dyDescent="0.2">
      <c r="A3974" s="3">
        <v>3973</v>
      </c>
      <c r="B3974" s="3">
        <v>113.352851</v>
      </c>
      <c r="C3974" s="3">
        <v>22.928195049999999</v>
      </c>
      <c r="D3974" s="3">
        <v>43</v>
      </c>
    </row>
    <row r="3975" spans="1:4" x14ac:dyDescent="0.2">
      <c r="A3975" s="3">
        <v>3974</v>
      </c>
      <c r="B3975" s="3">
        <v>113.3582528</v>
      </c>
      <c r="C3975" s="3">
        <v>22.92468646</v>
      </c>
      <c r="D3975" s="3">
        <v>21</v>
      </c>
    </row>
    <row r="3976" spans="1:4" x14ac:dyDescent="0.2">
      <c r="A3976" s="3">
        <v>3975</v>
      </c>
      <c r="B3976" s="3">
        <v>113.3565863</v>
      </c>
      <c r="C3976" s="3">
        <v>22.92491377</v>
      </c>
      <c r="D3976" s="3">
        <v>43</v>
      </c>
    </row>
    <row r="3977" spans="1:4" x14ac:dyDescent="0.2">
      <c r="A3977" s="3">
        <v>3976</v>
      </c>
      <c r="B3977" s="3">
        <v>113.36111649999999</v>
      </c>
      <c r="C3977" s="3">
        <v>22.92769225</v>
      </c>
      <c r="D3977" s="3">
        <v>21</v>
      </c>
    </row>
    <row r="3978" spans="1:4" x14ac:dyDescent="0.2">
      <c r="A3978" s="3">
        <v>3977</v>
      </c>
      <c r="B3978" s="3">
        <v>113.358401</v>
      </c>
      <c r="C3978" s="3">
        <v>22.93325166</v>
      </c>
      <c r="D3978" s="3">
        <v>43</v>
      </c>
    </row>
    <row r="3979" spans="1:4" x14ac:dyDescent="0.2">
      <c r="A3979" s="3">
        <v>3978</v>
      </c>
      <c r="B3979" s="3">
        <v>113.35358979999999</v>
      </c>
      <c r="C3979" s="3">
        <v>22.927634139999999</v>
      </c>
      <c r="D3979" s="3">
        <v>43</v>
      </c>
    </row>
    <row r="3980" spans="1:4" x14ac:dyDescent="0.2">
      <c r="A3980" s="3">
        <v>3979</v>
      </c>
      <c r="B3980" s="3">
        <v>113.3561165</v>
      </c>
      <c r="C3980" s="3">
        <v>22.932586239999999</v>
      </c>
      <c r="D3980" s="3">
        <v>43</v>
      </c>
    </row>
    <row r="3981" spans="1:4" x14ac:dyDescent="0.2">
      <c r="A3981" s="3">
        <v>3980</v>
      </c>
      <c r="B3981" s="3">
        <v>113.35302489999999</v>
      </c>
      <c r="C3981" s="3">
        <v>22.925653839999999</v>
      </c>
      <c r="D3981" s="3">
        <v>43</v>
      </c>
    </row>
    <row r="3982" spans="1:4" x14ac:dyDescent="0.2">
      <c r="A3982" s="3">
        <v>3981</v>
      </c>
      <c r="B3982" s="3">
        <v>113.3542309</v>
      </c>
      <c r="C3982" s="3">
        <v>22.926463649999999</v>
      </c>
      <c r="D3982" s="3">
        <v>43</v>
      </c>
    </row>
    <row r="3983" spans="1:4" x14ac:dyDescent="0.2">
      <c r="A3983" s="3">
        <v>3982</v>
      </c>
      <c r="B3983" s="3">
        <v>113.354843</v>
      </c>
      <c r="C3983" s="3">
        <v>22.924770429999999</v>
      </c>
      <c r="D3983" s="3">
        <v>43</v>
      </c>
    </row>
    <row r="3984" spans="1:4" x14ac:dyDescent="0.2">
      <c r="A3984" s="3">
        <v>3983</v>
      </c>
      <c r="B3984" s="3">
        <v>113.3529387</v>
      </c>
      <c r="C3984" s="3">
        <v>22.930904770000001</v>
      </c>
      <c r="D3984" s="3">
        <v>43</v>
      </c>
    </row>
    <row r="3985" spans="1:4" x14ac:dyDescent="0.2">
      <c r="A3985" s="3">
        <v>3984</v>
      </c>
      <c r="B3985" s="3">
        <v>113.3591504</v>
      </c>
      <c r="C3985" s="3">
        <v>22.926365499999999</v>
      </c>
      <c r="D3985" s="3">
        <v>21</v>
      </c>
    </row>
    <row r="3986" spans="1:4" x14ac:dyDescent="0.2">
      <c r="A3986" s="3">
        <v>3985</v>
      </c>
      <c r="B3986" s="3">
        <v>113.3600898</v>
      </c>
      <c r="C3986" s="3">
        <v>22.930598419999999</v>
      </c>
      <c r="D3986" s="3">
        <v>21</v>
      </c>
    </row>
    <row r="3987" spans="1:4" x14ac:dyDescent="0.2">
      <c r="A3987" s="3">
        <v>3986</v>
      </c>
      <c r="B3987" s="3">
        <v>113.35415159999999</v>
      </c>
      <c r="C3987" s="3">
        <v>22.93290506</v>
      </c>
      <c r="D3987" s="3">
        <v>43</v>
      </c>
    </row>
    <row r="3988" spans="1:4" x14ac:dyDescent="0.2">
      <c r="A3988" s="3">
        <v>3987</v>
      </c>
      <c r="B3988" s="3">
        <v>113.3562235</v>
      </c>
      <c r="C3988" s="3">
        <v>22.930419000000001</v>
      </c>
      <c r="D3988" s="3">
        <v>43</v>
      </c>
    </row>
    <row r="3989" spans="1:4" x14ac:dyDescent="0.2">
      <c r="A3989" s="3">
        <v>3988</v>
      </c>
      <c r="B3989" s="3">
        <v>113.361361</v>
      </c>
      <c r="C3989" s="3">
        <v>22.930728640000002</v>
      </c>
      <c r="D3989" s="3">
        <v>21</v>
      </c>
    </row>
    <row r="3990" spans="1:4" x14ac:dyDescent="0.2">
      <c r="A3990" s="3">
        <v>3989</v>
      </c>
      <c r="B3990" s="3">
        <v>113.3517557</v>
      </c>
      <c r="C3990" s="3">
        <v>22.929125370000001</v>
      </c>
      <c r="D3990" s="3">
        <v>43</v>
      </c>
    </row>
    <row r="3991" spans="1:4" x14ac:dyDescent="0.2">
      <c r="A3991" s="3">
        <v>3990</v>
      </c>
      <c r="B3991" s="3">
        <v>113.3518775</v>
      </c>
      <c r="C3991" s="3">
        <v>22.930434630000001</v>
      </c>
      <c r="D3991" s="3">
        <v>43</v>
      </c>
    </row>
    <row r="3992" spans="1:4" x14ac:dyDescent="0.2">
      <c r="A3992" s="3">
        <v>3991</v>
      </c>
      <c r="B3992" s="3">
        <v>113.35527039999999</v>
      </c>
      <c r="C3992" s="3">
        <v>22.924171040000001</v>
      </c>
      <c r="D3992" s="3">
        <v>43</v>
      </c>
    </row>
    <row r="3993" spans="1:4" x14ac:dyDescent="0.2">
      <c r="A3993" s="3">
        <v>3992</v>
      </c>
      <c r="B3993" s="3">
        <v>113.35834509999999</v>
      </c>
      <c r="C3993" s="3">
        <v>22.933397670000002</v>
      </c>
      <c r="D3993" s="3">
        <v>43</v>
      </c>
    </row>
    <row r="3994" spans="1:4" x14ac:dyDescent="0.2">
      <c r="A3994" s="3">
        <v>3993</v>
      </c>
      <c r="B3994" s="3">
        <v>113.35213109999999</v>
      </c>
      <c r="C3994" s="3">
        <v>22.9293157</v>
      </c>
      <c r="D3994" s="3">
        <v>43</v>
      </c>
    </row>
    <row r="3995" spans="1:4" x14ac:dyDescent="0.2">
      <c r="A3995" s="3">
        <v>3994</v>
      </c>
      <c r="B3995" s="3">
        <v>113.3552784</v>
      </c>
      <c r="C3995" s="3">
        <v>22.923754200000001</v>
      </c>
      <c r="D3995" s="3">
        <v>43</v>
      </c>
    </row>
    <row r="3996" spans="1:4" x14ac:dyDescent="0.2">
      <c r="A3996" s="3">
        <v>3995</v>
      </c>
      <c r="B3996" s="3">
        <v>113.35949050000001</v>
      </c>
      <c r="C3996" s="3">
        <v>22.933148169999999</v>
      </c>
      <c r="D3996" s="3">
        <v>43</v>
      </c>
    </row>
    <row r="3997" spans="1:4" x14ac:dyDescent="0.2">
      <c r="A3997" s="3">
        <v>3996</v>
      </c>
      <c r="B3997" s="3">
        <v>113.35303639999999</v>
      </c>
      <c r="C3997" s="3">
        <v>22.932671880000001</v>
      </c>
      <c r="D3997" s="3">
        <v>43</v>
      </c>
    </row>
    <row r="3998" spans="1:4" x14ac:dyDescent="0.2">
      <c r="A3998" s="3">
        <v>3997</v>
      </c>
      <c r="B3998" s="3">
        <v>113.3560746</v>
      </c>
      <c r="C3998" s="3">
        <v>22.932651280000002</v>
      </c>
      <c r="D3998" s="3">
        <v>43</v>
      </c>
    </row>
    <row r="3999" spans="1:4" x14ac:dyDescent="0.2">
      <c r="A3999" s="3">
        <v>3998</v>
      </c>
      <c r="B3999" s="3">
        <v>113.3604301</v>
      </c>
      <c r="C3999" s="3">
        <v>22.932664079999999</v>
      </c>
      <c r="D3999" s="3">
        <v>21</v>
      </c>
    </row>
    <row r="4000" spans="1:4" x14ac:dyDescent="0.2">
      <c r="A4000" s="3">
        <v>3999</v>
      </c>
      <c r="B4000" s="3">
        <v>113.35581620000001</v>
      </c>
      <c r="C4000" s="3">
        <v>22.929969790000001</v>
      </c>
      <c r="D4000" s="3">
        <v>43</v>
      </c>
    </row>
    <row r="4001" spans="1:4" x14ac:dyDescent="0.2">
      <c r="A4001" s="3">
        <v>4000</v>
      </c>
      <c r="B4001" s="3">
        <v>113.3557926</v>
      </c>
      <c r="C4001" s="3">
        <v>22.924067300000001</v>
      </c>
      <c r="D4001" s="3">
        <v>43</v>
      </c>
    </row>
    <row r="4002" spans="1:4" x14ac:dyDescent="0.2">
      <c r="A4002" s="3">
        <v>4001</v>
      </c>
      <c r="B4002" s="3">
        <v>113.36026200000001</v>
      </c>
      <c r="C4002" s="3">
        <v>22.924346809999999</v>
      </c>
      <c r="D4002" s="3">
        <v>21</v>
      </c>
    </row>
    <row r="4003" spans="1:4" x14ac:dyDescent="0.2">
      <c r="A4003" s="3">
        <v>4002</v>
      </c>
      <c r="B4003" s="3">
        <v>113.35912140000001</v>
      </c>
      <c r="C4003" s="3">
        <v>22.92635954</v>
      </c>
      <c r="D4003" s="3">
        <v>21</v>
      </c>
    </row>
    <row r="4004" spans="1:4" x14ac:dyDescent="0.2">
      <c r="A4004" s="3">
        <v>4003</v>
      </c>
      <c r="B4004" s="3">
        <v>113.3519782</v>
      </c>
      <c r="C4004" s="3">
        <v>22.93217774</v>
      </c>
      <c r="D4004" s="3">
        <v>43</v>
      </c>
    </row>
    <row r="4005" spans="1:4" x14ac:dyDescent="0.2">
      <c r="A4005" s="3">
        <v>4004</v>
      </c>
      <c r="B4005" s="3">
        <v>113.35174790000001</v>
      </c>
      <c r="C4005" s="3">
        <v>22.92637354</v>
      </c>
      <c r="D4005" s="3">
        <v>43</v>
      </c>
    </row>
    <row r="4006" spans="1:4" x14ac:dyDescent="0.2">
      <c r="A4006" s="3">
        <v>4005</v>
      </c>
      <c r="B4006" s="3">
        <v>113.36143680000001</v>
      </c>
      <c r="C4006" s="3">
        <v>22.932503799999999</v>
      </c>
      <c r="D4006" s="3">
        <v>21</v>
      </c>
    </row>
    <row r="4007" spans="1:4" x14ac:dyDescent="0.2">
      <c r="A4007" s="3">
        <v>4006</v>
      </c>
      <c r="B4007" s="3">
        <v>113.3594721</v>
      </c>
      <c r="C4007" s="3">
        <v>22.924222950000001</v>
      </c>
      <c r="D4007" s="3">
        <v>21</v>
      </c>
    </row>
    <row r="4008" spans="1:4" x14ac:dyDescent="0.2">
      <c r="A4008" s="3">
        <v>4007</v>
      </c>
      <c r="B4008" s="3">
        <v>113.36136740000001</v>
      </c>
      <c r="C4008" s="3">
        <v>22.924365309999999</v>
      </c>
      <c r="D4008" s="3">
        <v>21</v>
      </c>
    </row>
    <row r="4009" spans="1:4" x14ac:dyDescent="0.2">
      <c r="A4009" s="3">
        <v>4008</v>
      </c>
      <c r="B4009" s="3">
        <v>113.3548155</v>
      </c>
      <c r="C4009" s="3">
        <v>22.933587769999999</v>
      </c>
      <c r="D4009" s="3">
        <v>43</v>
      </c>
    </row>
    <row r="4010" spans="1:4" x14ac:dyDescent="0.2">
      <c r="A4010" s="3">
        <v>4009</v>
      </c>
      <c r="B4010" s="3">
        <v>113.3520934</v>
      </c>
      <c r="C4010" s="3">
        <v>22.926277039999999</v>
      </c>
      <c r="D4010" s="3">
        <v>43</v>
      </c>
    </row>
    <row r="4011" spans="1:4" x14ac:dyDescent="0.2">
      <c r="A4011" s="3">
        <v>4010</v>
      </c>
      <c r="B4011" s="3">
        <v>113.35514860000001</v>
      </c>
      <c r="C4011" s="3">
        <v>22.923781380000001</v>
      </c>
      <c r="D4011" s="3">
        <v>43</v>
      </c>
    </row>
    <row r="4012" spans="1:4" x14ac:dyDescent="0.2">
      <c r="A4012" s="3">
        <v>4011</v>
      </c>
      <c r="B4012" s="3">
        <v>113.3605489</v>
      </c>
      <c r="C4012" s="3">
        <v>22.933498570000001</v>
      </c>
      <c r="D4012" s="3">
        <v>35</v>
      </c>
    </row>
    <row r="4013" spans="1:4" x14ac:dyDescent="0.2">
      <c r="A4013" s="3">
        <v>4012</v>
      </c>
      <c r="B4013" s="3">
        <v>113.3594227</v>
      </c>
      <c r="C4013" s="3">
        <v>22.93156493</v>
      </c>
      <c r="D4013" s="3">
        <v>43</v>
      </c>
    </row>
    <row r="4014" spans="1:4" x14ac:dyDescent="0.2">
      <c r="A4014" s="3">
        <v>4013</v>
      </c>
      <c r="B4014" s="3">
        <v>113.3556205</v>
      </c>
      <c r="C4014" s="3">
        <v>22.930104020000002</v>
      </c>
      <c r="D4014" s="3">
        <v>43</v>
      </c>
    </row>
    <row r="4015" spans="1:4" x14ac:dyDescent="0.2">
      <c r="A4015" s="3">
        <v>4014</v>
      </c>
      <c r="B4015" s="3">
        <v>113.354726</v>
      </c>
      <c r="C4015" s="3">
        <v>22.928335109999999</v>
      </c>
      <c r="D4015" s="3">
        <v>43</v>
      </c>
    </row>
    <row r="4016" spans="1:4" x14ac:dyDescent="0.2">
      <c r="A4016" s="3">
        <v>4015</v>
      </c>
      <c r="B4016" s="3">
        <v>113.3541331</v>
      </c>
      <c r="C4016" s="3">
        <v>22.926254879999998</v>
      </c>
      <c r="D4016" s="3">
        <v>43</v>
      </c>
    </row>
    <row r="4017" spans="1:4" x14ac:dyDescent="0.2">
      <c r="A4017" s="3">
        <v>4016</v>
      </c>
      <c r="B4017" s="3">
        <v>113.3584942</v>
      </c>
      <c r="C4017" s="3">
        <v>22.929307179999999</v>
      </c>
      <c r="D4017" s="3">
        <v>43</v>
      </c>
    </row>
    <row r="4018" spans="1:4" x14ac:dyDescent="0.2">
      <c r="A4018" s="3">
        <v>4017</v>
      </c>
      <c r="B4018" s="3">
        <v>113.3533051</v>
      </c>
      <c r="C4018" s="3">
        <v>22.93049637</v>
      </c>
      <c r="D4018" s="3">
        <v>43</v>
      </c>
    </row>
    <row r="4019" spans="1:4" x14ac:dyDescent="0.2">
      <c r="A4019" s="3">
        <v>4018</v>
      </c>
      <c r="B4019" s="3">
        <v>113.3556378</v>
      </c>
      <c r="C4019" s="3">
        <v>22.924496349999998</v>
      </c>
      <c r="D4019" s="3">
        <v>43</v>
      </c>
    </row>
    <row r="4020" spans="1:4" x14ac:dyDescent="0.2">
      <c r="A4020" s="3">
        <v>4019</v>
      </c>
      <c r="B4020" s="3">
        <v>113.35564530000001</v>
      </c>
      <c r="C4020" s="3">
        <v>22.932116140000002</v>
      </c>
      <c r="D4020" s="3">
        <v>43</v>
      </c>
    </row>
    <row r="4021" spans="1:4" x14ac:dyDescent="0.2">
      <c r="A4021" s="3">
        <v>4020</v>
      </c>
      <c r="B4021" s="3">
        <v>113.3529856</v>
      </c>
      <c r="C4021" s="3">
        <v>22.930975669999999</v>
      </c>
      <c r="D4021" s="3">
        <v>43</v>
      </c>
    </row>
    <row r="4022" spans="1:4" x14ac:dyDescent="0.2">
      <c r="A4022" s="3">
        <v>4021</v>
      </c>
      <c r="B4022" s="3">
        <v>113.3656914</v>
      </c>
      <c r="C4022" s="3">
        <v>22.929861509999999</v>
      </c>
      <c r="D4022" s="3">
        <v>21</v>
      </c>
    </row>
    <row r="4023" spans="1:4" x14ac:dyDescent="0.2">
      <c r="A4023" s="3">
        <v>4022</v>
      </c>
      <c r="B4023" s="3">
        <v>113.3652618</v>
      </c>
      <c r="C4023" s="3">
        <v>22.93179722</v>
      </c>
      <c r="D4023" s="3">
        <v>21</v>
      </c>
    </row>
    <row r="4024" spans="1:4" x14ac:dyDescent="0.2">
      <c r="A4024" s="3">
        <v>4023</v>
      </c>
      <c r="B4024" s="3">
        <v>113.36450309999999</v>
      </c>
      <c r="C4024" s="3">
        <v>22.926270469999999</v>
      </c>
      <c r="D4024" s="3">
        <v>21</v>
      </c>
    </row>
    <row r="4025" spans="1:4" x14ac:dyDescent="0.2">
      <c r="A4025" s="3">
        <v>4024</v>
      </c>
      <c r="B4025" s="3">
        <v>113.3629109</v>
      </c>
      <c r="C4025" s="3">
        <v>22.929808999999999</v>
      </c>
      <c r="D4025" s="3">
        <v>21</v>
      </c>
    </row>
    <row r="4026" spans="1:4" x14ac:dyDescent="0.2">
      <c r="A4026" s="3">
        <v>4025</v>
      </c>
      <c r="B4026" s="3">
        <v>113.3641002</v>
      </c>
      <c r="C4026" s="3">
        <v>22.93264529</v>
      </c>
      <c r="D4026" s="3">
        <v>35</v>
      </c>
    </row>
    <row r="4027" spans="1:4" x14ac:dyDescent="0.2">
      <c r="A4027" s="3">
        <v>4026</v>
      </c>
      <c r="B4027" s="3">
        <v>113.3652561</v>
      </c>
      <c r="C4027" s="3">
        <v>22.927376079999998</v>
      </c>
      <c r="D4027" s="3">
        <v>21</v>
      </c>
    </row>
    <row r="4028" spans="1:4" x14ac:dyDescent="0.2">
      <c r="A4028" s="3">
        <v>4027</v>
      </c>
      <c r="B4028" s="3">
        <v>113.3650133</v>
      </c>
      <c r="C4028" s="3">
        <v>22.928734810000002</v>
      </c>
      <c r="D4028" s="3">
        <v>21</v>
      </c>
    </row>
    <row r="4029" spans="1:4" x14ac:dyDescent="0.2">
      <c r="A4029" s="3">
        <v>4028</v>
      </c>
      <c r="B4029" s="3">
        <v>113.3638381</v>
      </c>
      <c r="C4029" s="3">
        <v>22.92448405</v>
      </c>
      <c r="D4029" s="3">
        <v>21</v>
      </c>
    </row>
    <row r="4030" spans="1:4" x14ac:dyDescent="0.2">
      <c r="A4030" s="3">
        <v>4029</v>
      </c>
      <c r="B4030" s="3">
        <v>113.36791669999999</v>
      </c>
      <c r="C4030" s="3">
        <v>22.930921470000001</v>
      </c>
      <c r="D4030" s="3">
        <v>21</v>
      </c>
    </row>
    <row r="4031" spans="1:4" x14ac:dyDescent="0.2">
      <c r="A4031" s="3">
        <v>4030</v>
      </c>
      <c r="B4031" s="3">
        <v>113.36661549999999</v>
      </c>
      <c r="C4031" s="3">
        <v>22.926768710000001</v>
      </c>
      <c r="D4031" s="3">
        <v>21</v>
      </c>
    </row>
    <row r="4032" spans="1:4" x14ac:dyDescent="0.2">
      <c r="A4032" s="3">
        <v>4031</v>
      </c>
      <c r="B4032" s="3">
        <v>113.3698799</v>
      </c>
      <c r="C4032" s="3">
        <v>22.924341070000001</v>
      </c>
      <c r="D4032" s="3">
        <v>21</v>
      </c>
    </row>
    <row r="4033" spans="1:4" x14ac:dyDescent="0.2">
      <c r="A4033" s="3">
        <v>4032</v>
      </c>
      <c r="B4033" s="3">
        <v>113.364408</v>
      </c>
      <c r="C4033" s="3">
        <v>22.930156960000001</v>
      </c>
      <c r="D4033" s="3">
        <v>21</v>
      </c>
    </row>
    <row r="4034" spans="1:4" x14ac:dyDescent="0.2">
      <c r="A4034" s="3">
        <v>4033</v>
      </c>
      <c r="B4034" s="3">
        <v>113.36184950000001</v>
      </c>
      <c r="C4034" s="3">
        <v>22.92784121</v>
      </c>
      <c r="D4034" s="3">
        <v>21</v>
      </c>
    </row>
    <row r="4035" spans="1:4" x14ac:dyDescent="0.2">
      <c r="A4035" s="3">
        <v>4034</v>
      </c>
      <c r="B4035" s="3">
        <v>113.36998850000001</v>
      </c>
      <c r="C4035" s="3">
        <v>22.929207909999999</v>
      </c>
      <c r="D4035" s="3">
        <v>21</v>
      </c>
    </row>
    <row r="4036" spans="1:4" x14ac:dyDescent="0.2">
      <c r="A4036" s="3">
        <v>4035</v>
      </c>
      <c r="B4036" s="3">
        <v>113.36305419999999</v>
      </c>
      <c r="C4036" s="3">
        <v>22.923838320000002</v>
      </c>
      <c r="D4036" s="3">
        <v>21</v>
      </c>
    </row>
    <row r="4037" spans="1:4" x14ac:dyDescent="0.2">
      <c r="A4037" s="3">
        <v>4036</v>
      </c>
      <c r="B4037" s="3">
        <v>113.3641715</v>
      </c>
      <c r="C4037" s="3">
        <v>22.927323439999999</v>
      </c>
      <c r="D4037" s="3">
        <v>21</v>
      </c>
    </row>
    <row r="4038" spans="1:4" x14ac:dyDescent="0.2">
      <c r="A4038" s="3">
        <v>4037</v>
      </c>
      <c r="B4038" s="3">
        <v>113.3647398</v>
      </c>
      <c r="C4038" s="3">
        <v>22.92633215</v>
      </c>
      <c r="D4038" s="3">
        <v>21</v>
      </c>
    </row>
    <row r="4039" spans="1:4" x14ac:dyDescent="0.2">
      <c r="A4039" s="3">
        <v>4038</v>
      </c>
      <c r="B4039" s="3">
        <v>113.36438990000001</v>
      </c>
      <c r="C4039" s="3">
        <v>22.931914240000001</v>
      </c>
      <c r="D4039" s="3">
        <v>21</v>
      </c>
    </row>
    <row r="4040" spans="1:4" x14ac:dyDescent="0.2">
      <c r="A4040" s="3">
        <v>4039</v>
      </c>
      <c r="B4040" s="3">
        <v>113.3636001</v>
      </c>
      <c r="C4040" s="3">
        <v>22.929075430000001</v>
      </c>
      <c r="D4040" s="3">
        <v>21</v>
      </c>
    </row>
    <row r="4041" spans="1:4" x14ac:dyDescent="0.2">
      <c r="A4041" s="3">
        <v>4040</v>
      </c>
      <c r="B4041" s="3">
        <v>113.3711311</v>
      </c>
      <c r="C4041" s="3">
        <v>22.931851609999999</v>
      </c>
      <c r="D4041" s="3">
        <v>35</v>
      </c>
    </row>
    <row r="4042" spans="1:4" x14ac:dyDescent="0.2">
      <c r="A4042" s="3">
        <v>4041</v>
      </c>
      <c r="B4042" s="3">
        <v>113.3635673</v>
      </c>
      <c r="C4042" s="3">
        <v>22.92667947</v>
      </c>
      <c r="D4042" s="3">
        <v>21</v>
      </c>
    </row>
    <row r="4043" spans="1:4" x14ac:dyDescent="0.2">
      <c r="A4043" s="3">
        <v>4042</v>
      </c>
      <c r="B4043" s="3">
        <v>113.3656847</v>
      </c>
      <c r="C4043" s="3">
        <v>22.924797640000001</v>
      </c>
      <c r="D4043" s="3">
        <v>21</v>
      </c>
    </row>
    <row r="4044" spans="1:4" x14ac:dyDescent="0.2">
      <c r="A4044" s="3">
        <v>4043</v>
      </c>
      <c r="B4044" s="3">
        <v>113.3636472</v>
      </c>
      <c r="C4044" s="3">
        <v>22.926553420000001</v>
      </c>
      <c r="D4044" s="3">
        <v>21</v>
      </c>
    </row>
    <row r="4045" spans="1:4" x14ac:dyDescent="0.2">
      <c r="A4045" s="3">
        <v>4044</v>
      </c>
      <c r="B4045" s="3">
        <v>113.3626733</v>
      </c>
      <c r="C4045" s="3">
        <v>22.92884871</v>
      </c>
      <c r="D4045" s="3">
        <v>21</v>
      </c>
    </row>
    <row r="4046" spans="1:4" x14ac:dyDescent="0.2">
      <c r="A4046" s="3">
        <v>4045</v>
      </c>
      <c r="B4046" s="3">
        <v>113.37058209999999</v>
      </c>
      <c r="C4046" s="3">
        <v>22.925696760000001</v>
      </c>
      <c r="D4046" s="3">
        <v>21</v>
      </c>
    </row>
    <row r="4047" spans="1:4" x14ac:dyDescent="0.2">
      <c r="A4047" s="3">
        <v>4046</v>
      </c>
      <c r="B4047" s="3">
        <v>113.36216810000001</v>
      </c>
      <c r="C4047" s="3">
        <v>22.927191059999998</v>
      </c>
      <c r="D4047" s="3">
        <v>21</v>
      </c>
    </row>
    <row r="4048" spans="1:4" x14ac:dyDescent="0.2">
      <c r="A4048" s="3">
        <v>4047</v>
      </c>
      <c r="B4048" s="3">
        <v>113.36853139999999</v>
      </c>
      <c r="C4048" s="3">
        <v>22.924932290000001</v>
      </c>
      <c r="D4048" s="3">
        <v>21</v>
      </c>
    </row>
    <row r="4049" spans="1:4" x14ac:dyDescent="0.2">
      <c r="A4049" s="3">
        <v>4048</v>
      </c>
      <c r="B4049" s="3">
        <v>113.3627302</v>
      </c>
      <c r="C4049" s="3">
        <v>22.929838220000001</v>
      </c>
      <c r="D4049" s="3">
        <v>21</v>
      </c>
    </row>
    <row r="4050" spans="1:4" x14ac:dyDescent="0.2">
      <c r="A4050" s="3">
        <v>4049</v>
      </c>
      <c r="B4050" s="3">
        <v>113.3622965</v>
      </c>
      <c r="C4050" s="3">
        <v>22.93300945</v>
      </c>
      <c r="D4050" s="3">
        <v>35</v>
      </c>
    </row>
    <row r="4051" spans="1:4" x14ac:dyDescent="0.2">
      <c r="A4051" s="3">
        <v>4050</v>
      </c>
      <c r="B4051" s="3">
        <v>113.3675645</v>
      </c>
      <c r="C4051" s="3">
        <v>22.924901389999999</v>
      </c>
      <c r="D4051" s="3">
        <v>21</v>
      </c>
    </row>
    <row r="4052" spans="1:4" x14ac:dyDescent="0.2">
      <c r="A4052" s="3">
        <v>4051</v>
      </c>
      <c r="B4052" s="3">
        <v>113.36892690000001</v>
      </c>
      <c r="C4052" s="3">
        <v>22.924890869999999</v>
      </c>
      <c r="D4052" s="3">
        <v>21</v>
      </c>
    </row>
    <row r="4053" spans="1:4" x14ac:dyDescent="0.2">
      <c r="A4053" s="3">
        <v>4052</v>
      </c>
      <c r="B4053" s="3">
        <v>113.36648080000001</v>
      </c>
      <c r="C4053" s="3">
        <v>22.92461677</v>
      </c>
      <c r="D4053" s="3">
        <v>21</v>
      </c>
    </row>
    <row r="4054" spans="1:4" x14ac:dyDescent="0.2">
      <c r="A4054" s="3">
        <v>4053</v>
      </c>
      <c r="B4054" s="3">
        <v>113.3625356</v>
      </c>
      <c r="C4054" s="3">
        <v>22.92719258</v>
      </c>
      <c r="D4054" s="3">
        <v>21</v>
      </c>
    </row>
    <row r="4055" spans="1:4" x14ac:dyDescent="0.2">
      <c r="A4055" s="3">
        <v>4054</v>
      </c>
      <c r="B4055" s="3">
        <v>113.3656208</v>
      </c>
      <c r="C4055" s="3">
        <v>22.925203549999999</v>
      </c>
      <c r="D4055" s="3">
        <v>21</v>
      </c>
    </row>
    <row r="4056" spans="1:4" x14ac:dyDescent="0.2">
      <c r="A4056" s="3">
        <v>4055</v>
      </c>
      <c r="B4056" s="3">
        <v>113.3624296</v>
      </c>
      <c r="C4056" s="3">
        <v>22.929660680000001</v>
      </c>
      <c r="D4056" s="3">
        <v>21</v>
      </c>
    </row>
    <row r="4057" spans="1:4" x14ac:dyDescent="0.2">
      <c r="A4057" s="3">
        <v>4056</v>
      </c>
      <c r="B4057" s="3">
        <v>113.36210819999999</v>
      </c>
      <c r="C4057" s="3">
        <v>22.92765395</v>
      </c>
      <c r="D4057" s="3">
        <v>21</v>
      </c>
    </row>
    <row r="4058" spans="1:4" x14ac:dyDescent="0.2">
      <c r="A4058" s="3">
        <v>4057</v>
      </c>
      <c r="B4058" s="3">
        <v>113.36459549999999</v>
      </c>
      <c r="C4058" s="3">
        <v>22.933495319999999</v>
      </c>
      <c r="D4058" s="3">
        <v>35</v>
      </c>
    </row>
    <row r="4059" spans="1:4" x14ac:dyDescent="0.2">
      <c r="A4059" s="3">
        <v>4058</v>
      </c>
      <c r="B4059" s="3">
        <v>113.36214320000001</v>
      </c>
      <c r="C4059" s="3">
        <v>22.92667831</v>
      </c>
      <c r="D4059" s="3">
        <v>21</v>
      </c>
    </row>
    <row r="4060" spans="1:4" x14ac:dyDescent="0.2">
      <c r="A4060" s="3">
        <v>4059</v>
      </c>
      <c r="B4060" s="3">
        <v>113.3711291</v>
      </c>
      <c r="C4060" s="3">
        <v>22.930907009999999</v>
      </c>
      <c r="D4060" s="3">
        <v>35</v>
      </c>
    </row>
    <row r="4061" spans="1:4" x14ac:dyDescent="0.2">
      <c r="A4061" s="3">
        <v>4060</v>
      </c>
      <c r="B4061" s="3">
        <v>113.36622060000001</v>
      </c>
      <c r="C4061" s="3">
        <v>22.932437790000002</v>
      </c>
      <c r="D4061" s="3">
        <v>35</v>
      </c>
    </row>
    <row r="4062" spans="1:4" x14ac:dyDescent="0.2">
      <c r="A4062" s="3">
        <v>4061</v>
      </c>
      <c r="B4062" s="3">
        <v>113.36216810000001</v>
      </c>
      <c r="C4062" s="3">
        <v>22.927191059999998</v>
      </c>
      <c r="D4062" s="3">
        <v>21</v>
      </c>
    </row>
    <row r="4063" spans="1:4" x14ac:dyDescent="0.2">
      <c r="A4063" s="3">
        <v>4062</v>
      </c>
      <c r="B4063" s="3">
        <v>113.3631096</v>
      </c>
      <c r="C4063" s="3">
        <v>22.930777339999999</v>
      </c>
      <c r="D4063" s="3">
        <v>21</v>
      </c>
    </row>
    <row r="4064" spans="1:4" x14ac:dyDescent="0.2">
      <c r="A4064" s="3">
        <v>4063</v>
      </c>
      <c r="B4064" s="3">
        <v>113.3629402</v>
      </c>
      <c r="C4064" s="3">
        <v>22.92599856</v>
      </c>
      <c r="D4064" s="3">
        <v>21</v>
      </c>
    </row>
    <row r="4065" spans="1:4" x14ac:dyDescent="0.2">
      <c r="A4065" s="3">
        <v>4064</v>
      </c>
      <c r="B4065" s="3">
        <v>113.36228699999999</v>
      </c>
      <c r="C4065" s="3">
        <v>22.926156339999999</v>
      </c>
      <c r="D4065" s="3">
        <v>21</v>
      </c>
    </row>
    <row r="4066" spans="1:4" x14ac:dyDescent="0.2">
      <c r="A4066" s="3">
        <v>4065</v>
      </c>
      <c r="B4066" s="3">
        <v>113.3620131</v>
      </c>
      <c r="C4066" s="3">
        <v>22.929982089999999</v>
      </c>
      <c r="D4066" s="3">
        <v>21</v>
      </c>
    </row>
    <row r="4067" spans="1:4" x14ac:dyDescent="0.2">
      <c r="A4067" s="3">
        <v>4066</v>
      </c>
      <c r="B4067" s="3">
        <v>113.3625134</v>
      </c>
      <c r="C4067" s="3">
        <v>22.931404839999999</v>
      </c>
      <c r="D4067" s="3">
        <v>21</v>
      </c>
    </row>
    <row r="4068" spans="1:4" x14ac:dyDescent="0.2">
      <c r="A4068" s="3">
        <v>4067</v>
      </c>
      <c r="B4068" s="3">
        <v>113.363743</v>
      </c>
      <c r="C4068" s="3">
        <v>22.927330980000001</v>
      </c>
      <c r="D4068" s="3">
        <v>21</v>
      </c>
    </row>
    <row r="4069" spans="1:4" x14ac:dyDescent="0.2">
      <c r="A4069" s="3">
        <v>4068</v>
      </c>
      <c r="B4069" s="3">
        <v>113.3643819</v>
      </c>
      <c r="C4069" s="3">
        <v>22.931785300000001</v>
      </c>
      <c r="D4069" s="3">
        <v>21</v>
      </c>
    </row>
    <row r="4070" spans="1:4" x14ac:dyDescent="0.2">
      <c r="A4070" s="3">
        <v>4069</v>
      </c>
      <c r="B4070" s="3">
        <v>113.37145580000001</v>
      </c>
      <c r="C4070" s="3">
        <v>22.930478860000001</v>
      </c>
      <c r="D4070" s="3">
        <v>21</v>
      </c>
    </row>
    <row r="4071" spans="1:4" x14ac:dyDescent="0.2">
      <c r="A4071" s="3">
        <v>4070</v>
      </c>
      <c r="B4071" s="3">
        <v>113.36337260000001</v>
      </c>
      <c r="C4071" s="3">
        <v>22.926464809999999</v>
      </c>
      <c r="D4071" s="3">
        <v>21</v>
      </c>
    </row>
    <row r="4072" spans="1:4" x14ac:dyDescent="0.2">
      <c r="A4072" s="3">
        <v>4071</v>
      </c>
      <c r="B4072" s="3">
        <v>113.3625163</v>
      </c>
      <c r="C4072" s="3">
        <v>22.93178868</v>
      </c>
      <c r="D4072" s="3">
        <v>21</v>
      </c>
    </row>
    <row r="4073" spans="1:4" x14ac:dyDescent="0.2">
      <c r="A4073" s="3">
        <v>4072</v>
      </c>
      <c r="B4073" s="3">
        <v>113.3629107</v>
      </c>
      <c r="C4073" s="3">
        <v>22.93274276</v>
      </c>
      <c r="D4073" s="3">
        <v>35</v>
      </c>
    </row>
    <row r="4074" spans="1:4" x14ac:dyDescent="0.2">
      <c r="A4074" s="3">
        <v>4073</v>
      </c>
      <c r="B4074" s="3">
        <v>113.3636983</v>
      </c>
      <c r="C4074" s="3">
        <v>22.924738120000001</v>
      </c>
      <c r="D4074" s="3">
        <v>21</v>
      </c>
    </row>
    <row r="4075" spans="1:4" x14ac:dyDescent="0.2">
      <c r="A4075" s="3">
        <v>4074</v>
      </c>
      <c r="B4075" s="3">
        <v>113.3620822</v>
      </c>
      <c r="C4075" s="3">
        <v>22.927306130000002</v>
      </c>
      <c r="D4075" s="3">
        <v>21</v>
      </c>
    </row>
    <row r="4076" spans="1:4" x14ac:dyDescent="0.2">
      <c r="A4076" s="3">
        <v>4075</v>
      </c>
      <c r="B4076" s="3">
        <v>113.36179559999999</v>
      </c>
      <c r="C4076" s="3">
        <v>22.927646360000001</v>
      </c>
      <c r="D4076" s="3">
        <v>21</v>
      </c>
    </row>
    <row r="4077" spans="1:4" x14ac:dyDescent="0.2">
      <c r="A4077" s="3">
        <v>4076</v>
      </c>
      <c r="B4077" s="3">
        <v>113.36471899999999</v>
      </c>
      <c r="C4077" s="3">
        <v>22.92419207</v>
      </c>
      <c r="D4077" s="3">
        <v>21</v>
      </c>
    </row>
    <row r="4078" spans="1:4" x14ac:dyDescent="0.2">
      <c r="A4078" s="3">
        <v>4077</v>
      </c>
      <c r="B4078" s="3">
        <v>113.3709997</v>
      </c>
      <c r="C4078" s="3">
        <v>22.925301489999999</v>
      </c>
      <c r="D4078" s="3">
        <v>21</v>
      </c>
    </row>
    <row r="4079" spans="1:4" x14ac:dyDescent="0.2">
      <c r="A4079" s="3">
        <v>4078</v>
      </c>
      <c r="B4079" s="3">
        <v>113.3699038</v>
      </c>
      <c r="C4079" s="3">
        <v>22.92501476</v>
      </c>
      <c r="D4079" s="3">
        <v>21</v>
      </c>
    </row>
    <row r="4080" spans="1:4" x14ac:dyDescent="0.2">
      <c r="A4080" s="3">
        <v>4079</v>
      </c>
      <c r="B4080" s="3">
        <v>113.3629866</v>
      </c>
      <c r="C4080" s="3">
        <v>22.93359731</v>
      </c>
      <c r="D4080" s="3">
        <v>35</v>
      </c>
    </row>
    <row r="4081" spans="1:4" x14ac:dyDescent="0.2">
      <c r="A4081" s="3">
        <v>4080</v>
      </c>
      <c r="B4081" s="3">
        <v>113.36165099999999</v>
      </c>
      <c r="C4081" s="3">
        <v>22.924736769999999</v>
      </c>
      <c r="D4081" s="3">
        <v>21</v>
      </c>
    </row>
    <row r="4082" spans="1:4" x14ac:dyDescent="0.2">
      <c r="A4082" s="3">
        <v>4081</v>
      </c>
      <c r="B4082" s="3">
        <v>113.3616565</v>
      </c>
      <c r="C4082" s="3">
        <v>22.932410539999999</v>
      </c>
      <c r="D4082" s="3">
        <v>21</v>
      </c>
    </row>
    <row r="4083" spans="1:4" x14ac:dyDescent="0.2">
      <c r="A4083" s="3">
        <v>4082</v>
      </c>
      <c r="B4083" s="3">
        <v>113.3666052</v>
      </c>
      <c r="C4083" s="3">
        <v>22.930409189999999</v>
      </c>
      <c r="D4083" s="3">
        <v>21</v>
      </c>
    </row>
    <row r="4084" spans="1:4" x14ac:dyDescent="0.2">
      <c r="A4084" s="3">
        <v>4083</v>
      </c>
      <c r="B4084" s="3">
        <v>113.3634983</v>
      </c>
      <c r="C4084" s="3">
        <v>22.928175929999998</v>
      </c>
      <c r="D4084" s="3">
        <v>21</v>
      </c>
    </row>
    <row r="4085" spans="1:4" x14ac:dyDescent="0.2">
      <c r="A4085" s="3">
        <v>4084</v>
      </c>
      <c r="B4085" s="3">
        <v>113.3625488</v>
      </c>
      <c r="C4085" s="3">
        <v>22.923767999999999</v>
      </c>
      <c r="D4085" s="3">
        <v>21</v>
      </c>
    </row>
    <row r="4086" spans="1:4" x14ac:dyDescent="0.2">
      <c r="A4086" s="3">
        <v>4085</v>
      </c>
      <c r="B4086" s="3">
        <v>113.36175249999999</v>
      </c>
      <c r="C4086" s="3">
        <v>22.93029031</v>
      </c>
      <c r="D4086" s="3">
        <v>21</v>
      </c>
    </row>
    <row r="4087" spans="1:4" x14ac:dyDescent="0.2">
      <c r="A4087" s="3">
        <v>4086</v>
      </c>
      <c r="B4087" s="3">
        <v>113.3701666</v>
      </c>
      <c r="C4087" s="3">
        <v>22.92485155</v>
      </c>
      <c r="D4087" s="3">
        <v>21</v>
      </c>
    </row>
    <row r="4088" spans="1:4" x14ac:dyDescent="0.2">
      <c r="A4088" s="3">
        <v>4087</v>
      </c>
      <c r="B4088" s="3">
        <v>113.3627884</v>
      </c>
      <c r="C4088" s="3">
        <v>22.925812830000002</v>
      </c>
      <c r="D4088" s="3">
        <v>21</v>
      </c>
    </row>
    <row r="4089" spans="1:4" x14ac:dyDescent="0.2">
      <c r="A4089" s="3">
        <v>4088</v>
      </c>
      <c r="B4089" s="3">
        <v>113.3654935</v>
      </c>
      <c r="C4089" s="3">
        <v>22.930978280000001</v>
      </c>
      <c r="D4089" s="3">
        <v>21</v>
      </c>
    </row>
    <row r="4090" spans="1:4" x14ac:dyDescent="0.2">
      <c r="A4090" s="3">
        <v>4089</v>
      </c>
      <c r="B4090" s="3">
        <v>113.36400759999999</v>
      </c>
      <c r="C4090" s="3">
        <v>22.928924970000001</v>
      </c>
      <c r="D4090" s="3">
        <v>21</v>
      </c>
    </row>
    <row r="4091" spans="1:4" x14ac:dyDescent="0.2">
      <c r="A4091" s="3">
        <v>4090</v>
      </c>
      <c r="B4091" s="3">
        <v>113.36254820000001</v>
      </c>
      <c r="C4091" s="3">
        <v>22.933227030000001</v>
      </c>
      <c r="D4091" s="3">
        <v>35</v>
      </c>
    </row>
    <row r="4092" spans="1:4" x14ac:dyDescent="0.2">
      <c r="A4092" s="3">
        <v>4091</v>
      </c>
      <c r="B4092" s="3">
        <v>113.3624907</v>
      </c>
      <c r="C4092" s="3">
        <v>22.926974730000001</v>
      </c>
      <c r="D4092" s="3">
        <v>21</v>
      </c>
    </row>
    <row r="4093" spans="1:4" x14ac:dyDescent="0.2">
      <c r="A4093" s="3">
        <v>4092</v>
      </c>
      <c r="B4093" s="3">
        <v>113.36374000000001</v>
      </c>
      <c r="C4093" s="3">
        <v>22.927135060000001</v>
      </c>
      <c r="D4093" s="3">
        <v>21</v>
      </c>
    </row>
    <row r="4094" spans="1:4" x14ac:dyDescent="0.2">
      <c r="A4094" s="3">
        <v>4093</v>
      </c>
      <c r="B4094" s="3">
        <v>113.36379169999999</v>
      </c>
      <c r="C4094" s="3">
        <v>22.93085743</v>
      </c>
      <c r="D4094" s="3">
        <v>21</v>
      </c>
    </row>
    <row r="4095" spans="1:4" x14ac:dyDescent="0.2">
      <c r="A4095" s="3">
        <v>4094</v>
      </c>
      <c r="B4095" s="3">
        <v>113.3698709</v>
      </c>
      <c r="C4095" s="3">
        <v>22.925089759999999</v>
      </c>
      <c r="D4095" s="3">
        <v>21</v>
      </c>
    </row>
    <row r="4096" spans="1:4" x14ac:dyDescent="0.2">
      <c r="A4096" s="3">
        <v>4095</v>
      </c>
      <c r="B4096" s="3">
        <v>113.36478769999999</v>
      </c>
      <c r="C4096" s="3">
        <v>22.926551</v>
      </c>
      <c r="D4096" s="3">
        <v>21</v>
      </c>
    </row>
    <row r="4097" spans="1:4" x14ac:dyDescent="0.2">
      <c r="A4097" s="3">
        <v>4096</v>
      </c>
      <c r="B4097" s="3">
        <v>113.36254630000001</v>
      </c>
      <c r="C4097" s="3">
        <v>22.93156973</v>
      </c>
      <c r="D4097" s="3">
        <v>21</v>
      </c>
    </row>
    <row r="4098" spans="1:4" x14ac:dyDescent="0.2">
      <c r="A4098" s="3">
        <v>4097</v>
      </c>
      <c r="B4098" s="3">
        <v>113.3654935</v>
      </c>
      <c r="C4098" s="3">
        <v>22.930978280000001</v>
      </c>
      <c r="D4098" s="3">
        <v>21</v>
      </c>
    </row>
    <row r="4099" spans="1:4" x14ac:dyDescent="0.2">
      <c r="A4099" s="3">
        <v>4098</v>
      </c>
      <c r="B4099" s="3">
        <v>113.3662715</v>
      </c>
      <c r="C4099" s="3">
        <v>22.932442730000002</v>
      </c>
      <c r="D4099" s="3">
        <v>35</v>
      </c>
    </row>
    <row r="4100" spans="1:4" x14ac:dyDescent="0.2">
      <c r="A4100" s="3">
        <v>4099</v>
      </c>
      <c r="B4100" s="3">
        <v>113.362329</v>
      </c>
      <c r="C4100" s="3">
        <v>22.9258904</v>
      </c>
      <c r="D4100" s="3">
        <v>21</v>
      </c>
    </row>
    <row r="4101" spans="1:4" x14ac:dyDescent="0.2">
      <c r="A4101" s="3">
        <v>4100</v>
      </c>
      <c r="B4101" s="3">
        <v>113.36232699999999</v>
      </c>
      <c r="C4101" s="3">
        <v>22.92615129</v>
      </c>
      <c r="D4101" s="3">
        <v>21</v>
      </c>
    </row>
    <row r="4102" spans="1:4" x14ac:dyDescent="0.2">
      <c r="A4102" s="3">
        <v>4101</v>
      </c>
      <c r="B4102" s="3">
        <v>113.3761176</v>
      </c>
      <c r="C4102" s="3">
        <v>22.92894317</v>
      </c>
      <c r="D4102" s="3">
        <v>44</v>
      </c>
    </row>
    <row r="4103" spans="1:4" x14ac:dyDescent="0.2">
      <c r="A4103" s="3">
        <v>4102</v>
      </c>
      <c r="B4103" s="3">
        <v>113.3760616</v>
      </c>
      <c r="C4103" s="3">
        <v>22.92963293</v>
      </c>
      <c r="D4103" s="3">
        <v>44</v>
      </c>
    </row>
    <row r="4104" spans="1:4" x14ac:dyDescent="0.2">
      <c r="A4104" s="3">
        <v>4103</v>
      </c>
      <c r="B4104" s="3">
        <v>113.3815846</v>
      </c>
      <c r="C4104" s="3">
        <v>22.930424500000001</v>
      </c>
      <c r="D4104" s="3">
        <v>44</v>
      </c>
    </row>
    <row r="4105" spans="1:4" x14ac:dyDescent="0.2">
      <c r="A4105" s="3">
        <v>4104</v>
      </c>
      <c r="B4105" s="3">
        <v>113.3757198</v>
      </c>
      <c r="C4105" s="3">
        <v>22.930646790000001</v>
      </c>
      <c r="D4105" s="3">
        <v>44</v>
      </c>
    </row>
    <row r="4106" spans="1:4" x14ac:dyDescent="0.2">
      <c r="A4106" s="3">
        <v>4105</v>
      </c>
      <c r="B4106" s="3">
        <v>113.374325</v>
      </c>
      <c r="C4106" s="3">
        <v>22.93115981</v>
      </c>
      <c r="D4106" s="3">
        <v>44</v>
      </c>
    </row>
    <row r="4107" spans="1:4" x14ac:dyDescent="0.2">
      <c r="A4107" s="3">
        <v>4106</v>
      </c>
      <c r="B4107" s="3">
        <v>113.37518729999999</v>
      </c>
      <c r="C4107" s="3">
        <v>22.931348960000001</v>
      </c>
      <c r="D4107" s="3">
        <v>44</v>
      </c>
    </row>
    <row r="4108" spans="1:4" x14ac:dyDescent="0.2">
      <c r="A4108" s="3">
        <v>4107</v>
      </c>
      <c r="B4108" s="3">
        <v>113.3763683</v>
      </c>
      <c r="C4108" s="3">
        <v>22.930994099999999</v>
      </c>
      <c r="D4108" s="3">
        <v>44</v>
      </c>
    </row>
    <row r="4109" spans="1:4" x14ac:dyDescent="0.2">
      <c r="A4109" s="3">
        <v>4108</v>
      </c>
      <c r="B4109" s="3">
        <v>113.3740786</v>
      </c>
      <c r="C4109" s="3">
        <v>22.926213109999999</v>
      </c>
      <c r="D4109" s="3">
        <v>21</v>
      </c>
    </row>
    <row r="4110" spans="1:4" x14ac:dyDescent="0.2">
      <c r="A4110" s="3">
        <v>4109</v>
      </c>
      <c r="B4110" s="3">
        <v>113.37329699999999</v>
      </c>
      <c r="C4110" s="3">
        <v>22.930680970000001</v>
      </c>
      <c r="D4110" s="3">
        <v>44</v>
      </c>
    </row>
    <row r="4111" spans="1:4" x14ac:dyDescent="0.2">
      <c r="A4111" s="3">
        <v>4110</v>
      </c>
      <c r="B4111" s="3">
        <v>113.3724181</v>
      </c>
      <c r="C4111" s="3">
        <v>22.926960380000001</v>
      </c>
      <c r="D4111" s="3">
        <v>21</v>
      </c>
    </row>
    <row r="4112" spans="1:4" x14ac:dyDescent="0.2">
      <c r="A4112" s="3">
        <v>4111</v>
      </c>
      <c r="B4112" s="3">
        <v>113.374439</v>
      </c>
      <c r="C4112" s="3">
        <v>22.930829849999999</v>
      </c>
      <c r="D4112" s="3">
        <v>44</v>
      </c>
    </row>
    <row r="4113" spans="1:4" x14ac:dyDescent="0.2">
      <c r="A4113" s="3">
        <v>4112</v>
      </c>
      <c r="B4113" s="3">
        <v>113.3751662</v>
      </c>
      <c r="C4113" s="3">
        <v>22.93216464</v>
      </c>
      <c r="D4113" s="3">
        <v>44</v>
      </c>
    </row>
    <row r="4114" spans="1:4" x14ac:dyDescent="0.2">
      <c r="A4114" s="3">
        <v>4113</v>
      </c>
      <c r="B4114" s="3">
        <v>113.3780998</v>
      </c>
      <c r="C4114" s="3">
        <v>22.932441099999998</v>
      </c>
      <c r="D4114" s="3">
        <v>44</v>
      </c>
    </row>
    <row r="4115" spans="1:4" x14ac:dyDescent="0.2">
      <c r="A4115" s="3">
        <v>4114</v>
      </c>
      <c r="B4115" s="3">
        <v>113.3739053</v>
      </c>
      <c r="C4115" s="3">
        <v>22.93216477</v>
      </c>
      <c r="D4115" s="3">
        <v>44</v>
      </c>
    </row>
    <row r="4116" spans="1:4" x14ac:dyDescent="0.2">
      <c r="A4116" s="3">
        <v>4115</v>
      </c>
      <c r="B4116" s="3">
        <v>113.3758196</v>
      </c>
      <c r="C4116" s="3">
        <v>22.93292675</v>
      </c>
      <c r="D4116" s="3">
        <v>44</v>
      </c>
    </row>
    <row r="4117" spans="1:4" x14ac:dyDescent="0.2">
      <c r="A4117" s="3">
        <v>4116</v>
      </c>
      <c r="B4117" s="3">
        <v>113.37212599999999</v>
      </c>
      <c r="C4117" s="3">
        <v>22.932368390000001</v>
      </c>
      <c r="D4117" s="3">
        <v>35</v>
      </c>
    </row>
    <row r="4118" spans="1:4" x14ac:dyDescent="0.2">
      <c r="A4118" s="3">
        <v>4117</v>
      </c>
      <c r="B4118" s="3">
        <v>113.37608640000001</v>
      </c>
      <c r="C4118" s="3">
        <v>22.932543679999998</v>
      </c>
      <c r="D4118" s="3">
        <v>44</v>
      </c>
    </row>
    <row r="4119" spans="1:4" x14ac:dyDescent="0.2">
      <c r="A4119" s="3">
        <v>4118</v>
      </c>
      <c r="B4119" s="3">
        <v>113.3760989</v>
      </c>
      <c r="C4119" s="3">
        <v>22.925016830000001</v>
      </c>
      <c r="D4119" s="3">
        <v>44</v>
      </c>
    </row>
    <row r="4120" spans="1:4" x14ac:dyDescent="0.2">
      <c r="A4120" s="3">
        <v>4119</v>
      </c>
      <c r="B4120" s="3">
        <v>113.37700460000001</v>
      </c>
      <c r="C4120" s="3">
        <v>22.933089689999999</v>
      </c>
      <c r="D4120" s="3">
        <v>44</v>
      </c>
    </row>
    <row r="4121" spans="1:4" x14ac:dyDescent="0.2">
      <c r="A4121" s="3">
        <v>4120</v>
      </c>
      <c r="B4121" s="3">
        <v>113.3804243</v>
      </c>
      <c r="C4121" s="3">
        <v>22.931556789999998</v>
      </c>
      <c r="D4121" s="3">
        <v>44</v>
      </c>
    </row>
    <row r="4122" spans="1:4" x14ac:dyDescent="0.2">
      <c r="A4122" s="3">
        <v>4121</v>
      </c>
      <c r="B4122" s="3">
        <v>113.3739982</v>
      </c>
      <c r="C4122" s="3">
        <v>22.932918369999999</v>
      </c>
      <c r="D4122" s="3">
        <v>44</v>
      </c>
    </row>
    <row r="4123" spans="1:4" x14ac:dyDescent="0.2">
      <c r="A4123" s="3">
        <v>4122</v>
      </c>
      <c r="B4123" s="3">
        <v>113.38127179999999</v>
      </c>
      <c r="C4123" s="3">
        <v>22.93039971</v>
      </c>
      <c r="D4123" s="3">
        <v>44</v>
      </c>
    </row>
    <row r="4124" spans="1:4" x14ac:dyDescent="0.2">
      <c r="A4124" s="3">
        <v>4123</v>
      </c>
      <c r="B4124" s="3">
        <v>113.37953779999999</v>
      </c>
      <c r="C4124" s="3">
        <v>22.932435030000001</v>
      </c>
      <c r="D4124" s="3">
        <v>44</v>
      </c>
    </row>
    <row r="4125" spans="1:4" x14ac:dyDescent="0.2">
      <c r="A4125" s="3">
        <v>4124</v>
      </c>
      <c r="B4125" s="3">
        <v>113.3767048</v>
      </c>
      <c r="C4125" s="3">
        <v>22.933372819999999</v>
      </c>
      <c r="D4125" s="3">
        <v>44</v>
      </c>
    </row>
    <row r="4126" spans="1:4" x14ac:dyDescent="0.2">
      <c r="A4126" s="3">
        <v>4125</v>
      </c>
      <c r="B4126" s="3">
        <v>113.37687390000001</v>
      </c>
      <c r="C4126" s="3">
        <v>22.930962690000001</v>
      </c>
      <c r="D4126" s="3">
        <v>44</v>
      </c>
    </row>
    <row r="4127" spans="1:4" x14ac:dyDescent="0.2">
      <c r="A4127" s="3">
        <v>4126</v>
      </c>
      <c r="B4127" s="3">
        <v>113.3747985</v>
      </c>
      <c r="C4127" s="3">
        <v>22.9335074</v>
      </c>
      <c r="D4127" s="3">
        <v>44</v>
      </c>
    </row>
    <row r="4128" spans="1:4" x14ac:dyDescent="0.2">
      <c r="A4128" s="3">
        <v>4127</v>
      </c>
      <c r="B4128" s="3">
        <v>113.3798766</v>
      </c>
      <c r="C4128" s="3">
        <v>22.93237882</v>
      </c>
      <c r="D4128" s="3">
        <v>44</v>
      </c>
    </row>
    <row r="4129" spans="1:4" x14ac:dyDescent="0.2">
      <c r="A4129" s="3">
        <v>4128</v>
      </c>
      <c r="B4129" s="3">
        <v>113.37883720000001</v>
      </c>
      <c r="C4129" s="3">
        <v>22.93306128</v>
      </c>
      <c r="D4129" s="3">
        <v>44</v>
      </c>
    </row>
    <row r="4130" spans="1:4" x14ac:dyDescent="0.2">
      <c r="A4130" s="3">
        <v>4129</v>
      </c>
      <c r="B4130" s="3">
        <v>113.37476650000001</v>
      </c>
      <c r="C4130" s="3">
        <v>22.933036619999999</v>
      </c>
      <c r="D4130" s="3">
        <v>44</v>
      </c>
    </row>
    <row r="4131" spans="1:4" x14ac:dyDescent="0.2">
      <c r="A4131" s="3">
        <v>4130</v>
      </c>
      <c r="B4131" s="3">
        <v>113.37781510000001</v>
      </c>
      <c r="C4131" s="3">
        <v>22.932270389999999</v>
      </c>
      <c r="D4131" s="3">
        <v>44</v>
      </c>
    </row>
    <row r="4132" spans="1:4" x14ac:dyDescent="0.2">
      <c r="A4132" s="3">
        <v>4131</v>
      </c>
      <c r="B4132" s="3">
        <v>113.37883220000001</v>
      </c>
      <c r="C4132" s="3">
        <v>22.933371149999999</v>
      </c>
      <c r="D4132" s="3">
        <v>44</v>
      </c>
    </row>
    <row r="4133" spans="1:4" x14ac:dyDescent="0.2">
      <c r="A4133" s="3">
        <v>4132</v>
      </c>
      <c r="B4133" s="3">
        <v>113.372129</v>
      </c>
      <c r="C4133" s="3">
        <v>22.932262430000002</v>
      </c>
      <c r="D4133" s="3">
        <v>35</v>
      </c>
    </row>
    <row r="4134" spans="1:4" x14ac:dyDescent="0.2">
      <c r="A4134" s="3">
        <v>4133</v>
      </c>
      <c r="B4134" s="3">
        <v>113.3738773</v>
      </c>
      <c r="C4134" s="3">
        <v>22.93326034</v>
      </c>
      <c r="D4134" s="3">
        <v>44</v>
      </c>
    </row>
    <row r="4135" spans="1:4" x14ac:dyDescent="0.2">
      <c r="A4135" s="3">
        <v>4134</v>
      </c>
      <c r="B4135" s="3">
        <v>113.3722109</v>
      </c>
      <c r="C4135" s="3">
        <v>22.932523239999998</v>
      </c>
      <c r="D4135" s="3">
        <v>35</v>
      </c>
    </row>
    <row r="4136" spans="1:4" x14ac:dyDescent="0.2">
      <c r="A4136" s="3">
        <v>4135</v>
      </c>
      <c r="B4136" s="3">
        <v>113.3768649</v>
      </c>
      <c r="C4136" s="3">
        <v>22.930962699999998</v>
      </c>
      <c r="D4136" s="3">
        <v>44</v>
      </c>
    </row>
    <row r="4137" spans="1:4" x14ac:dyDescent="0.2">
      <c r="A4137" s="3">
        <v>4136</v>
      </c>
      <c r="B4137" s="3">
        <v>113.3741491</v>
      </c>
      <c r="C4137" s="3">
        <v>22.932048600000002</v>
      </c>
      <c r="D4137" s="3">
        <v>44</v>
      </c>
    </row>
    <row r="4138" spans="1:4" x14ac:dyDescent="0.2">
      <c r="A4138" s="3">
        <v>4137</v>
      </c>
      <c r="B4138" s="3">
        <v>113.3731602</v>
      </c>
      <c r="C4138" s="3">
        <v>22.930525159999998</v>
      </c>
      <c r="D4138" s="3">
        <v>44</v>
      </c>
    </row>
    <row r="4139" spans="1:4" x14ac:dyDescent="0.2">
      <c r="A4139" s="3">
        <v>4138</v>
      </c>
      <c r="B4139" s="3">
        <v>113.3720261</v>
      </c>
      <c r="C4139" s="3">
        <v>22.933327089999999</v>
      </c>
      <c r="D4139" s="3">
        <v>35</v>
      </c>
    </row>
    <row r="4140" spans="1:4" x14ac:dyDescent="0.2">
      <c r="A4140" s="3">
        <v>4139</v>
      </c>
      <c r="B4140" s="3">
        <v>113.37209470000001</v>
      </c>
      <c r="C4140" s="3">
        <v>22.923746040000001</v>
      </c>
      <c r="D4140" s="3">
        <v>21</v>
      </c>
    </row>
    <row r="4141" spans="1:4" x14ac:dyDescent="0.2">
      <c r="A4141" s="3">
        <v>4140</v>
      </c>
      <c r="B4141" s="3">
        <v>113.3766639</v>
      </c>
      <c r="C4141" s="3">
        <v>22.933318870000001</v>
      </c>
      <c r="D4141" s="3">
        <v>44</v>
      </c>
    </row>
    <row r="4142" spans="1:4" x14ac:dyDescent="0.2">
      <c r="A4142" s="3">
        <v>4141</v>
      </c>
      <c r="B4142" s="3">
        <v>113.3760465</v>
      </c>
      <c r="C4142" s="3">
        <v>22.932462749999999</v>
      </c>
      <c r="D4142" s="3">
        <v>44</v>
      </c>
    </row>
    <row r="4143" spans="1:4" x14ac:dyDescent="0.2">
      <c r="A4143" s="3">
        <v>4142</v>
      </c>
      <c r="B4143" s="3">
        <v>113.3771886</v>
      </c>
      <c r="C4143" s="3">
        <v>22.930949439999999</v>
      </c>
      <c r="D4143" s="3">
        <v>44</v>
      </c>
    </row>
    <row r="4144" spans="1:4" x14ac:dyDescent="0.2">
      <c r="A4144" s="3">
        <v>4143</v>
      </c>
      <c r="B4144" s="3">
        <v>113.37769110000001</v>
      </c>
      <c r="C4144" s="3">
        <v>22.932464410000001</v>
      </c>
      <c r="D4144" s="3">
        <v>44</v>
      </c>
    </row>
    <row r="4145" spans="1:4" x14ac:dyDescent="0.2">
      <c r="A4145" s="3">
        <v>4144</v>
      </c>
      <c r="B4145" s="3">
        <v>113.37360049999999</v>
      </c>
      <c r="C4145" s="3">
        <v>22.933500500000001</v>
      </c>
      <c r="D4145" s="3">
        <v>44</v>
      </c>
    </row>
    <row r="4146" spans="1:4" x14ac:dyDescent="0.2">
      <c r="A4146" s="3">
        <v>4145</v>
      </c>
      <c r="B4146" s="3">
        <v>113.3774944</v>
      </c>
      <c r="C4146" s="3">
        <v>22.931518959999998</v>
      </c>
      <c r="D4146" s="3">
        <v>44</v>
      </c>
    </row>
    <row r="4147" spans="1:4" x14ac:dyDescent="0.2">
      <c r="A4147" s="3">
        <v>4146</v>
      </c>
      <c r="B4147" s="3">
        <v>113.38304979999999</v>
      </c>
      <c r="C4147" s="3">
        <v>22.930511580000001</v>
      </c>
      <c r="D4147" s="3">
        <v>44</v>
      </c>
    </row>
    <row r="4148" spans="1:4" x14ac:dyDescent="0.2">
      <c r="A4148" s="3">
        <v>4147</v>
      </c>
      <c r="B4148" s="3">
        <v>113.3835655</v>
      </c>
      <c r="C4148" s="3">
        <v>22.931165010000001</v>
      </c>
      <c r="D4148" s="3">
        <v>44</v>
      </c>
    </row>
    <row r="4149" spans="1:4" x14ac:dyDescent="0.2">
      <c r="A4149" s="3">
        <v>4148</v>
      </c>
      <c r="B4149" s="3">
        <v>113.38637629999999</v>
      </c>
      <c r="C4149" s="3">
        <v>22.930329960000002</v>
      </c>
      <c r="D4149" s="3">
        <v>44</v>
      </c>
    </row>
    <row r="4150" spans="1:4" x14ac:dyDescent="0.2">
      <c r="A4150" s="3">
        <v>4149</v>
      </c>
      <c r="B4150" s="3">
        <v>113.3815846</v>
      </c>
      <c r="C4150" s="3">
        <v>22.930424500000001</v>
      </c>
      <c r="D4150" s="3">
        <v>44</v>
      </c>
    </row>
    <row r="4151" spans="1:4" x14ac:dyDescent="0.2">
      <c r="A4151" s="3">
        <v>4150</v>
      </c>
      <c r="B4151" s="3">
        <v>113.384798</v>
      </c>
      <c r="C4151" s="3">
        <v>22.929564030000002</v>
      </c>
      <c r="D4151" s="3">
        <v>44</v>
      </c>
    </row>
    <row r="4152" spans="1:4" x14ac:dyDescent="0.2">
      <c r="A4152" s="3">
        <v>4151</v>
      </c>
      <c r="B4152" s="3">
        <v>113.3873329</v>
      </c>
      <c r="C4152" s="3">
        <v>22.930739379999999</v>
      </c>
      <c r="D4152" s="3">
        <v>44</v>
      </c>
    </row>
    <row r="4153" spans="1:4" x14ac:dyDescent="0.2">
      <c r="A4153" s="3">
        <v>4152</v>
      </c>
      <c r="B4153" s="3">
        <v>113.3840703</v>
      </c>
      <c r="C4153" s="3">
        <v>22.929625380000001</v>
      </c>
      <c r="D4153" s="3">
        <v>44</v>
      </c>
    </row>
    <row r="4154" spans="1:4" x14ac:dyDescent="0.2">
      <c r="A4154" s="3">
        <v>4153</v>
      </c>
      <c r="B4154" s="3">
        <v>113.38417629999999</v>
      </c>
      <c r="C4154" s="3">
        <v>22.929812250000001</v>
      </c>
      <c r="D4154" s="3">
        <v>44</v>
      </c>
    </row>
    <row r="4155" spans="1:4" x14ac:dyDescent="0.2">
      <c r="A4155" s="3">
        <v>4154</v>
      </c>
      <c r="B4155" s="3">
        <v>113.3860723</v>
      </c>
      <c r="C4155" s="3">
        <v>22.93145062</v>
      </c>
      <c r="D4155" s="3">
        <v>44</v>
      </c>
    </row>
    <row r="4156" spans="1:4" x14ac:dyDescent="0.2">
      <c r="A4156" s="3">
        <v>4155</v>
      </c>
      <c r="B4156" s="3">
        <v>113.3890076</v>
      </c>
      <c r="C4156" s="3">
        <v>22.92850971</v>
      </c>
      <c r="D4156" s="3">
        <v>5</v>
      </c>
    </row>
    <row r="4157" spans="1:4" x14ac:dyDescent="0.2">
      <c r="A4157" s="3">
        <v>4156</v>
      </c>
      <c r="B4157" s="3">
        <v>113.3832237</v>
      </c>
      <c r="C4157" s="3">
        <v>22.93047649</v>
      </c>
      <c r="D4157" s="3">
        <v>44</v>
      </c>
    </row>
    <row r="4158" spans="1:4" x14ac:dyDescent="0.2">
      <c r="A4158" s="3">
        <v>4157</v>
      </c>
      <c r="B4158" s="3">
        <v>113.3891988</v>
      </c>
      <c r="C4158" s="3">
        <v>22.925093069999999</v>
      </c>
      <c r="D4158" s="3">
        <v>5</v>
      </c>
    </row>
    <row r="4159" spans="1:4" x14ac:dyDescent="0.2">
      <c r="A4159" s="3">
        <v>4158</v>
      </c>
      <c r="B4159" s="3">
        <v>113.3861668</v>
      </c>
      <c r="C4159" s="3">
        <v>22.92414265</v>
      </c>
      <c r="D4159" s="3">
        <v>5</v>
      </c>
    </row>
    <row r="4160" spans="1:4" x14ac:dyDescent="0.2">
      <c r="A4160" s="3">
        <v>4159</v>
      </c>
      <c r="B4160" s="3">
        <v>113.3905024</v>
      </c>
      <c r="C4160" s="3">
        <v>22.925411560000001</v>
      </c>
      <c r="D4160" s="3">
        <v>5</v>
      </c>
    </row>
    <row r="4161" spans="1:4" x14ac:dyDescent="0.2">
      <c r="A4161" s="3">
        <v>4160</v>
      </c>
      <c r="B4161" s="3">
        <v>113.3889823</v>
      </c>
      <c r="C4161" s="3">
        <v>22.933186750000001</v>
      </c>
      <c r="D4161" s="3">
        <v>44</v>
      </c>
    </row>
    <row r="4162" spans="1:4" x14ac:dyDescent="0.2">
      <c r="A4162" s="3">
        <v>4161</v>
      </c>
      <c r="B4162" s="3">
        <v>113.38812849999999</v>
      </c>
      <c r="C4162" s="3">
        <v>22.933556889999998</v>
      </c>
      <c r="D4162" s="3">
        <v>44</v>
      </c>
    </row>
    <row r="4163" spans="1:4" x14ac:dyDescent="0.2">
      <c r="A4163" s="3">
        <v>4162</v>
      </c>
      <c r="B4163" s="3">
        <v>113.38813810000001</v>
      </c>
      <c r="C4163" s="3">
        <v>22.923661039999999</v>
      </c>
      <c r="D4163" s="3">
        <v>5</v>
      </c>
    </row>
    <row r="4164" spans="1:4" x14ac:dyDescent="0.2">
      <c r="A4164" s="3">
        <v>4163</v>
      </c>
      <c r="B4164" s="3">
        <v>113.3841692</v>
      </c>
      <c r="C4164" s="3">
        <v>22.93092278</v>
      </c>
      <c r="D4164" s="3">
        <v>44</v>
      </c>
    </row>
    <row r="4165" spans="1:4" x14ac:dyDescent="0.2">
      <c r="A4165" s="3">
        <v>4164</v>
      </c>
      <c r="B4165" s="3">
        <v>113.3837224</v>
      </c>
      <c r="C4165" s="3">
        <v>22.930560180000001</v>
      </c>
      <c r="D4165" s="3">
        <v>44</v>
      </c>
    </row>
    <row r="4166" spans="1:4" x14ac:dyDescent="0.2">
      <c r="A4166" s="3">
        <v>4165</v>
      </c>
      <c r="B4166" s="3">
        <v>113.39034650000001</v>
      </c>
      <c r="C4166" s="3">
        <v>22.925373610000001</v>
      </c>
      <c r="D4166" s="3">
        <v>5</v>
      </c>
    </row>
    <row r="4167" spans="1:4" x14ac:dyDescent="0.2">
      <c r="A4167" s="3">
        <v>4166</v>
      </c>
      <c r="B4167" s="3">
        <v>113.4007355</v>
      </c>
      <c r="C4167" s="3">
        <v>22.932842959999999</v>
      </c>
      <c r="D4167" s="3">
        <v>34</v>
      </c>
    </row>
    <row r="4168" spans="1:4" x14ac:dyDescent="0.2">
      <c r="A4168" s="3">
        <v>4167</v>
      </c>
      <c r="B4168" s="3">
        <v>113.4107073</v>
      </c>
      <c r="C4168" s="3">
        <v>22.929768259999999</v>
      </c>
      <c r="D4168" s="3">
        <v>5</v>
      </c>
    </row>
    <row r="4169" spans="1:4" x14ac:dyDescent="0.2">
      <c r="A4169" s="3">
        <v>4168</v>
      </c>
      <c r="B4169" s="3">
        <v>113.4101508</v>
      </c>
      <c r="C4169" s="3">
        <v>22.931059380000001</v>
      </c>
      <c r="D4169" s="3">
        <v>34</v>
      </c>
    </row>
    <row r="4170" spans="1:4" x14ac:dyDescent="0.2">
      <c r="A4170" s="3">
        <v>4169</v>
      </c>
      <c r="B4170" s="3">
        <v>113.411434</v>
      </c>
      <c r="C4170" s="3">
        <v>22.927884519999999</v>
      </c>
      <c r="D4170" s="3">
        <v>5</v>
      </c>
    </row>
    <row r="4171" spans="1:4" x14ac:dyDescent="0.2">
      <c r="A4171" s="3">
        <v>4170</v>
      </c>
      <c r="B4171" s="3">
        <v>113.41143719999999</v>
      </c>
      <c r="C4171" s="3">
        <v>22.926223220000001</v>
      </c>
      <c r="D4171" s="3">
        <v>5</v>
      </c>
    </row>
    <row r="4172" spans="1:4" x14ac:dyDescent="0.2">
      <c r="A4172" s="3">
        <v>4171</v>
      </c>
      <c r="B4172" s="3">
        <v>113.41007500000001</v>
      </c>
      <c r="C4172" s="3">
        <v>22.92716497</v>
      </c>
      <c r="D4172" s="3">
        <v>5</v>
      </c>
    </row>
    <row r="4173" spans="1:4" x14ac:dyDescent="0.2">
      <c r="A4173" s="3">
        <v>4172</v>
      </c>
      <c r="B4173" s="3">
        <v>113.4017901</v>
      </c>
      <c r="C4173" s="3">
        <v>22.92972048</v>
      </c>
      <c r="D4173" s="3">
        <v>5</v>
      </c>
    </row>
    <row r="4174" spans="1:4" x14ac:dyDescent="0.2">
      <c r="A4174" s="3">
        <v>4173</v>
      </c>
      <c r="B4174" s="3">
        <v>113.412284</v>
      </c>
      <c r="C4174" s="3">
        <v>22.92512026</v>
      </c>
      <c r="D4174" s="3">
        <v>5</v>
      </c>
    </row>
    <row r="4175" spans="1:4" x14ac:dyDescent="0.2">
      <c r="A4175" s="3">
        <v>4174</v>
      </c>
      <c r="B4175" s="3">
        <v>113.4119146</v>
      </c>
      <c r="C4175" s="3">
        <v>22.925396889999998</v>
      </c>
      <c r="D4175" s="3">
        <v>5</v>
      </c>
    </row>
    <row r="4176" spans="1:4" x14ac:dyDescent="0.2">
      <c r="A4176" s="3">
        <v>4175</v>
      </c>
      <c r="B4176" s="3">
        <v>113.4267849</v>
      </c>
      <c r="C4176" s="3">
        <v>22.92746108</v>
      </c>
      <c r="D4176" s="3">
        <v>12</v>
      </c>
    </row>
    <row r="4177" spans="1:4" x14ac:dyDescent="0.2">
      <c r="A4177" s="3">
        <v>4176</v>
      </c>
      <c r="B4177" s="3">
        <v>113.316873</v>
      </c>
      <c r="C4177" s="3">
        <v>22.922384699999999</v>
      </c>
      <c r="D4177" s="3">
        <v>9</v>
      </c>
    </row>
    <row r="4178" spans="1:4" x14ac:dyDescent="0.2">
      <c r="A4178" s="3">
        <v>4177</v>
      </c>
      <c r="B4178" s="3">
        <v>113.32016419999999</v>
      </c>
      <c r="C4178" s="3">
        <v>22.922126540000001</v>
      </c>
      <c r="D4178" s="3">
        <v>9</v>
      </c>
    </row>
    <row r="4179" spans="1:4" x14ac:dyDescent="0.2">
      <c r="A4179" s="3">
        <v>4178</v>
      </c>
      <c r="B4179" s="3">
        <v>113.3281547</v>
      </c>
      <c r="C4179" s="3">
        <v>22.92351468</v>
      </c>
      <c r="D4179" s="3">
        <v>46</v>
      </c>
    </row>
    <row r="4180" spans="1:4" x14ac:dyDescent="0.2">
      <c r="A4180" s="3">
        <v>4179</v>
      </c>
      <c r="B4180" s="3">
        <v>113.3223886</v>
      </c>
      <c r="C4180" s="3">
        <v>22.922659060000001</v>
      </c>
      <c r="D4180" s="3">
        <v>46</v>
      </c>
    </row>
    <row r="4181" spans="1:4" x14ac:dyDescent="0.2">
      <c r="A4181" s="3">
        <v>4180</v>
      </c>
      <c r="B4181" s="3">
        <v>113.32577860000001</v>
      </c>
      <c r="C4181" s="3">
        <v>22.92239168</v>
      </c>
      <c r="D4181" s="3">
        <v>46</v>
      </c>
    </row>
    <row r="4182" spans="1:4" x14ac:dyDescent="0.2">
      <c r="A4182" s="3">
        <v>4181</v>
      </c>
      <c r="B4182" s="3">
        <v>113.3222102</v>
      </c>
      <c r="C4182" s="3">
        <v>22.91872704</v>
      </c>
      <c r="D4182" s="3">
        <v>46</v>
      </c>
    </row>
    <row r="4183" spans="1:4" x14ac:dyDescent="0.2">
      <c r="A4183" s="3">
        <v>4182</v>
      </c>
      <c r="B4183" s="3">
        <v>113.33808639999999</v>
      </c>
      <c r="C4183" s="3">
        <v>22.915936299999998</v>
      </c>
      <c r="D4183" s="3">
        <v>46</v>
      </c>
    </row>
    <row r="4184" spans="1:4" x14ac:dyDescent="0.2">
      <c r="A4184" s="3">
        <v>4183</v>
      </c>
      <c r="B4184" s="3">
        <v>113.33684270000001</v>
      </c>
      <c r="C4184" s="3">
        <v>22.917315989999999</v>
      </c>
      <c r="D4184" s="3">
        <v>46</v>
      </c>
    </row>
    <row r="4185" spans="1:4" x14ac:dyDescent="0.2">
      <c r="A4185" s="3">
        <v>4184</v>
      </c>
      <c r="B4185" s="3">
        <v>113.3397677</v>
      </c>
      <c r="C4185" s="3">
        <v>22.922787400000001</v>
      </c>
      <c r="D4185" s="3">
        <v>46</v>
      </c>
    </row>
    <row r="4186" spans="1:4" x14ac:dyDescent="0.2">
      <c r="A4186" s="3">
        <v>4185</v>
      </c>
      <c r="B4186" s="3">
        <v>113.3354842</v>
      </c>
      <c r="C4186" s="3">
        <v>22.920552149999999</v>
      </c>
      <c r="D4186" s="3">
        <v>46</v>
      </c>
    </row>
    <row r="4187" spans="1:4" x14ac:dyDescent="0.2">
      <c r="A4187" s="3">
        <v>4186</v>
      </c>
      <c r="B4187" s="3">
        <v>113.3363997</v>
      </c>
      <c r="C4187" s="3">
        <v>22.91631422</v>
      </c>
      <c r="D4187" s="3">
        <v>46</v>
      </c>
    </row>
    <row r="4188" spans="1:4" x14ac:dyDescent="0.2">
      <c r="A4188" s="3">
        <v>4187</v>
      </c>
      <c r="B4188" s="3">
        <v>113.3390155</v>
      </c>
      <c r="C4188" s="3">
        <v>22.916864220000001</v>
      </c>
      <c r="D4188" s="3">
        <v>46</v>
      </c>
    </row>
    <row r="4189" spans="1:4" x14ac:dyDescent="0.2">
      <c r="A4189" s="3">
        <v>4188</v>
      </c>
      <c r="B4189" s="3">
        <v>113.33967920000001</v>
      </c>
      <c r="C4189" s="3">
        <v>22.917907589999999</v>
      </c>
      <c r="D4189" s="3">
        <v>46</v>
      </c>
    </row>
    <row r="4190" spans="1:4" x14ac:dyDescent="0.2">
      <c r="A4190" s="3">
        <v>4189</v>
      </c>
      <c r="B4190" s="3">
        <v>113.3393609</v>
      </c>
      <c r="C4190" s="3">
        <v>22.916890590000001</v>
      </c>
      <c r="D4190" s="3">
        <v>46</v>
      </c>
    </row>
    <row r="4191" spans="1:4" x14ac:dyDescent="0.2">
      <c r="A4191" s="3">
        <v>4190</v>
      </c>
      <c r="B4191" s="3">
        <v>113.3370524</v>
      </c>
      <c r="C4191" s="3">
        <v>22.915707279999999</v>
      </c>
      <c r="D4191" s="3">
        <v>46</v>
      </c>
    </row>
    <row r="4192" spans="1:4" x14ac:dyDescent="0.2">
      <c r="A4192" s="3">
        <v>4191</v>
      </c>
      <c r="B4192" s="3">
        <v>113.33618509999999</v>
      </c>
      <c r="C4192" s="3">
        <v>22.91569488</v>
      </c>
      <c r="D4192" s="3">
        <v>46</v>
      </c>
    </row>
    <row r="4193" spans="1:4" x14ac:dyDescent="0.2">
      <c r="A4193" s="3">
        <v>4192</v>
      </c>
      <c r="B4193" s="3">
        <v>113.334542</v>
      </c>
      <c r="C4193" s="3">
        <v>22.921179630000001</v>
      </c>
      <c r="D4193" s="3">
        <v>46</v>
      </c>
    </row>
    <row r="4194" spans="1:4" x14ac:dyDescent="0.2">
      <c r="A4194" s="3">
        <v>4193</v>
      </c>
      <c r="B4194" s="3">
        <v>113.3351318</v>
      </c>
      <c r="C4194" s="3">
        <v>22.92160436</v>
      </c>
      <c r="D4194" s="3">
        <v>46</v>
      </c>
    </row>
    <row r="4195" spans="1:4" x14ac:dyDescent="0.2">
      <c r="A4195" s="3">
        <v>4194</v>
      </c>
      <c r="B4195" s="3">
        <v>113.3400475</v>
      </c>
      <c r="C4195" s="3">
        <v>22.917746999999999</v>
      </c>
      <c r="D4195" s="3">
        <v>46</v>
      </c>
    </row>
    <row r="4196" spans="1:4" x14ac:dyDescent="0.2">
      <c r="A4196" s="3">
        <v>4195</v>
      </c>
      <c r="B4196" s="3">
        <v>113.3374637</v>
      </c>
      <c r="C4196" s="3">
        <v>22.91525871</v>
      </c>
      <c r="D4196" s="3">
        <v>46</v>
      </c>
    </row>
    <row r="4197" spans="1:4" x14ac:dyDescent="0.2">
      <c r="A4197" s="3">
        <v>4196</v>
      </c>
      <c r="B4197" s="3">
        <v>113.3380116</v>
      </c>
      <c r="C4197" s="3">
        <v>22.915379659999999</v>
      </c>
      <c r="D4197" s="3">
        <v>46</v>
      </c>
    </row>
    <row r="4198" spans="1:4" x14ac:dyDescent="0.2">
      <c r="A4198" s="3">
        <v>4197</v>
      </c>
      <c r="B4198" s="3">
        <v>113.33700260000001</v>
      </c>
      <c r="C4198" s="3">
        <v>22.91461782</v>
      </c>
      <c r="D4198" s="3">
        <v>46</v>
      </c>
    </row>
    <row r="4199" spans="1:4" x14ac:dyDescent="0.2">
      <c r="A4199" s="3">
        <v>4198</v>
      </c>
      <c r="B4199" s="3">
        <v>113.3351328</v>
      </c>
      <c r="C4199" s="3">
        <v>22.922088160000001</v>
      </c>
      <c r="D4199" s="3">
        <v>46</v>
      </c>
    </row>
    <row r="4200" spans="1:4" x14ac:dyDescent="0.2">
      <c r="A4200" s="3">
        <v>4199</v>
      </c>
      <c r="B4200" s="3">
        <v>113.3407242</v>
      </c>
      <c r="C4200" s="3">
        <v>22.917947699999999</v>
      </c>
      <c r="D4200" s="3">
        <v>46</v>
      </c>
    </row>
    <row r="4201" spans="1:4" x14ac:dyDescent="0.2">
      <c r="A4201" s="3">
        <v>4200</v>
      </c>
      <c r="B4201" s="3">
        <v>113.3358094</v>
      </c>
      <c r="C4201" s="3">
        <v>22.922533720000001</v>
      </c>
      <c r="D4201" s="3">
        <v>46</v>
      </c>
    </row>
    <row r="4202" spans="1:4" x14ac:dyDescent="0.2">
      <c r="A4202" s="3">
        <v>4201</v>
      </c>
      <c r="B4202" s="3">
        <v>113.3393071</v>
      </c>
      <c r="C4202" s="3">
        <v>22.915554239999999</v>
      </c>
      <c r="D4202" s="3">
        <v>46</v>
      </c>
    </row>
    <row r="4203" spans="1:4" x14ac:dyDescent="0.2">
      <c r="A4203" s="3">
        <v>4202</v>
      </c>
      <c r="B4203" s="3">
        <v>113.3391075</v>
      </c>
      <c r="C4203" s="3">
        <v>22.915183760000001</v>
      </c>
      <c r="D4203" s="3">
        <v>46</v>
      </c>
    </row>
    <row r="4204" spans="1:4" x14ac:dyDescent="0.2">
      <c r="A4204" s="3">
        <v>4203</v>
      </c>
      <c r="B4204" s="3">
        <v>113.34076</v>
      </c>
      <c r="C4204" s="3">
        <v>22.92023369</v>
      </c>
      <c r="D4204" s="3">
        <v>46</v>
      </c>
    </row>
    <row r="4205" spans="1:4" x14ac:dyDescent="0.2">
      <c r="A4205" s="3">
        <v>4204</v>
      </c>
      <c r="B4205" s="3">
        <v>113.3350938</v>
      </c>
      <c r="C4205" s="3">
        <v>22.922672989999999</v>
      </c>
      <c r="D4205" s="3">
        <v>46</v>
      </c>
    </row>
    <row r="4206" spans="1:4" x14ac:dyDescent="0.2">
      <c r="A4206" s="3">
        <v>4205</v>
      </c>
      <c r="B4206" s="3">
        <v>113.33711340000001</v>
      </c>
      <c r="C4206" s="3">
        <v>22.914357729999999</v>
      </c>
      <c r="D4206" s="3">
        <v>46</v>
      </c>
    </row>
    <row r="4207" spans="1:4" x14ac:dyDescent="0.2">
      <c r="A4207" s="3">
        <v>4206</v>
      </c>
      <c r="B4207" s="3">
        <v>113.3355425</v>
      </c>
      <c r="C4207" s="3">
        <v>22.914429590000001</v>
      </c>
      <c r="D4207" s="3">
        <v>46</v>
      </c>
    </row>
    <row r="4208" spans="1:4" x14ac:dyDescent="0.2">
      <c r="A4208" s="3">
        <v>4207</v>
      </c>
      <c r="B4208" s="3">
        <v>113.3414219</v>
      </c>
      <c r="C4208" s="3">
        <v>22.917462660000002</v>
      </c>
      <c r="D4208" s="3">
        <v>46</v>
      </c>
    </row>
    <row r="4209" spans="1:4" x14ac:dyDescent="0.2">
      <c r="A4209" s="3">
        <v>4208</v>
      </c>
      <c r="B4209" s="3">
        <v>113.33219269999999</v>
      </c>
      <c r="C4209" s="3">
        <v>22.920593270000001</v>
      </c>
      <c r="D4209" s="3">
        <v>46</v>
      </c>
    </row>
    <row r="4210" spans="1:4" x14ac:dyDescent="0.2">
      <c r="A4210" s="3">
        <v>4209</v>
      </c>
      <c r="B4210" s="3">
        <v>113.3327439</v>
      </c>
      <c r="C4210" s="3">
        <v>22.91578324</v>
      </c>
      <c r="D4210" s="3">
        <v>46</v>
      </c>
    </row>
    <row r="4211" spans="1:4" x14ac:dyDescent="0.2">
      <c r="A4211" s="3">
        <v>4210</v>
      </c>
      <c r="B4211" s="3">
        <v>113.3405119</v>
      </c>
      <c r="C4211" s="3">
        <v>22.914372570000001</v>
      </c>
      <c r="D4211" s="3">
        <v>42</v>
      </c>
    </row>
    <row r="4212" spans="1:4" x14ac:dyDescent="0.2">
      <c r="A4212" s="3">
        <v>4211</v>
      </c>
      <c r="B4212" s="3">
        <v>113.3316691</v>
      </c>
      <c r="C4212" s="3">
        <v>22.915992169999999</v>
      </c>
      <c r="D4212" s="3">
        <v>46</v>
      </c>
    </row>
    <row r="4213" spans="1:4" x14ac:dyDescent="0.2">
      <c r="A4213" s="3">
        <v>4212</v>
      </c>
      <c r="B4213" s="3">
        <v>113.340924</v>
      </c>
      <c r="C4213" s="3">
        <v>22.91510053</v>
      </c>
      <c r="D4213" s="3">
        <v>42</v>
      </c>
    </row>
    <row r="4214" spans="1:4" x14ac:dyDescent="0.2">
      <c r="A4214" s="3">
        <v>4213</v>
      </c>
      <c r="B4214" s="3">
        <v>113.34110920000001</v>
      </c>
      <c r="C4214" s="3">
        <v>22.922084290000001</v>
      </c>
      <c r="D4214" s="3">
        <v>46</v>
      </c>
    </row>
    <row r="4215" spans="1:4" x14ac:dyDescent="0.2">
      <c r="A4215" s="3">
        <v>4214</v>
      </c>
      <c r="B4215" s="3">
        <v>113.3397683</v>
      </c>
      <c r="C4215" s="3">
        <v>22.913752160000001</v>
      </c>
      <c r="D4215" s="3">
        <v>42</v>
      </c>
    </row>
    <row r="4216" spans="1:4" x14ac:dyDescent="0.2">
      <c r="A4216" s="3">
        <v>4215</v>
      </c>
      <c r="B4216" s="3">
        <v>113.3403376</v>
      </c>
      <c r="C4216" s="3">
        <v>22.923029270000001</v>
      </c>
      <c r="D4216" s="3">
        <v>46</v>
      </c>
    </row>
    <row r="4217" spans="1:4" x14ac:dyDescent="0.2">
      <c r="A4217" s="3">
        <v>4216</v>
      </c>
      <c r="B4217" s="3">
        <v>113.3405003</v>
      </c>
      <c r="C4217" s="3">
        <v>22.923503780000001</v>
      </c>
      <c r="D4217" s="3">
        <v>46</v>
      </c>
    </row>
    <row r="4218" spans="1:4" x14ac:dyDescent="0.2">
      <c r="A4218" s="3">
        <v>4217</v>
      </c>
      <c r="B4218" s="3">
        <v>113.3415143</v>
      </c>
      <c r="C4218" s="3">
        <v>22.923621929999999</v>
      </c>
      <c r="D4218" s="3">
        <v>46</v>
      </c>
    </row>
    <row r="4219" spans="1:4" x14ac:dyDescent="0.2">
      <c r="A4219" s="3">
        <v>4218</v>
      </c>
      <c r="B4219" s="3">
        <v>113.341294</v>
      </c>
      <c r="C4219" s="3">
        <v>22.920175759999999</v>
      </c>
      <c r="D4219" s="3">
        <v>46</v>
      </c>
    </row>
    <row r="4220" spans="1:4" x14ac:dyDescent="0.2">
      <c r="A4220" s="3">
        <v>4219</v>
      </c>
      <c r="B4220" s="3">
        <v>113.343115</v>
      </c>
      <c r="C4220" s="3">
        <v>22.914722820000001</v>
      </c>
      <c r="D4220" s="3">
        <v>42</v>
      </c>
    </row>
    <row r="4221" spans="1:4" x14ac:dyDescent="0.2">
      <c r="A4221" s="3">
        <v>4220</v>
      </c>
      <c r="B4221" s="3">
        <v>113.3437169</v>
      </c>
      <c r="C4221" s="3">
        <v>22.914161</v>
      </c>
      <c r="D4221" s="3">
        <v>42</v>
      </c>
    </row>
    <row r="4222" spans="1:4" x14ac:dyDescent="0.2">
      <c r="A4222" s="3">
        <v>4221</v>
      </c>
      <c r="B4222" s="3">
        <v>113.34694690000001</v>
      </c>
      <c r="C4222" s="3">
        <v>22.916665439999999</v>
      </c>
      <c r="D4222" s="3">
        <v>42</v>
      </c>
    </row>
    <row r="4223" spans="1:4" x14ac:dyDescent="0.2">
      <c r="A4223" s="3">
        <v>4222</v>
      </c>
      <c r="B4223" s="3">
        <v>113.34331039999999</v>
      </c>
      <c r="C4223" s="3">
        <v>22.918061089999998</v>
      </c>
      <c r="D4223" s="3">
        <v>46</v>
      </c>
    </row>
    <row r="4224" spans="1:4" x14ac:dyDescent="0.2">
      <c r="A4224" s="3">
        <v>4223</v>
      </c>
      <c r="B4224" s="3">
        <v>113.3437067</v>
      </c>
      <c r="C4224" s="3">
        <v>22.916911880000001</v>
      </c>
      <c r="D4224" s="3">
        <v>42</v>
      </c>
    </row>
    <row r="4225" spans="1:4" x14ac:dyDescent="0.2">
      <c r="A4225" s="3">
        <v>4224</v>
      </c>
      <c r="B4225" s="3">
        <v>113.3442338</v>
      </c>
      <c r="C4225" s="3">
        <v>22.91667606</v>
      </c>
      <c r="D4225" s="3">
        <v>42</v>
      </c>
    </row>
    <row r="4226" spans="1:4" x14ac:dyDescent="0.2">
      <c r="A4226" s="3">
        <v>4225</v>
      </c>
      <c r="B4226" s="3">
        <v>113.3454971</v>
      </c>
      <c r="C4226" s="3">
        <v>22.921595839999998</v>
      </c>
      <c r="D4226" s="3">
        <v>46</v>
      </c>
    </row>
    <row r="4227" spans="1:4" x14ac:dyDescent="0.2">
      <c r="A4227" s="3">
        <v>4226</v>
      </c>
      <c r="B4227" s="3">
        <v>113.34389040000001</v>
      </c>
      <c r="C4227" s="3">
        <v>22.915998940000001</v>
      </c>
      <c r="D4227" s="3">
        <v>42</v>
      </c>
    </row>
    <row r="4228" spans="1:4" x14ac:dyDescent="0.2">
      <c r="A4228" s="3">
        <v>4227</v>
      </c>
      <c r="B4228" s="3">
        <v>113.3463376</v>
      </c>
      <c r="C4228" s="3">
        <v>22.922267130000002</v>
      </c>
      <c r="D4228" s="3">
        <v>46</v>
      </c>
    </row>
    <row r="4229" spans="1:4" x14ac:dyDescent="0.2">
      <c r="A4229" s="3">
        <v>4228</v>
      </c>
      <c r="B4229" s="3">
        <v>113.34233709999999</v>
      </c>
      <c r="C4229" s="3">
        <v>22.91909836</v>
      </c>
      <c r="D4229" s="3">
        <v>46</v>
      </c>
    </row>
    <row r="4230" spans="1:4" x14ac:dyDescent="0.2">
      <c r="A4230" s="3">
        <v>4229</v>
      </c>
      <c r="B4230" s="3">
        <v>113.3422753</v>
      </c>
      <c r="C4230" s="3">
        <v>22.91741317</v>
      </c>
      <c r="D4230" s="3">
        <v>46</v>
      </c>
    </row>
    <row r="4231" spans="1:4" x14ac:dyDescent="0.2">
      <c r="A4231" s="3">
        <v>4230</v>
      </c>
      <c r="B4231" s="3">
        <v>113.34870189999999</v>
      </c>
      <c r="C4231" s="3">
        <v>22.914474420000001</v>
      </c>
      <c r="D4231" s="3">
        <v>42</v>
      </c>
    </row>
    <row r="4232" spans="1:4" x14ac:dyDescent="0.2">
      <c r="A4232" s="3">
        <v>4231</v>
      </c>
      <c r="B4232" s="3">
        <v>113.3429951</v>
      </c>
      <c r="C4232" s="3">
        <v>22.915209829999998</v>
      </c>
      <c r="D4232" s="3">
        <v>42</v>
      </c>
    </row>
    <row r="4233" spans="1:4" x14ac:dyDescent="0.2">
      <c r="A4233" s="3">
        <v>4232</v>
      </c>
      <c r="B4233" s="3">
        <v>113.351421</v>
      </c>
      <c r="C4233" s="3">
        <v>22.918534340000001</v>
      </c>
      <c r="D4233" s="3">
        <v>42</v>
      </c>
    </row>
    <row r="4234" spans="1:4" x14ac:dyDescent="0.2">
      <c r="A4234" s="3">
        <v>4233</v>
      </c>
      <c r="B4234" s="3">
        <v>113.3481166</v>
      </c>
      <c r="C4234" s="3">
        <v>22.92034795</v>
      </c>
      <c r="D4234" s="3">
        <v>46</v>
      </c>
    </row>
    <row r="4235" spans="1:4" x14ac:dyDescent="0.2">
      <c r="A4235" s="3">
        <v>4234</v>
      </c>
      <c r="B4235" s="3">
        <v>113.34712210000001</v>
      </c>
      <c r="C4235" s="3">
        <v>22.923144440000002</v>
      </c>
      <c r="D4235" s="3">
        <v>43</v>
      </c>
    </row>
    <row r="4236" spans="1:4" x14ac:dyDescent="0.2">
      <c r="A4236" s="3">
        <v>4235</v>
      </c>
      <c r="B4236" s="3">
        <v>113.34173730000001</v>
      </c>
      <c r="C4236" s="3">
        <v>22.917708000000001</v>
      </c>
      <c r="D4236" s="3">
        <v>46</v>
      </c>
    </row>
    <row r="4237" spans="1:4" x14ac:dyDescent="0.2">
      <c r="A4237" s="3">
        <v>4236</v>
      </c>
      <c r="B4237" s="3">
        <v>113.3428564</v>
      </c>
      <c r="C4237" s="3">
        <v>22.91482723</v>
      </c>
      <c r="D4237" s="3">
        <v>42</v>
      </c>
    </row>
    <row r="4238" spans="1:4" x14ac:dyDescent="0.2">
      <c r="A4238" s="3">
        <v>4237</v>
      </c>
      <c r="B4238" s="3">
        <v>113.34694690000001</v>
      </c>
      <c r="C4238" s="3">
        <v>22.916665439999999</v>
      </c>
      <c r="D4238" s="3">
        <v>42</v>
      </c>
    </row>
    <row r="4239" spans="1:4" x14ac:dyDescent="0.2">
      <c r="A4239" s="3">
        <v>4238</v>
      </c>
      <c r="B4239" s="3">
        <v>113.3418333</v>
      </c>
      <c r="C4239" s="3">
        <v>22.91484002</v>
      </c>
      <c r="D4239" s="3">
        <v>42</v>
      </c>
    </row>
    <row r="4240" spans="1:4" x14ac:dyDescent="0.2">
      <c r="A4240" s="3">
        <v>4239</v>
      </c>
      <c r="B4240" s="3">
        <v>113.3494321</v>
      </c>
      <c r="C4240" s="3">
        <v>22.923492469999999</v>
      </c>
      <c r="D4240" s="3">
        <v>43</v>
      </c>
    </row>
    <row r="4241" spans="1:4" x14ac:dyDescent="0.2">
      <c r="A4241" s="3">
        <v>4240</v>
      </c>
      <c r="B4241" s="3">
        <v>113.34368790000001</v>
      </c>
      <c r="C4241" s="3">
        <v>22.914041099999999</v>
      </c>
      <c r="D4241" s="3">
        <v>42</v>
      </c>
    </row>
    <row r="4242" spans="1:4" x14ac:dyDescent="0.2">
      <c r="A4242" s="3">
        <v>4241</v>
      </c>
      <c r="B4242" s="3">
        <v>113.34945399999999</v>
      </c>
      <c r="C4242" s="3">
        <v>22.923194559999999</v>
      </c>
      <c r="D4242" s="3">
        <v>43</v>
      </c>
    </row>
    <row r="4243" spans="1:4" x14ac:dyDescent="0.2">
      <c r="A4243" s="3">
        <v>4242</v>
      </c>
      <c r="B4243" s="3">
        <v>113.35073989999999</v>
      </c>
      <c r="C4243" s="3">
        <v>22.922144920000001</v>
      </c>
      <c r="D4243" s="3">
        <v>43</v>
      </c>
    </row>
    <row r="4244" spans="1:4" x14ac:dyDescent="0.2">
      <c r="A4244" s="3">
        <v>4243</v>
      </c>
      <c r="B4244" s="3">
        <v>113.3452834</v>
      </c>
      <c r="C4244" s="3">
        <v>22.923117569999999</v>
      </c>
      <c r="D4244" s="3">
        <v>46</v>
      </c>
    </row>
    <row r="4245" spans="1:4" x14ac:dyDescent="0.2">
      <c r="A4245" s="3">
        <v>4244</v>
      </c>
      <c r="B4245" s="3">
        <v>113.3486906</v>
      </c>
      <c r="C4245" s="3">
        <v>22.919308430000001</v>
      </c>
      <c r="D4245" s="3">
        <v>42</v>
      </c>
    </row>
    <row r="4246" spans="1:4" x14ac:dyDescent="0.2">
      <c r="A4246" s="3">
        <v>4245</v>
      </c>
      <c r="B4246" s="3">
        <v>113.34801299999999</v>
      </c>
      <c r="C4246" s="3">
        <v>22.915825000000002</v>
      </c>
      <c r="D4246" s="3">
        <v>42</v>
      </c>
    </row>
    <row r="4247" spans="1:4" x14ac:dyDescent="0.2">
      <c r="A4247" s="3">
        <v>4246</v>
      </c>
      <c r="B4247" s="3">
        <v>113.3485057</v>
      </c>
      <c r="C4247" s="3">
        <v>22.923102149999998</v>
      </c>
      <c r="D4247" s="3">
        <v>43</v>
      </c>
    </row>
    <row r="4248" spans="1:4" x14ac:dyDescent="0.2">
      <c r="A4248" s="3">
        <v>4247</v>
      </c>
      <c r="B4248" s="3">
        <v>113.3482777</v>
      </c>
      <c r="C4248" s="3">
        <v>22.913842389999999</v>
      </c>
      <c r="D4248" s="3">
        <v>42</v>
      </c>
    </row>
    <row r="4249" spans="1:4" x14ac:dyDescent="0.2">
      <c r="A4249" s="3">
        <v>4248</v>
      </c>
      <c r="B4249" s="3">
        <v>113.3448532</v>
      </c>
      <c r="C4249" s="3">
        <v>22.922948380000001</v>
      </c>
      <c r="D4249" s="3">
        <v>46</v>
      </c>
    </row>
    <row r="4250" spans="1:4" x14ac:dyDescent="0.2">
      <c r="A4250" s="3">
        <v>4249</v>
      </c>
      <c r="B4250" s="3">
        <v>113.3468946</v>
      </c>
      <c r="C4250" s="3">
        <v>22.92207427</v>
      </c>
      <c r="D4250" s="3">
        <v>46</v>
      </c>
    </row>
    <row r="4251" spans="1:4" x14ac:dyDescent="0.2">
      <c r="A4251" s="3">
        <v>4250</v>
      </c>
      <c r="B4251" s="3">
        <v>113.35037</v>
      </c>
      <c r="C4251" s="3">
        <v>22.91542231</v>
      </c>
      <c r="D4251" s="3">
        <v>42</v>
      </c>
    </row>
    <row r="4252" spans="1:4" x14ac:dyDescent="0.2">
      <c r="A4252" s="3">
        <v>4251</v>
      </c>
      <c r="B4252" s="3">
        <v>113.34930629999999</v>
      </c>
      <c r="C4252" s="3">
        <v>22.9231938</v>
      </c>
      <c r="D4252" s="3">
        <v>43</v>
      </c>
    </row>
    <row r="4253" spans="1:4" x14ac:dyDescent="0.2">
      <c r="A4253" s="3">
        <v>4252</v>
      </c>
      <c r="B4253" s="3">
        <v>113.3419057</v>
      </c>
      <c r="C4253" s="3">
        <v>22.921942940000001</v>
      </c>
      <c r="D4253" s="3">
        <v>46</v>
      </c>
    </row>
    <row r="4254" spans="1:4" x14ac:dyDescent="0.2">
      <c r="A4254" s="3">
        <v>4253</v>
      </c>
      <c r="B4254" s="3">
        <v>113.3539998</v>
      </c>
      <c r="C4254" s="3">
        <v>22.918192449999999</v>
      </c>
      <c r="D4254" s="3">
        <v>25</v>
      </c>
    </row>
    <row r="4255" spans="1:4" x14ac:dyDescent="0.2">
      <c r="A4255" s="3">
        <v>4254</v>
      </c>
      <c r="B4255" s="3">
        <v>113.3588053</v>
      </c>
      <c r="C4255" s="3">
        <v>22.920180569999999</v>
      </c>
      <c r="D4255" s="3">
        <v>21</v>
      </c>
    </row>
    <row r="4256" spans="1:4" x14ac:dyDescent="0.2">
      <c r="A4256" s="3">
        <v>4255</v>
      </c>
      <c r="B4256" s="3">
        <v>113.3560714</v>
      </c>
      <c r="C4256" s="3">
        <v>22.92118309</v>
      </c>
      <c r="D4256" s="3">
        <v>21</v>
      </c>
    </row>
    <row r="4257" spans="1:4" x14ac:dyDescent="0.2">
      <c r="A4257" s="3">
        <v>4256</v>
      </c>
      <c r="B4257" s="3">
        <v>113.3573394</v>
      </c>
      <c r="C4257" s="3">
        <v>22.92126021</v>
      </c>
      <c r="D4257" s="3">
        <v>21</v>
      </c>
    </row>
    <row r="4258" spans="1:4" x14ac:dyDescent="0.2">
      <c r="A4258" s="3">
        <v>4257</v>
      </c>
      <c r="B4258" s="3">
        <v>113.35540140000001</v>
      </c>
      <c r="C4258" s="3">
        <v>22.921529939999999</v>
      </c>
      <c r="D4258" s="3">
        <v>43</v>
      </c>
    </row>
    <row r="4259" spans="1:4" x14ac:dyDescent="0.2">
      <c r="A4259" s="3">
        <v>4258</v>
      </c>
      <c r="B4259" s="3">
        <v>113.3576869</v>
      </c>
      <c r="C4259" s="3">
        <v>22.92158457</v>
      </c>
      <c r="D4259" s="3">
        <v>21</v>
      </c>
    </row>
    <row r="4260" spans="1:4" x14ac:dyDescent="0.2">
      <c r="A4260" s="3">
        <v>4259</v>
      </c>
      <c r="B4260" s="3">
        <v>113.3567039</v>
      </c>
      <c r="C4260" s="3">
        <v>22.914014139999999</v>
      </c>
      <c r="D4260" s="3">
        <v>25</v>
      </c>
    </row>
    <row r="4261" spans="1:4" x14ac:dyDescent="0.2">
      <c r="A4261" s="3">
        <v>4260</v>
      </c>
      <c r="B4261" s="3">
        <v>113.3583699</v>
      </c>
      <c r="C4261" s="3">
        <v>22.920954859999998</v>
      </c>
      <c r="D4261" s="3">
        <v>21</v>
      </c>
    </row>
    <row r="4262" spans="1:4" x14ac:dyDescent="0.2">
      <c r="A4262" s="3">
        <v>4261</v>
      </c>
      <c r="B4262" s="3">
        <v>113.354995</v>
      </c>
      <c r="C4262" s="3">
        <v>22.92200935</v>
      </c>
      <c r="D4262" s="3">
        <v>43</v>
      </c>
    </row>
    <row r="4263" spans="1:4" x14ac:dyDescent="0.2">
      <c r="A4263" s="3">
        <v>4262</v>
      </c>
      <c r="B4263" s="3">
        <v>113.3560298</v>
      </c>
      <c r="C4263" s="3">
        <v>22.91593434</v>
      </c>
      <c r="D4263" s="3">
        <v>25</v>
      </c>
    </row>
    <row r="4264" spans="1:4" x14ac:dyDescent="0.2">
      <c r="A4264" s="3">
        <v>4263</v>
      </c>
      <c r="B4264" s="3">
        <v>113.3596821</v>
      </c>
      <c r="C4264" s="3">
        <v>22.919552599999999</v>
      </c>
      <c r="D4264" s="3">
        <v>21</v>
      </c>
    </row>
    <row r="4265" spans="1:4" x14ac:dyDescent="0.2">
      <c r="A4265" s="3">
        <v>4264</v>
      </c>
      <c r="B4265" s="3">
        <v>113.3536082</v>
      </c>
      <c r="C4265" s="3">
        <v>22.921537659999998</v>
      </c>
      <c r="D4265" s="3">
        <v>43</v>
      </c>
    </row>
    <row r="4266" spans="1:4" x14ac:dyDescent="0.2">
      <c r="A4266" s="3">
        <v>4265</v>
      </c>
      <c r="B4266" s="3">
        <v>113.3526002</v>
      </c>
      <c r="C4266" s="3">
        <v>22.917278</v>
      </c>
      <c r="D4266" s="3">
        <v>42</v>
      </c>
    </row>
    <row r="4267" spans="1:4" x14ac:dyDescent="0.2">
      <c r="A4267" s="3">
        <v>4266</v>
      </c>
      <c r="B4267" s="3">
        <v>113.3544399</v>
      </c>
      <c r="C4267" s="3">
        <v>22.9219972</v>
      </c>
      <c r="D4267" s="3">
        <v>43</v>
      </c>
    </row>
    <row r="4268" spans="1:4" x14ac:dyDescent="0.2">
      <c r="A4268" s="3">
        <v>4267</v>
      </c>
      <c r="B4268" s="3">
        <v>113.36026219999999</v>
      </c>
      <c r="C4268" s="3">
        <v>22.921319069999999</v>
      </c>
      <c r="D4268" s="3">
        <v>21</v>
      </c>
    </row>
    <row r="4269" spans="1:4" x14ac:dyDescent="0.2">
      <c r="A4269" s="3">
        <v>4268</v>
      </c>
      <c r="B4269" s="3">
        <v>113.35618959999999</v>
      </c>
      <c r="C4269" s="3">
        <v>22.914421730000001</v>
      </c>
      <c r="D4269" s="3">
        <v>25</v>
      </c>
    </row>
    <row r="4270" spans="1:4" x14ac:dyDescent="0.2">
      <c r="A4270" s="3">
        <v>4269</v>
      </c>
      <c r="B4270" s="3">
        <v>113.35435440000001</v>
      </c>
      <c r="C4270" s="3">
        <v>22.915773919999999</v>
      </c>
      <c r="D4270" s="3">
        <v>25</v>
      </c>
    </row>
    <row r="4271" spans="1:4" x14ac:dyDescent="0.2">
      <c r="A4271" s="3">
        <v>4270</v>
      </c>
      <c r="B4271" s="3">
        <v>113.3607614</v>
      </c>
      <c r="C4271" s="3">
        <v>22.92160427</v>
      </c>
      <c r="D4271" s="3">
        <v>21</v>
      </c>
    </row>
    <row r="4272" spans="1:4" x14ac:dyDescent="0.2">
      <c r="A4272" s="3">
        <v>4271</v>
      </c>
      <c r="B4272" s="3">
        <v>113.3536211</v>
      </c>
      <c r="C4272" s="3">
        <v>22.922472249999998</v>
      </c>
      <c r="D4272" s="3">
        <v>43</v>
      </c>
    </row>
    <row r="4273" spans="1:4" x14ac:dyDescent="0.2">
      <c r="A4273" s="3">
        <v>4272</v>
      </c>
      <c r="B4273" s="3">
        <v>113.35953619999999</v>
      </c>
      <c r="C4273" s="3">
        <v>22.92178088</v>
      </c>
      <c r="D4273" s="3">
        <v>21</v>
      </c>
    </row>
    <row r="4274" spans="1:4" x14ac:dyDescent="0.2">
      <c r="A4274" s="3">
        <v>4273</v>
      </c>
      <c r="B4274" s="3">
        <v>113.354995</v>
      </c>
      <c r="C4274" s="3">
        <v>22.921672489999999</v>
      </c>
      <c r="D4274" s="3">
        <v>43</v>
      </c>
    </row>
    <row r="4275" spans="1:4" x14ac:dyDescent="0.2">
      <c r="A4275" s="3">
        <v>4274</v>
      </c>
      <c r="B4275" s="3">
        <v>113.3554292</v>
      </c>
      <c r="C4275" s="3">
        <v>22.923372130000001</v>
      </c>
      <c r="D4275" s="3">
        <v>43</v>
      </c>
    </row>
    <row r="4276" spans="1:4" x14ac:dyDescent="0.2">
      <c r="A4276" s="3">
        <v>4275</v>
      </c>
      <c r="B4276" s="3">
        <v>113.3640491</v>
      </c>
      <c r="C4276" s="3">
        <v>22.920232559999999</v>
      </c>
      <c r="D4276" s="3">
        <v>21</v>
      </c>
    </row>
    <row r="4277" spans="1:4" x14ac:dyDescent="0.2">
      <c r="A4277" s="3">
        <v>4276</v>
      </c>
      <c r="B4277" s="3">
        <v>113.364079</v>
      </c>
      <c r="C4277" s="3">
        <v>22.920546389999998</v>
      </c>
      <c r="D4277" s="3">
        <v>21</v>
      </c>
    </row>
    <row r="4278" spans="1:4" x14ac:dyDescent="0.2">
      <c r="A4278" s="3">
        <v>4277</v>
      </c>
      <c r="B4278" s="3">
        <v>113.366467</v>
      </c>
      <c r="C4278" s="3">
        <v>22.921570060000001</v>
      </c>
      <c r="D4278" s="3">
        <v>21</v>
      </c>
    </row>
    <row r="4279" spans="1:4" x14ac:dyDescent="0.2">
      <c r="A4279" s="3">
        <v>4278</v>
      </c>
      <c r="B4279" s="3">
        <v>113.3643726</v>
      </c>
      <c r="C4279" s="3">
        <v>22.922059390000001</v>
      </c>
      <c r="D4279" s="3">
        <v>21</v>
      </c>
    </row>
    <row r="4280" spans="1:4" x14ac:dyDescent="0.2">
      <c r="A4280" s="3">
        <v>4279</v>
      </c>
      <c r="B4280" s="3">
        <v>113.36398320000001</v>
      </c>
      <c r="C4280" s="3">
        <v>22.9200847</v>
      </c>
      <c r="D4280" s="3">
        <v>21</v>
      </c>
    </row>
    <row r="4281" spans="1:4" x14ac:dyDescent="0.2">
      <c r="A4281" s="3">
        <v>4280</v>
      </c>
      <c r="B4281" s="3">
        <v>113.36576890000001</v>
      </c>
      <c r="C4281" s="3">
        <v>22.921263020000001</v>
      </c>
      <c r="D4281" s="3">
        <v>21</v>
      </c>
    </row>
    <row r="4282" spans="1:4" x14ac:dyDescent="0.2">
      <c r="A4282" s="3">
        <v>4281</v>
      </c>
      <c r="B4282" s="3">
        <v>113.36374259999999</v>
      </c>
      <c r="C4282" s="3">
        <v>22.918778549999999</v>
      </c>
      <c r="D4282" s="3">
        <v>25</v>
      </c>
    </row>
    <row r="4283" spans="1:4" x14ac:dyDescent="0.2">
      <c r="A4283" s="3">
        <v>4282</v>
      </c>
      <c r="B4283" s="3">
        <v>113.3636247</v>
      </c>
      <c r="C4283" s="3">
        <v>22.918839680000001</v>
      </c>
      <c r="D4283" s="3">
        <v>25</v>
      </c>
    </row>
    <row r="4284" spans="1:4" x14ac:dyDescent="0.2">
      <c r="A4284" s="3">
        <v>4283</v>
      </c>
      <c r="B4284" s="3">
        <v>113.3634699</v>
      </c>
      <c r="C4284" s="3">
        <v>22.919632539999998</v>
      </c>
      <c r="D4284" s="3">
        <v>21</v>
      </c>
    </row>
    <row r="4285" spans="1:4" x14ac:dyDescent="0.2">
      <c r="A4285" s="3">
        <v>4284</v>
      </c>
      <c r="B4285" s="3">
        <v>113.3655251</v>
      </c>
      <c r="C4285" s="3">
        <v>22.92266673</v>
      </c>
      <c r="D4285" s="3">
        <v>21</v>
      </c>
    </row>
    <row r="4286" spans="1:4" x14ac:dyDescent="0.2">
      <c r="A4286" s="3">
        <v>4285</v>
      </c>
      <c r="B4286" s="3">
        <v>113.3672121</v>
      </c>
      <c r="C4286" s="3">
        <v>22.92218493</v>
      </c>
      <c r="D4286" s="3">
        <v>21</v>
      </c>
    </row>
    <row r="4287" spans="1:4" x14ac:dyDescent="0.2">
      <c r="A4287" s="3">
        <v>4286</v>
      </c>
      <c r="B4287" s="3">
        <v>113.3659586</v>
      </c>
      <c r="C4287" s="3">
        <v>22.92113384</v>
      </c>
      <c r="D4287" s="3">
        <v>21</v>
      </c>
    </row>
    <row r="4288" spans="1:4" x14ac:dyDescent="0.2">
      <c r="A4288" s="3">
        <v>4287</v>
      </c>
      <c r="B4288" s="3">
        <v>113.36936489999999</v>
      </c>
      <c r="C4288" s="3">
        <v>22.917784359999999</v>
      </c>
      <c r="D4288" s="3">
        <v>25</v>
      </c>
    </row>
    <row r="4289" spans="1:4" x14ac:dyDescent="0.2">
      <c r="A4289" s="3">
        <v>4288</v>
      </c>
      <c r="B4289" s="3">
        <v>113.368109</v>
      </c>
      <c r="C4289" s="3">
        <v>22.921972</v>
      </c>
      <c r="D4289" s="3">
        <v>21</v>
      </c>
    </row>
    <row r="4290" spans="1:4" x14ac:dyDescent="0.2">
      <c r="A4290" s="3">
        <v>4289</v>
      </c>
      <c r="B4290" s="3">
        <v>113.3639032</v>
      </c>
      <c r="C4290" s="3">
        <v>22.921054399999999</v>
      </c>
      <c r="D4290" s="3">
        <v>21</v>
      </c>
    </row>
    <row r="4291" spans="1:4" x14ac:dyDescent="0.2">
      <c r="A4291" s="3">
        <v>4290</v>
      </c>
      <c r="B4291" s="3">
        <v>113.36969929999999</v>
      </c>
      <c r="C4291" s="3">
        <v>22.92101765</v>
      </c>
      <c r="D4291" s="3">
        <v>21</v>
      </c>
    </row>
    <row r="4292" spans="1:4" x14ac:dyDescent="0.2">
      <c r="A4292" s="3">
        <v>4291</v>
      </c>
      <c r="B4292" s="3">
        <v>113.3679602</v>
      </c>
      <c r="C4292" s="3">
        <v>22.92218708</v>
      </c>
      <c r="D4292" s="3">
        <v>21</v>
      </c>
    </row>
    <row r="4293" spans="1:4" x14ac:dyDescent="0.2">
      <c r="A4293" s="3">
        <v>4292</v>
      </c>
      <c r="B4293" s="3">
        <v>113.3698133</v>
      </c>
      <c r="C4293" s="3">
        <v>22.919210280000001</v>
      </c>
      <c r="D4293" s="3">
        <v>25</v>
      </c>
    </row>
    <row r="4294" spans="1:4" x14ac:dyDescent="0.2">
      <c r="A4294" s="3">
        <v>4293</v>
      </c>
      <c r="B4294" s="3">
        <v>113.3657039</v>
      </c>
      <c r="C4294" s="3">
        <v>22.922516569999999</v>
      </c>
      <c r="D4294" s="3">
        <v>21</v>
      </c>
    </row>
    <row r="4295" spans="1:4" x14ac:dyDescent="0.2">
      <c r="A4295" s="3">
        <v>4294</v>
      </c>
      <c r="B4295" s="3">
        <v>113.36967060000001</v>
      </c>
      <c r="C4295" s="3">
        <v>22.91681243</v>
      </c>
      <c r="D4295" s="3">
        <v>25</v>
      </c>
    </row>
    <row r="4296" spans="1:4" x14ac:dyDescent="0.2">
      <c r="A4296" s="3">
        <v>4295</v>
      </c>
      <c r="B4296" s="3">
        <v>113.3705145</v>
      </c>
      <c r="C4296" s="3">
        <v>22.920211120000001</v>
      </c>
      <c r="D4296" s="3">
        <v>21</v>
      </c>
    </row>
    <row r="4297" spans="1:4" x14ac:dyDescent="0.2">
      <c r="A4297" s="3">
        <v>4296</v>
      </c>
      <c r="B4297" s="3">
        <v>113.3642332</v>
      </c>
      <c r="C4297" s="3">
        <v>22.915179429999998</v>
      </c>
      <c r="D4297" s="3">
        <v>25</v>
      </c>
    </row>
    <row r="4298" spans="1:4" x14ac:dyDescent="0.2">
      <c r="A4298" s="3">
        <v>4297</v>
      </c>
      <c r="B4298" s="3">
        <v>113.36446239999999</v>
      </c>
      <c r="C4298" s="3">
        <v>22.92232417</v>
      </c>
      <c r="D4298" s="3">
        <v>21</v>
      </c>
    </row>
    <row r="4299" spans="1:4" x14ac:dyDescent="0.2">
      <c r="A4299" s="3">
        <v>4298</v>
      </c>
      <c r="B4299" s="3">
        <v>113.3699642</v>
      </c>
      <c r="C4299" s="3">
        <v>22.9192611</v>
      </c>
      <c r="D4299" s="3">
        <v>25</v>
      </c>
    </row>
    <row r="4300" spans="1:4" x14ac:dyDescent="0.2">
      <c r="A4300" s="3">
        <v>4299</v>
      </c>
      <c r="B4300" s="3">
        <v>113.36414480000001</v>
      </c>
      <c r="C4300" s="3">
        <v>22.92221061</v>
      </c>
      <c r="D4300" s="3">
        <v>21</v>
      </c>
    </row>
    <row r="4301" spans="1:4" x14ac:dyDescent="0.2">
      <c r="A4301" s="3">
        <v>4300</v>
      </c>
      <c r="B4301" s="3">
        <v>113.3701552</v>
      </c>
      <c r="C4301" s="3">
        <v>22.915859309999998</v>
      </c>
      <c r="D4301" s="3">
        <v>25</v>
      </c>
    </row>
    <row r="4302" spans="1:4" x14ac:dyDescent="0.2">
      <c r="A4302" s="3">
        <v>4301</v>
      </c>
      <c r="B4302" s="3">
        <v>113.3707575</v>
      </c>
      <c r="C4302" s="3">
        <v>22.916650350000001</v>
      </c>
      <c r="D4302" s="3">
        <v>25</v>
      </c>
    </row>
    <row r="4303" spans="1:4" x14ac:dyDescent="0.2">
      <c r="A4303" s="3">
        <v>4302</v>
      </c>
      <c r="B4303" s="3">
        <v>113.36425920000001</v>
      </c>
      <c r="C4303" s="3">
        <v>22.914852539999998</v>
      </c>
      <c r="D4303" s="3">
        <v>25</v>
      </c>
    </row>
    <row r="4304" spans="1:4" x14ac:dyDescent="0.2">
      <c r="A4304" s="3">
        <v>4303</v>
      </c>
      <c r="B4304" s="3">
        <v>113.3636535</v>
      </c>
      <c r="C4304" s="3">
        <v>22.921684450000001</v>
      </c>
      <c r="D4304" s="3">
        <v>21</v>
      </c>
    </row>
    <row r="4305" spans="1:4" x14ac:dyDescent="0.2">
      <c r="A4305" s="3">
        <v>4304</v>
      </c>
      <c r="B4305" s="3">
        <v>113.3702916</v>
      </c>
      <c r="C4305" s="3">
        <v>22.921919639999999</v>
      </c>
      <c r="D4305" s="3">
        <v>21</v>
      </c>
    </row>
    <row r="4306" spans="1:4" x14ac:dyDescent="0.2">
      <c r="A4306" s="3">
        <v>4305</v>
      </c>
      <c r="B4306" s="3">
        <v>113.36940009999999</v>
      </c>
      <c r="C4306" s="3">
        <v>22.91491551</v>
      </c>
      <c r="D4306" s="3">
        <v>25</v>
      </c>
    </row>
    <row r="4307" spans="1:4" x14ac:dyDescent="0.2">
      <c r="A4307" s="3">
        <v>4306</v>
      </c>
      <c r="B4307" s="3">
        <v>113.3688317</v>
      </c>
      <c r="C4307" s="3">
        <v>22.91430239</v>
      </c>
      <c r="D4307" s="3">
        <v>25</v>
      </c>
    </row>
    <row r="4308" spans="1:4" x14ac:dyDescent="0.2">
      <c r="A4308" s="3">
        <v>4307</v>
      </c>
      <c r="B4308" s="3">
        <v>113.3637513</v>
      </c>
      <c r="C4308" s="3">
        <v>22.92288083</v>
      </c>
      <c r="D4308" s="3">
        <v>21</v>
      </c>
    </row>
    <row r="4309" spans="1:4" x14ac:dyDescent="0.2">
      <c r="A4309" s="3">
        <v>4308</v>
      </c>
      <c r="B4309" s="3">
        <v>113.3709863</v>
      </c>
      <c r="C4309" s="3">
        <v>22.91590343</v>
      </c>
      <c r="D4309" s="3">
        <v>25</v>
      </c>
    </row>
    <row r="4310" spans="1:4" x14ac:dyDescent="0.2">
      <c r="A4310" s="3">
        <v>4309</v>
      </c>
      <c r="B4310" s="3">
        <v>113.3697677</v>
      </c>
      <c r="C4310" s="3">
        <v>22.914695210000001</v>
      </c>
      <c r="D4310" s="3">
        <v>25</v>
      </c>
    </row>
    <row r="4311" spans="1:4" x14ac:dyDescent="0.2">
      <c r="A4311" s="3">
        <v>4310</v>
      </c>
      <c r="B4311" s="3">
        <v>113.3700389</v>
      </c>
      <c r="C4311" s="3">
        <v>22.92256064</v>
      </c>
      <c r="D4311" s="3">
        <v>21</v>
      </c>
    </row>
    <row r="4312" spans="1:4" x14ac:dyDescent="0.2">
      <c r="A4312" s="3">
        <v>4311</v>
      </c>
      <c r="B4312" s="3">
        <v>113.3636344</v>
      </c>
      <c r="C4312" s="3">
        <v>22.9230719</v>
      </c>
      <c r="D4312" s="3">
        <v>21</v>
      </c>
    </row>
    <row r="4313" spans="1:4" x14ac:dyDescent="0.2">
      <c r="A4313" s="3">
        <v>4312</v>
      </c>
      <c r="B4313" s="3">
        <v>113.36337880000001</v>
      </c>
      <c r="C4313" s="3">
        <v>22.922985260000001</v>
      </c>
      <c r="D4313" s="3">
        <v>21</v>
      </c>
    </row>
    <row r="4314" spans="1:4" x14ac:dyDescent="0.2">
      <c r="A4314" s="3">
        <v>4313</v>
      </c>
      <c r="B4314" s="3">
        <v>113.3668984</v>
      </c>
      <c r="C4314" s="3">
        <v>22.92317688</v>
      </c>
      <c r="D4314" s="3">
        <v>21</v>
      </c>
    </row>
    <row r="4315" spans="1:4" x14ac:dyDescent="0.2">
      <c r="A4315" s="3">
        <v>4314</v>
      </c>
      <c r="B4315" s="3">
        <v>113.36912239999999</v>
      </c>
      <c r="C4315" s="3">
        <v>22.914067169999999</v>
      </c>
      <c r="D4315" s="3">
        <v>25</v>
      </c>
    </row>
    <row r="4316" spans="1:4" x14ac:dyDescent="0.2">
      <c r="A4316" s="3">
        <v>4315</v>
      </c>
      <c r="B4316" s="3">
        <v>113.37056990000001</v>
      </c>
      <c r="C4316" s="3">
        <v>22.913651789999999</v>
      </c>
      <c r="D4316" s="3">
        <v>25</v>
      </c>
    </row>
    <row r="4317" spans="1:4" x14ac:dyDescent="0.2">
      <c r="A4317" s="3">
        <v>4316</v>
      </c>
      <c r="B4317" s="3">
        <v>113.3705597</v>
      </c>
      <c r="C4317" s="3">
        <v>22.917002409999998</v>
      </c>
      <c r="D4317" s="3">
        <v>25</v>
      </c>
    </row>
    <row r="4318" spans="1:4" x14ac:dyDescent="0.2">
      <c r="A4318" s="3">
        <v>4317</v>
      </c>
      <c r="B4318" s="3">
        <v>113.3638122</v>
      </c>
      <c r="C4318" s="3">
        <v>22.922844770000001</v>
      </c>
      <c r="D4318" s="3">
        <v>21</v>
      </c>
    </row>
    <row r="4319" spans="1:4" x14ac:dyDescent="0.2">
      <c r="A4319" s="3">
        <v>4318</v>
      </c>
      <c r="B4319" s="3">
        <v>113.3662753</v>
      </c>
      <c r="C4319" s="3">
        <v>22.92112947</v>
      </c>
      <c r="D4319" s="3">
        <v>21</v>
      </c>
    </row>
    <row r="4320" spans="1:4" x14ac:dyDescent="0.2">
      <c r="A4320" s="3">
        <v>4319</v>
      </c>
      <c r="B4320" s="3">
        <v>113.3647331</v>
      </c>
      <c r="C4320" s="3">
        <v>22.922420800000001</v>
      </c>
      <c r="D4320" s="3">
        <v>21</v>
      </c>
    </row>
    <row r="4321" spans="1:4" x14ac:dyDescent="0.2">
      <c r="A4321" s="3">
        <v>4320</v>
      </c>
      <c r="B4321" s="3">
        <v>113.36206869999999</v>
      </c>
      <c r="C4321" s="3">
        <v>22.920426020000001</v>
      </c>
      <c r="D4321" s="3">
        <v>21</v>
      </c>
    </row>
    <row r="4322" spans="1:4" x14ac:dyDescent="0.2">
      <c r="A4322" s="3">
        <v>4321</v>
      </c>
      <c r="B4322" s="3">
        <v>113.3712999</v>
      </c>
      <c r="C4322" s="3">
        <v>22.916503859999999</v>
      </c>
      <c r="D4322" s="3">
        <v>25</v>
      </c>
    </row>
    <row r="4323" spans="1:4" x14ac:dyDescent="0.2">
      <c r="A4323" s="3">
        <v>4322</v>
      </c>
      <c r="B4323" s="3">
        <v>113.37689570000001</v>
      </c>
      <c r="C4323" s="3">
        <v>22.918577859999999</v>
      </c>
      <c r="D4323" s="3">
        <v>25</v>
      </c>
    </row>
    <row r="4324" spans="1:4" x14ac:dyDescent="0.2">
      <c r="A4324" s="3">
        <v>4323</v>
      </c>
      <c r="B4324" s="3">
        <v>113.3728685</v>
      </c>
      <c r="C4324" s="3">
        <v>22.914479149999998</v>
      </c>
      <c r="D4324" s="3">
        <v>25</v>
      </c>
    </row>
    <row r="4325" spans="1:4" x14ac:dyDescent="0.2">
      <c r="A4325" s="3">
        <v>4324</v>
      </c>
      <c r="B4325" s="3">
        <v>113.37395890000001</v>
      </c>
      <c r="C4325" s="3">
        <v>22.922656709999998</v>
      </c>
      <c r="D4325" s="3">
        <v>21</v>
      </c>
    </row>
    <row r="4326" spans="1:4" x14ac:dyDescent="0.2">
      <c r="A4326" s="3">
        <v>4325</v>
      </c>
      <c r="B4326" s="3">
        <v>113.3796004</v>
      </c>
      <c r="C4326" s="3">
        <v>22.923600700000001</v>
      </c>
      <c r="D4326" s="3">
        <v>44</v>
      </c>
    </row>
    <row r="4327" spans="1:4" x14ac:dyDescent="0.2">
      <c r="A4327" s="3">
        <v>4326</v>
      </c>
      <c r="B4327" s="3">
        <v>113.37321059999999</v>
      </c>
      <c r="C4327" s="3">
        <v>22.92301926</v>
      </c>
      <c r="D4327" s="3">
        <v>21</v>
      </c>
    </row>
    <row r="4328" spans="1:4" x14ac:dyDescent="0.2">
      <c r="A4328" s="3">
        <v>4327</v>
      </c>
      <c r="B4328" s="3">
        <v>113.38075360000001</v>
      </c>
      <c r="C4328" s="3">
        <v>22.923347010000001</v>
      </c>
      <c r="D4328" s="3">
        <v>44</v>
      </c>
    </row>
    <row r="4329" spans="1:4" x14ac:dyDescent="0.2">
      <c r="A4329" s="3">
        <v>4328</v>
      </c>
      <c r="B4329" s="3">
        <v>113.38629830000001</v>
      </c>
      <c r="C4329" s="3">
        <v>22.916580740000001</v>
      </c>
      <c r="D4329" s="3">
        <v>5</v>
      </c>
    </row>
    <row r="4330" spans="1:4" x14ac:dyDescent="0.2">
      <c r="A4330" s="3">
        <v>4329</v>
      </c>
      <c r="B4330" s="3">
        <v>113.38841050000001</v>
      </c>
      <c r="C4330" s="3">
        <v>22.916759819999999</v>
      </c>
      <c r="D4330" s="3">
        <v>5</v>
      </c>
    </row>
    <row r="4331" spans="1:4" x14ac:dyDescent="0.2">
      <c r="A4331" s="3">
        <v>4330</v>
      </c>
      <c r="B4331" s="3">
        <v>113.3835064</v>
      </c>
      <c r="C4331" s="3">
        <v>22.91789459</v>
      </c>
      <c r="D4331" s="3">
        <v>5</v>
      </c>
    </row>
    <row r="4332" spans="1:4" x14ac:dyDescent="0.2">
      <c r="A4332" s="3">
        <v>4331</v>
      </c>
      <c r="B4332" s="3">
        <v>113.3886955</v>
      </c>
      <c r="C4332" s="3">
        <v>22.916549809999999</v>
      </c>
      <c r="D4332" s="3">
        <v>5</v>
      </c>
    </row>
    <row r="4333" spans="1:4" x14ac:dyDescent="0.2">
      <c r="A4333" s="3">
        <v>4332</v>
      </c>
      <c r="B4333" s="3">
        <v>113.38616740000001</v>
      </c>
      <c r="C4333" s="3">
        <v>22.91569617</v>
      </c>
      <c r="D4333" s="3">
        <v>5</v>
      </c>
    </row>
    <row r="4334" spans="1:4" x14ac:dyDescent="0.2">
      <c r="A4334" s="3">
        <v>4333</v>
      </c>
      <c r="B4334" s="3">
        <v>113.3883447</v>
      </c>
      <c r="C4334" s="3">
        <v>22.915111530000001</v>
      </c>
      <c r="D4334" s="3">
        <v>5</v>
      </c>
    </row>
    <row r="4335" spans="1:4" x14ac:dyDescent="0.2">
      <c r="A4335" s="3">
        <v>4334</v>
      </c>
      <c r="B4335" s="3">
        <v>113.3861879</v>
      </c>
      <c r="C4335" s="3">
        <v>22.922017520000001</v>
      </c>
      <c r="D4335" s="3">
        <v>5</v>
      </c>
    </row>
    <row r="4336" spans="1:4" x14ac:dyDescent="0.2">
      <c r="A4336" s="3">
        <v>4335</v>
      </c>
      <c r="B4336" s="3">
        <v>113.38691009999999</v>
      </c>
      <c r="C4336" s="3">
        <v>22.914995130000001</v>
      </c>
      <c r="D4336" s="3">
        <v>5</v>
      </c>
    </row>
    <row r="4337" spans="1:4" x14ac:dyDescent="0.2">
      <c r="A4337" s="3">
        <v>4336</v>
      </c>
      <c r="B4337" s="3">
        <v>113.3901269</v>
      </c>
      <c r="C4337" s="3">
        <v>22.919416160000001</v>
      </c>
      <c r="D4337" s="3">
        <v>5</v>
      </c>
    </row>
    <row r="4338" spans="1:4" x14ac:dyDescent="0.2">
      <c r="A4338" s="3">
        <v>4337</v>
      </c>
      <c r="B4338" s="3">
        <v>113.3883467</v>
      </c>
      <c r="C4338" s="3">
        <v>22.914990580000001</v>
      </c>
      <c r="D4338" s="3">
        <v>5</v>
      </c>
    </row>
    <row r="4339" spans="1:4" x14ac:dyDescent="0.2">
      <c r="A4339" s="3">
        <v>4338</v>
      </c>
      <c r="B4339" s="3">
        <v>113.3825597</v>
      </c>
      <c r="C4339" s="3">
        <v>22.920960860000001</v>
      </c>
      <c r="D4339" s="3">
        <v>5</v>
      </c>
    </row>
    <row r="4340" spans="1:4" x14ac:dyDescent="0.2">
      <c r="A4340" s="3">
        <v>4339</v>
      </c>
      <c r="B4340" s="3">
        <v>113.3830304</v>
      </c>
      <c r="C4340" s="3">
        <v>22.921994160000001</v>
      </c>
      <c r="D4340" s="3">
        <v>5</v>
      </c>
    </row>
    <row r="4341" spans="1:4" x14ac:dyDescent="0.2">
      <c r="A4341" s="3">
        <v>4340</v>
      </c>
      <c r="B4341" s="3">
        <v>113.3863164</v>
      </c>
      <c r="C4341" s="3">
        <v>22.913990810000001</v>
      </c>
      <c r="D4341" s="3">
        <v>5</v>
      </c>
    </row>
    <row r="4342" spans="1:4" x14ac:dyDescent="0.2">
      <c r="A4342" s="3">
        <v>4341</v>
      </c>
      <c r="B4342" s="3">
        <v>113.38759899999999</v>
      </c>
      <c r="C4342" s="3">
        <v>22.913990269999999</v>
      </c>
      <c r="D4342" s="3">
        <v>5</v>
      </c>
    </row>
    <row r="4343" spans="1:4" x14ac:dyDescent="0.2">
      <c r="A4343" s="3">
        <v>4342</v>
      </c>
      <c r="B4343" s="3">
        <v>113.3880582</v>
      </c>
      <c r="C4343" s="3">
        <v>22.923250240000002</v>
      </c>
      <c r="D4343" s="3">
        <v>5</v>
      </c>
    </row>
    <row r="4344" spans="1:4" x14ac:dyDescent="0.2">
      <c r="A4344" s="3">
        <v>4343</v>
      </c>
      <c r="B4344" s="3">
        <v>113.3839868</v>
      </c>
      <c r="C4344" s="3">
        <v>22.923623939999999</v>
      </c>
      <c r="D4344" s="3">
        <v>5</v>
      </c>
    </row>
    <row r="4345" spans="1:4" x14ac:dyDescent="0.2">
      <c r="A4345" s="3">
        <v>4344</v>
      </c>
      <c r="B4345" s="3">
        <v>113.38208280000001</v>
      </c>
      <c r="C4345" s="3">
        <v>22.923490099999999</v>
      </c>
      <c r="D4345" s="3">
        <v>44</v>
      </c>
    </row>
    <row r="4346" spans="1:4" x14ac:dyDescent="0.2">
      <c r="A4346" s="3">
        <v>4345</v>
      </c>
      <c r="B4346" s="3">
        <v>113.3945646</v>
      </c>
      <c r="C4346" s="3">
        <v>22.918421739999999</v>
      </c>
      <c r="D4346" s="3">
        <v>5</v>
      </c>
    </row>
    <row r="4347" spans="1:4" x14ac:dyDescent="0.2">
      <c r="A4347" s="3">
        <v>4346</v>
      </c>
      <c r="B4347" s="3">
        <v>113.3980787</v>
      </c>
      <c r="C4347" s="3">
        <v>22.920474819999999</v>
      </c>
      <c r="D4347" s="3">
        <v>5</v>
      </c>
    </row>
    <row r="4348" spans="1:4" x14ac:dyDescent="0.2">
      <c r="A4348" s="3">
        <v>4347</v>
      </c>
      <c r="B4348" s="3">
        <v>113.3972119</v>
      </c>
      <c r="C4348" s="3">
        <v>22.916009649999999</v>
      </c>
      <c r="D4348" s="3">
        <v>5</v>
      </c>
    </row>
    <row r="4349" spans="1:4" x14ac:dyDescent="0.2">
      <c r="A4349" s="3">
        <v>4348</v>
      </c>
      <c r="B4349" s="3">
        <v>113.3930766</v>
      </c>
      <c r="C4349" s="3">
        <v>22.917758200000002</v>
      </c>
      <c r="D4349" s="3">
        <v>5</v>
      </c>
    </row>
    <row r="4350" spans="1:4" x14ac:dyDescent="0.2">
      <c r="A4350" s="3">
        <v>4349</v>
      </c>
      <c r="B4350" s="3">
        <v>113.3918539</v>
      </c>
      <c r="C4350" s="3">
        <v>22.91546438</v>
      </c>
      <c r="D4350" s="3">
        <v>5</v>
      </c>
    </row>
    <row r="4351" spans="1:4" x14ac:dyDescent="0.2">
      <c r="A4351" s="3">
        <v>4350</v>
      </c>
      <c r="B4351" s="3">
        <v>113.3916019</v>
      </c>
      <c r="C4351" s="3">
        <v>22.91638605</v>
      </c>
      <c r="D4351" s="3">
        <v>5</v>
      </c>
    </row>
    <row r="4352" spans="1:4" x14ac:dyDescent="0.2">
      <c r="A4352" s="3">
        <v>4351</v>
      </c>
      <c r="B4352" s="3">
        <v>113.40623890000001</v>
      </c>
      <c r="C4352" s="3">
        <v>22.920336859999999</v>
      </c>
      <c r="D4352" s="3">
        <v>5</v>
      </c>
    </row>
    <row r="4353" spans="1:4" x14ac:dyDescent="0.2">
      <c r="A4353" s="3">
        <v>4352</v>
      </c>
      <c r="B4353" s="3">
        <v>113.52049599999999</v>
      </c>
      <c r="C4353" s="3">
        <v>22.92130641</v>
      </c>
      <c r="D4353" s="3">
        <v>1</v>
      </c>
    </row>
    <row r="4354" spans="1:4" x14ac:dyDescent="0.2">
      <c r="A4354" s="3">
        <v>4353</v>
      </c>
      <c r="B4354" s="3">
        <v>113.5134346</v>
      </c>
      <c r="C4354" s="3">
        <v>22.9215585</v>
      </c>
      <c r="D4354" s="3">
        <v>1</v>
      </c>
    </row>
    <row r="4355" spans="1:4" x14ac:dyDescent="0.2">
      <c r="A4355" s="3">
        <v>4354</v>
      </c>
      <c r="B4355" s="3">
        <v>113.51186920000001</v>
      </c>
      <c r="C4355" s="3">
        <v>22.922863450000001</v>
      </c>
      <c r="D4355" s="3">
        <v>1</v>
      </c>
    </row>
    <row r="4356" spans="1:4" x14ac:dyDescent="0.2">
      <c r="A4356" s="3">
        <v>4355</v>
      </c>
      <c r="B4356" s="3">
        <v>113.54026930000001</v>
      </c>
      <c r="C4356" s="3">
        <v>22.92063096</v>
      </c>
      <c r="D4356" s="3">
        <v>1</v>
      </c>
    </row>
    <row r="4357" spans="1:4" x14ac:dyDescent="0.2">
      <c r="A4357" s="3">
        <v>4356</v>
      </c>
      <c r="B4357" s="3">
        <v>113.3056277</v>
      </c>
      <c r="C4357" s="3">
        <v>22.905709519999998</v>
      </c>
      <c r="D4357" s="3">
        <v>33</v>
      </c>
    </row>
    <row r="4358" spans="1:4" x14ac:dyDescent="0.2">
      <c r="A4358" s="3">
        <v>4357</v>
      </c>
      <c r="B4358" s="3">
        <v>113.3314324</v>
      </c>
      <c r="C4358" s="3">
        <v>22.903887619999999</v>
      </c>
      <c r="D4358" s="3">
        <v>14</v>
      </c>
    </row>
    <row r="4359" spans="1:4" x14ac:dyDescent="0.2">
      <c r="A4359" s="3">
        <v>4358</v>
      </c>
      <c r="B4359" s="3">
        <v>113.3250871</v>
      </c>
      <c r="C4359" s="3">
        <v>22.907730090000001</v>
      </c>
      <c r="D4359" s="3">
        <v>14</v>
      </c>
    </row>
    <row r="4360" spans="1:4" x14ac:dyDescent="0.2">
      <c r="A4360" s="3">
        <v>4359</v>
      </c>
      <c r="B4360" s="3">
        <v>113.3248495</v>
      </c>
      <c r="C4360" s="3">
        <v>22.907661579999999</v>
      </c>
      <c r="D4360" s="3">
        <v>14</v>
      </c>
    </row>
    <row r="4361" spans="1:4" x14ac:dyDescent="0.2">
      <c r="A4361" s="3">
        <v>4360</v>
      </c>
      <c r="B4361" s="3">
        <v>113.32532759999999</v>
      </c>
      <c r="C4361" s="3">
        <v>22.90745974</v>
      </c>
      <c r="D4361" s="3">
        <v>14</v>
      </c>
    </row>
    <row r="4362" spans="1:4" x14ac:dyDescent="0.2">
      <c r="A4362" s="3">
        <v>4361</v>
      </c>
      <c r="B4362" s="3">
        <v>113.32559209999999</v>
      </c>
      <c r="C4362" s="3">
        <v>22.907019420000001</v>
      </c>
      <c r="D4362" s="3">
        <v>14</v>
      </c>
    </row>
    <row r="4363" spans="1:4" x14ac:dyDescent="0.2">
      <c r="A4363" s="3">
        <v>4362</v>
      </c>
      <c r="B4363" s="3">
        <v>113.3271269</v>
      </c>
      <c r="C4363" s="3">
        <v>22.90660566</v>
      </c>
      <c r="D4363" s="3">
        <v>14</v>
      </c>
    </row>
    <row r="4364" spans="1:4" x14ac:dyDescent="0.2">
      <c r="A4364" s="3">
        <v>4363</v>
      </c>
      <c r="B4364" s="3">
        <v>113.324551</v>
      </c>
      <c r="C4364" s="3">
        <v>22.909837249999999</v>
      </c>
      <c r="D4364" s="3">
        <v>14</v>
      </c>
    </row>
    <row r="4365" spans="1:4" x14ac:dyDescent="0.2">
      <c r="A4365" s="3">
        <v>4364</v>
      </c>
      <c r="B4365" s="3">
        <v>113.3307535</v>
      </c>
      <c r="C4365" s="3">
        <v>22.908213109999998</v>
      </c>
      <c r="D4365" s="3">
        <v>14</v>
      </c>
    </row>
    <row r="4366" spans="1:4" x14ac:dyDescent="0.2">
      <c r="A4366" s="3">
        <v>4365</v>
      </c>
      <c r="B4366" s="3">
        <v>113.331441</v>
      </c>
      <c r="C4366" s="3">
        <v>22.90904647</v>
      </c>
      <c r="D4366" s="3">
        <v>14</v>
      </c>
    </row>
    <row r="4367" spans="1:4" x14ac:dyDescent="0.2">
      <c r="A4367" s="3">
        <v>4366</v>
      </c>
      <c r="B4367" s="3">
        <v>113.3314929</v>
      </c>
      <c r="C4367" s="3">
        <v>22.909164329999999</v>
      </c>
      <c r="D4367" s="3">
        <v>14</v>
      </c>
    </row>
    <row r="4368" spans="1:4" x14ac:dyDescent="0.2">
      <c r="A4368" s="3">
        <v>4367</v>
      </c>
      <c r="B4368" s="3">
        <v>113.33148300000001</v>
      </c>
      <c r="C4368" s="3">
        <v>22.908289709999998</v>
      </c>
      <c r="D4368" s="3">
        <v>14</v>
      </c>
    </row>
    <row r="4369" spans="1:4" x14ac:dyDescent="0.2">
      <c r="A4369" s="3">
        <v>4368</v>
      </c>
      <c r="B4369" s="3">
        <v>113.32724779999999</v>
      </c>
      <c r="C4369" s="3">
        <v>22.905760780000001</v>
      </c>
      <c r="D4369" s="3">
        <v>14</v>
      </c>
    </row>
    <row r="4370" spans="1:4" x14ac:dyDescent="0.2">
      <c r="A4370" s="3">
        <v>4369</v>
      </c>
      <c r="B4370" s="3">
        <v>113.3312537</v>
      </c>
      <c r="C4370" s="3">
        <v>22.904056879999999</v>
      </c>
      <c r="D4370" s="3">
        <v>14</v>
      </c>
    </row>
    <row r="4371" spans="1:4" x14ac:dyDescent="0.2">
      <c r="A4371" s="3">
        <v>4370</v>
      </c>
      <c r="B4371" s="3">
        <v>113.33159809999999</v>
      </c>
      <c r="C4371" s="3">
        <v>22.903892299999999</v>
      </c>
      <c r="D4371" s="3">
        <v>14</v>
      </c>
    </row>
    <row r="4372" spans="1:4" x14ac:dyDescent="0.2">
      <c r="A4372" s="3">
        <v>4371</v>
      </c>
      <c r="B4372" s="3">
        <v>113.32725569999999</v>
      </c>
      <c r="C4372" s="3">
        <v>22.905758760000001</v>
      </c>
      <c r="D4372" s="3">
        <v>14</v>
      </c>
    </row>
    <row r="4373" spans="1:4" x14ac:dyDescent="0.2">
      <c r="A4373" s="3">
        <v>4372</v>
      </c>
      <c r="B4373" s="3">
        <v>113.3410114</v>
      </c>
      <c r="C4373" s="3">
        <v>22.907041710000001</v>
      </c>
      <c r="D4373" s="3">
        <v>42</v>
      </c>
    </row>
    <row r="4374" spans="1:4" x14ac:dyDescent="0.2">
      <c r="A4374" s="3">
        <v>4373</v>
      </c>
      <c r="B4374" s="3">
        <v>113.34080470000001</v>
      </c>
      <c r="C4374" s="3">
        <v>22.90918619</v>
      </c>
      <c r="D4374" s="3">
        <v>42</v>
      </c>
    </row>
    <row r="4375" spans="1:4" x14ac:dyDescent="0.2">
      <c r="A4375" s="3">
        <v>4374</v>
      </c>
      <c r="B4375" s="3">
        <v>113.3377206</v>
      </c>
      <c r="C4375" s="3">
        <v>22.909390670000001</v>
      </c>
      <c r="D4375" s="3">
        <v>42</v>
      </c>
    </row>
    <row r="4376" spans="1:4" x14ac:dyDescent="0.2">
      <c r="A4376" s="3">
        <v>4375</v>
      </c>
      <c r="B4376" s="3">
        <v>113.3376217</v>
      </c>
      <c r="C4376" s="3">
        <v>22.910091560000001</v>
      </c>
      <c r="D4376" s="3">
        <v>42</v>
      </c>
    </row>
    <row r="4377" spans="1:4" x14ac:dyDescent="0.2">
      <c r="A4377" s="3">
        <v>4376</v>
      </c>
      <c r="B4377" s="3">
        <v>113.3333564</v>
      </c>
      <c r="C4377" s="3">
        <v>22.905169480000001</v>
      </c>
      <c r="D4377" s="3">
        <v>14</v>
      </c>
    </row>
    <row r="4378" spans="1:4" x14ac:dyDescent="0.2">
      <c r="A4378" s="3">
        <v>4377</v>
      </c>
      <c r="B4378" s="3">
        <v>113.336023</v>
      </c>
      <c r="C4378" s="3">
        <v>22.90707974</v>
      </c>
      <c r="D4378" s="3">
        <v>14</v>
      </c>
    </row>
    <row r="4379" spans="1:4" x14ac:dyDescent="0.2">
      <c r="A4379" s="3">
        <v>4378</v>
      </c>
      <c r="B4379" s="3">
        <v>113.33494810000001</v>
      </c>
      <c r="C4379" s="3">
        <v>22.907975359999998</v>
      </c>
      <c r="D4379" s="3">
        <v>14</v>
      </c>
    </row>
    <row r="4380" spans="1:4" x14ac:dyDescent="0.2">
      <c r="A4380" s="3">
        <v>4379</v>
      </c>
      <c r="B4380" s="3">
        <v>113.33681919999999</v>
      </c>
      <c r="C4380" s="3">
        <v>22.910527850000001</v>
      </c>
      <c r="D4380" s="3">
        <v>42</v>
      </c>
    </row>
    <row r="4381" spans="1:4" x14ac:dyDescent="0.2">
      <c r="A4381" s="3">
        <v>4380</v>
      </c>
      <c r="B4381" s="3">
        <v>113.33914489999999</v>
      </c>
      <c r="C4381" s="3">
        <v>22.90874535</v>
      </c>
      <c r="D4381" s="3">
        <v>42</v>
      </c>
    </row>
    <row r="4382" spans="1:4" x14ac:dyDescent="0.2">
      <c r="A4382" s="3">
        <v>4381</v>
      </c>
      <c r="B4382" s="3">
        <v>113.33801510000001</v>
      </c>
      <c r="C4382" s="3">
        <v>22.90727901</v>
      </c>
      <c r="D4382" s="3">
        <v>42</v>
      </c>
    </row>
    <row r="4383" spans="1:4" x14ac:dyDescent="0.2">
      <c r="A4383" s="3">
        <v>4382</v>
      </c>
      <c r="B4383" s="3">
        <v>113.3382745</v>
      </c>
      <c r="C4383" s="3">
        <v>22.909867469999998</v>
      </c>
      <c r="D4383" s="3">
        <v>42</v>
      </c>
    </row>
    <row r="4384" spans="1:4" x14ac:dyDescent="0.2">
      <c r="A4384" s="3">
        <v>4383</v>
      </c>
      <c r="B4384" s="3">
        <v>113.3376059</v>
      </c>
      <c r="C4384" s="3">
        <v>22.90698188</v>
      </c>
      <c r="D4384" s="3">
        <v>14</v>
      </c>
    </row>
    <row r="4385" spans="1:4" x14ac:dyDescent="0.2">
      <c r="A4385" s="3">
        <v>4384</v>
      </c>
      <c r="B4385" s="3">
        <v>113.3370501</v>
      </c>
      <c r="C4385" s="3">
        <v>22.90635215</v>
      </c>
      <c r="D4385" s="3">
        <v>14</v>
      </c>
    </row>
    <row r="4386" spans="1:4" x14ac:dyDescent="0.2">
      <c r="A4386" s="3">
        <v>4385</v>
      </c>
      <c r="B4386" s="3">
        <v>113.3372277</v>
      </c>
      <c r="C4386" s="3">
        <v>22.906666699999999</v>
      </c>
      <c r="D4386" s="3">
        <v>14</v>
      </c>
    </row>
    <row r="4387" spans="1:4" x14ac:dyDescent="0.2">
      <c r="A4387" s="3">
        <v>4386</v>
      </c>
      <c r="B4387" s="3">
        <v>113.33669449999999</v>
      </c>
      <c r="C4387" s="3">
        <v>22.91083296</v>
      </c>
      <c r="D4387" s="3">
        <v>42</v>
      </c>
    </row>
    <row r="4388" spans="1:4" x14ac:dyDescent="0.2">
      <c r="A4388" s="3">
        <v>4387</v>
      </c>
      <c r="B4388" s="3">
        <v>113.33645919999999</v>
      </c>
      <c r="C4388" s="3">
        <v>22.90653816</v>
      </c>
      <c r="D4388" s="3">
        <v>14</v>
      </c>
    </row>
    <row r="4389" spans="1:4" x14ac:dyDescent="0.2">
      <c r="A4389" s="3">
        <v>4388</v>
      </c>
      <c r="B4389" s="3">
        <v>113.3347304</v>
      </c>
      <c r="C4389" s="3">
        <v>22.91009189</v>
      </c>
      <c r="D4389" s="3">
        <v>14</v>
      </c>
    </row>
    <row r="4390" spans="1:4" x14ac:dyDescent="0.2">
      <c r="A4390" s="3">
        <v>4389</v>
      </c>
      <c r="B4390" s="3">
        <v>113.3390661</v>
      </c>
      <c r="C4390" s="3">
        <v>22.90794683</v>
      </c>
      <c r="D4390" s="3">
        <v>42</v>
      </c>
    </row>
    <row r="4391" spans="1:4" x14ac:dyDescent="0.2">
      <c r="A4391" s="3">
        <v>4390</v>
      </c>
      <c r="B4391" s="3">
        <v>113.3369689</v>
      </c>
      <c r="C4391" s="3">
        <v>22.911029370000001</v>
      </c>
      <c r="D4391" s="3">
        <v>42</v>
      </c>
    </row>
    <row r="4392" spans="1:4" x14ac:dyDescent="0.2">
      <c r="A4392" s="3">
        <v>4391</v>
      </c>
      <c r="B4392" s="3">
        <v>113.3359533</v>
      </c>
      <c r="C4392" s="3">
        <v>22.905369570000001</v>
      </c>
      <c r="D4392" s="3">
        <v>14</v>
      </c>
    </row>
    <row r="4393" spans="1:4" x14ac:dyDescent="0.2">
      <c r="A4393" s="3">
        <v>4392</v>
      </c>
      <c r="B4393" s="3">
        <v>113.3388454</v>
      </c>
      <c r="C4393" s="3">
        <v>22.909760479999999</v>
      </c>
      <c r="D4393" s="3">
        <v>42</v>
      </c>
    </row>
    <row r="4394" spans="1:4" x14ac:dyDescent="0.2">
      <c r="A4394" s="3">
        <v>4393</v>
      </c>
      <c r="B4394" s="3">
        <v>113.3402983</v>
      </c>
      <c r="C4394" s="3">
        <v>22.913278399999999</v>
      </c>
      <c r="D4394" s="3">
        <v>42</v>
      </c>
    </row>
    <row r="4395" spans="1:4" x14ac:dyDescent="0.2">
      <c r="A4395" s="3">
        <v>4394</v>
      </c>
      <c r="B4395" s="3">
        <v>113.336085</v>
      </c>
      <c r="C4395" s="3">
        <v>22.905853130000001</v>
      </c>
      <c r="D4395" s="3">
        <v>14</v>
      </c>
    </row>
    <row r="4396" spans="1:4" x14ac:dyDescent="0.2">
      <c r="A4396" s="3">
        <v>4395</v>
      </c>
      <c r="B4396" s="3">
        <v>113.3383405</v>
      </c>
      <c r="C4396" s="3">
        <v>22.90702052</v>
      </c>
      <c r="D4396" s="3">
        <v>42</v>
      </c>
    </row>
    <row r="4397" spans="1:4" x14ac:dyDescent="0.2">
      <c r="A4397" s="3">
        <v>4396</v>
      </c>
      <c r="B4397" s="3">
        <v>113.33941830000001</v>
      </c>
      <c r="C4397" s="3">
        <v>22.908766849999999</v>
      </c>
      <c r="D4397" s="3">
        <v>42</v>
      </c>
    </row>
    <row r="4398" spans="1:4" x14ac:dyDescent="0.2">
      <c r="A4398" s="3">
        <v>4397</v>
      </c>
      <c r="B4398" s="3">
        <v>113.341594</v>
      </c>
      <c r="C4398" s="3">
        <v>22.91092707</v>
      </c>
      <c r="D4398" s="3">
        <v>42</v>
      </c>
    </row>
    <row r="4399" spans="1:4" x14ac:dyDescent="0.2">
      <c r="A4399" s="3">
        <v>4398</v>
      </c>
      <c r="B4399" s="3">
        <v>113.33911089999999</v>
      </c>
      <c r="C4399" s="3">
        <v>22.90919323</v>
      </c>
      <c r="D4399" s="3">
        <v>42</v>
      </c>
    </row>
    <row r="4400" spans="1:4" x14ac:dyDescent="0.2">
      <c r="A4400" s="3">
        <v>4399</v>
      </c>
      <c r="B4400" s="3">
        <v>113.3360507</v>
      </c>
      <c r="C4400" s="3">
        <v>22.911523849999998</v>
      </c>
      <c r="D4400" s="3">
        <v>42</v>
      </c>
    </row>
    <row r="4401" spans="1:4" x14ac:dyDescent="0.2">
      <c r="A4401" s="3">
        <v>4400</v>
      </c>
      <c r="B4401" s="3">
        <v>113.3363571</v>
      </c>
      <c r="C4401" s="3">
        <v>22.911680230000002</v>
      </c>
      <c r="D4401" s="3">
        <v>42</v>
      </c>
    </row>
    <row r="4402" spans="1:4" x14ac:dyDescent="0.2">
      <c r="A4402" s="3">
        <v>4401</v>
      </c>
      <c r="B4402" s="3">
        <v>113.34094640000001</v>
      </c>
      <c r="C4402" s="3">
        <v>22.909440830000001</v>
      </c>
      <c r="D4402" s="3">
        <v>42</v>
      </c>
    </row>
    <row r="4403" spans="1:4" x14ac:dyDescent="0.2">
      <c r="A4403" s="3">
        <v>4402</v>
      </c>
      <c r="B4403" s="3">
        <v>113.3343969</v>
      </c>
      <c r="C4403" s="3">
        <v>22.911522919999999</v>
      </c>
      <c r="D4403" s="3">
        <v>14</v>
      </c>
    </row>
    <row r="4404" spans="1:4" x14ac:dyDescent="0.2">
      <c r="A4404" s="3">
        <v>4403</v>
      </c>
      <c r="B4404" s="3">
        <v>113.3356325</v>
      </c>
      <c r="C4404" s="3">
        <v>22.911965439999999</v>
      </c>
      <c r="D4404" s="3">
        <v>42</v>
      </c>
    </row>
    <row r="4405" spans="1:4" x14ac:dyDescent="0.2">
      <c r="A4405" s="3">
        <v>4404</v>
      </c>
      <c r="B4405" s="3">
        <v>113.34107710000001</v>
      </c>
      <c r="C4405" s="3">
        <v>22.909177710000002</v>
      </c>
      <c r="D4405" s="3">
        <v>42</v>
      </c>
    </row>
    <row r="4406" spans="1:4" x14ac:dyDescent="0.2">
      <c r="A4406" s="3">
        <v>4405</v>
      </c>
      <c r="B4406" s="3">
        <v>113.34056820000001</v>
      </c>
      <c r="C4406" s="3">
        <v>22.90746532</v>
      </c>
      <c r="D4406" s="3">
        <v>42</v>
      </c>
    </row>
    <row r="4407" spans="1:4" x14ac:dyDescent="0.2">
      <c r="A4407" s="3">
        <v>4406</v>
      </c>
      <c r="B4407" s="3">
        <v>113.341247</v>
      </c>
      <c r="C4407" s="3">
        <v>22.906491519999999</v>
      </c>
      <c r="D4407" s="3">
        <v>42</v>
      </c>
    </row>
    <row r="4408" spans="1:4" x14ac:dyDescent="0.2">
      <c r="A4408" s="3">
        <v>4407</v>
      </c>
      <c r="B4408" s="3">
        <v>113.3350411</v>
      </c>
      <c r="C4408" s="3">
        <v>22.905117359999998</v>
      </c>
      <c r="D4408" s="3">
        <v>14</v>
      </c>
    </row>
    <row r="4409" spans="1:4" x14ac:dyDescent="0.2">
      <c r="A4409" s="3">
        <v>4408</v>
      </c>
      <c r="B4409" s="3">
        <v>113.3344797</v>
      </c>
      <c r="C4409" s="3">
        <v>22.91205154</v>
      </c>
      <c r="D4409" s="3">
        <v>14</v>
      </c>
    </row>
    <row r="4410" spans="1:4" x14ac:dyDescent="0.2">
      <c r="A4410" s="3">
        <v>4409</v>
      </c>
      <c r="B4410" s="3">
        <v>113.3378257</v>
      </c>
      <c r="C4410" s="3">
        <v>22.90491033</v>
      </c>
      <c r="D4410" s="3">
        <v>14</v>
      </c>
    </row>
    <row r="4411" spans="1:4" x14ac:dyDescent="0.2">
      <c r="A4411" s="3">
        <v>4410</v>
      </c>
      <c r="B4411" s="3">
        <v>113.3409516</v>
      </c>
      <c r="C4411" s="3">
        <v>22.90625614</v>
      </c>
      <c r="D4411" s="3">
        <v>42</v>
      </c>
    </row>
    <row r="4412" spans="1:4" x14ac:dyDescent="0.2">
      <c r="A4412" s="3">
        <v>4411</v>
      </c>
      <c r="B4412" s="3">
        <v>113.3342098</v>
      </c>
      <c r="C4412" s="3">
        <v>22.90414431</v>
      </c>
      <c r="D4412" s="3">
        <v>14</v>
      </c>
    </row>
    <row r="4413" spans="1:4" x14ac:dyDescent="0.2">
      <c r="A4413" s="3">
        <v>4412</v>
      </c>
      <c r="B4413" s="3">
        <v>113.3403074</v>
      </c>
      <c r="C4413" s="3">
        <v>22.911915950000001</v>
      </c>
      <c r="D4413" s="3">
        <v>42</v>
      </c>
    </row>
    <row r="4414" spans="1:4" x14ac:dyDescent="0.2">
      <c r="A4414" s="3">
        <v>4413</v>
      </c>
      <c r="B4414" s="3">
        <v>113.3333336</v>
      </c>
      <c r="C4414" s="3">
        <v>22.904043980000001</v>
      </c>
      <c r="D4414" s="3">
        <v>14</v>
      </c>
    </row>
    <row r="4415" spans="1:4" x14ac:dyDescent="0.2">
      <c r="A4415" s="3">
        <v>4414</v>
      </c>
      <c r="B4415" s="3">
        <v>113.34148039999999</v>
      </c>
      <c r="C4415" s="3">
        <v>22.908440299999999</v>
      </c>
      <c r="D4415" s="3">
        <v>42</v>
      </c>
    </row>
    <row r="4416" spans="1:4" x14ac:dyDescent="0.2">
      <c r="A4416" s="3">
        <v>4415</v>
      </c>
      <c r="B4416" s="3">
        <v>113.3331998</v>
      </c>
      <c r="C4416" s="3">
        <v>22.904141190000001</v>
      </c>
      <c r="D4416" s="3">
        <v>14</v>
      </c>
    </row>
    <row r="4417" spans="1:4" x14ac:dyDescent="0.2">
      <c r="A4417" s="3">
        <v>4416</v>
      </c>
      <c r="B4417" s="3">
        <v>113.3408933</v>
      </c>
      <c r="C4417" s="3">
        <v>22.912026860000001</v>
      </c>
      <c r="D4417" s="3">
        <v>42</v>
      </c>
    </row>
    <row r="4418" spans="1:4" x14ac:dyDescent="0.2">
      <c r="A4418" s="3">
        <v>4417</v>
      </c>
      <c r="B4418" s="3">
        <v>113.3317007</v>
      </c>
      <c r="C4418" s="3">
        <v>22.90627813</v>
      </c>
      <c r="D4418" s="3">
        <v>14</v>
      </c>
    </row>
    <row r="4419" spans="1:4" x14ac:dyDescent="0.2">
      <c r="A4419" s="3">
        <v>4418</v>
      </c>
      <c r="B4419" s="3">
        <v>113.3405379</v>
      </c>
      <c r="C4419" s="3">
        <v>22.912458310000002</v>
      </c>
      <c r="D4419" s="3">
        <v>42</v>
      </c>
    </row>
    <row r="4420" spans="1:4" x14ac:dyDescent="0.2">
      <c r="A4420" s="3">
        <v>4419</v>
      </c>
      <c r="B4420" s="3">
        <v>113.3330282</v>
      </c>
      <c r="C4420" s="3">
        <v>22.903917610000001</v>
      </c>
      <c r="D4420" s="3">
        <v>14</v>
      </c>
    </row>
    <row r="4421" spans="1:4" x14ac:dyDescent="0.2">
      <c r="A4421" s="3">
        <v>4420</v>
      </c>
      <c r="B4421" s="3">
        <v>113.3411638</v>
      </c>
      <c r="C4421" s="3">
        <v>22.912274279999998</v>
      </c>
      <c r="D4421" s="3">
        <v>42</v>
      </c>
    </row>
    <row r="4422" spans="1:4" x14ac:dyDescent="0.2">
      <c r="A4422" s="3">
        <v>4421</v>
      </c>
      <c r="B4422" s="3">
        <v>113.3407708</v>
      </c>
      <c r="C4422" s="3">
        <v>22.907802820000001</v>
      </c>
      <c r="D4422" s="3">
        <v>42</v>
      </c>
    </row>
    <row r="4423" spans="1:4" x14ac:dyDescent="0.2">
      <c r="A4423" s="3">
        <v>4422</v>
      </c>
      <c r="B4423" s="3">
        <v>113.34142869999999</v>
      </c>
      <c r="C4423" s="3">
        <v>22.906600149999999</v>
      </c>
      <c r="D4423" s="3">
        <v>42</v>
      </c>
    </row>
    <row r="4424" spans="1:4" x14ac:dyDescent="0.2">
      <c r="A4424" s="3">
        <v>4423</v>
      </c>
      <c r="B4424" s="3">
        <v>113.3408117</v>
      </c>
      <c r="C4424" s="3">
        <v>22.907610829999999</v>
      </c>
      <c r="D4424" s="3">
        <v>42</v>
      </c>
    </row>
    <row r="4425" spans="1:4" x14ac:dyDescent="0.2">
      <c r="A4425" s="3">
        <v>4424</v>
      </c>
      <c r="B4425" s="3">
        <v>113.34139070000001</v>
      </c>
      <c r="C4425" s="3">
        <v>22.906968060000001</v>
      </c>
      <c r="D4425" s="3">
        <v>42</v>
      </c>
    </row>
    <row r="4426" spans="1:4" x14ac:dyDescent="0.2">
      <c r="A4426" s="3">
        <v>4425</v>
      </c>
      <c r="B4426" s="3">
        <v>113.3412809</v>
      </c>
      <c r="C4426" s="3">
        <v>22.907619990000001</v>
      </c>
      <c r="D4426" s="3">
        <v>42</v>
      </c>
    </row>
    <row r="4427" spans="1:4" x14ac:dyDescent="0.2">
      <c r="A4427" s="3">
        <v>4426</v>
      </c>
      <c r="B4427" s="3">
        <v>113.33216590000001</v>
      </c>
      <c r="C4427" s="3">
        <v>22.904165119999998</v>
      </c>
      <c r="D4427" s="3">
        <v>14</v>
      </c>
    </row>
    <row r="4428" spans="1:4" x14ac:dyDescent="0.2">
      <c r="A4428" s="3">
        <v>4427</v>
      </c>
      <c r="B4428" s="3">
        <v>113.3414066</v>
      </c>
      <c r="C4428" s="3">
        <v>22.907466830000001</v>
      </c>
      <c r="D4428" s="3">
        <v>42</v>
      </c>
    </row>
    <row r="4429" spans="1:4" x14ac:dyDescent="0.2">
      <c r="A4429" s="3">
        <v>4428</v>
      </c>
      <c r="B4429" s="3">
        <v>113.34471139999999</v>
      </c>
      <c r="C4429" s="3">
        <v>22.908949440000001</v>
      </c>
      <c r="D4429" s="3">
        <v>42</v>
      </c>
    </row>
    <row r="4430" spans="1:4" x14ac:dyDescent="0.2">
      <c r="A4430" s="3">
        <v>4429</v>
      </c>
      <c r="B4430" s="3">
        <v>113.3437442</v>
      </c>
      <c r="C4430" s="3">
        <v>22.9085033</v>
      </c>
      <c r="D4430" s="3">
        <v>42</v>
      </c>
    </row>
    <row r="4431" spans="1:4" x14ac:dyDescent="0.2">
      <c r="A4431" s="3">
        <v>4430</v>
      </c>
      <c r="B4431" s="3">
        <v>113.34383</v>
      </c>
      <c r="C4431" s="3">
        <v>22.90878403</v>
      </c>
      <c r="D4431" s="3">
        <v>42</v>
      </c>
    </row>
    <row r="4432" spans="1:4" x14ac:dyDescent="0.2">
      <c r="A4432" s="3">
        <v>4431</v>
      </c>
      <c r="B4432" s="3">
        <v>113.34438179999999</v>
      </c>
      <c r="C4432" s="3">
        <v>22.911459969999999</v>
      </c>
      <c r="D4432" s="3">
        <v>42</v>
      </c>
    </row>
    <row r="4433" spans="1:4" x14ac:dyDescent="0.2">
      <c r="A4433" s="3">
        <v>4432</v>
      </c>
      <c r="B4433" s="3">
        <v>113.34659569999999</v>
      </c>
      <c r="C4433" s="3">
        <v>22.91302554</v>
      </c>
      <c r="D4433" s="3">
        <v>42</v>
      </c>
    </row>
    <row r="4434" spans="1:4" x14ac:dyDescent="0.2">
      <c r="A4434" s="3">
        <v>4433</v>
      </c>
      <c r="B4434" s="3">
        <v>113.3429586</v>
      </c>
      <c r="C4434" s="3">
        <v>22.909537239999999</v>
      </c>
      <c r="D4434" s="3">
        <v>42</v>
      </c>
    </row>
    <row r="4435" spans="1:4" x14ac:dyDescent="0.2">
      <c r="A4435" s="3">
        <v>4434</v>
      </c>
      <c r="B4435" s="3">
        <v>113.3417938</v>
      </c>
      <c r="C4435" s="3">
        <v>22.909653240000001</v>
      </c>
      <c r="D4435" s="3">
        <v>42</v>
      </c>
    </row>
    <row r="4436" spans="1:4" x14ac:dyDescent="0.2">
      <c r="A4436" s="3">
        <v>4435</v>
      </c>
      <c r="B4436" s="3">
        <v>113.3440325</v>
      </c>
      <c r="C4436" s="3">
        <v>22.910650910000001</v>
      </c>
      <c r="D4436" s="3">
        <v>42</v>
      </c>
    </row>
    <row r="4437" spans="1:4" x14ac:dyDescent="0.2">
      <c r="A4437" s="3">
        <v>4436</v>
      </c>
      <c r="B4437" s="3">
        <v>113.3445086</v>
      </c>
      <c r="C4437" s="3">
        <v>22.911867579999999</v>
      </c>
      <c r="D4437" s="3">
        <v>42</v>
      </c>
    </row>
    <row r="4438" spans="1:4" x14ac:dyDescent="0.2">
      <c r="A4438" s="3">
        <v>4437</v>
      </c>
      <c r="B4438" s="3">
        <v>113.349367</v>
      </c>
      <c r="C4438" s="3">
        <v>22.91154955</v>
      </c>
      <c r="D4438" s="3">
        <v>42</v>
      </c>
    </row>
    <row r="4439" spans="1:4" x14ac:dyDescent="0.2">
      <c r="A4439" s="3">
        <v>4438</v>
      </c>
      <c r="B4439" s="3">
        <v>113.3429695</v>
      </c>
      <c r="C4439" s="3">
        <v>22.910496819999999</v>
      </c>
      <c r="D4439" s="3">
        <v>42</v>
      </c>
    </row>
    <row r="4440" spans="1:4" x14ac:dyDescent="0.2">
      <c r="A4440" s="3">
        <v>4439</v>
      </c>
      <c r="B4440" s="3">
        <v>113.3420023</v>
      </c>
      <c r="C4440" s="3">
        <v>22.91112227</v>
      </c>
      <c r="D4440" s="3">
        <v>42</v>
      </c>
    </row>
    <row r="4441" spans="1:4" x14ac:dyDescent="0.2">
      <c r="A4441" s="3">
        <v>4440</v>
      </c>
      <c r="B4441" s="3">
        <v>113.343262</v>
      </c>
      <c r="C4441" s="3">
        <v>22.909857580000001</v>
      </c>
      <c r="D4441" s="3">
        <v>42</v>
      </c>
    </row>
    <row r="4442" spans="1:4" x14ac:dyDescent="0.2">
      <c r="A4442" s="3">
        <v>4441</v>
      </c>
      <c r="B4442" s="3">
        <v>113.343762</v>
      </c>
      <c r="C4442" s="3">
        <v>22.910788320000002</v>
      </c>
      <c r="D4442" s="3">
        <v>42</v>
      </c>
    </row>
    <row r="4443" spans="1:4" x14ac:dyDescent="0.2">
      <c r="A4443" s="3">
        <v>4442</v>
      </c>
      <c r="B4443" s="3">
        <v>113.34921319999999</v>
      </c>
      <c r="C4443" s="3">
        <v>22.912477410000001</v>
      </c>
      <c r="D4443" s="3">
        <v>42</v>
      </c>
    </row>
    <row r="4444" spans="1:4" x14ac:dyDescent="0.2">
      <c r="A4444" s="3">
        <v>4443</v>
      </c>
      <c r="B4444" s="3">
        <v>113.34171790000001</v>
      </c>
      <c r="C4444" s="3">
        <v>22.90949144</v>
      </c>
      <c r="D4444" s="3">
        <v>42</v>
      </c>
    </row>
    <row r="4445" spans="1:4" x14ac:dyDescent="0.2">
      <c r="A4445" s="3">
        <v>4444</v>
      </c>
      <c r="B4445" s="3">
        <v>113.34352440000001</v>
      </c>
      <c r="C4445" s="3">
        <v>22.911898269999998</v>
      </c>
      <c r="D4445" s="3">
        <v>42</v>
      </c>
    </row>
    <row r="4446" spans="1:4" x14ac:dyDescent="0.2">
      <c r="A4446" s="3">
        <v>4445</v>
      </c>
      <c r="B4446" s="3">
        <v>113.3480911</v>
      </c>
      <c r="C4446" s="3">
        <v>22.913621790000001</v>
      </c>
      <c r="D4446" s="3">
        <v>42</v>
      </c>
    </row>
    <row r="4447" spans="1:4" x14ac:dyDescent="0.2">
      <c r="A4447" s="3">
        <v>4446</v>
      </c>
      <c r="B4447" s="3">
        <v>113.3434515</v>
      </c>
      <c r="C4447" s="3">
        <v>22.911555539999998</v>
      </c>
      <c r="D4447" s="3">
        <v>42</v>
      </c>
    </row>
    <row r="4448" spans="1:4" x14ac:dyDescent="0.2">
      <c r="A4448" s="3">
        <v>4447</v>
      </c>
      <c r="B4448" s="3">
        <v>113.34608059999999</v>
      </c>
      <c r="C4448" s="3">
        <v>22.913395260000001</v>
      </c>
      <c r="D4448" s="3">
        <v>42</v>
      </c>
    </row>
    <row r="4449" spans="1:4" x14ac:dyDescent="0.2">
      <c r="A4449" s="3">
        <v>4448</v>
      </c>
      <c r="B4449" s="3">
        <v>113.3465408</v>
      </c>
      <c r="C4449" s="3">
        <v>22.913356490000002</v>
      </c>
      <c r="D4449" s="3">
        <v>42</v>
      </c>
    </row>
    <row r="4450" spans="1:4" x14ac:dyDescent="0.2">
      <c r="A4450" s="3">
        <v>4449</v>
      </c>
      <c r="B4450" s="3">
        <v>113.3437239</v>
      </c>
      <c r="C4450" s="3">
        <v>22.913034459999999</v>
      </c>
      <c r="D4450" s="3">
        <v>42</v>
      </c>
    </row>
    <row r="4451" spans="1:4" x14ac:dyDescent="0.2">
      <c r="A4451" s="3">
        <v>4450</v>
      </c>
      <c r="B4451" s="3">
        <v>113.34811500000001</v>
      </c>
      <c r="C4451" s="3">
        <v>22.91337785</v>
      </c>
      <c r="D4451" s="3">
        <v>42</v>
      </c>
    </row>
    <row r="4452" spans="1:4" x14ac:dyDescent="0.2">
      <c r="A4452" s="3">
        <v>4451</v>
      </c>
      <c r="B4452" s="3">
        <v>113.3483646</v>
      </c>
      <c r="C4452" s="3">
        <v>22.91284666</v>
      </c>
      <c r="D4452" s="3">
        <v>42</v>
      </c>
    </row>
    <row r="4453" spans="1:4" x14ac:dyDescent="0.2">
      <c r="A4453" s="3">
        <v>4452</v>
      </c>
      <c r="B4453" s="3">
        <v>113.34520620000001</v>
      </c>
      <c r="C4453" s="3">
        <v>22.912797999999999</v>
      </c>
      <c r="D4453" s="3">
        <v>42</v>
      </c>
    </row>
    <row r="4454" spans="1:4" x14ac:dyDescent="0.2">
      <c r="A4454" s="3">
        <v>4453</v>
      </c>
      <c r="B4454" s="3">
        <v>113.34362109999999</v>
      </c>
      <c r="C4454" s="3">
        <v>22.913263539999999</v>
      </c>
      <c r="D4454" s="3">
        <v>42</v>
      </c>
    </row>
    <row r="4455" spans="1:4" x14ac:dyDescent="0.2">
      <c r="A4455" s="3">
        <v>4454</v>
      </c>
      <c r="B4455" s="3">
        <v>113.342135</v>
      </c>
      <c r="C4455" s="3">
        <v>22.911896710000001</v>
      </c>
      <c r="D4455" s="3">
        <v>42</v>
      </c>
    </row>
    <row r="4456" spans="1:4" x14ac:dyDescent="0.2">
      <c r="A4456" s="3">
        <v>4455</v>
      </c>
      <c r="B4456" s="3">
        <v>113.34390860000001</v>
      </c>
      <c r="C4456" s="3">
        <v>22.913385989999998</v>
      </c>
      <c r="D4456" s="3">
        <v>42</v>
      </c>
    </row>
    <row r="4457" spans="1:4" x14ac:dyDescent="0.2">
      <c r="A4457" s="3">
        <v>4456</v>
      </c>
      <c r="B4457" s="3">
        <v>113.3418585</v>
      </c>
      <c r="C4457" s="3">
        <v>22.912024150000001</v>
      </c>
      <c r="D4457" s="3">
        <v>42</v>
      </c>
    </row>
    <row r="4458" spans="1:4" x14ac:dyDescent="0.2">
      <c r="A4458" s="3">
        <v>4457</v>
      </c>
      <c r="B4458" s="3">
        <v>113.34180790000001</v>
      </c>
      <c r="C4458" s="3">
        <v>22.907579070000001</v>
      </c>
      <c r="D4458" s="3">
        <v>42</v>
      </c>
    </row>
    <row r="4459" spans="1:4" x14ac:dyDescent="0.2">
      <c r="A4459" s="3">
        <v>4458</v>
      </c>
      <c r="B4459" s="3">
        <v>113.34313419999999</v>
      </c>
      <c r="C4459" s="3">
        <v>22.910930359999998</v>
      </c>
      <c r="D4459" s="3">
        <v>42</v>
      </c>
    </row>
    <row r="4460" spans="1:4" x14ac:dyDescent="0.2">
      <c r="A4460" s="3">
        <v>4459</v>
      </c>
      <c r="B4460" s="3">
        <v>113.341838</v>
      </c>
      <c r="C4460" s="3">
        <v>22.905544859999999</v>
      </c>
      <c r="D4460" s="3">
        <v>42</v>
      </c>
    </row>
    <row r="4461" spans="1:4" x14ac:dyDescent="0.2">
      <c r="A4461" s="3">
        <v>4460</v>
      </c>
      <c r="B4461" s="3">
        <v>113.34598389999999</v>
      </c>
      <c r="C4461" s="3">
        <v>22.91191903</v>
      </c>
      <c r="D4461" s="3">
        <v>42</v>
      </c>
    </row>
    <row r="4462" spans="1:4" x14ac:dyDescent="0.2">
      <c r="A4462" s="3">
        <v>4461</v>
      </c>
      <c r="B4462" s="3">
        <v>113.3488548</v>
      </c>
      <c r="C4462" s="3">
        <v>22.913102739999999</v>
      </c>
      <c r="D4462" s="3">
        <v>42</v>
      </c>
    </row>
    <row r="4463" spans="1:4" x14ac:dyDescent="0.2">
      <c r="A4463" s="3">
        <v>4462</v>
      </c>
      <c r="B4463" s="3">
        <v>113.34189139999999</v>
      </c>
      <c r="C4463" s="3">
        <v>22.91235695</v>
      </c>
      <c r="D4463" s="3">
        <v>42</v>
      </c>
    </row>
    <row r="4464" spans="1:4" x14ac:dyDescent="0.2">
      <c r="A4464" s="3">
        <v>4463</v>
      </c>
      <c r="B4464" s="3">
        <v>113.3576546</v>
      </c>
      <c r="C4464" s="3">
        <v>22.9115298</v>
      </c>
      <c r="D4464" s="3">
        <v>25</v>
      </c>
    </row>
    <row r="4465" spans="1:4" x14ac:dyDescent="0.2">
      <c r="A4465" s="3">
        <v>4464</v>
      </c>
      <c r="B4465" s="3">
        <v>113.36099489999999</v>
      </c>
      <c r="C4465" s="3">
        <v>22.910649509999999</v>
      </c>
      <c r="D4465" s="3">
        <v>25</v>
      </c>
    </row>
    <row r="4466" spans="1:4" x14ac:dyDescent="0.2">
      <c r="A4466" s="3">
        <v>4465</v>
      </c>
      <c r="B4466" s="3">
        <v>113.3571804</v>
      </c>
      <c r="C4466" s="3">
        <v>22.91094472</v>
      </c>
      <c r="D4466" s="3">
        <v>25</v>
      </c>
    </row>
    <row r="4467" spans="1:4" x14ac:dyDescent="0.2">
      <c r="A4467" s="3">
        <v>4466</v>
      </c>
      <c r="B4467" s="3">
        <v>113.3576037</v>
      </c>
      <c r="C4467" s="3">
        <v>22.911107040000001</v>
      </c>
      <c r="D4467" s="3">
        <v>25</v>
      </c>
    </row>
    <row r="4468" spans="1:4" x14ac:dyDescent="0.2">
      <c r="A4468" s="3">
        <v>4467</v>
      </c>
      <c r="B4468" s="3">
        <v>113.3583138</v>
      </c>
      <c r="C4468" s="3">
        <v>22.908999900000001</v>
      </c>
      <c r="D4468" s="3">
        <v>25</v>
      </c>
    </row>
    <row r="4469" spans="1:4" x14ac:dyDescent="0.2">
      <c r="A4469" s="3">
        <v>4468</v>
      </c>
      <c r="B4469" s="3">
        <v>113.3601013</v>
      </c>
      <c r="C4469" s="3">
        <v>22.9080558</v>
      </c>
      <c r="D4469" s="3">
        <v>25</v>
      </c>
    </row>
    <row r="4470" spans="1:4" x14ac:dyDescent="0.2">
      <c r="A4470" s="3">
        <v>4469</v>
      </c>
      <c r="B4470" s="3">
        <v>113.35884799999999</v>
      </c>
      <c r="C4470" s="3">
        <v>22.90897416</v>
      </c>
      <c r="D4470" s="3">
        <v>25</v>
      </c>
    </row>
    <row r="4471" spans="1:4" x14ac:dyDescent="0.2">
      <c r="A4471" s="3">
        <v>4470</v>
      </c>
      <c r="B4471" s="3">
        <v>113.35731610000001</v>
      </c>
      <c r="C4471" s="3">
        <v>22.911917119999998</v>
      </c>
      <c r="D4471" s="3">
        <v>25</v>
      </c>
    </row>
    <row r="4472" spans="1:4" x14ac:dyDescent="0.2">
      <c r="A4472" s="3">
        <v>4471</v>
      </c>
      <c r="B4472" s="3">
        <v>113.3530679</v>
      </c>
      <c r="C4472" s="3">
        <v>22.909891330000001</v>
      </c>
      <c r="D4472" s="3">
        <v>42</v>
      </c>
    </row>
    <row r="4473" spans="1:4" x14ac:dyDescent="0.2">
      <c r="A4473" s="3">
        <v>4472</v>
      </c>
      <c r="B4473" s="3">
        <v>113.3529142</v>
      </c>
      <c r="C4473" s="3">
        <v>22.909487739999999</v>
      </c>
      <c r="D4473" s="3">
        <v>42</v>
      </c>
    </row>
    <row r="4474" spans="1:4" x14ac:dyDescent="0.2">
      <c r="A4474" s="3">
        <v>4473</v>
      </c>
      <c r="B4474" s="3">
        <v>113.35702449999999</v>
      </c>
      <c r="C4474" s="3">
        <v>22.912826169999999</v>
      </c>
      <c r="D4474" s="3">
        <v>25</v>
      </c>
    </row>
    <row r="4475" spans="1:4" x14ac:dyDescent="0.2">
      <c r="A4475" s="3">
        <v>4474</v>
      </c>
      <c r="B4475" s="3">
        <v>113.35878219999999</v>
      </c>
      <c r="C4475" s="3">
        <v>22.907901689999999</v>
      </c>
      <c r="D4475" s="3">
        <v>25</v>
      </c>
    </row>
    <row r="4476" spans="1:4" x14ac:dyDescent="0.2">
      <c r="A4476" s="3">
        <v>4475</v>
      </c>
      <c r="B4476" s="3">
        <v>113.3565761</v>
      </c>
      <c r="C4476" s="3">
        <v>22.913517540000001</v>
      </c>
      <c r="D4476" s="3">
        <v>25</v>
      </c>
    </row>
    <row r="4477" spans="1:4" x14ac:dyDescent="0.2">
      <c r="A4477" s="3">
        <v>4476</v>
      </c>
      <c r="B4477" s="3">
        <v>113.3603887</v>
      </c>
      <c r="C4477" s="3">
        <v>22.91101518</v>
      </c>
      <c r="D4477" s="3">
        <v>25</v>
      </c>
    </row>
    <row r="4478" spans="1:4" x14ac:dyDescent="0.2">
      <c r="A4478" s="3">
        <v>4477</v>
      </c>
      <c r="B4478" s="3">
        <v>113.35878510000001</v>
      </c>
      <c r="C4478" s="3">
        <v>22.90927812</v>
      </c>
      <c r="D4478" s="3">
        <v>25</v>
      </c>
    </row>
    <row r="4479" spans="1:4" x14ac:dyDescent="0.2">
      <c r="A4479" s="3">
        <v>4478</v>
      </c>
      <c r="B4479" s="3">
        <v>113.3584087</v>
      </c>
      <c r="C4479" s="3">
        <v>22.909291639999999</v>
      </c>
      <c r="D4479" s="3">
        <v>25</v>
      </c>
    </row>
    <row r="4480" spans="1:4" x14ac:dyDescent="0.2">
      <c r="A4480" s="3">
        <v>4479</v>
      </c>
      <c r="B4480" s="3">
        <v>113.3627195</v>
      </c>
      <c r="C4480" s="3">
        <v>22.910082469999999</v>
      </c>
      <c r="D4480" s="3">
        <v>25</v>
      </c>
    </row>
    <row r="4481" spans="1:4" x14ac:dyDescent="0.2">
      <c r="A4481" s="3">
        <v>4480</v>
      </c>
      <c r="B4481" s="3">
        <v>113.3638569</v>
      </c>
      <c r="C4481" s="3">
        <v>22.9118213</v>
      </c>
      <c r="D4481" s="3">
        <v>25</v>
      </c>
    </row>
    <row r="4482" spans="1:4" x14ac:dyDescent="0.2">
      <c r="A4482" s="3">
        <v>4481</v>
      </c>
      <c r="B4482" s="3">
        <v>113.36397669999999</v>
      </c>
      <c r="C4482" s="3">
        <v>22.912357920000002</v>
      </c>
      <c r="D4482" s="3">
        <v>25</v>
      </c>
    </row>
    <row r="4483" spans="1:4" x14ac:dyDescent="0.2">
      <c r="A4483" s="3">
        <v>4482</v>
      </c>
      <c r="B4483" s="3">
        <v>113.3685042</v>
      </c>
      <c r="C4483" s="3">
        <v>22.912492499999999</v>
      </c>
      <c r="D4483" s="3">
        <v>25</v>
      </c>
    </row>
    <row r="4484" spans="1:4" x14ac:dyDescent="0.2">
      <c r="A4484" s="3">
        <v>4483</v>
      </c>
      <c r="B4484" s="3">
        <v>113.3636632</v>
      </c>
      <c r="C4484" s="3">
        <v>22.912163400000001</v>
      </c>
      <c r="D4484" s="3">
        <v>25</v>
      </c>
    </row>
    <row r="4485" spans="1:4" x14ac:dyDescent="0.2">
      <c r="A4485" s="3">
        <v>4484</v>
      </c>
      <c r="B4485" s="3">
        <v>113.3690217</v>
      </c>
      <c r="C4485" s="3">
        <v>22.912512920000001</v>
      </c>
      <c r="D4485" s="3">
        <v>25</v>
      </c>
    </row>
    <row r="4486" spans="1:4" x14ac:dyDescent="0.2">
      <c r="A4486" s="3">
        <v>4485</v>
      </c>
      <c r="B4486" s="3">
        <v>113.36869900000001</v>
      </c>
      <c r="C4486" s="3">
        <v>22.912726190000001</v>
      </c>
      <c r="D4486" s="3">
        <v>25</v>
      </c>
    </row>
    <row r="4487" spans="1:4" x14ac:dyDescent="0.2">
      <c r="A4487" s="3">
        <v>4486</v>
      </c>
      <c r="B4487" s="3">
        <v>113.3627625</v>
      </c>
      <c r="C4487" s="3">
        <v>22.910358299999999</v>
      </c>
      <c r="D4487" s="3">
        <v>25</v>
      </c>
    </row>
    <row r="4488" spans="1:4" x14ac:dyDescent="0.2">
      <c r="A4488" s="3">
        <v>4487</v>
      </c>
      <c r="B4488" s="3">
        <v>113.3681376</v>
      </c>
      <c r="C4488" s="3">
        <v>22.913184619999999</v>
      </c>
      <c r="D4488" s="3">
        <v>25</v>
      </c>
    </row>
    <row r="4489" spans="1:4" x14ac:dyDescent="0.2">
      <c r="A4489" s="3">
        <v>4488</v>
      </c>
      <c r="B4489" s="3">
        <v>113.36905659999999</v>
      </c>
      <c r="C4489" s="3">
        <v>22.91316861</v>
      </c>
      <c r="D4489" s="3">
        <v>25</v>
      </c>
    </row>
    <row r="4490" spans="1:4" x14ac:dyDescent="0.2">
      <c r="A4490" s="3">
        <v>4489</v>
      </c>
      <c r="B4490" s="3">
        <v>113.3634205</v>
      </c>
      <c r="C4490" s="3">
        <v>22.912066750000001</v>
      </c>
      <c r="D4490" s="3">
        <v>25</v>
      </c>
    </row>
    <row r="4491" spans="1:4" x14ac:dyDescent="0.2">
      <c r="A4491" s="3">
        <v>4490</v>
      </c>
      <c r="B4491" s="3">
        <v>113.3632762</v>
      </c>
      <c r="C4491" s="3">
        <v>22.904256149999998</v>
      </c>
      <c r="D4491" s="3">
        <v>25</v>
      </c>
    </row>
    <row r="4492" spans="1:4" x14ac:dyDescent="0.2">
      <c r="A4492" s="3">
        <v>4491</v>
      </c>
      <c r="B4492" s="3">
        <v>113.3633471</v>
      </c>
      <c r="C4492" s="3">
        <v>22.90384323</v>
      </c>
      <c r="D4492" s="3">
        <v>25</v>
      </c>
    </row>
    <row r="4493" spans="1:4" x14ac:dyDescent="0.2">
      <c r="A4493" s="3">
        <v>4492</v>
      </c>
      <c r="B4493" s="3">
        <v>113.3624038</v>
      </c>
      <c r="C4493" s="3">
        <v>22.912960689999998</v>
      </c>
      <c r="D4493" s="3">
        <v>25</v>
      </c>
    </row>
    <row r="4494" spans="1:4" x14ac:dyDescent="0.2">
      <c r="A4494" s="3">
        <v>4493</v>
      </c>
      <c r="B4494" s="3">
        <v>113.3628198</v>
      </c>
      <c r="C4494" s="3">
        <v>22.903753949999999</v>
      </c>
      <c r="D4494" s="3">
        <v>25</v>
      </c>
    </row>
    <row r="4495" spans="1:4" x14ac:dyDescent="0.2">
      <c r="A4495" s="3">
        <v>4494</v>
      </c>
      <c r="B4495" s="3">
        <v>113.36345439999999</v>
      </c>
      <c r="C4495" s="3">
        <v>22.913201229999999</v>
      </c>
      <c r="D4495" s="3">
        <v>25</v>
      </c>
    </row>
    <row r="4496" spans="1:4" x14ac:dyDescent="0.2">
      <c r="A4496" s="3">
        <v>4495</v>
      </c>
      <c r="B4496" s="3">
        <v>113.36895079999999</v>
      </c>
      <c r="C4496" s="3">
        <v>22.91183328</v>
      </c>
      <c r="D4496" s="3">
        <v>25</v>
      </c>
    </row>
    <row r="4497" spans="1:4" x14ac:dyDescent="0.2">
      <c r="A4497" s="3">
        <v>4496</v>
      </c>
      <c r="B4497" s="3">
        <v>113.3703702</v>
      </c>
      <c r="C4497" s="3">
        <v>22.91250148</v>
      </c>
      <c r="D4497" s="3">
        <v>25</v>
      </c>
    </row>
    <row r="4498" spans="1:4" x14ac:dyDescent="0.2">
      <c r="A4498" s="3">
        <v>4497</v>
      </c>
      <c r="B4498" s="3">
        <v>113.3720634</v>
      </c>
      <c r="C4498" s="3">
        <v>22.913572309999999</v>
      </c>
      <c r="D4498" s="3">
        <v>25</v>
      </c>
    </row>
    <row r="4499" spans="1:4" x14ac:dyDescent="0.2">
      <c r="A4499" s="3">
        <v>4498</v>
      </c>
      <c r="B4499" s="3">
        <v>113.3964244</v>
      </c>
      <c r="C4499" s="3">
        <v>22.906718489999999</v>
      </c>
      <c r="D4499" s="3">
        <v>5</v>
      </c>
    </row>
    <row r="4500" spans="1:4" x14ac:dyDescent="0.2">
      <c r="A4500" s="3">
        <v>4499</v>
      </c>
      <c r="B4500" s="3">
        <v>113.39273129999999</v>
      </c>
      <c r="C4500" s="3">
        <v>22.908032290000001</v>
      </c>
      <c r="D4500" s="3">
        <v>5</v>
      </c>
    </row>
    <row r="4501" spans="1:4" x14ac:dyDescent="0.2">
      <c r="A4501" s="3">
        <v>4500</v>
      </c>
      <c r="B4501" s="3">
        <v>113.4008023</v>
      </c>
      <c r="C4501" s="3">
        <v>22.90747554</v>
      </c>
      <c r="D4501" s="3">
        <v>5</v>
      </c>
    </row>
    <row r="4502" spans="1:4" x14ac:dyDescent="0.2">
      <c r="A4502" s="3">
        <v>4501</v>
      </c>
      <c r="B4502" s="3">
        <v>113.4012214</v>
      </c>
      <c r="C4502" s="3">
        <v>22.907191739999998</v>
      </c>
      <c r="D4502" s="3">
        <v>5</v>
      </c>
    </row>
    <row r="4503" spans="1:4" x14ac:dyDescent="0.2">
      <c r="A4503" s="3">
        <v>4502</v>
      </c>
      <c r="B4503" s="3">
        <v>113.3925744</v>
      </c>
      <c r="C4503" s="3">
        <v>22.90655293</v>
      </c>
      <c r="D4503" s="3">
        <v>5</v>
      </c>
    </row>
    <row r="4504" spans="1:4" x14ac:dyDescent="0.2">
      <c r="A4504" s="3">
        <v>4503</v>
      </c>
      <c r="B4504" s="3">
        <v>113.5185173</v>
      </c>
      <c r="C4504" s="3">
        <v>22.909633800000002</v>
      </c>
      <c r="D4504" s="3">
        <v>1</v>
      </c>
    </row>
    <row r="4505" spans="1:4" x14ac:dyDescent="0.2">
      <c r="A4505" s="3">
        <v>4504</v>
      </c>
      <c r="B4505" s="3">
        <v>113.5180355</v>
      </c>
      <c r="C4505" s="3">
        <v>22.912395320000002</v>
      </c>
      <c r="D4505" s="3">
        <v>1</v>
      </c>
    </row>
    <row r="4506" spans="1:4" x14ac:dyDescent="0.2">
      <c r="A4506" s="3">
        <v>4505</v>
      </c>
      <c r="B4506" s="3">
        <v>113.5135461</v>
      </c>
      <c r="C4506" s="3">
        <v>22.904526870000002</v>
      </c>
      <c r="D4506" s="3">
        <v>1</v>
      </c>
    </row>
    <row r="4507" spans="1:4" x14ac:dyDescent="0.2">
      <c r="A4507" s="3">
        <v>4506</v>
      </c>
      <c r="B4507" s="3">
        <v>113.286103</v>
      </c>
      <c r="C4507" s="3">
        <v>22.89950984</v>
      </c>
      <c r="D4507" s="3">
        <v>33</v>
      </c>
    </row>
    <row r="4508" spans="1:4" x14ac:dyDescent="0.2">
      <c r="A4508" s="3">
        <v>4507</v>
      </c>
      <c r="B4508" s="3">
        <v>113.2867071</v>
      </c>
      <c r="C4508" s="3">
        <v>22.899875829999999</v>
      </c>
      <c r="D4508" s="3">
        <v>33</v>
      </c>
    </row>
    <row r="4509" spans="1:4" x14ac:dyDescent="0.2">
      <c r="A4509" s="3">
        <v>4508</v>
      </c>
      <c r="B4509" s="3">
        <v>113.2865473</v>
      </c>
      <c r="C4509" s="3">
        <v>22.89958918</v>
      </c>
      <c r="D4509" s="3">
        <v>33</v>
      </c>
    </row>
    <row r="4510" spans="1:4" x14ac:dyDescent="0.2">
      <c r="A4510" s="3">
        <v>4509</v>
      </c>
      <c r="B4510" s="3">
        <v>113.29006870000001</v>
      </c>
      <c r="C4510" s="3">
        <v>22.898551430000001</v>
      </c>
      <c r="D4510" s="3">
        <v>33</v>
      </c>
    </row>
    <row r="4511" spans="1:4" x14ac:dyDescent="0.2">
      <c r="A4511" s="3">
        <v>4510</v>
      </c>
      <c r="B4511" s="3">
        <v>113.2877105</v>
      </c>
      <c r="C4511" s="3">
        <v>22.8991167</v>
      </c>
      <c r="D4511" s="3">
        <v>33</v>
      </c>
    </row>
    <row r="4512" spans="1:4" x14ac:dyDescent="0.2">
      <c r="A4512" s="3">
        <v>4511</v>
      </c>
      <c r="B4512" s="3">
        <v>113.2890434</v>
      </c>
      <c r="C4512" s="3">
        <v>22.89854897</v>
      </c>
      <c r="D4512" s="3">
        <v>33</v>
      </c>
    </row>
    <row r="4513" spans="1:4" x14ac:dyDescent="0.2">
      <c r="A4513" s="3">
        <v>4512</v>
      </c>
      <c r="B4513" s="3">
        <v>113.290469</v>
      </c>
      <c r="C4513" s="3">
        <v>22.89851784</v>
      </c>
      <c r="D4513" s="3">
        <v>33</v>
      </c>
    </row>
    <row r="4514" spans="1:4" x14ac:dyDescent="0.2">
      <c r="A4514" s="3">
        <v>4513</v>
      </c>
      <c r="B4514" s="3">
        <v>113.282881</v>
      </c>
      <c r="C4514" s="3">
        <v>22.89826077</v>
      </c>
      <c r="D4514" s="3">
        <v>33</v>
      </c>
    </row>
    <row r="4515" spans="1:4" x14ac:dyDescent="0.2">
      <c r="A4515" s="3">
        <v>4514</v>
      </c>
      <c r="B4515" s="3">
        <v>113.2916883</v>
      </c>
      <c r="C4515" s="3">
        <v>22.89393583</v>
      </c>
      <c r="D4515" s="3">
        <v>33</v>
      </c>
    </row>
    <row r="4516" spans="1:4" x14ac:dyDescent="0.2">
      <c r="A4516" s="3">
        <v>4515</v>
      </c>
      <c r="B4516" s="3">
        <v>113.2877864</v>
      </c>
      <c r="C4516" s="3">
        <v>22.898151980000002</v>
      </c>
      <c r="D4516" s="3">
        <v>33</v>
      </c>
    </row>
    <row r="4517" spans="1:4" x14ac:dyDescent="0.2">
      <c r="A4517" s="3">
        <v>4516</v>
      </c>
      <c r="B4517" s="3">
        <v>113.2938664</v>
      </c>
      <c r="C4517" s="3">
        <v>22.89448818</v>
      </c>
      <c r="D4517" s="3">
        <v>33</v>
      </c>
    </row>
    <row r="4518" spans="1:4" x14ac:dyDescent="0.2">
      <c r="A4518" s="3">
        <v>4517</v>
      </c>
      <c r="B4518" s="3">
        <v>113.2928891</v>
      </c>
      <c r="C4518" s="3">
        <v>22.89534738</v>
      </c>
      <c r="D4518" s="3">
        <v>33</v>
      </c>
    </row>
    <row r="4519" spans="1:4" x14ac:dyDescent="0.2">
      <c r="A4519" s="3">
        <v>4518</v>
      </c>
      <c r="B4519" s="3">
        <v>113.2922523</v>
      </c>
      <c r="C4519" s="3">
        <v>22.893884969999998</v>
      </c>
      <c r="D4519" s="3">
        <v>33</v>
      </c>
    </row>
    <row r="4520" spans="1:4" x14ac:dyDescent="0.2">
      <c r="A4520" s="3">
        <v>4519</v>
      </c>
      <c r="B4520" s="3">
        <v>113.3042928</v>
      </c>
      <c r="C4520" s="3">
        <v>22.89919858</v>
      </c>
      <c r="D4520" s="3">
        <v>33</v>
      </c>
    </row>
    <row r="4521" spans="1:4" x14ac:dyDescent="0.2">
      <c r="A4521" s="3">
        <v>4520</v>
      </c>
      <c r="B4521" s="3">
        <v>113.3049494</v>
      </c>
      <c r="C4521" s="3">
        <v>22.900674800000001</v>
      </c>
      <c r="D4521" s="3">
        <v>33</v>
      </c>
    </row>
    <row r="4522" spans="1:4" x14ac:dyDescent="0.2">
      <c r="A4522" s="3">
        <v>4521</v>
      </c>
      <c r="B4522" s="3">
        <v>113.3286971</v>
      </c>
      <c r="C4522" s="3">
        <v>22.900769069999999</v>
      </c>
      <c r="D4522" s="3">
        <v>14</v>
      </c>
    </row>
    <row r="4523" spans="1:4" x14ac:dyDescent="0.2">
      <c r="A4523" s="3">
        <v>4522</v>
      </c>
      <c r="B4523" s="3">
        <v>113.3289336</v>
      </c>
      <c r="C4523" s="3">
        <v>22.901211440000001</v>
      </c>
      <c r="D4523" s="3">
        <v>14</v>
      </c>
    </row>
    <row r="4524" spans="1:4" x14ac:dyDescent="0.2">
      <c r="A4524" s="3">
        <v>4523</v>
      </c>
      <c r="B4524" s="3">
        <v>113.32697880000001</v>
      </c>
      <c r="C4524" s="3">
        <v>22.89872218</v>
      </c>
      <c r="D4524" s="3">
        <v>14</v>
      </c>
    </row>
    <row r="4525" spans="1:4" x14ac:dyDescent="0.2">
      <c r="A4525" s="3">
        <v>4524</v>
      </c>
      <c r="B4525" s="3">
        <v>113.3288269</v>
      </c>
      <c r="C4525" s="3">
        <v>22.900956749999999</v>
      </c>
      <c r="D4525" s="3">
        <v>14</v>
      </c>
    </row>
    <row r="4526" spans="1:4" x14ac:dyDescent="0.2">
      <c r="A4526" s="3">
        <v>4525</v>
      </c>
      <c r="B4526" s="3">
        <v>113.33202919999999</v>
      </c>
      <c r="C4526" s="3">
        <v>22.903581620000001</v>
      </c>
      <c r="D4526" s="3">
        <v>14</v>
      </c>
    </row>
    <row r="4527" spans="1:4" x14ac:dyDescent="0.2">
      <c r="A4527" s="3">
        <v>4526</v>
      </c>
      <c r="B4527" s="3">
        <v>113.33356620000001</v>
      </c>
      <c r="C4527" s="3">
        <v>22.902394229999999</v>
      </c>
      <c r="D4527" s="3">
        <v>14</v>
      </c>
    </row>
    <row r="4528" spans="1:4" x14ac:dyDescent="0.2">
      <c r="A4528" s="3">
        <v>4527</v>
      </c>
      <c r="B4528" s="3">
        <v>113.33437960000001</v>
      </c>
      <c r="C4528" s="3">
        <v>22.902898499999999</v>
      </c>
      <c r="D4528" s="3">
        <v>14</v>
      </c>
    </row>
    <row r="4529" spans="1:4" x14ac:dyDescent="0.2">
      <c r="A4529" s="3">
        <v>4528</v>
      </c>
      <c r="B4529" s="3">
        <v>113.33224679999999</v>
      </c>
      <c r="C4529" s="3">
        <v>22.903195369999999</v>
      </c>
      <c r="D4529" s="3">
        <v>14</v>
      </c>
    </row>
    <row r="4530" spans="1:4" x14ac:dyDescent="0.2">
      <c r="A4530" s="3">
        <v>4529</v>
      </c>
      <c r="B4530" s="3">
        <v>113.3340841</v>
      </c>
      <c r="C4530" s="3">
        <v>22.903267899999999</v>
      </c>
      <c r="D4530" s="3">
        <v>14</v>
      </c>
    </row>
    <row r="4531" spans="1:4" x14ac:dyDescent="0.2">
      <c r="A4531" s="3">
        <v>4530</v>
      </c>
      <c r="B4531" s="3">
        <v>113.33373880000001</v>
      </c>
      <c r="C4531" s="3">
        <v>22.902921689999999</v>
      </c>
      <c r="D4531" s="3">
        <v>14</v>
      </c>
    </row>
    <row r="4532" spans="1:4" x14ac:dyDescent="0.2">
      <c r="A4532" s="3">
        <v>4531</v>
      </c>
      <c r="B4532" s="3">
        <v>113.33314799999999</v>
      </c>
      <c r="C4532" s="3">
        <v>22.903644490000001</v>
      </c>
      <c r="D4532" s="3">
        <v>14</v>
      </c>
    </row>
    <row r="4533" spans="1:4" x14ac:dyDescent="0.2">
      <c r="A4533" s="3">
        <v>4532</v>
      </c>
      <c r="B4533" s="3">
        <v>113.3329025</v>
      </c>
      <c r="C4533" s="3">
        <v>22.90299722</v>
      </c>
      <c r="D4533" s="3">
        <v>14</v>
      </c>
    </row>
    <row r="4534" spans="1:4" x14ac:dyDescent="0.2">
      <c r="A4534" s="3">
        <v>4533</v>
      </c>
      <c r="B4534" s="3">
        <v>113.34710579999999</v>
      </c>
      <c r="C4534" s="3">
        <v>22.89861861</v>
      </c>
      <c r="D4534" s="3">
        <v>42</v>
      </c>
    </row>
    <row r="4535" spans="1:4" x14ac:dyDescent="0.2">
      <c r="A4535" s="3">
        <v>4534</v>
      </c>
      <c r="B4535" s="3">
        <v>113.28079339999999</v>
      </c>
      <c r="C4535" s="3">
        <v>22.892656760000001</v>
      </c>
      <c r="D4535" s="3">
        <v>33</v>
      </c>
    </row>
    <row r="4536" spans="1:4" x14ac:dyDescent="0.2">
      <c r="A4536" s="3">
        <v>4535</v>
      </c>
      <c r="B4536" s="3">
        <v>113.550009</v>
      </c>
      <c r="C4536" s="3">
        <v>22.872560310000001</v>
      </c>
      <c r="D4536" s="3">
        <v>1</v>
      </c>
    </row>
  </sheetData>
  <autoFilter ref="D1:D4536" xr:uid="{6F0860A3-FD79-4C7E-8FE7-3966352C7FCD}"/>
  <mergeCells count="1">
    <mergeCell ref="O2:P2"/>
  </mergeCells>
  <phoneticPr fontId="1" type="noConversion"/>
  <pageMargins left="0.7" right="0.7" top="0.75" bottom="0.75" header="0.3" footer="0.3"/>
  <pageSetup paperSize="9" orientation="portrait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2CE266-7354-4E13-8D31-16F4AB5EFEED}">
  <sheetPr>
    <tabColor theme="4" tint="0.39997558519241921"/>
  </sheetPr>
  <dimension ref="A1:I247"/>
  <sheetViews>
    <sheetView zoomScale="115" zoomScaleNormal="115" workbookViewId="0">
      <selection activeCell="A68" sqref="A68"/>
    </sheetView>
  </sheetViews>
  <sheetFormatPr defaultRowHeight="15" x14ac:dyDescent="0.25"/>
  <cols>
    <col min="1" max="1" width="20.875" style="4" customWidth="1"/>
    <col min="2" max="3" width="20.5" style="4" customWidth="1"/>
    <col min="4" max="4" width="28.25" style="4" customWidth="1"/>
    <col min="5" max="5" width="32.875" style="13" customWidth="1"/>
    <col min="6" max="6" width="32.75" style="13" customWidth="1"/>
    <col min="7" max="7" width="36.5" customWidth="1"/>
    <col min="8" max="8" width="32.25" customWidth="1"/>
    <col min="9" max="9" width="34.875" style="19" customWidth="1"/>
    <col min="12" max="13" width="15.125" customWidth="1"/>
    <col min="14" max="14" width="11.125" customWidth="1"/>
  </cols>
  <sheetData>
    <row r="1" spans="1:9" ht="14.25" x14ac:dyDescent="0.2">
      <c r="A1" s="2" t="s">
        <v>23</v>
      </c>
      <c r="B1" s="2" t="s">
        <v>24</v>
      </c>
      <c r="C1" s="2" t="s">
        <v>25</v>
      </c>
      <c r="D1" s="2" t="s">
        <v>28</v>
      </c>
      <c r="E1" s="2" t="s">
        <v>29</v>
      </c>
      <c r="F1" s="2" t="s">
        <v>32</v>
      </c>
      <c r="G1" s="29" t="s">
        <v>33</v>
      </c>
      <c r="H1" s="38" t="s">
        <v>38</v>
      </c>
    </row>
    <row r="2" spans="1:9" x14ac:dyDescent="0.25">
      <c r="A2" s="6">
        <v>1</v>
      </c>
      <c r="B2" s="6">
        <v>113.486448</v>
      </c>
      <c r="C2" s="6">
        <v>22.96558825</v>
      </c>
      <c r="D2" s="6">
        <v>1785</v>
      </c>
      <c r="E2" s="17">
        <v>1785</v>
      </c>
      <c r="F2" s="17">
        <v>5</v>
      </c>
      <c r="G2" s="9">
        <f>COUNT(A5:A233)</f>
        <v>229</v>
      </c>
      <c r="H2" s="39"/>
    </row>
    <row r="3" spans="1:9" x14ac:dyDescent="0.25">
      <c r="A3" s="3"/>
      <c r="B3" s="3"/>
      <c r="C3" s="3"/>
      <c r="D3" s="3"/>
    </row>
    <row r="4" spans="1:9" ht="14.25" x14ac:dyDescent="0.2">
      <c r="A4" s="2" t="s">
        <v>37</v>
      </c>
      <c r="B4" s="2" t="s">
        <v>26</v>
      </c>
      <c r="C4" s="2" t="s">
        <v>27</v>
      </c>
      <c r="D4" s="2" t="s">
        <v>30</v>
      </c>
      <c r="E4" s="31" t="s">
        <v>40</v>
      </c>
      <c r="F4" s="31" t="s">
        <v>31</v>
      </c>
      <c r="G4" s="2" t="s">
        <v>35</v>
      </c>
      <c r="H4" s="2" t="s">
        <v>36</v>
      </c>
      <c r="I4" s="32" t="s">
        <v>34</v>
      </c>
    </row>
    <row r="5" spans="1:9" x14ac:dyDescent="0.25">
      <c r="A5" s="3">
        <v>2442</v>
      </c>
      <c r="B5" s="3">
        <v>113.4866949</v>
      </c>
      <c r="C5" s="3">
        <v>22.965071569999999</v>
      </c>
      <c r="D5" s="3">
        <v>1</v>
      </c>
      <c r="E5" s="30">
        <f t="shared" ref="E5:E68" si="0">SQRT((B5-$B$2)^2+(C5-$C$2)^2)</f>
        <v>5.7264110261511978E-4</v>
      </c>
      <c r="F5" s="30">
        <f t="shared" ref="F5:F68" si="1">SQRT(1/E5)</f>
        <v>41.788688494385376</v>
      </c>
      <c r="G5" s="14">
        <f>F5/$F$235*$D$2</f>
        <v>32.078260015832107</v>
      </c>
      <c r="H5" s="14">
        <f>F5/$F$235*$E$2</f>
        <v>32.078260015832107</v>
      </c>
      <c r="I5" s="33" t="str">
        <f t="shared" ref="I5:I68" si="2">IF(MOD(ROW()-1,3)=1,"选中","")</f>
        <v>选中</v>
      </c>
    </row>
    <row r="6" spans="1:9" hidden="1" x14ac:dyDescent="0.25">
      <c r="A6" s="3">
        <v>2406</v>
      </c>
      <c r="B6" s="3">
        <v>113.4803481</v>
      </c>
      <c r="C6" s="3">
        <v>22.96489888</v>
      </c>
      <c r="D6" s="3">
        <v>1</v>
      </c>
      <c r="E6" s="13">
        <f t="shared" si="0"/>
        <v>6.1387304067569383E-3</v>
      </c>
      <c r="F6" s="13">
        <f t="shared" si="1"/>
        <v>12.763233643827874</v>
      </c>
      <c r="G6" s="14"/>
      <c r="H6" s="14"/>
      <c r="I6" s="25" t="str">
        <f t="shared" si="2"/>
        <v/>
      </c>
    </row>
    <row r="7" spans="1:9" hidden="1" x14ac:dyDescent="0.25">
      <c r="A7" s="3">
        <v>2827</v>
      </c>
      <c r="B7" s="3">
        <v>113.4838044</v>
      </c>
      <c r="C7" s="3">
        <v>22.956692570000001</v>
      </c>
      <c r="D7" s="3">
        <v>1</v>
      </c>
      <c r="E7" s="13">
        <f t="shared" si="0"/>
        <v>9.2801801503185379E-3</v>
      </c>
      <c r="F7" s="13">
        <f t="shared" si="1"/>
        <v>10.380584224364105</v>
      </c>
      <c r="G7" s="14"/>
      <c r="H7" s="14"/>
      <c r="I7" s="25" t="str">
        <f t="shared" si="2"/>
        <v/>
      </c>
    </row>
    <row r="8" spans="1:9" x14ac:dyDescent="0.25">
      <c r="A8" s="3">
        <v>2180</v>
      </c>
      <c r="B8" s="3">
        <v>113.49718369999999</v>
      </c>
      <c r="C8" s="3">
        <v>22.976280249999999</v>
      </c>
      <c r="D8" s="3">
        <v>1</v>
      </c>
      <c r="E8" s="30">
        <f t="shared" si="0"/>
        <v>1.5151703484754763E-2</v>
      </c>
      <c r="F8" s="30">
        <f t="shared" si="1"/>
        <v>8.1239879142330977</v>
      </c>
      <c r="G8" s="14">
        <f>F8/$F$235*$D$2</f>
        <v>6.2362186052635007</v>
      </c>
      <c r="H8" s="14">
        <f>F8/$F$235*$E$2</f>
        <v>6.2362186052635007</v>
      </c>
      <c r="I8" s="33" t="str">
        <f t="shared" si="2"/>
        <v>选中</v>
      </c>
    </row>
    <row r="9" spans="1:9" hidden="1" x14ac:dyDescent="0.25">
      <c r="A9" s="3">
        <v>2151</v>
      </c>
      <c r="B9" s="3">
        <v>113.469596</v>
      </c>
      <c r="C9" s="3">
        <v>22.974878990000001</v>
      </c>
      <c r="D9" s="3">
        <v>1</v>
      </c>
      <c r="E9" s="13">
        <f t="shared" si="0"/>
        <v>1.92433820766418E-2</v>
      </c>
      <c r="F9" s="13">
        <f t="shared" si="1"/>
        <v>7.2087389478719341</v>
      </c>
      <c r="G9" s="14"/>
      <c r="H9" s="14"/>
      <c r="I9" s="25" t="str">
        <f t="shared" si="2"/>
        <v/>
      </c>
    </row>
    <row r="10" spans="1:9" hidden="1" x14ac:dyDescent="0.25">
      <c r="A10" s="3">
        <v>3289</v>
      </c>
      <c r="B10" s="3">
        <v>113.4688726</v>
      </c>
      <c r="C10" s="3">
        <v>22.945997349999999</v>
      </c>
      <c r="D10" s="3">
        <v>1</v>
      </c>
      <c r="E10" s="13">
        <f t="shared" si="0"/>
        <v>2.6319157432751743E-2</v>
      </c>
      <c r="F10" s="13">
        <f t="shared" si="1"/>
        <v>6.164019572442001</v>
      </c>
      <c r="G10" s="14"/>
      <c r="H10" s="14"/>
      <c r="I10" s="25" t="str">
        <f t="shared" si="2"/>
        <v/>
      </c>
    </row>
    <row r="11" spans="1:9" x14ac:dyDescent="0.25">
      <c r="A11" s="3">
        <v>2399</v>
      </c>
      <c r="B11" s="3">
        <v>113.4815972</v>
      </c>
      <c r="C11" s="3">
        <v>22.96761038</v>
      </c>
      <c r="D11" s="3">
        <v>1</v>
      </c>
      <c r="E11" s="30">
        <f t="shared" si="0"/>
        <v>5.2554039213841058E-3</v>
      </c>
      <c r="F11" s="30">
        <f t="shared" si="1"/>
        <v>13.794213694071452</v>
      </c>
      <c r="G11" s="14">
        <f>F11/$F$235*$D$2</f>
        <v>10.588855250909068</v>
      </c>
      <c r="H11" s="14">
        <f>F11/$F$235*$E$2</f>
        <v>10.588855250909068</v>
      </c>
      <c r="I11" s="33" t="str">
        <f t="shared" si="2"/>
        <v>选中</v>
      </c>
    </row>
    <row r="12" spans="1:9" hidden="1" x14ac:dyDescent="0.25">
      <c r="A12" s="3">
        <v>2187</v>
      </c>
      <c r="B12" s="3">
        <v>113.49681560000001</v>
      </c>
      <c r="C12" s="3">
        <v>22.973931149999999</v>
      </c>
      <c r="D12" s="3">
        <v>1</v>
      </c>
      <c r="E12" s="13">
        <f t="shared" si="0"/>
        <v>1.3307558384999559E-2</v>
      </c>
      <c r="F12" s="13">
        <f t="shared" si="1"/>
        <v>8.6686368535671452</v>
      </c>
      <c r="G12" s="14"/>
      <c r="H12" s="14"/>
      <c r="I12" s="25" t="str">
        <f t="shared" si="2"/>
        <v/>
      </c>
    </row>
    <row r="13" spans="1:9" hidden="1" x14ac:dyDescent="0.25">
      <c r="A13" s="3">
        <v>16</v>
      </c>
      <c r="B13" s="3">
        <v>113.5102857</v>
      </c>
      <c r="C13" s="3">
        <v>22.970311720000002</v>
      </c>
      <c r="D13" s="3">
        <v>1</v>
      </c>
      <c r="E13" s="13">
        <f t="shared" si="0"/>
        <v>2.4301175077164158E-2</v>
      </c>
      <c r="F13" s="13">
        <f t="shared" si="1"/>
        <v>6.4148478911986713</v>
      </c>
      <c r="G13" s="14">
        <f>F13/$F$124*$D$2</f>
        <v>986.65221940703066</v>
      </c>
      <c r="H13" s="14"/>
      <c r="I13" s="25" t="str">
        <f t="shared" si="2"/>
        <v/>
      </c>
    </row>
    <row r="14" spans="1:9" x14ac:dyDescent="0.25">
      <c r="A14" s="3">
        <v>2457</v>
      </c>
      <c r="B14" s="3">
        <v>113.485653</v>
      </c>
      <c r="C14" s="3">
        <v>22.968616950000001</v>
      </c>
      <c r="D14" s="3">
        <v>1</v>
      </c>
      <c r="E14" s="30">
        <f t="shared" si="0"/>
        <v>3.1313014371030933E-3</v>
      </c>
      <c r="F14" s="30">
        <f t="shared" si="1"/>
        <v>17.87053528514269</v>
      </c>
      <c r="G14" s="14">
        <f>F14/$F$235*$D$2</f>
        <v>13.717962878302123</v>
      </c>
      <c r="H14" s="14">
        <f>F14/$F$235*$E$2</f>
        <v>13.717962878302123</v>
      </c>
      <c r="I14" s="33" t="str">
        <f t="shared" si="2"/>
        <v>选中</v>
      </c>
    </row>
    <row r="15" spans="1:9" hidden="1" x14ac:dyDescent="0.25">
      <c r="A15" s="3">
        <v>2398</v>
      </c>
      <c r="B15" s="3">
        <v>113.48163630000001</v>
      </c>
      <c r="C15" s="3">
        <v>22.967911369999999</v>
      </c>
      <c r="D15" s="3">
        <v>1</v>
      </c>
      <c r="E15" s="13">
        <f t="shared" si="0"/>
        <v>5.3431585625272207E-3</v>
      </c>
      <c r="F15" s="13">
        <f t="shared" si="1"/>
        <v>13.680468447972933</v>
      </c>
      <c r="G15" s="14"/>
      <c r="H15" s="14"/>
      <c r="I15" s="25" t="str">
        <f t="shared" si="2"/>
        <v/>
      </c>
    </row>
    <row r="16" spans="1:9" hidden="1" x14ac:dyDescent="0.25">
      <c r="A16" s="3">
        <v>2388</v>
      </c>
      <c r="B16" s="3">
        <v>113.4796024</v>
      </c>
      <c r="C16" s="3">
        <v>22.967451610000001</v>
      </c>
      <c r="D16" s="3">
        <v>1</v>
      </c>
      <c r="E16" s="13">
        <f t="shared" si="0"/>
        <v>7.0946705243785449E-3</v>
      </c>
      <c r="F16" s="13">
        <f t="shared" si="1"/>
        <v>11.872273262856931</v>
      </c>
      <c r="G16" s="14"/>
      <c r="H16" s="14"/>
      <c r="I16" s="25" t="str">
        <f t="shared" si="2"/>
        <v/>
      </c>
    </row>
    <row r="17" spans="1:9" x14ac:dyDescent="0.25">
      <c r="A17" s="3">
        <v>2823</v>
      </c>
      <c r="B17" s="3">
        <v>113.4819901</v>
      </c>
      <c r="C17" s="3">
        <v>22.959126170000001</v>
      </c>
      <c r="D17" s="3">
        <v>1</v>
      </c>
      <c r="E17" s="30">
        <f t="shared" si="0"/>
        <v>7.850563695449184E-3</v>
      </c>
      <c r="F17" s="30">
        <f t="shared" si="1"/>
        <v>11.286247743592947</v>
      </c>
      <c r="G17" s="14">
        <f>F17/$F$235*$D$2</f>
        <v>8.6636648041901623</v>
      </c>
      <c r="H17" s="14">
        <f>F17/$F$235*$E$2</f>
        <v>8.6636648041901623</v>
      </c>
      <c r="I17" s="33" t="str">
        <f t="shared" si="2"/>
        <v>选中</v>
      </c>
    </row>
    <row r="18" spans="1:9" hidden="1" x14ac:dyDescent="0.25">
      <c r="A18" s="3">
        <v>2402</v>
      </c>
      <c r="B18" s="3">
        <v>113.47943050000001</v>
      </c>
      <c r="C18" s="3">
        <v>22.972667869999999</v>
      </c>
      <c r="D18" s="3">
        <v>1</v>
      </c>
      <c r="E18" s="13">
        <f t="shared" si="0"/>
        <v>9.9682659271427033E-3</v>
      </c>
      <c r="F18" s="13">
        <f t="shared" si="1"/>
        <v>10.015904901001761</v>
      </c>
      <c r="G18" s="14"/>
      <c r="H18" s="14"/>
      <c r="I18" s="25" t="str">
        <f t="shared" si="2"/>
        <v/>
      </c>
    </row>
    <row r="19" spans="1:9" hidden="1" x14ac:dyDescent="0.25">
      <c r="A19" s="3">
        <v>2167</v>
      </c>
      <c r="B19" s="3">
        <v>113.48470709999999</v>
      </c>
      <c r="C19" s="3">
        <v>22.978830739999999</v>
      </c>
      <c r="D19" s="3">
        <v>1</v>
      </c>
      <c r="E19" s="13">
        <f t="shared" si="0"/>
        <v>1.3356431941581414E-2</v>
      </c>
      <c r="F19" s="13">
        <f t="shared" si="1"/>
        <v>8.6527622773844968</v>
      </c>
      <c r="G19" s="14"/>
      <c r="H19" s="14"/>
      <c r="I19" s="25" t="str">
        <f t="shared" si="2"/>
        <v/>
      </c>
    </row>
    <row r="20" spans="1:9" x14ac:dyDescent="0.25">
      <c r="A20" s="3">
        <v>2174</v>
      </c>
      <c r="B20" s="3">
        <v>113.4959051</v>
      </c>
      <c r="C20" s="3">
        <v>22.978650380000001</v>
      </c>
      <c r="D20" s="3">
        <v>1</v>
      </c>
      <c r="E20" s="30">
        <f t="shared" si="0"/>
        <v>1.6126251286242937E-2</v>
      </c>
      <c r="F20" s="30">
        <f t="shared" si="1"/>
        <v>7.8746867810206975</v>
      </c>
      <c r="G20" s="14">
        <f>F20/$F$235*$D$2</f>
        <v>6.0448475222848268</v>
      </c>
      <c r="H20" s="14">
        <f>F20/$F$235*$E$2</f>
        <v>6.0448475222848268</v>
      </c>
      <c r="I20" s="33" t="str">
        <f t="shared" si="2"/>
        <v>选中</v>
      </c>
    </row>
    <row r="21" spans="1:9" hidden="1" x14ac:dyDescent="0.25">
      <c r="A21" s="3">
        <v>3307</v>
      </c>
      <c r="B21" s="3">
        <v>113.48067330000001</v>
      </c>
      <c r="C21" s="3">
        <v>22.9488117</v>
      </c>
      <c r="D21" s="3">
        <v>1</v>
      </c>
      <c r="E21" s="13">
        <f t="shared" si="0"/>
        <v>1.7742598174798337E-2</v>
      </c>
      <c r="F21" s="13">
        <f t="shared" si="1"/>
        <v>7.5074317290467638</v>
      </c>
      <c r="G21" s="14"/>
      <c r="H21" s="14"/>
      <c r="I21" s="25" t="str">
        <f t="shared" si="2"/>
        <v/>
      </c>
    </row>
    <row r="22" spans="1:9" hidden="1" x14ac:dyDescent="0.25">
      <c r="A22" s="3">
        <v>2376</v>
      </c>
      <c r="B22" s="3">
        <v>113.4658969</v>
      </c>
      <c r="C22" s="3">
        <v>22.966059730000001</v>
      </c>
      <c r="D22" s="3">
        <v>1</v>
      </c>
      <c r="E22" s="13">
        <f t="shared" si="0"/>
        <v>2.0556507597353606E-2</v>
      </c>
      <c r="F22" s="13">
        <f t="shared" si="1"/>
        <v>6.9746968080506413</v>
      </c>
      <c r="G22" s="14"/>
      <c r="H22" s="14"/>
      <c r="I22" s="25" t="str">
        <f t="shared" si="2"/>
        <v/>
      </c>
    </row>
    <row r="23" spans="1:9" x14ac:dyDescent="0.25">
      <c r="A23" s="3">
        <v>3314</v>
      </c>
      <c r="B23" s="3">
        <v>113.5039292</v>
      </c>
      <c r="C23" s="3">
        <v>22.948580289999999</v>
      </c>
      <c r="D23" s="3">
        <v>1</v>
      </c>
      <c r="E23" s="30">
        <f t="shared" si="0"/>
        <v>2.438981461187921E-2</v>
      </c>
      <c r="F23" s="30">
        <f t="shared" si="1"/>
        <v>6.4031805885928863</v>
      </c>
      <c r="G23" s="14">
        <f>F23/$F$235*$D$2</f>
        <v>4.9152749045189319</v>
      </c>
      <c r="H23" s="14">
        <f>F23/$F$235*$E$2</f>
        <v>4.9152749045189319</v>
      </c>
      <c r="I23" s="33" t="str">
        <f t="shared" si="2"/>
        <v>选中</v>
      </c>
    </row>
    <row r="24" spans="1:9" hidden="1" x14ac:dyDescent="0.25">
      <c r="A24" s="3">
        <v>2195</v>
      </c>
      <c r="B24" s="3">
        <v>113.5194079</v>
      </c>
      <c r="C24" s="3">
        <v>22.975307489999999</v>
      </c>
      <c r="D24" s="3">
        <v>1</v>
      </c>
      <c r="E24" s="13">
        <f t="shared" si="0"/>
        <v>3.436304168999238E-2</v>
      </c>
      <c r="F24" s="13">
        <f t="shared" si="1"/>
        <v>5.3945373020440694</v>
      </c>
      <c r="G24" s="14"/>
      <c r="H24" s="14"/>
      <c r="I24" s="25" t="str">
        <f t="shared" si="2"/>
        <v/>
      </c>
    </row>
    <row r="25" spans="1:9" hidden="1" x14ac:dyDescent="0.25">
      <c r="A25" s="3">
        <v>2421</v>
      </c>
      <c r="B25" s="3">
        <v>113.48732579999999</v>
      </c>
      <c r="C25" s="3">
        <v>22.968075169999999</v>
      </c>
      <c r="D25" s="3">
        <v>1</v>
      </c>
      <c r="E25" s="13">
        <f t="shared" si="0"/>
        <v>2.6372910204206694E-3</v>
      </c>
      <c r="F25" s="13">
        <f t="shared" si="1"/>
        <v>19.472466796094995</v>
      </c>
      <c r="G25" s="14"/>
      <c r="H25" s="14"/>
      <c r="I25" s="25" t="str">
        <f t="shared" si="2"/>
        <v/>
      </c>
    </row>
    <row r="26" spans="1:9" x14ac:dyDescent="0.25">
      <c r="A26" s="3">
        <v>2818</v>
      </c>
      <c r="B26" s="3">
        <v>113.4815856</v>
      </c>
      <c r="C26" s="3">
        <v>22.960540380000001</v>
      </c>
      <c r="D26" s="3">
        <v>1</v>
      </c>
      <c r="E26" s="30">
        <f t="shared" si="0"/>
        <v>7.0088462172328714E-3</v>
      </c>
      <c r="F26" s="30">
        <f t="shared" si="1"/>
        <v>11.944740921172498</v>
      </c>
      <c r="G26" s="14">
        <f>F26/$F$235*$D$2</f>
        <v>9.1691440649687426</v>
      </c>
      <c r="H26" s="14">
        <f>F26/$F$235*$E$2</f>
        <v>9.1691440649687426</v>
      </c>
      <c r="I26" s="33" t="str">
        <f t="shared" si="2"/>
        <v>选中</v>
      </c>
    </row>
    <row r="27" spans="1:9" hidden="1" x14ac:dyDescent="0.25">
      <c r="A27" s="3">
        <v>2408</v>
      </c>
      <c r="B27" s="3">
        <v>113.48003749999999</v>
      </c>
      <c r="C27" s="3">
        <v>22.97308846</v>
      </c>
      <c r="D27" s="3">
        <v>1</v>
      </c>
      <c r="E27" s="13">
        <f t="shared" si="0"/>
        <v>9.8664917926339912E-3</v>
      </c>
      <c r="F27" s="13">
        <f t="shared" si="1"/>
        <v>10.067430044758918</v>
      </c>
      <c r="G27" s="14"/>
      <c r="H27" s="14"/>
      <c r="I27" s="25" t="str">
        <f t="shared" si="2"/>
        <v/>
      </c>
    </row>
    <row r="28" spans="1:9" hidden="1" x14ac:dyDescent="0.25">
      <c r="A28" s="3">
        <v>2410</v>
      </c>
      <c r="B28" s="3">
        <v>113.4719978</v>
      </c>
      <c r="C28" s="3">
        <v>22.972723590000001</v>
      </c>
      <c r="D28" s="3">
        <v>1</v>
      </c>
      <c r="E28" s="13">
        <f t="shared" si="0"/>
        <v>1.6115872826365524E-2</v>
      </c>
      <c r="F28" s="13">
        <f t="shared" si="1"/>
        <v>7.8772219824354357</v>
      </c>
      <c r="G28" s="14"/>
      <c r="H28" s="14"/>
      <c r="I28" s="25" t="str">
        <f t="shared" si="2"/>
        <v/>
      </c>
    </row>
    <row r="29" spans="1:9" x14ac:dyDescent="0.25">
      <c r="A29" s="3">
        <v>2814</v>
      </c>
      <c r="B29" s="3">
        <v>113.46646699999999</v>
      </c>
      <c r="C29" s="3">
        <v>22.960779519999999</v>
      </c>
      <c r="D29" s="3">
        <v>1</v>
      </c>
      <c r="E29" s="30">
        <f t="shared" si="0"/>
        <v>2.0551502261707294E-2</v>
      </c>
      <c r="F29" s="30">
        <f t="shared" si="1"/>
        <v>6.9755461029765629</v>
      </c>
      <c r="G29" s="14">
        <f>F29/$F$235*$D$2</f>
        <v>5.3546399685113553</v>
      </c>
      <c r="H29" s="14">
        <f>F29/$F$235*$E$2</f>
        <v>5.3546399685113553</v>
      </c>
      <c r="I29" s="33" t="str">
        <f t="shared" si="2"/>
        <v>选中</v>
      </c>
    </row>
    <row r="30" spans="1:9" hidden="1" x14ac:dyDescent="0.25">
      <c r="A30" s="3">
        <v>2193</v>
      </c>
      <c r="B30" s="3">
        <v>113.51612059999999</v>
      </c>
      <c r="C30" s="3">
        <v>22.981409679999999</v>
      </c>
      <c r="D30" s="3">
        <v>1</v>
      </c>
      <c r="E30" s="13">
        <f t="shared" si="0"/>
        <v>3.3627084887107597E-2</v>
      </c>
      <c r="F30" s="13">
        <f t="shared" si="1"/>
        <v>5.4532497722517812</v>
      </c>
      <c r="G30" s="14"/>
      <c r="H30" s="14"/>
      <c r="I30" s="25" t="str">
        <f t="shared" si="2"/>
        <v/>
      </c>
    </row>
    <row r="31" spans="1:9" hidden="1" x14ac:dyDescent="0.25">
      <c r="A31" s="3">
        <v>2419</v>
      </c>
      <c r="B31" s="3">
        <v>113.4866856</v>
      </c>
      <c r="C31" s="3">
        <v>22.96833814</v>
      </c>
      <c r="D31" s="3">
        <v>1</v>
      </c>
      <c r="E31" s="13">
        <f t="shared" si="0"/>
        <v>2.7601356437873185E-3</v>
      </c>
      <c r="F31" s="13">
        <f t="shared" si="1"/>
        <v>19.034206965998131</v>
      </c>
      <c r="G31" s="14"/>
      <c r="H31" s="14"/>
      <c r="I31" s="25" t="str">
        <f t="shared" si="2"/>
        <v/>
      </c>
    </row>
    <row r="32" spans="1:9" x14ac:dyDescent="0.25">
      <c r="A32" s="3">
        <v>2430</v>
      </c>
      <c r="B32" s="3">
        <v>113.4916008</v>
      </c>
      <c r="C32" s="3">
        <v>22.967236339999999</v>
      </c>
      <c r="D32" s="3">
        <v>1</v>
      </c>
      <c r="E32" s="30">
        <f t="shared" si="0"/>
        <v>5.4099490282393603E-3</v>
      </c>
      <c r="F32" s="30">
        <f t="shared" si="1"/>
        <v>13.59575761449182</v>
      </c>
      <c r="G32" s="14">
        <f>F32/$F$235*$D$2</f>
        <v>10.436514367482363</v>
      </c>
      <c r="H32" s="14">
        <f>F32/$F$235*$E$2</f>
        <v>10.436514367482363</v>
      </c>
      <c r="I32" s="33" t="str">
        <f t="shared" si="2"/>
        <v>选中</v>
      </c>
    </row>
    <row r="33" spans="1:9" hidden="1" x14ac:dyDescent="0.25">
      <c r="A33" s="3">
        <v>2435</v>
      </c>
      <c r="B33" s="3">
        <v>113.48212770000001</v>
      </c>
      <c r="C33" s="3">
        <v>22.971022479999998</v>
      </c>
      <c r="D33" s="3">
        <v>1</v>
      </c>
      <c r="E33" s="13">
        <f t="shared" si="0"/>
        <v>6.9423229385266296E-3</v>
      </c>
      <c r="F33" s="13">
        <f t="shared" si="1"/>
        <v>12.001833401197409</v>
      </c>
      <c r="G33" s="14"/>
      <c r="H33" s="14"/>
      <c r="I33" s="25" t="str">
        <f t="shared" si="2"/>
        <v/>
      </c>
    </row>
    <row r="34" spans="1:9" hidden="1" x14ac:dyDescent="0.25">
      <c r="A34" s="3">
        <v>2455</v>
      </c>
      <c r="B34" s="3">
        <v>113.4882417</v>
      </c>
      <c r="C34" s="3">
        <v>22.97340561</v>
      </c>
      <c r="D34" s="3">
        <v>1</v>
      </c>
      <c r="E34" s="13">
        <f t="shared" si="0"/>
        <v>8.0205035415263706E-3</v>
      </c>
      <c r="F34" s="13">
        <f t="shared" si="1"/>
        <v>11.166040083621516</v>
      </c>
      <c r="G34" s="14"/>
      <c r="H34" s="14"/>
      <c r="I34" s="25" t="str">
        <f t="shared" si="2"/>
        <v/>
      </c>
    </row>
    <row r="35" spans="1:9" x14ac:dyDescent="0.25">
      <c r="A35" s="3">
        <v>2466</v>
      </c>
      <c r="B35" s="3">
        <v>113.4944675</v>
      </c>
      <c r="C35" s="3">
        <v>22.971462150000001</v>
      </c>
      <c r="D35" s="3">
        <v>1</v>
      </c>
      <c r="E35" s="30">
        <f t="shared" si="0"/>
        <v>9.9405775214553085E-3</v>
      </c>
      <c r="F35" s="30">
        <f t="shared" si="1"/>
        <v>10.029844312056472</v>
      </c>
      <c r="G35" s="14">
        <f>F35/$F$235*$D$2</f>
        <v>7.699211565438107</v>
      </c>
      <c r="H35" s="14">
        <f>F35/$F$235*$E$2</f>
        <v>7.699211565438107</v>
      </c>
      <c r="I35" s="33" t="str">
        <f t="shared" si="2"/>
        <v>选中</v>
      </c>
    </row>
    <row r="36" spans="1:9" hidden="1" x14ac:dyDescent="0.25">
      <c r="A36" s="3">
        <v>2380</v>
      </c>
      <c r="B36" s="3">
        <v>113.4732131</v>
      </c>
      <c r="C36" s="3">
        <v>22.967954049999999</v>
      </c>
      <c r="D36" s="3">
        <v>1</v>
      </c>
      <c r="E36" s="13">
        <f t="shared" si="0"/>
        <v>1.3444686223561035E-2</v>
      </c>
      <c r="F36" s="13">
        <f t="shared" si="1"/>
        <v>8.6243160709909699</v>
      </c>
      <c r="G36" s="14"/>
      <c r="H36" s="14"/>
      <c r="I36" s="25" t="str">
        <f t="shared" si="2"/>
        <v/>
      </c>
    </row>
    <row r="37" spans="1:9" hidden="1" x14ac:dyDescent="0.25">
      <c r="A37" s="3">
        <v>2172</v>
      </c>
      <c r="B37" s="3">
        <v>113.4969016</v>
      </c>
      <c r="C37" s="3">
        <v>22.97784073</v>
      </c>
      <c r="D37" s="3">
        <v>1</v>
      </c>
      <c r="E37" s="13">
        <f t="shared" si="0"/>
        <v>1.6105931178001777E-2</v>
      </c>
      <c r="F37" s="13">
        <f t="shared" si="1"/>
        <v>7.8796527791701303</v>
      </c>
      <c r="G37" s="14"/>
      <c r="H37" s="14"/>
      <c r="I37" s="25" t="str">
        <f t="shared" si="2"/>
        <v/>
      </c>
    </row>
    <row r="38" spans="1:9" x14ac:dyDescent="0.25">
      <c r="A38" s="3">
        <v>2176</v>
      </c>
      <c r="B38" s="3">
        <v>113.4988795</v>
      </c>
      <c r="C38" s="3">
        <v>22.97855036</v>
      </c>
      <c r="D38" s="3">
        <v>1</v>
      </c>
      <c r="E38" s="30">
        <f t="shared" si="0"/>
        <v>1.7959913360098213E-2</v>
      </c>
      <c r="F38" s="30">
        <f t="shared" si="1"/>
        <v>7.461873484988331</v>
      </c>
      <c r="G38" s="14">
        <f>F38/$F$235*$D$2</f>
        <v>5.7279595622834467</v>
      </c>
      <c r="H38" s="14">
        <f>F38/$F$235*$E$2</f>
        <v>5.7279595622834467</v>
      </c>
      <c r="I38" s="33" t="str">
        <f t="shared" si="2"/>
        <v>选中</v>
      </c>
    </row>
    <row r="39" spans="1:9" hidden="1" x14ac:dyDescent="0.25">
      <c r="A39" s="3">
        <v>2173</v>
      </c>
      <c r="B39" s="3">
        <v>113.50114240000001</v>
      </c>
      <c r="C39" s="3">
        <v>22.979959539999999</v>
      </c>
      <c r="D39" s="3">
        <v>1</v>
      </c>
      <c r="E39" s="13">
        <f t="shared" si="0"/>
        <v>2.0553816376147716E-2</v>
      </c>
      <c r="F39" s="13">
        <f t="shared" si="1"/>
        <v>6.975153410299642</v>
      </c>
      <c r="G39" s="14"/>
      <c r="H39" s="14"/>
      <c r="I39" s="25" t="str">
        <f t="shared" si="2"/>
        <v/>
      </c>
    </row>
    <row r="40" spans="1:9" hidden="1" x14ac:dyDescent="0.25">
      <c r="A40" s="3">
        <v>3882</v>
      </c>
      <c r="B40" s="3">
        <v>113.4803266</v>
      </c>
      <c r="C40" s="3">
        <v>22.94178367</v>
      </c>
      <c r="D40" s="3">
        <v>1</v>
      </c>
      <c r="E40" s="13">
        <f t="shared" si="0"/>
        <v>2.4579047315475479E-2</v>
      </c>
      <c r="F40" s="13">
        <f t="shared" si="1"/>
        <v>6.3784840988248366</v>
      </c>
      <c r="G40" s="14"/>
      <c r="H40" s="14"/>
      <c r="I40" s="25" t="str">
        <f t="shared" si="2"/>
        <v/>
      </c>
    </row>
    <row r="41" spans="1:9" x14ac:dyDescent="0.25">
      <c r="A41" s="3">
        <v>1776</v>
      </c>
      <c r="B41" s="3">
        <v>113.4949696</v>
      </c>
      <c r="C41" s="3">
        <v>22.996970659999999</v>
      </c>
      <c r="D41" s="3">
        <v>1</v>
      </c>
      <c r="E41" s="30">
        <f t="shared" si="0"/>
        <v>3.2518814922567404E-2</v>
      </c>
      <c r="F41" s="30">
        <f t="shared" si="1"/>
        <v>5.5453970219546846</v>
      </c>
      <c r="G41" s="14">
        <f>F41/$F$235*$D$2</f>
        <v>4.2568143191472458</v>
      </c>
      <c r="H41" s="14">
        <f>F41/$F$235*$E$2</f>
        <v>4.2568143191472458</v>
      </c>
      <c r="I41" s="33" t="str">
        <f t="shared" si="2"/>
        <v>选中</v>
      </c>
    </row>
    <row r="42" spans="1:9" hidden="1" x14ac:dyDescent="0.25">
      <c r="A42" s="3">
        <v>2431</v>
      </c>
      <c r="B42" s="3">
        <v>113.4843656</v>
      </c>
      <c r="C42" s="3">
        <v>22.968361229999999</v>
      </c>
      <c r="D42" s="3">
        <v>1</v>
      </c>
      <c r="E42" s="13">
        <f t="shared" si="0"/>
        <v>3.4678246553659759E-3</v>
      </c>
      <c r="F42" s="13">
        <f t="shared" si="1"/>
        <v>16.981319569721311</v>
      </c>
      <c r="G42" s="14"/>
      <c r="H42" s="14"/>
      <c r="I42" s="25" t="str">
        <f t="shared" si="2"/>
        <v/>
      </c>
    </row>
    <row r="43" spans="1:9" hidden="1" x14ac:dyDescent="0.25">
      <c r="A43" s="3">
        <v>2452</v>
      </c>
      <c r="B43" s="3">
        <v>113.4917682</v>
      </c>
      <c r="C43" s="3">
        <v>22.969744769999998</v>
      </c>
      <c r="D43" s="3">
        <v>1</v>
      </c>
      <c r="E43" s="13">
        <f t="shared" si="0"/>
        <v>6.7513840470223357E-3</v>
      </c>
      <c r="F43" s="13">
        <f t="shared" si="1"/>
        <v>12.170364722804784</v>
      </c>
      <c r="G43" s="14"/>
      <c r="H43" s="14"/>
      <c r="I43" s="25" t="str">
        <f t="shared" si="2"/>
        <v/>
      </c>
    </row>
    <row r="44" spans="1:9" x14ac:dyDescent="0.25">
      <c r="A44" s="3">
        <v>2465</v>
      </c>
      <c r="B44" s="3">
        <v>113.4945709</v>
      </c>
      <c r="C44" s="3">
        <v>22.971445469999999</v>
      </c>
      <c r="D44" s="3">
        <v>1</v>
      </c>
      <c r="E44" s="30">
        <f t="shared" si="0"/>
        <v>1.001441613567414E-2</v>
      </c>
      <c r="F44" s="30">
        <f t="shared" si="1"/>
        <v>9.9927997162484132</v>
      </c>
      <c r="G44" s="14">
        <f>F44/$F$235*$D$2</f>
        <v>7.6707750143204052</v>
      </c>
      <c r="H44" s="14">
        <f>F44/$F$235*$E$2</f>
        <v>7.6707750143204052</v>
      </c>
      <c r="I44" s="33" t="str">
        <f t="shared" si="2"/>
        <v>选中</v>
      </c>
    </row>
    <row r="45" spans="1:9" hidden="1" x14ac:dyDescent="0.25">
      <c r="A45" s="3">
        <v>2816</v>
      </c>
      <c r="B45" s="3">
        <v>113.4727403</v>
      </c>
      <c r="C45" s="3">
        <v>22.957437219999999</v>
      </c>
      <c r="D45" s="3">
        <v>1</v>
      </c>
      <c r="E45" s="13">
        <f t="shared" si="0"/>
        <v>1.5948050957745402E-2</v>
      </c>
      <c r="F45" s="13">
        <f t="shared" si="1"/>
        <v>7.9185596515727958</v>
      </c>
      <c r="G45" s="14"/>
      <c r="H45" s="14"/>
      <c r="I45" s="25" t="str">
        <f t="shared" si="2"/>
        <v/>
      </c>
    </row>
    <row r="46" spans="1:9" hidden="1" x14ac:dyDescent="0.25">
      <c r="A46" s="3">
        <v>3300</v>
      </c>
      <c r="B46" s="3">
        <v>113.47641299999999</v>
      </c>
      <c r="C46" s="3">
        <v>22.947385950000001</v>
      </c>
      <c r="D46" s="3">
        <v>1</v>
      </c>
      <c r="E46" s="13">
        <f t="shared" si="0"/>
        <v>2.0785209892853911E-2</v>
      </c>
      <c r="F46" s="13">
        <f t="shared" si="1"/>
        <v>6.9362189351291068</v>
      </c>
      <c r="G46" s="14"/>
      <c r="H46" s="14"/>
      <c r="I46" s="25" t="str">
        <f t="shared" si="2"/>
        <v/>
      </c>
    </row>
    <row r="47" spans="1:9" x14ac:dyDescent="0.25">
      <c r="A47" s="3">
        <v>1949</v>
      </c>
      <c r="B47" s="3">
        <v>113.4982444</v>
      </c>
      <c r="C47" s="3">
        <v>22.992254549999998</v>
      </c>
      <c r="D47" s="3">
        <v>1</v>
      </c>
      <c r="E47" s="30">
        <f t="shared" si="0"/>
        <v>2.9158988470969521E-2</v>
      </c>
      <c r="F47" s="30">
        <f t="shared" si="1"/>
        <v>5.8561713140749152</v>
      </c>
      <c r="G47" s="14">
        <f>F47/$F$235*$D$2</f>
        <v>4.4953740564361606</v>
      </c>
      <c r="H47" s="14">
        <f>F47/$F$235*$E$2</f>
        <v>4.4953740564361606</v>
      </c>
      <c r="I47" s="33" t="str">
        <f t="shared" si="2"/>
        <v>选中</v>
      </c>
    </row>
    <row r="48" spans="1:9" hidden="1" x14ac:dyDescent="0.25">
      <c r="A48" s="3">
        <v>2433</v>
      </c>
      <c r="B48" s="3">
        <v>113.48468579999999</v>
      </c>
      <c r="C48" s="3">
        <v>22.967011759999998</v>
      </c>
      <c r="D48" s="3">
        <v>1</v>
      </c>
      <c r="E48" s="13">
        <f t="shared" si="0"/>
        <v>2.2653321081250164E-3</v>
      </c>
      <c r="F48" s="13">
        <f t="shared" si="1"/>
        <v>21.010387375216233</v>
      </c>
      <c r="G48" s="14"/>
      <c r="H48" s="14"/>
      <c r="I48" s="25" t="str">
        <f t="shared" si="2"/>
        <v/>
      </c>
    </row>
    <row r="49" spans="1:9" hidden="1" x14ac:dyDescent="0.25">
      <c r="A49" s="3">
        <v>2454</v>
      </c>
      <c r="B49" s="3">
        <v>113.4825134</v>
      </c>
      <c r="C49" s="3">
        <v>22.9659178</v>
      </c>
      <c r="D49" s="3">
        <v>1</v>
      </c>
      <c r="E49" s="13">
        <f t="shared" si="0"/>
        <v>3.9483769276059703E-3</v>
      </c>
      <c r="F49" s="13">
        <f t="shared" si="1"/>
        <v>15.914415671201827</v>
      </c>
      <c r="G49" s="14"/>
      <c r="H49" s="14"/>
      <c r="I49" s="25" t="str">
        <f t="shared" si="2"/>
        <v/>
      </c>
    </row>
    <row r="50" spans="1:9" x14ac:dyDescent="0.25">
      <c r="A50" s="3">
        <v>2461</v>
      </c>
      <c r="B50" s="3">
        <v>113.4850127</v>
      </c>
      <c r="C50" s="3">
        <v>22.970355300000001</v>
      </c>
      <c r="D50" s="3">
        <v>1</v>
      </c>
      <c r="E50" s="30">
        <f t="shared" si="0"/>
        <v>4.9784386902429183E-3</v>
      </c>
      <c r="F50" s="30">
        <f t="shared" si="1"/>
        <v>14.172726894221592</v>
      </c>
      <c r="G50" s="14">
        <f>F50/$F$235*$D$2</f>
        <v>10.879413420866287</v>
      </c>
      <c r="H50" s="14">
        <f>F50/$F$235*$E$2</f>
        <v>10.879413420866287</v>
      </c>
      <c r="I50" s="33" t="str">
        <f t="shared" si="2"/>
        <v>选中</v>
      </c>
    </row>
    <row r="51" spans="1:9" hidden="1" x14ac:dyDescent="0.25">
      <c r="A51" s="3">
        <v>2411</v>
      </c>
      <c r="B51" s="3">
        <v>113.481168</v>
      </c>
      <c r="C51" s="3">
        <v>22.96386373</v>
      </c>
      <c r="D51" s="3">
        <v>1</v>
      </c>
      <c r="E51" s="13">
        <f t="shared" si="0"/>
        <v>5.5544909064998357E-3</v>
      </c>
      <c r="F51" s="13">
        <f t="shared" si="1"/>
        <v>13.41769358873252</v>
      </c>
      <c r="G51" s="14"/>
      <c r="H51" s="14"/>
      <c r="I51" s="25" t="str">
        <f t="shared" si="2"/>
        <v/>
      </c>
    </row>
    <row r="52" spans="1:9" hidden="1" x14ac:dyDescent="0.25">
      <c r="A52" s="3">
        <v>2822</v>
      </c>
      <c r="B52" s="3">
        <v>113.48139089999999</v>
      </c>
      <c r="C52" s="3">
        <v>22.961160540000002</v>
      </c>
      <c r="D52" s="3">
        <v>1</v>
      </c>
      <c r="E52" s="13">
        <f t="shared" si="0"/>
        <v>6.7215233581460173E-3</v>
      </c>
      <c r="F52" s="13">
        <f t="shared" si="1"/>
        <v>12.197368478246529</v>
      </c>
      <c r="G52" s="14"/>
      <c r="H52" s="14"/>
      <c r="I52" s="25" t="str">
        <f t="shared" si="2"/>
        <v/>
      </c>
    </row>
    <row r="53" spans="1:9" x14ac:dyDescent="0.25">
      <c r="A53" s="3">
        <v>2445</v>
      </c>
      <c r="B53" s="3">
        <v>113.4855644</v>
      </c>
      <c r="C53" s="3">
        <v>22.972739910000001</v>
      </c>
      <c r="D53" s="3">
        <v>1</v>
      </c>
      <c r="E53" s="30">
        <f t="shared" si="0"/>
        <v>7.2060384203537411E-3</v>
      </c>
      <c r="F53" s="30">
        <f t="shared" si="1"/>
        <v>11.780174218691114</v>
      </c>
      <c r="G53" s="14">
        <f>F53/$F$235*$D$2</f>
        <v>9.0428176914369409</v>
      </c>
      <c r="H53" s="14">
        <f>F53/$F$235*$E$2</f>
        <v>9.0428176914369409</v>
      </c>
      <c r="I53" s="33" t="str">
        <f t="shared" si="2"/>
        <v>选中</v>
      </c>
    </row>
    <row r="54" spans="1:9" hidden="1" x14ac:dyDescent="0.25">
      <c r="A54" s="3">
        <v>2833</v>
      </c>
      <c r="B54" s="3">
        <v>113.4925435</v>
      </c>
      <c r="C54" s="3">
        <v>22.96083192</v>
      </c>
      <c r="D54" s="3">
        <v>1</v>
      </c>
      <c r="E54" s="13">
        <f t="shared" si="0"/>
        <v>7.7316101375393938E-3</v>
      </c>
      <c r="F54" s="13">
        <f t="shared" si="1"/>
        <v>11.372737801039801</v>
      </c>
      <c r="G54" s="14"/>
      <c r="H54" s="14"/>
      <c r="I54" s="25" t="str">
        <f t="shared" si="2"/>
        <v/>
      </c>
    </row>
    <row r="55" spans="1:9" hidden="1" x14ac:dyDescent="0.25">
      <c r="A55" s="3">
        <v>2387</v>
      </c>
      <c r="B55" s="3">
        <v>113.479546</v>
      </c>
      <c r="C55" s="3">
        <v>22.97007232</v>
      </c>
      <c r="D55" s="3">
        <v>1</v>
      </c>
      <c r="E55" s="13">
        <f t="shared" si="0"/>
        <v>8.2307039653273326E-3</v>
      </c>
      <c r="F55" s="13">
        <f t="shared" si="1"/>
        <v>11.022535574952988</v>
      </c>
      <c r="G55" s="14"/>
      <c r="H55" s="14"/>
      <c r="I55" s="25" t="str">
        <f t="shared" si="2"/>
        <v/>
      </c>
    </row>
    <row r="56" spans="1:9" x14ac:dyDescent="0.25">
      <c r="A56" s="3">
        <v>2825</v>
      </c>
      <c r="B56" s="3">
        <v>113.4914429</v>
      </c>
      <c r="C56" s="3">
        <v>22.957386079999999</v>
      </c>
      <c r="D56" s="3">
        <v>1</v>
      </c>
      <c r="E56" s="30">
        <f t="shared" si="0"/>
        <v>9.6033649685361468E-3</v>
      </c>
      <c r="F56" s="30">
        <f t="shared" si="1"/>
        <v>10.204419004282624</v>
      </c>
      <c r="G56" s="14">
        <f>F56/$F$235*$D$2</f>
        <v>7.8332203743091187</v>
      </c>
      <c r="H56" s="14">
        <f>F56/$F$235*$E$2</f>
        <v>7.8332203743091187</v>
      </c>
      <c r="I56" s="33" t="str">
        <f t="shared" si="2"/>
        <v>选中</v>
      </c>
    </row>
    <row r="57" spans="1:9" hidden="1" x14ac:dyDescent="0.25">
      <c r="A57" s="3">
        <v>2405</v>
      </c>
      <c r="B57" s="3">
        <v>113.47896489999999</v>
      </c>
      <c r="C57" s="3">
        <v>22.97331823</v>
      </c>
      <c r="D57" s="3">
        <v>1</v>
      </c>
      <c r="E57" s="13">
        <f t="shared" si="0"/>
        <v>1.0758688414971178E-2</v>
      </c>
      <c r="F57" s="13">
        <f t="shared" si="1"/>
        <v>9.6409611990693271</v>
      </c>
      <c r="G57" s="14"/>
      <c r="H57" s="14"/>
      <c r="I57" s="25" t="str">
        <f t="shared" si="2"/>
        <v/>
      </c>
    </row>
    <row r="58" spans="1:9" hidden="1" x14ac:dyDescent="0.25">
      <c r="A58" s="3">
        <v>2164</v>
      </c>
      <c r="B58" s="3">
        <v>113.4824083</v>
      </c>
      <c r="C58" s="3">
        <v>22.97771942</v>
      </c>
      <c r="D58" s="3">
        <v>1</v>
      </c>
      <c r="E58" s="13">
        <f t="shared" si="0"/>
        <v>1.278610424088748E-2</v>
      </c>
      <c r="F58" s="13">
        <f t="shared" si="1"/>
        <v>8.8436364215421648</v>
      </c>
      <c r="G58" s="14"/>
      <c r="H58" s="14"/>
      <c r="I58" s="25" t="str">
        <f t="shared" si="2"/>
        <v/>
      </c>
    </row>
    <row r="59" spans="1:9" x14ac:dyDescent="0.25">
      <c r="A59" s="3">
        <v>2184</v>
      </c>
      <c r="B59" s="3">
        <v>113.49717080000001</v>
      </c>
      <c r="C59" s="3">
        <v>22.975252650000002</v>
      </c>
      <c r="D59" s="3">
        <v>1</v>
      </c>
      <c r="E59" s="30">
        <f t="shared" si="0"/>
        <v>1.4435340910427565E-2</v>
      </c>
      <c r="F59" s="30">
        <f t="shared" si="1"/>
        <v>8.3231261596801858</v>
      </c>
      <c r="G59" s="14">
        <f>F59/$F$235*$D$2</f>
        <v>6.3890831398230512</v>
      </c>
      <c r="H59" s="14">
        <f>F59/$F$235*$E$2</f>
        <v>6.3890831398230512</v>
      </c>
      <c r="I59" s="33" t="str">
        <f t="shared" si="2"/>
        <v>选中</v>
      </c>
    </row>
    <row r="60" spans="1:9" hidden="1" x14ac:dyDescent="0.25">
      <c r="A60" s="3">
        <v>2157</v>
      </c>
      <c r="B60" s="3">
        <v>113.47504549999999</v>
      </c>
      <c r="C60" s="3">
        <v>22.976735470000001</v>
      </c>
      <c r="D60" s="3">
        <v>1</v>
      </c>
      <c r="E60" s="13">
        <f t="shared" si="0"/>
        <v>1.5946081649687339E-2</v>
      </c>
      <c r="F60" s="13">
        <f t="shared" si="1"/>
        <v>7.9190485993357367</v>
      </c>
      <c r="G60" s="14"/>
      <c r="H60" s="14"/>
      <c r="I60" s="25" t="str">
        <f t="shared" si="2"/>
        <v/>
      </c>
    </row>
    <row r="61" spans="1:9" hidden="1" x14ac:dyDescent="0.25">
      <c r="A61" s="3">
        <v>2170</v>
      </c>
      <c r="B61" s="3">
        <v>113.4972077</v>
      </c>
      <c r="C61" s="3">
        <v>22.977887630000001</v>
      </c>
      <c r="D61" s="3">
        <v>1</v>
      </c>
      <c r="E61" s="13">
        <f t="shared" si="0"/>
        <v>1.6341538864948522E-2</v>
      </c>
      <c r="F61" s="13">
        <f t="shared" si="1"/>
        <v>7.8226432433390221</v>
      </c>
      <c r="G61" s="14"/>
      <c r="H61" s="14"/>
      <c r="I61" s="25" t="str">
        <f t="shared" si="2"/>
        <v/>
      </c>
    </row>
    <row r="62" spans="1:9" x14ac:dyDescent="0.25">
      <c r="A62" s="3">
        <v>2379</v>
      </c>
      <c r="B62" s="3">
        <v>113.4700526</v>
      </c>
      <c r="C62" s="3">
        <v>22.971569670000001</v>
      </c>
      <c r="D62" s="3">
        <v>1</v>
      </c>
      <c r="E62" s="30">
        <f t="shared" si="0"/>
        <v>1.7452407466484236E-2</v>
      </c>
      <c r="F62" s="30">
        <f t="shared" si="1"/>
        <v>7.5695894947837576</v>
      </c>
      <c r="G62" s="14">
        <f>F62/$F$235*$D$2</f>
        <v>5.8106456262538408</v>
      </c>
      <c r="H62" s="14">
        <f>F62/$F$235*$E$2</f>
        <v>5.8106456262538408</v>
      </c>
      <c r="I62" s="33" t="str">
        <f t="shared" si="2"/>
        <v>选中</v>
      </c>
    </row>
    <row r="63" spans="1:9" hidden="1" x14ac:dyDescent="0.25">
      <c r="A63" s="3">
        <v>2177</v>
      </c>
      <c r="B63" s="3">
        <v>113.49907709999999</v>
      </c>
      <c r="C63" s="3">
        <v>22.979648480000002</v>
      </c>
      <c r="D63" s="3">
        <v>1</v>
      </c>
      <c r="E63" s="13">
        <f t="shared" si="0"/>
        <v>1.8899318359742616E-2</v>
      </c>
      <c r="F63" s="13">
        <f t="shared" si="1"/>
        <v>7.2740608474805688</v>
      </c>
      <c r="G63" s="14"/>
      <c r="H63" s="14"/>
      <c r="I63" s="25" t="str">
        <f t="shared" si="2"/>
        <v/>
      </c>
    </row>
    <row r="64" spans="1:9" hidden="1" x14ac:dyDescent="0.25">
      <c r="A64" s="3">
        <v>3302</v>
      </c>
      <c r="B64" s="3">
        <v>113.47530829999999</v>
      </c>
      <c r="C64" s="3">
        <v>22.94856828</v>
      </c>
      <c r="D64" s="3">
        <v>1</v>
      </c>
      <c r="E64" s="13">
        <f t="shared" si="0"/>
        <v>2.0341393631974101E-2</v>
      </c>
      <c r="F64" s="13">
        <f t="shared" si="1"/>
        <v>7.0114791672057741</v>
      </c>
      <c r="G64" s="14"/>
      <c r="H64" s="14"/>
      <c r="I64" s="25" t="str">
        <f t="shared" si="2"/>
        <v/>
      </c>
    </row>
    <row r="65" spans="1:9" x14ac:dyDescent="0.25">
      <c r="A65" s="3">
        <v>3296</v>
      </c>
      <c r="B65" s="3">
        <v>113.4734984</v>
      </c>
      <c r="C65" s="3">
        <v>22.948256270000002</v>
      </c>
      <c r="D65" s="3">
        <v>1</v>
      </c>
      <c r="E65" s="30">
        <f t="shared" si="0"/>
        <v>2.1635380072471642E-2</v>
      </c>
      <c r="F65" s="30">
        <f t="shared" si="1"/>
        <v>6.7985725361344373</v>
      </c>
      <c r="G65" s="14">
        <f>F65/$F$235*$D$2</f>
        <v>5.2187897109983989</v>
      </c>
      <c r="H65" s="14">
        <f>F65/$F$235*$E$2</f>
        <v>5.2187897109983989</v>
      </c>
      <c r="I65" s="33" t="str">
        <f t="shared" si="2"/>
        <v>选中</v>
      </c>
    </row>
    <row r="66" spans="1:9" hidden="1" x14ac:dyDescent="0.25">
      <c r="A66" s="3">
        <v>1953</v>
      </c>
      <c r="B66" s="3">
        <v>113.4997742</v>
      </c>
      <c r="C66" s="3">
        <v>22.985163199999999</v>
      </c>
      <c r="D66" s="3">
        <v>1</v>
      </c>
      <c r="E66" s="13">
        <f t="shared" si="0"/>
        <v>2.3680504089708416E-2</v>
      </c>
      <c r="F66" s="13">
        <f t="shared" si="1"/>
        <v>6.4983713944686059</v>
      </c>
      <c r="G66" s="14"/>
      <c r="H66" s="14"/>
      <c r="I66" s="25" t="str">
        <f t="shared" si="2"/>
        <v/>
      </c>
    </row>
    <row r="67" spans="1:9" hidden="1" x14ac:dyDescent="0.25">
      <c r="A67" s="3">
        <v>3293</v>
      </c>
      <c r="B67" s="3">
        <v>113.47145690000001</v>
      </c>
      <c r="C67" s="3">
        <v>22.94579658</v>
      </c>
      <c r="D67" s="3">
        <v>1</v>
      </c>
      <c r="E67" s="13">
        <f t="shared" si="0"/>
        <v>2.4828275828147426E-2</v>
      </c>
      <c r="F67" s="13">
        <f t="shared" si="1"/>
        <v>6.3463894488695534</v>
      </c>
      <c r="G67" s="14"/>
      <c r="H67" s="14"/>
      <c r="I67" s="25" t="str">
        <f t="shared" si="2"/>
        <v/>
      </c>
    </row>
    <row r="68" spans="1:9" x14ac:dyDescent="0.25">
      <c r="A68" s="3">
        <v>3879</v>
      </c>
      <c r="B68" s="3">
        <v>113.46973250000001</v>
      </c>
      <c r="C68" s="3">
        <v>22.942891029999998</v>
      </c>
      <c r="D68" s="3">
        <v>1</v>
      </c>
      <c r="E68" s="30">
        <f t="shared" si="0"/>
        <v>2.8188148856888525E-2</v>
      </c>
      <c r="F68" s="30">
        <f t="shared" si="1"/>
        <v>5.9561650222820894</v>
      </c>
      <c r="G68" s="14">
        <f>F68/$F$235*$D$2</f>
        <v>4.5721322483628573</v>
      </c>
      <c r="H68" s="14">
        <f>F68/$F$235*$E$2</f>
        <v>4.5721322483628573</v>
      </c>
      <c r="I68" s="33" t="str">
        <f t="shared" si="2"/>
        <v>选中</v>
      </c>
    </row>
    <row r="69" spans="1:9" hidden="1" x14ac:dyDescent="0.25">
      <c r="A69" s="3">
        <v>1609</v>
      </c>
      <c r="B69" s="3">
        <v>113.4969421</v>
      </c>
      <c r="C69" s="3">
        <v>23.003904599999998</v>
      </c>
      <c r="D69" s="3">
        <v>1</v>
      </c>
      <c r="E69" s="13">
        <f t="shared" ref="E69:E132" si="3">SQRT((B69-$B$2)^2+(C69-$C$2)^2)</f>
        <v>3.972743148169107E-2</v>
      </c>
      <c r="F69" s="13">
        <f t="shared" ref="F69:F132" si="4">SQRT(1/E69)</f>
        <v>5.0171230925565409</v>
      </c>
      <c r="G69" s="14"/>
      <c r="H69" s="14"/>
      <c r="I69" s="25" t="str">
        <f t="shared" ref="I69:I132" si="5">IF(MOD(ROW()-1,3)=1,"选中","")</f>
        <v/>
      </c>
    </row>
    <row r="70" spans="1:9" hidden="1" x14ac:dyDescent="0.25">
      <c r="A70" s="3">
        <v>2436</v>
      </c>
      <c r="B70" s="3">
        <v>113.4866396</v>
      </c>
      <c r="C70" s="3">
        <v>22.965449240000002</v>
      </c>
      <c r="D70" s="3">
        <v>1</v>
      </c>
      <c r="E70" s="13">
        <f t="shared" si="3"/>
        <v>2.3671573691350914E-4</v>
      </c>
      <c r="F70" s="13">
        <f t="shared" si="4"/>
        <v>64.995970749745297</v>
      </c>
      <c r="G70" s="14"/>
      <c r="H70" s="14">
        <f>F70/$F$124*$E$2</f>
        <v>9996.8728612780378</v>
      </c>
      <c r="I70" s="25" t="str">
        <f t="shared" si="5"/>
        <v/>
      </c>
    </row>
    <row r="71" spans="1:9" x14ac:dyDescent="0.25">
      <c r="A71" s="3">
        <v>2428</v>
      </c>
      <c r="B71" s="3">
        <v>113.4886614</v>
      </c>
      <c r="C71" s="3">
        <v>22.969306629999998</v>
      </c>
      <c r="D71" s="3">
        <v>1</v>
      </c>
      <c r="E71" s="30">
        <f t="shared" si="3"/>
        <v>4.3272958512678818E-3</v>
      </c>
      <c r="F71" s="30">
        <f t="shared" si="4"/>
        <v>15.201684185449825</v>
      </c>
      <c r="G71" s="14">
        <f>F71/$F$235*$D$2</f>
        <v>11.669272129584565</v>
      </c>
      <c r="H71" s="14">
        <f>F71/$F$235*$E$2</f>
        <v>11.669272129584565</v>
      </c>
      <c r="I71" s="33" t="str">
        <f t="shared" si="5"/>
        <v>选中</v>
      </c>
    </row>
    <row r="72" spans="1:9" hidden="1" x14ac:dyDescent="0.25">
      <c r="A72" s="3">
        <v>2440</v>
      </c>
      <c r="B72" s="3">
        <v>113.485139</v>
      </c>
      <c r="C72" s="3">
        <v>22.97160813</v>
      </c>
      <c r="D72" s="3">
        <v>1</v>
      </c>
      <c r="E72" s="13">
        <f t="shared" si="3"/>
        <v>6.1605548625413191E-3</v>
      </c>
      <c r="F72" s="13">
        <f t="shared" si="4"/>
        <v>12.740605993259233</v>
      </c>
      <c r="G72" s="14"/>
      <c r="H72" s="14"/>
      <c r="I72" s="25" t="str">
        <f t="shared" si="5"/>
        <v/>
      </c>
    </row>
    <row r="73" spans="1:9" hidden="1" x14ac:dyDescent="0.25">
      <c r="A73" s="3">
        <v>2394</v>
      </c>
      <c r="B73" s="3">
        <v>113.47909180000001</v>
      </c>
      <c r="C73" s="3">
        <v>22.965387010000001</v>
      </c>
      <c r="D73" s="3">
        <v>1</v>
      </c>
      <c r="E73" s="13">
        <f t="shared" si="3"/>
        <v>7.3589520977817629E-3</v>
      </c>
      <c r="F73" s="13">
        <f t="shared" si="4"/>
        <v>11.65713999279291</v>
      </c>
      <c r="G73" s="14"/>
      <c r="H73" s="14"/>
      <c r="I73" s="25" t="str">
        <f t="shared" si="5"/>
        <v/>
      </c>
    </row>
    <row r="74" spans="1:9" x14ac:dyDescent="0.25">
      <c r="A74" s="3">
        <v>2830</v>
      </c>
      <c r="B74" s="3">
        <v>113.482512</v>
      </c>
      <c r="C74" s="3">
        <v>22.9572605</v>
      </c>
      <c r="D74" s="3">
        <v>1</v>
      </c>
      <c r="E74" s="30">
        <f t="shared" si="3"/>
        <v>9.2110540147400215E-3</v>
      </c>
      <c r="F74" s="30">
        <f t="shared" si="4"/>
        <v>10.419462968013095</v>
      </c>
      <c r="G74" s="14">
        <f>F74/$F$235*$D$2</f>
        <v>7.9982946188456046</v>
      </c>
      <c r="H74" s="14">
        <f>F74/$F$235*$E$2</f>
        <v>7.9982946188456046</v>
      </c>
      <c r="I74" s="33" t="str">
        <f t="shared" si="5"/>
        <v>选中</v>
      </c>
    </row>
    <row r="75" spans="1:9" hidden="1" x14ac:dyDescent="0.25">
      <c r="A75" s="3">
        <v>2159</v>
      </c>
      <c r="B75" s="3">
        <v>113.4797605</v>
      </c>
      <c r="C75" s="3">
        <v>22.974346109999999</v>
      </c>
      <c r="D75" s="3">
        <v>1</v>
      </c>
      <c r="E75" s="13">
        <f t="shared" si="3"/>
        <v>1.1019199972301261E-2</v>
      </c>
      <c r="F75" s="13">
        <f t="shared" si="4"/>
        <v>9.5263156536700961</v>
      </c>
      <c r="G75" s="14"/>
      <c r="H75" s="14"/>
      <c r="I75" s="25" t="str">
        <f t="shared" si="5"/>
        <v/>
      </c>
    </row>
    <row r="76" spans="1:9" hidden="1" x14ac:dyDescent="0.25">
      <c r="A76" s="3">
        <v>2182</v>
      </c>
      <c r="B76" s="3">
        <v>113.4934535</v>
      </c>
      <c r="C76" s="3">
        <v>22.97949564</v>
      </c>
      <c r="D76" s="3">
        <v>1</v>
      </c>
      <c r="E76" s="13">
        <f t="shared" si="3"/>
        <v>1.557217155255405E-2</v>
      </c>
      <c r="F76" s="13">
        <f t="shared" si="4"/>
        <v>8.0135584733581791</v>
      </c>
      <c r="G76" s="14"/>
      <c r="H76" s="14"/>
      <c r="I76" s="25" t="str">
        <f t="shared" si="5"/>
        <v/>
      </c>
    </row>
    <row r="77" spans="1:9" x14ac:dyDescent="0.25">
      <c r="A77" s="3">
        <v>2820</v>
      </c>
      <c r="B77" s="3">
        <v>113.4730113</v>
      </c>
      <c r="C77" s="3">
        <v>22.955294899999998</v>
      </c>
      <c r="D77" s="3">
        <v>1</v>
      </c>
      <c r="E77" s="30">
        <f t="shared" si="3"/>
        <v>1.6926250651355727E-2</v>
      </c>
      <c r="F77" s="30">
        <f t="shared" si="4"/>
        <v>7.6863404393098973</v>
      </c>
      <c r="G77" s="14">
        <f>F77/$F$235*$D$2</f>
        <v>5.9002671791318804</v>
      </c>
      <c r="H77" s="14">
        <f>F77/$F$235*$E$2</f>
        <v>5.9002671791318804</v>
      </c>
      <c r="I77" s="33" t="str">
        <f t="shared" si="5"/>
        <v>选中</v>
      </c>
    </row>
    <row r="78" spans="1:9" hidden="1" x14ac:dyDescent="0.25">
      <c r="A78" s="3">
        <v>3305</v>
      </c>
      <c r="B78" s="3">
        <v>113.47968</v>
      </c>
      <c r="C78" s="3">
        <v>22.94759432</v>
      </c>
      <c r="D78" s="3">
        <v>1</v>
      </c>
      <c r="E78" s="13">
        <f t="shared" si="3"/>
        <v>1.9224654505212702E-2</v>
      </c>
      <c r="F78" s="13">
        <f t="shared" si="4"/>
        <v>7.21224926613686</v>
      </c>
      <c r="G78" s="14"/>
      <c r="H78" s="14"/>
      <c r="I78" s="25" t="str">
        <f t="shared" si="5"/>
        <v/>
      </c>
    </row>
    <row r="79" spans="1:9" hidden="1" x14ac:dyDescent="0.25">
      <c r="A79" s="3">
        <v>2190</v>
      </c>
      <c r="B79" s="3">
        <v>113.5032126</v>
      </c>
      <c r="C79" s="3">
        <v>22.979951719999999</v>
      </c>
      <c r="D79" s="3">
        <v>1</v>
      </c>
      <c r="E79" s="13">
        <f t="shared" si="3"/>
        <v>2.2076256104714469E-2</v>
      </c>
      <c r="F79" s="13">
        <f t="shared" si="4"/>
        <v>6.7303444001132515</v>
      </c>
      <c r="G79" s="14"/>
      <c r="H79" s="14"/>
      <c r="I79" s="25" t="str">
        <f t="shared" si="5"/>
        <v/>
      </c>
    </row>
    <row r="80" spans="1:9" x14ac:dyDescent="0.25">
      <c r="A80" s="3">
        <v>1945</v>
      </c>
      <c r="B80" s="3">
        <v>113.4722336</v>
      </c>
      <c r="C80" s="3">
        <v>22.987847729999999</v>
      </c>
      <c r="D80" s="3">
        <v>1</v>
      </c>
      <c r="E80" s="30">
        <f t="shared" si="3"/>
        <v>2.6410861728280579E-2</v>
      </c>
      <c r="F80" s="30">
        <f t="shared" si="4"/>
        <v>6.1533088539725522</v>
      </c>
      <c r="G80" s="14">
        <f>F80/$F$235*$D$2</f>
        <v>4.7234658106576832</v>
      </c>
      <c r="H80" s="14">
        <f>F80/$F$235*$E$2</f>
        <v>4.7234658106576832</v>
      </c>
      <c r="I80" s="33" t="str">
        <f t="shared" si="5"/>
        <v>选中</v>
      </c>
    </row>
    <row r="81" spans="1:9" hidden="1" x14ac:dyDescent="0.25">
      <c r="A81" s="3">
        <v>4353</v>
      </c>
      <c r="B81" s="3">
        <v>113.5134346</v>
      </c>
      <c r="C81" s="3">
        <v>22.9215585</v>
      </c>
      <c r="D81" s="3">
        <v>1</v>
      </c>
      <c r="E81" s="13">
        <f t="shared" si="3"/>
        <v>5.1641993228597777E-2</v>
      </c>
      <c r="F81" s="13">
        <f t="shared" si="4"/>
        <v>4.4004642978878596</v>
      </c>
      <c r="G81" s="14"/>
      <c r="H81" s="14"/>
      <c r="I81" s="25" t="str">
        <f t="shared" si="5"/>
        <v/>
      </c>
    </row>
    <row r="82" spans="1:9" hidden="1" x14ac:dyDescent="0.25">
      <c r="A82" s="3">
        <v>2447</v>
      </c>
      <c r="B82" s="3">
        <v>113.4828395</v>
      </c>
      <c r="C82" s="3">
        <v>22.966698430000001</v>
      </c>
      <c r="D82" s="3">
        <v>1</v>
      </c>
      <c r="E82" s="13">
        <f t="shared" si="3"/>
        <v>3.7754167826072604E-3</v>
      </c>
      <c r="F82" s="13">
        <f t="shared" si="4"/>
        <v>16.274870778620141</v>
      </c>
      <c r="G82" s="14"/>
      <c r="H82" s="14"/>
      <c r="I82" s="25" t="str">
        <f t="shared" si="5"/>
        <v/>
      </c>
    </row>
    <row r="83" spans="1:9" x14ac:dyDescent="0.25">
      <c r="A83" s="3">
        <v>2458</v>
      </c>
      <c r="B83" s="3">
        <v>113.49121340000001</v>
      </c>
      <c r="C83" s="3">
        <v>22.967537050000001</v>
      </c>
      <c r="D83" s="3">
        <v>1</v>
      </c>
      <c r="E83" s="30">
        <f t="shared" si="3"/>
        <v>5.1484811935275359E-3</v>
      </c>
      <c r="F83" s="30">
        <f t="shared" si="4"/>
        <v>13.936715502780315</v>
      </c>
      <c r="G83" s="14">
        <f>F83/$F$235*$D$2</f>
        <v>10.698243945246855</v>
      </c>
      <c r="H83" s="14">
        <f>F83/$F$235*$E$2</f>
        <v>10.698243945246855</v>
      </c>
      <c r="I83" s="33" t="str">
        <f t="shared" si="5"/>
        <v>选中</v>
      </c>
    </row>
    <row r="84" spans="1:9" hidden="1" x14ac:dyDescent="0.25">
      <c r="A84" s="3">
        <v>2401</v>
      </c>
      <c r="B84" s="3">
        <v>113.4812889</v>
      </c>
      <c r="C84" s="3">
        <v>22.970603189999999</v>
      </c>
      <c r="D84" s="3">
        <v>1</v>
      </c>
      <c r="E84" s="13">
        <f t="shared" si="3"/>
        <v>7.1948548292227544E-3</v>
      </c>
      <c r="F84" s="13">
        <f t="shared" si="4"/>
        <v>11.789326140393191</v>
      </c>
      <c r="G84" s="14"/>
      <c r="H84" s="14"/>
      <c r="I84" s="25" t="str">
        <f t="shared" si="5"/>
        <v/>
      </c>
    </row>
    <row r="85" spans="1:9" hidden="1" x14ac:dyDescent="0.25">
      <c r="A85" s="3">
        <v>2384</v>
      </c>
      <c r="B85" s="3">
        <v>113.4792953</v>
      </c>
      <c r="C85" s="3">
        <v>22.968531250000002</v>
      </c>
      <c r="D85" s="3">
        <v>1</v>
      </c>
      <c r="E85" s="13">
        <f t="shared" si="3"/>
        <v>7.7344919865427438E-3</v>
      </c>
      <c r="F85" s="13">
        <f t="shared" si="4"/>
        <v>11.370618879289992</v>
      </c>
      <c r="G85" s="14"/>
      <c r="H85" s="14"/>
      <c r="I85" s="25" t="str">
        <f t="shared" si="5"/>
        <v/>
      </c>
    </row>
    <row r="86" spans="1:9" x14ac:dyDescent="0.25">
      <c r="A86" s="3">
        <v>2166</v>
      </c>
      <c r="B86" s="3">
        <v>113.49073629999999</v>
      </c>
      <c r="C86" s="3">
        <v>22.974683540000001</v>
      </c>
      <c r="D86" s="3">
        <v>1</v>
      </c>
      <c r="E86" s="30">
        <f t="shared" si="3"/>
        <v>1.0055536637798724E-2</v>
      </c>
      <c r="F86" s="30">
        <f t="shared" si="4"/>
        <v>9.9723468103295332</v>
      </c>
      <c r="G86" s="14">
        <f>F86/$F$235*$D$2</f>
        <v>7.6550747457122297</v>
      </c>
      <c r="H86" s="14">
        <f>F86/$F$235*$E$2</f>
        <v>7.6550747457122297</v>
      </c>
      <c r="I86" s="33" t="str">
        <f t="shared" si="5"/>
        <v>选中</v>
      </c>
    </row>
    <row r="87" spans="1:9" hidden="1" x14ac:dyDescent="0.25">
      <c r="A87" s="3">
        <v>2165</v>
      </c>
      <c r="B87" s="3">
        <v>113.4846258</v>
      </c>
      <c r="C87" s="3">
        <v>22.97858961</v>
      </c>
      <c r="D87" s="3">
        <v>1</v>
      </c>
      <c r="E87" s="13">
        <f t="shared" si="3"/>
        <v>1.3128433824702227E-2</v>
      </c>
      <c r="F87" s="13">
        <f t="shared" si="4"/>
        <v>8.727574009465398</v>
      </c>
      <c r="G87" s="14"/>
      <c r="H87" s="14"/>
      <c r="I87" s="25" t="str">
        <f t="shared" si="5"/>
        <v/>
      </c>
    </row>
    <row r="88" spans="1:9" hidden="1" x14ac:dyDescent="0.25">
      <c r="A88" s="3">
        <v>2819</v>
      </c>
      <c r="B88" s="3">
        <v>113.4732952</v>
      </c>
      <c r="C88" s="3">
        <v>22.95591044</v>
      </c>
      <c r="D88" s="3">
        <v>1</v>
      </c>
      <c r="E88" s="13">
        <f t="shared" si="3"/>
        <v>1.6329609739246596E-2</v>
      </c>
      <c r="F88" s="13">
        <f t="shared" si="4"/>
        <v>7.8255000249681652</v>
      </c>
      <c r="G88" s="14"/>
      <c r="H88" s="14"/>
      <c r="I88" s="25" t="str">
        <f t="shared" si="5"/>
        <v/>
      </c>
    </row>
    <row r="89" spans="1:9" x14ac:dyDescent="0.25">
      <c r="A89" s="3">
        <v>3301</v>
      </c>
      <c r="B89" s="3">
        <v>113.4737408</v>
      </c>
      <c r="C89" s="3">
        <v>22.95359668</v>
      </c>
      <c r="D89" s="3">
        <v>1</v>
      </c>
      <c r="E89" s="30">
        <f t="shared" si="3"/>
        <v>1.7471997106934686E-2</v>
      </c>
      <c r="F89" s="30">
        <f t="shared" si="4"/>
        <v>7.5653447847061122</v>
      </c>
      <c r="G89" s="14">
        <f>F89/$F$235*$D$2</f>
        <v>5.8073872585359636</v>
      </c>
      <c r="H89" s="14">
        <f>F89/$F$235*$E$2</f>
        <v>5.8073872585359636</v>
      </c>
      <c r="I89" s="33" t="str">
        <f t="shared" si="5"/>
        <v>选中</v>
      </c>
    </row>
    <row r="90" spans="1:9" hidden="1" x14ac:dyDescent="0.25">
      <c r="A90" s="3">
        <v>3303</v>
      </c>
      <c r="B90" s="3">
        <v>113.47387260000001</v>
      </c>
      <c r="C90" s="3">
        <v>22.948581189999999</v>
      </c>
      <c r="D90" s="3">
        <v>1</v>
      </c>
      <c r="E90" s="13">
        <f t="shared" si="3"/>
        <v>2.1151377614787845E-2</v>
      </c>
      <c r="F90" s="13">
        <f t="shared" si="4"/>
        <v>6.8759177123711783</v>
      </c>
      <c r="G90" s="14"/>
      <c r="H90" s="14"/>
      <c r="I90" s="25" t="str">
        <f t="shared" si="5"/>
        <v/>
      </c>
    </row>
    <row r="91" spans="1:9" hidden="1" x14ac:dyDescent="0.25">
      <c r="A91" s="3">
        <v>3290</v>
      </c>
      <c r="B91" s="3">
        <v>113.4705087</v>
      </c>
      <c r="C91" s="3">
        <v>22.947714130000001</v>
      </c>
      <c r="D91" s="3">
        <v>1</v>
      </c>
      <c r="E91" s="13">
        <f t="shared" si="3"/>
        <v>2.3948808952937977E-2</v>
      </c>
      <c r="F91" s="13">
        <f t="shared" si="4"/>
        <v>6.4618673756719209</v>
      </c>
      <c r="G91" s="14"/>
      <c r="H91" s="14"/>
      <c r="I91" s="25" t="str">
        <f t="shared" si="5"/>
        <v/>
      </c>
    </row>
    <row r="92" spans="1:9" x14ac:dyDescent="0.25">
      <c r="A92" s="3">
        <v>2473</v>
      </c>
      <c r="B92" s="3">
        <v>113.52536569999999</v>
      </c>
      <c r="C92" s="3">
        <v>22.964337279999999</v>
      </c>
      <c r="D92" s="3">
        <v>1</v>
      </c>
      <c r="E92" s="30">
        <f t="shared" si="3"/>
        <v>3.8937800390248294E-2</v>
      </c>
      <c r="F92" s="30">
        <f t="shared" si="4"/>
        <v>5.0677396201193652</v>
      </c>
      <c r="G92" s="14">
        <f>F92/$F$235*$D$2</f>
        <v>3.8901500641391258</v>
      </c>
      <c r="H92" s="14">
        <f>F92/$F$235*$E$2</f>
        <v>3.8901500641391258</v>
      </c>
      <c r="I92" s="33" t="str">
        <f t="shared" si="5"/>
        <v>选中</v>
      </c>
    </row>
    <row r="93" spans="1:9" hidden="1" x14ac:dyDescent="0.25">
      <c r="A93" s="3">
        <v>2439</v>
      </c>
      <c r="B93" s="3">
        <v>113.4854425</v>
      </c>
      <c r="C93" s="3">
        <v>22.965732559999999</v>
      </c>
      <c r="D93" s="3">
        <v>1</v>
      </c>
      <c r="E93" s="13">
        <f t="shared" si="3"/>
        <v>1.0158029464820229E-3</v>
      </c>
      <c r="F93" s="13">
        <f t="shared" si="4"/>
        <v>31.375833080777092</v>
      </c>
      <c r="G93" s="14"/>
      <c r="H93" s="14"/>
      <c r="I93" s="25" t="str">
        <f t="shared" si="5"/>
        <v/>
      </c>
    </row>
    <row r="94" spans="1:9" hidden="1" x14ac:dyDescent="0.25">
      <c r="A94" s="3">
        <v>2828</v>
      </c>
      <c r="B94" s="3">
        <v>113.4823854</v>
      </c>
      <c r="C94" s="3">
        <v>22.95961213</v>
      </c>
      <c r="D94" s="3">
        <v>1</v>
      </c>
      <c r="E94" s="13">
        <f t="shared" si="3"/>
        <v>7.2262527643569075E-3</v>
      </c>
      <c r="F94" s="13">
        <f t="shared" si="4"/>
        <v>11.763686056205964</v>
      </c>
      <c r="G94" s="14"/>
      <c r="H94" s="14"/>
      <c r="I94" s="25" t="str">
        <f t="shared" si="5"/>
        <v/>
      </c>
    </row>
    <row r="95" spans="1:9" x14ac:dyDescent="0.25">
      <c r="A95" s="3">
        <v>2386</v>
      </c>
      <c r="B95" s="3">
        <v>113.47907739999999</v>
      </c>
      <c r="C95" s="3">
        <v>22.971443369999999</v>
      </c>
      <c r="D95" s="3">
        <v>1</v>
      </c>
      <c r="E95" s="30">
        <f t="shared" si="3"/>
        <v>9.4131915190555308E-3</v>
      </c>
      <c r="F95" s="30">
        <f t="shared" si="4"/>
        <v>10.306982830023712</v>
      </c>
      <c r="G95" s="14">
        <f>F95/$F$235*$D$2</f>
        <v>7.9119514661160117</v>
      </c>
      <c r="H95" s="14">
        <f>F95/$F$235*$E$2</f>
        <v>7.9119514661160117</v>
      </c>
      <c r="I95" s="33" t="str">
        <f t="shared" si="5"/>
        <v>选中</v>
      </c>
    </row>
    <row r="96" spans="1:9" hidden="1" x14ac:dyDescent="0.25">
      <c r="A96" s="3">
        <v>2169</v>
      </c>
      <c r="B96" s="3">
        <v>113.49610680000001</v>
      </c>
      <c r="C96" s="3">
        <v>22.97906781</v>
      </c>
      <c r="D96" s="3">
        <v>1</v>
      </c>
      <c r="E96" s="13">
        <f t="shared" si="3"/>
        <v>1.6582851239573499E-2</v>
      </c>
      <c r="F96" s="13">
        <f t="shared" si="4"/>
        <v>7.7655174079130971</v>
      </c>
      <c r="G96" s="14"/>
      <c r="H96" s="14"/>
      <c r="I96" s="25" t="str">
        <f t="shared" si="5"/>
        <v/>
      </c>
    </row>
    <row r="97" spans="1:9" hidden="1" x14ac:dyDescent="0.25">
      <c r="A97" s="3">
        <v>3311</v>
      </c>
      <c r="B97" s="3">
        <v>113.483469</v>
      </c>
      <c r="C97" s="3">
        <v>22.94648492</v>
      </c>
      <c r="D97" s="3">
        <v>1</v>
      </c>
      <c r="E97" s="13">
        <f t="shared" si="3"/>
        <v>1.9334209528420888E-2</v>
      </c>
      <c r="F97" s="13">
        <f t="shared" si="4"/>
        <v>7.1917865566775463</v>
      </c>
      <c r="G97" s="14"/>
      <c r="H97" s="14"/>
      <c r="I97" s="25" t="str">
        <f t="shared" si="5"/>
        <v/>
      </c>
    </row>
    <row r="98" spans="1:9" x14ac:dyDescent="0.25">
      <c r="A98" s="3">
        <v>20</v>
      </c>
      <c r="B98" s="3">
        <v>113.5079834</v>
      </c>
      <c r="C98" s="3">
        <v>22.93101871</v>
      </c>
      <c r="D98" s="3">
        <v>1</v>
      </c>
      <c r="E98" s="30">
        <f t="shared" si="3"/>
        <v>4.0728694417717128E-2</v>
      </c>
      <c r="F98" s="30">
        <f t="shared" si="4"/>
        <v>4.9550695608420163</v>
      </c>
      <c r="G98" s="14">
        <f>F98/$F$235*$D$2</f>
        <v>3.8036611220900447</v>
      </c>
      <c r="H98" s="14">
        <f>F98/$F$235*$E$2</f>
        <v>3.8036611220900447</v>
      </c>
      <c r="I98" s="33" t="str">
        <f t="shared" si="5"/>
        <v>选中</v>
      </c>
    </row>
    <row r="99" spans="1:9" hidden="1" x14ac:dyDescent="0.25">
      <c r="A99" s="3">
        <v>2434</v>
      </c>
      <c r="B99" s="3">
        <v>113.48563009999999</v>
      </c>
      <c r="C99" s="3">
        <v>22.966376839999999</v>
      </c>
      <c r="D99" s="3">
        <v>1</v>
      </c>
      <c r="E99" s="13">
        <f t="shared" si="3"/>
        <v>1.136149021079816E-3</v>
      </c>
      <c r="F99" s="13">
        <f t="shared" si="4"/>
        <v>29.667595613229754</v>
      </c>
      <c r="G99" s="14"/>
      <c r="H99" s="14"/>
      <c r="I99" s="25" t="str">
        <f t="shared" si="5"/>
        <v/>
      </c>
    </row>
    <row r="100" spans="1:9" hidden="1" x14ac:dyDescent="0.25">
      <c r="A100" s="3">
        <v>2424</v>
      </c>
      <c r="B100" s="3">
        <v>113.4881496</v>
      </c>
      <c r="C100" s="3">
        <v>22.96938007</v>
      </c>
      <c r="D100" s="3">
        <v>1</v>
      </c>
      <c r="E100" s="13">
        <f t="shared" si="3"/>
        <v>4.1561209646031579E-3</v>
      </c>
      <c r="F100" s="13">
        <f t="shared" si="4"/>
        <v>15.511575475501793</v>
      </c>
      <c r="G100" s="14"/>
      <c r="H100" s="14"/>
      <c r="I100" s="25" t="str">
        <f t="shared" si="5"/>
        <v/>
      </c>
    </row>
    <row r="101" spans="1:9" x14ac:dyDescent="0.25">
      <c r="A101" s="3">
        <v>2438</v>
      </c>
      <c r="B101" s="3">
        <v>113.48332600000001</v>
      </c>
      <c r="C101" s="3">
        <v>22.96937372</v>
      </c>
      <c r="D101" s="3">
        <v>1</v>
      </c>
      <c r="E101" s="30">
        <f t="shared" si="3"/>
        <v>4.9067980517689801E-3</v>
      </c>
      <c r="F101" s="30">
        <f t="shared" si="4"/>
        <v>14.275814888570183</v>
      </c>
      <c r="G101" s="14">
        <f>F101/$F$235*$D$2</f>
        <v>10.958546880335087</v>
      </c>
      <c r="H101" s="14">
        <f>F101/$F$235*$E$2</f>
        <v>10.958546880335087</v>
      </c>
      <c r="I101" s="33" t="str">
        <f t="shared" si="5"/>
        <v>选中</v>
      </c>
    </row>
    <row r="102" spans="1:9" hidden="1" x14ac:dyDescent="0.25">
      <c r="A102" s="3">
        <v>2443</v>
      </c>
      <c r="B102" s="3">
        <v>113.48288239999999</v>
      </c>
      <c r="C102" s="3">
        <v>22.970119090000001</v>
      </c>
      <c r="D102" s="3">
        <v>1</v>
      </c>
      <c r="E102" s="13">
        <f t="shared" si="3"/>
        <v>5.7655888221084294E-3</v>
      </c>
      <c r="F102" s="13">
        <f t="shared" si="4"/>
        <v>13.169769273938785</v>
      </c>
      <c r="G102" s="14"/>
      <c r="H102" s="14"/>
      <c r="I102" s="25" t="str">
        <f t="shared" si="5"/>
        <v/>
      </c>
    </row>
    <row r="103" spans="1:9" hidden="1" x14ac:dyDescent="0.25">
      <c r="A103" s="3">
        <v>2460</v>
      </c>
      <c r="B103" s="3">
        <v>113.48231939999999</v>
      </c>
      <c r="C103" s="3">
        <v>22.970613220000001</v>
      </c>
      <c r="D103" s="3">
        <v>1</v>
      </c>
      <c r="E103" s="13">
        <f t="shared" si="3"/>
        <v>6.5035114715759831E-3</v>
      </c>
      <c r="F103" s="13">
        <f t="shared" si="4"/>
        <v>12.400124473883174</v>
      </c>
      <c r="G103" s="14"/>
      <c r="H103" s="14"/>
      <c r="I103" s="25" t="str">
        <f t="shared" si="5"/>
        <v/>
      </c>
    </row>
    <row r="104" spans="1:9" x14ac:dyDescent="0.25">
      <c r="A104" s="3">
        <v>2448</v>
      </c>
      <c r="B104" s="3">
        <v>113.4904445</v>
      </c>
      <c r="C104" s="3">
        <v>22.971637980000001</v>
      </c>
      <c r="D104" s="3">
        <v>1</v>
      </c>
      <c r="E104" s="30">
        <f t="shared" si="3"/>
        <v>7.250603100632841E-3</v>
      </c>
      <c r="F104" s="30">
        <f t="shared" si="4"/>
        <v>11.743915934029189</v>
      </c>
      <c r="G104" s="14">
        <f>F104/$F$235*$D$2</f>
        <v>9.0149847365149522</v>
      </c>
      <c r="H104" s="14">
        <f>F104/$F$235*$E$2</f>
        <v>9.0149847365149522</v>
      </c>
      <c r="I104" s="33" t="str">
        <f t="shared" si="5"/>
        <v>选中</v>
      </c>
    </row>
    <row r="105" spans="1:9" hidden="1" x14ac:dyDescent="0.25">
      <c r="A105" s="3">
        <v>2456</v>
      </c>
      <c r="B105" s="3">
        <v>113.4877078</v>
      </c>
      <c r="C105" s="3">
        <v>22.973022180000001</v>
      </c>
      <c r="D105" s="3">
        <v>1</v>
      </c>
      <c r="E105" s="13">
        <f t="shared" si="3"/>
        <v>7.5399211723278575E-3</v>
      </c>
      <c r="F105" s="13">
        <f t="shared" si="4"/>
        <v>11.51639619242807</v>
      </c>
      <c r="G105" s="14"/>
      <c r="H105" s="14"/>
      <c r="I105" s="25" t="str">
        <f t="shared" si="5"/>
        <v/>
      </c>
    </row>
    <row r="106" spans="1:9" hidden="1" x14ac:dyDescent="0.25">
      <c r="A106" s="3">
        <v>2393</v>
      </c>
      <c r="B106" s="3">
        <v>113.4794857</v>
      </c>
      <c r="C106" s="3">
        <v>22.971426560000001</v>
      </c>
      <c r="D106" s="3">
        <v>1</v>
      </c>
      <c r="E106" s="13">
        <f t="shared" si="3"/>
        <v>9.0862250107559689E-3</v>
      </c>
      <c r="F106" s="13">
        <f t="shared" si="4"/>
        <v>10.490791513887553</v>
      </c>
      <c r="G106" s="14"/>
      <c r="H106" s="14"/>
      <c r="I106" s="25" t="str">
        <f t="shared" si="5"/>
        <v/>
      </c>
    </row>
    <row r="107" spans="1:9" x14ac:dyDescent="0.25">
      <c r="A107" s="3">
        <v>2391</v>
      </c>
      <c r="B107" s="3">
        <v>113.4791225</v>
      </c>
      <c r="C107" s="3">
        <v>22.97156245</v>
      </c>
      <c r="D107" s="3">
        <v>1</v>
      </c>
      <c r="E107" s="30">
        <f t="shared" si="3"/>
        <v>9.4527253154796046E-3</v>
      </c>
      <c r="F107" s="30">
        <f t="shared" si="4"/>
        <v>10.285406983812866</v>
      </c>
      <c r="G107" s="14">
        <f>F107/$F$235*$D$2</f>
        <v>7.8953891946078709</v>
      </c>
      <c r="H107" s="14">
        <f>F107/$F$235*$E$2</f>
        <v>7.8953891946078709</v>
      </c>
      <c r="I107" s="33" t="str">
        <f t="shared" si="5"/>
        <v>选中</v>
      </c>
    </row>
    <row r="108" spans="1:9" hidden="1" x14ac:dyDescent="0.25">
      <c r="A108" s="3">
        <v>2817</v>
      </c>
      <c r="B108" s="3">
        <v>113.478101</v>
      </c>
      <c r="C108" s="3">
        <v>22.958415120000002</v>
      </c>
      <c r="D108" s="3">
        <v>1</v>
      </c>
      <c r="E108" s="13">
        <f t="shared" si="3"/>
        <v>1.1005735004845576E-2</v>
      </c>
      <c r="F108" s="13">
        <f t="shared" si="4"/>
        <v>9.5321413582105397</v>
      </c>
      <c r="G108" s="14"/>
      <c r="H108" s="14"/>
      <c r="I108" s="25" t="str">
        <f t="shared" si="5"/>
        <v/>
      </c>
    </row>
    <row r="109" spans="1:9" hidden="1" x14ac:dyDescent="0.25">
      <c r="A109" s="3">
        <v>2163</v>
      </c>
      <c r="B109" s="3">
        <v>113.48369769999999</v>
      </c>
      <c r="C109" s="3">
        <v>22.977891159999999</v>
      </c>
      <c r="D109" s="3">
        <v>1</v>
      </c>
      <c r="E109" s="13">
        <f t="shared" si="3"/>
        <v>1.2606575449268027E-2</v>
      </c>
      <c r="F109" s="13">
        <f t="shared" si="4"/>
        <v>8.9063844192870079</v>
      </c>
      <c r="G109" s="14"/>
      <c r="H109" s="14"/>
      <c r="I109" s="25" t="str">
        <f t="shared" si="5"/>
        <v/>
      </c>
    </row>
    <row r="110" spans="1:9" x14ac:dyDescent="0.25">
      <c r="A110" s="3">
        <v>3304</v>
      </c>
      <c r="B110" s="3">
        <v>113.48125810000001</v>
      </c>
      <c r="C110" s="3">
        <v>22.951415310000002</v>
      </c>
      <c r="D110" s="3">
        <v>1</v>
      </c>
      <c r="E110" s="30">
        <f t="shared" si="3"/>
        <v>1.509328626421198E-2</v>
      </c>
      <c r="F110" s="30">
        <f t="shared" si="4"/>
        <v>8.139694317272518</v>
      </c>
      <c r="G110" s="14">
        <f>F110/$F$235*$D$2</f>
        <v>6.2482753148364667</v>
      </c>
      <c r="H110" s="14">
        <f>F110/$F$235*$E$2</f>
        <v>6.2482753148364667</v>
      </c>
      <c r="I110" s="33" t="str">
        <f t="shared" si="5"/>
        <v>选中</v>
      </c>
    </row>
    <row r="111" spans="1:9" hidden="1" x14ac:dyDescent="0.25">
      <c r="A111" s="3">
        <v>2161</v>
      </c>
      <c r="B111" s="3">
        <v>113.4753164</v>
      </c>
      <c r="C111" s="3">
        <v>22.97679922</v>
      </c>
      <c r="D111" s="3">
        <v>1</v>
      </c>
      <c r="E111" s="13">
        <f t="shared" si="3"/>
        <v>1.5798682441927999E-2</v>
      </c>
      <c r="F111" s="13">
        <f t="shared" si="4"/>
        <v>7.9559045691251713</v>
      </c>
      <c r="G111" s="14"/>
      <c r="H111" s="14"/>
      <c r="I111" s="25" t="str">
        <f t="shared" si="5"/>
        <v/>
      </c>
    </row>
    <row r="112" spans="1:9" hidden="1" x14ac:dyDescent="0.25">
      <c r="A112" s="3">
        <v>2821</v>
      </c>
      <c r="B112" s="3">
        <v>113.4736865</v>
      </c>
      <c r="C112" s="3">
        <v>22.954977939999999</v>
      </c>
      <c r="D112" s="3">
        <v>1</v>
      </c>
      <c r="E112" s="13">
        <f t="shared" si="3"/>
        <v>1.6596221273109672E-2</v>
      </c>
      <c r="F112" s="13">
        <f t="shared" si="4"/>
        <v>7.7623887997355876</v>
      </c>
      <c r="G112" s="14"/>
      <c r="H112" s="14"/>
      <c r="I112" s="25" t="str">
        <f t="shared" si="5"/>
        <v/>
      </c>
    </row>
    <row r="113" spans="1:9" x14ac:dyDescent="0.25">
      <c r="A113" s="3">
        <v>2183</v>
      </c>
      <c r="B113" s="3">
        <v>113.4968815</v>
      </c>
      <c r="C113" s="3">
        <v>22.979336020000002</v>
      </c>
      <c r="D113" s="3">
        <v>1</v>
      </c>
      <c r="E113" s="30">
        <f t="shared" si="3"/>
        <v>1.7258595024597305E-2</v>
      </c>
      <c r="F113" s="30">
        <f t="shared" si="4"/>
        <v>7.6119737326809593</v>
      </c>
      <c r="G113" s="14">
        <f>F113/$F$235*$D$2</f>
        <v>5.843181047986973</v>
      </c>
      <c r="H113" s="14">
        <f>F113/$F$235*$E$2</f>
        <v>5.843181047986973</v>
      </c>
      <c r="I113" s="33" t="str">
        <f t="shared" si="5"/>
        <v>选中</v>
      </c>
    </row>
    <row r="114" spans="1:9" hidden="1" x14ac:dyDescent="0.25">
      <c r="A114" s="3">
        <v>3297</v>
      </c>
      <c r="B114" s="3">
        <v>113.47415530000001</v>
      </c>
      <c r="C114" s="3">
        <v>22.95101296</v>
      </c>
      <c r="D114" s="3">
        <v>1</v>
      </c>
      <c r="E114" s="13">
        <f t="shared" si="3"/>
        <v>1.906697542542668E-2</v>
      </c>
      <c r="F114" s="13">
        <f t="shared" si="4"/>
        <v>7.2420096067636148</v>
      </c>
      <c r="G114" s="14"/>
      <c r="H114" s="14"/>
      <c r="I114" s="25" t="str">
        <f t="shared" si="5"/>
        <v/>
      </c>
    </row>
    <row r="115" spans="1:9" hidden="1" x14ac:dyDescent="0.25">
      <c r="A115" s="3">
        <v>3295</v>
      </c>
      <c r="B115" s="3">
        <v>113.4785121</v>
      </c>
      <c r="C115" s="3">
        <v>22.94727206</v>
      </c>
      <c r="D115" s="3">
        <v>1</v>
      </c>
      <c r="E115" s="13">
        <f t="shared" si="3"/>
        <v>1.9961496059313497E-2</v>
      </c>
      <c r="F115" s="13">
        <f t="shared" si="4"/>
        <v>7.0778842550836787</v>
      </c>
      <c r="G115" s="14"/>
      <c r="H115" s="14"/>
      <c r="I115" s="25" t="str">
        <f t="shared" si="5"/>
        <v/>
      </c>
    </row>
    <row r="116" spans="1:9" x14ac:dyDescent="0.25">
      <c r="A116" s="3">
        <v>2188</v>
      </c>
      <c r="B116" s="3">
        <v>113.5037073</v>
      </c>
      <c r="C116" s="3">
        <v>22.97929448</v>
      </c>
      <c r="D116" s="3">
        <v>1</v>
      </c>
      <c r="E116" s="30">
        <f t="shared" si="3"/>
        <v>2.2039604744711914E-2</v>
      </c>
      <c r="F116" s="30">
        <f t="shared" si="4"/>
        <v>6.7359382800701519</v>
      </c>
      <c r="G116" s="14">
        <f>F116/$F$235*$D$2</f>
        <v>5.1707097634260251</v>
      </c>
      <c r="H116" s="14">
        <f>F116/$F$235*$E$2</f>
        <v>5.1707097634260251</v>
      </c>
      <c r="I116" s="33" t="str">
        <f t="shared" si="5"/>
        <v>选中</v>
      </c>
    </row>
    <row r="117" spans="1:9" hidden="1" x14ac:dyDescent="0.25">
      <c r="A117" s="3">
        <v>1946</v>
      </c>
      <c r="B117" s="3">
        <v>113.4897639</v>
      </c>
      <c r="C117" s="3">
        <v>22.98883953</v>
      </c>
      <c r="D117" s="3">
        <v>1</v>
      </c>
      <c r="E117" s="13">
        <f t="shared" si="3"/>
        <v>2.3486532618682485E-2</v>
      </c>
      <c r="F117" s="13">
        <f t="shared" si="4"/>
        <v>6.5251507153544601</v>
      </c>
      <c r="G117" s="14"/>
      <c r="H117" s="14"/>
      <c r="I117" s="25" t="str">
        <f t="shared" si="5"/>
        <v/>
      </c>
    </row>
    <row r="118" spans="1:9" hidden="1" x14ac:dyDescent="0.25">
      <c r="A118" s="3">
        <v>3880</v>
      </c>
      <c r="B118" s="3">
        <v>113.4808223</v>
      </c>
      <c r="C118" s="3">
        <v>22.940668590000001</v>
      </c>
      <c r="D118" s="3">
        <v>1</v>
      </c>
      <c r="E118" s="13">
        <f t="shared" si="3"/>
        <v>2.5546779738461596E-2</v>
      </c>
      <c r="F118" s="13">
        <f t="shared" si="4"/>
        <v>6.2565067609761513</v>
      </c>
      <c r="G118" s="14"/>
      <c r="H118" s="14"/>
      <c r="I118" s="25" t="str">
        <f t="shared" si="5"/>
        <v/>
      </c>
    </row>
    <row r="119" spans="1:9" x14ac:dyDescent="0.25">
      <c r="A119" s="3">
        <v>2192</v>
      </c>
      <c r="B119" s="3">
        <v>113.5058495</v>
      </c>
      <c r="C119" s="3">
        <v>22.98368894</v>
      </c>
      <c r="D119" s="3">
        <v>1</v>
      </c>
      <c r="E119" s="30">
        <f t="shared" si="3"/>
        <v>2.6534000465933398E-2</v>
      </c>
      <c r="F119" s="30">
        <f t="shared" si="4"/>
        <v>6.1390141413158394</v>
      </c>
      <c r="G119" s="14">
        <f>F119/$F$235*$D$2</f>
        <v>4.712492757279489</v>
      </c>
      <c r="H119" s="14">
        <f>F119/$F$235*$E$2</f>
        <v>4.712492757279489</v>
      </c>
      <c r="I119" s="33" t="str">
        <f t="shared" si="5"/>
        <v>选中</v>
      </c>
    </row>
    <row r="120" spans="1:9" hidden="1" x14ac:dyDescent="0.25">
      <c r="A120" s="3">
        <v>22</v>
      </c>
      <c r="B120" s="3">
        <v>113.4794038</v>
      </c>
      <c r="C120" s="3">
        <v>22.921161649999998</v>
      </c>
      <c r="D120" s="3">
        <v>1</v>
      </c>
      <c r="E120" s="13">
        <f t="shared" si="3"/>
        <v>4.4981591136820147E-2</v>
      </c>
      <c r="F120" s="13">
        <f t="shared" si="4"/>
        <v>4.7150097284409158</v>
      </c>
      <c r="G120" s="14"/>
      <c r="H120" s="14"/>
      <c r="I120" s="25" t="str">
        <f t="shared" si="5"/>
        <v/>
      </c>
    </row>
    <row r="121" spans="1:9" hidden="1" x14ac:dyDescent="0.25">
      <c r="A121" s="3">
        <v>4355</v>
      </c>
      <c r="B121" s="3">
        <v>113.54026930000001</v>
      </c>
      <c r="C121" s="3">
        <v>22.92063096</v>
      </c>
      <c r="D121" s="3">
        <v>1</v>
      </c>
      <c r="E121" s="13">
        <f t="shared" si="3"/>
        <v>7.0127671127986943E-2</v>
      </c>
      <c r="F121" s="13">
        <f t="shared" si="4"/>
        <v>3.7762026413554799</v>
      </c>
      <c r="G121" s="14"/>
      <c r="H121" s="14"/>
      <c r="I121" s="25" t="str">
        <f t="shared" si="5"/>
        <v/>
      </c>
    </row>
    <row r="122" spans="1:9" x14ac:dyDescent="0.25">
      <c r="A122" s="3">
        <v>2450</v>
      </c>
      <c r="B122" s="3">
        <v>113.48208889999999</v>
      </c>
      <c r="C122" s="3">
        <v>22.967454889999999</v>
      </c>
      <c r="D122" s="3">
        <v>1</v>
      </c>
      <c r="E122" s="30">
        <f t="shared" si="3"/>
        <v>4.7419508326864345E-3</v>
      </c>
      <c r="F122" s="30">
        <f t="shared" si="4"/>
        <v>14.521834290059617</v>
      </c>
      <c r="G122" s="14">
        <f>F122/$F$235*$D$2</f>
        <v>11.147398806879222</v>
      </c>
      <c r="H122" s="14">
        <f>F122/$F$235*$E$2</f>
        <v>11.147398806879222</v>
      </c>
      <c r="I122" s="33" t="str">
        <f t="shared" si="5"/>
        <v>选中</v>
      </c>
    </row>
    <row r="123" spans="1:9" hidden="1" x14ac:dyDescent="0.25">
      <c r="A123" s="3">
        <v>2396</v>
      </c>
      <c r="B123" s="3">
        <v>113.4814757</v>
      </c>
      <c r="C123" s="3">
        <v>22.968275739999999</v>
      </c>
      <c r="D123" s="3">
        <v>1</v>
      </c>
      <c r="E123" s="13">
        <f t="shared" si="3"/>
        <v>5.6521119760681564E-3</v>
      </c>
      <c r="F123" s="13">
        <f t="shared" si="4"/>
        <v>13.301316313868972</v>
      </c>
      <c r="G123" s="14"/>
      <c r="H123" s="14"/>
      <c r="I123" s="25" t="str">
        <f t="shared" si="5"/>
        <v/>
      </c>
    </row>
    <row r="124" spans="1:9" hidden="1" x14ac:dyDescent="0.25">
      <c r="A124" s="3">
        <v>2400</v>
      </c>
      <c r="B124" s="3">
        <v>113.47905470000001</v>
      </c>
      <c r="C124" s="3">
        <v>22.964906110000001</v>
      </c>
      <c r="D124" s="3">
        <v>1</v>
      </c>
      <c r="E124" s="13">
        <f t="shared" si="3"/>
        <v>7.4247020054306594E-3</v>
      </c>
      <c r="F124" s="13">
        <f t="shared" si="4"/>
        <v>11.605409951513899</v>
      </c>
      <c r="G124" s="14"/>
      <c r="H124" s="14"/>
      <c r="I124" s="25" t="str">
        <f t="shared" si="5"/>
        <v/>
      </c>
    </row>
    <row r="125" spans="1:9" x14ac:dyDescent="0.25">
      <c r="A125" s="3">
        <v>2824</v>
      </c>
      <c r="B125" s="3">
        <v>113.4830498</v>
      </c>
      <c r="C125" s="3">
        <v>22.957236099999999</v>
      </c>
      <c r="D125" s="3">
        <v>1</v>
      </c>
      <c r="E125" s="30">
        <f t="shared" si="3"/>
        <v>9.0169935600760889E-3</v>
      </c>
      <c r="F125" s="30">
        <f t="shared" si="4"/>
        <v>10.530988057145946</v>
      </c>
      <c r="G125" s="14">
        <f>F125/$F$235*$D$2</f>
        <v>8.08390464721424</v>
      </c>
      <c r="H125" s="14">
        <f>F125/$F$235*$E$2</f>
        <v>8.08390464721424</v>
      </c>
      <c r="I125" s="33" t="str">
        <f t="shared" si="5"/>
        <v>选中</v>
      </c>
    </row>
    <row r="126" spans="1:9" hidden="1" x14ac:dyDescent="0.25">
      <c r="A126" s="3">
        <v>2389</v>
      </c>
      <c r="B126" s="3">
        <v>113.4743769</v>
      </c>
      <c r="C126" s="3">
        <v>22.968509109999999</v>
      </c>
      <c r="D126" s="3">
        <v>1</v>
      </c>
      <c r="E126" s="13">
        <f t="shared" si="3"/>
        <v>1.2419455638215317E-2</v>
      </c>
      <c r="F126" s="13">
        <f t="shared" si="4"/>
        <v>8.9732283489614879</v>
      </c>
      <c r="G126" s="14"/>
      <c r="H126" s="14"/>
      <c r="I126" s="25" t="str">
        <f t="shared" si="5"/>
        <v/>
      </c>
    </row>
    <row r="127" spans="1:9" hidden="1" x14ac:dyDescent="0.25">
      <c r="A127" s="3">
        <v>2467</v>
      </c>
      <c r="B127" s="3">
        <v>113.49980530000001</v>
      </c>
      <c r="C127" s="3">
        <v>22.97126428</v>
      </c>
      <c r="D127" s="3">
        <v>1</v>
      </c>
      <c r="E127" s="13">
        <f t="shared" si="3"/>
        <v>1.4513262205691801E-2</v>
      </c>
      <c r="F127" s="13">
        <f t="shared" si="4"/>
        <v>8.300752773994672</v>
      </c>
      <c r="G127" s="14"/>
      <c r="H127" s="14"/>
      <c r="I127" s="25" t="str">
        <f t="shared" si="5"/>
        <v/>
      </c>
    </row>
    <row r="128" spans="1:9" x14ac:dyDescent="0.25">
      <c r="A128" s="3">
        <v>2171</v>
      </c>
      <c r="B128" s="3">
        <v>113.4977536</v>
      </c>
      <c r="C128" s="3">
        <v>22.978315080000002</v>
      </c>
      <c r="D128" s="3">
        <v>1</v>
      </c>
      <c r="E128" s="30">
        <f t="shared" si="3"/>
        <v>1.7023183991514271E-2</v>
      </c>
      <c r="F128" s="30">
        <f t="shared" si="4"/>
        <v>7.664425434561263</v>
      </c>
      <c r="G128" s="14">
        <f>F128/$F$235*$D$2</f>
        <v>5.8834445592817897</v>
      </c>
      <c r="H128" s="14">
        <f>F128/$F$235*$E$2</f>
        <v>5.8834445592817897</v>
      </c>
      <c r="I128" s="33" t="str">
        <f t="shared" si="5"/>
        <v>选中</v>
      </c>
    </row>
    <row r="129" spans="1:9" hidden="1" x14ac:dyDescent="0.25">
      <c r="A129" s="3">
        <v>2189</v>
      </c>
      <c r="B129" s="3">
        <v>113.5034448</v>
      </c>
      <c r="C129" s="3">
        <v>22.974192890000001</v>
      </c>
      <c r="D129" s="3">
        <v>1</v>
      </c>
      <c r="E129" s="13">
        <f t="shared" si="3"/>
        <v>1.9050749060592464E-2</v>
      </c>
      <c r="F129" s="13">
        <f t="shared" si="4"/>
        <v>7.2450931201167386</v>
      </c>
      <c r="G129" s="14"/>
      <c r="H129" s="14"/>
      <c r="I129" s="25" t="str">
        <f t="shared" si="5"/>
        <v/>
      </c>
    </row>
    <row r="130" spans="1:9" hidden="1" x14ac:dyDescent="0.25">
      <c r="A130" s="3">
        <v>15</v>
      </c>
      <c r="B130" s="3">
        <v>113.5092411</v>
      </c>
      <c r="C130" s="3">
        <v>22.969596979999999</v>
      </c>
      <c r="D130" s="3">
        <v>1</v>
      </c>
      <c r="E130" s="13">
        <f t="shared" si="3"/>
        <v>2.3142932481060981E-2</v>
      </c>
      <c r="F130" s="13">
        <f t="shared" si="4"/>
        <v>6.5734112818385482</v>
      </c>
      <c r="G130" s="14">
        <f>F130/$F$124*$D$2</f>
        <v>1011.0404705308317</v>
      </c>
      <c r="H130" s="14"/>
      <c r="I130" s="25" t="str">
        <f t="shared" si="5"/>
        <v/>
      </c>
    </row>
    <row r="131" spans="1:9" x14ac:dyDescent="0.25">
      <c r="A131" s="3">
        <v>2807</v>
      </c>
      <c r="B131" s="3">
        <v>113.4615901</v>
      </c>
      <c r="C131" s="3">
        <v>22.962395010000002</v>
      </c>
      <c r="D131" s="3">
        <v>1</v>
      </c>
      <c r="E131" s="30">
        <f t="shared" si="3"/>
        <v>2.5062162199371792E-2</v>
      </c>
      <c r="F131" s="30">
        <f t="shared" si="4"/>
        <v>6.3167069880205498</v>
      </c>
      <c r="G131" s="14">
        <f>F131/$F$235*$D$2</f>
        <v>4.848895155749422</v>
      </c>
      <c r="H131" s="14">
        <f>F131/$F$235*$E$2</f>
        <v>4.848895155749422</v>
      </c>
      <c r="I131" s="33" t="str">
        <f t="shared" si="5"/>
        <v>选中</v>
      </c>
    </row>
    <row r="132" spans="1:9" hidden="1" x14ac:dyDescent="0.25">
      <c r="A132" s="3">
        <v>4503</v>
      </c>
      <c r="B132" s="3">
        <v>113.5185173</v>
      </c>
      <c r="C132" s="3">
        <v>22.909633800000002</v>
      </c>
      <c r="D132" s="3">
        <v>1</v>
      </c>
      <c r="E132" s="13">
        <f t="shared" si="3"/>
        <v>6.4492949050981491E-2</v>
      </c>
      <c r="F132" s="13">
        <f t="shared" si="4"/>
        <v>3.9377113901480683</v>
      </c>
      <c r="G132" s="14"/>
      <c r="H132" s="14"/>
      <c r="I132" s="25" t="str">
        <f t="shared" si="5"/>
        <v/>
      </c>
    </row>
    <row r="133" spans="1:9" hidden="1" x14ac:dyDescent="0.25">
      <c r="A133" s="3">
        <v>2449</v>
      </c>
      <c r="B133" s="3">
        <v>113.48740340000001</v>
      </c>
      <c r="C133" s="3">
        <v>22.964310009999998</v>
      </c>
      <c r="D133" s="3">
        <v>1</v>
      </c>
      <c r="E133" s="13">
        <f t="shared" ref="E133:E196" si="6">SQRT((B133-$B$2)^2+(C133-$C$2)^2)</f>
        <v>1.5958341573049772E-3</v>
      </c>
      <c r="F133" s="13">
        <f t="shared" ref="F133:F196" si="7">SQRT(1/E133)</f>
        <v>25.032609337406253</v>
      </c>
      <c r="G133" s="14"/>
      <c r="H133" s="14"/>
      <c r="I133" s="25" t="str">
        <f t="shared" ref="I133:I196" si="8">IF(MOD(ROW()-1,3)=1,"选中","")</f>
        <v/>
      </c>
    </row>
    <row r="134" spans="1:9" x14ac:dyDescent="0.25">
      <c r="A134" s="3">
        <v>2831</v>
      </c>
      <c r="B134" s="3">
        <v>113.48257479999999</v>
      </c>
      <c r="C134" s="3">
        <v>22.963586979999999</v>
      </c>
      <c r="D134" s="3">
        <v>1</v>
      </c>
      <c r="E134" s="30">
        <f t="shared" si="6"/>
        <v>4.3596742828922071E-3</v>
      </c>
      <c r="F134" s="30">
        <f t="shared" si="7"/>
        <v>15.145129045128209</v>
      </c>
      <c r="G134" s="14">
        <f>F134/$F$235*$D$2</f>
        <v>11.62585869494872</v>
      </c>
      <c r="H134" s="14">
        <f>F134/$F$235*$E$2</f>
        <v>11.62585869494872</v>
      </c>
      <c r="I134" s="33" t="str">
        <f t="shared" si="8"/>
        <v>选中</v>
      </c>
    </row>
    <row r="135" spans="1:9" hidden="1" x14ac:dyDescent="0.25">
      <c r="A135" s="3">
        <v>2463</v>
      </c>
      <c r="B135" s="3">
        <v>113.49085220000001</v>
      </c>
      <c r="C135" s="3">
        <v>22.966990200000001</v>
      </c>
      <c r="D135" s="3">
        <v>1</v>
      </c>
      <c r="E135" s="13">
        <f t="shared" si="6"/>
        <v>4.6219521246543211E-3</v>
      </c>
      <c r="F135" s="13">
        <f t="shared" si="7"/>
        <v>14.7091399027747</v>
      </c>
      <c r="G135" s="14"/>
      <c r="H135" s="14"/>
      <c r="I135" s="25" t="str">
        <f t="shared" si="8"/>
        <v/>
      </c>
    </row>
    <row r="136" spans="1:9" hidden="1" x14ac:dyDescent="0.25">
      <c r="A136" s="3">
        <v>2407</v>
      </c>
      <c r="B136" s="3">
        <v>113.4808046</v>
      </c>
      <c r="C136" s="3">
        <v>22.965088139999999</v>
      </c>
      <c r="D136" s="3">
        <v>1</v>
      </c>
      <c r="E136" s="13">
        <f t="shared" si="6"/>
        <v>5.6655161787840741E-3</v>
      </c>
      <c r="F136" s="13">
        <f t="shared" si="7"/>
        <v>13.285572018293619</v>
      </c>
      <c r="G136" s="14"/>
      <c r="H136" s="14"/>
      <c r="I136" s="25" t="str">
        <f t="shared" si="8"/>
        <v/>
      </c>
    </row>
    <row r="137" spans="1:9" x14ac:dyDescent="0.25">
      <c r="A137" s="3">
        <v>2392</v>
      </c>
      <c r="B137" s="3">
        <v>113.4798694</v>
      </c>
      <c r="C137" s="3">
        <v>22.966608749999999</v>
      </c>
      <c r="D137" s="3">
        <v>1</v>
      </c>
      <c r="E137" s="30">
        <f t="shared" si="6"/>
        <v>6.6572815931102572E-3</v>
      </c>
      <c r="F137" s="30">
        <f t="shared" si="7"/>
        <v>12.256078567093208</v>
      </c>
      <c r="G137" s="14">
        <f>F137/$F$235*$D$2</f>
        <v>9.4081362496577547</v>
      </c>
      <c r="H137" s="14">
        <f>F137/$F$235*$E$2</f>
        <v>9.4081362496577547</v>
      </c>
      <c r="I137" s="33" t="str">
        <f t="shared" si="8"/>
        <v>选中</v>
      </c>
    </row>
    <row r="138" spans="1:9" hidden="1" x14ac:dyDescent="0.25">
      <c r="A138" s="3">
        <v>2385</v>
      </c>
      <c r="B138" s="3">
        <v>113.4797659</v>
      </c>
      <c r="C138" s="3">
        <v>22.968643579999998</v>
      </c>
      <c r="D138" s="3">
        <v>1</v>
      </c>
      <c r="E138" s="13">
        <f t="shared" si="6"/>
        <v>7.3474826858444522E-3</v>
      </c>
      <c r="F138" s="13">
        <f t="shared" si="7"/>
        <v>11.666234835910588</v>
      </c>
      <c r="G138" s="14"/>
      <c r="H138" s="14"/>
      <c r="I138" s="25" t="str">
        <f t="shared" si="8"/>
        <v/>
      </c>
    </row>
    <row r="139" spans="1:9" hidden="1" x14ac:dyDescent="0.25">
      <c r="A139" s="3">
        <v>2834</v>
      </c>
      <c r="B139" s="3">
        <v>113.4922164</v>
      </c>
      <c r="C139" s="3">
        <v>22.960814939999999</v>
      </c>
      <c r="D139" s="3">
        <v>1</v>
      </c>
      <c r="E139" s="13">
        <f t="shared" si="6"/>
        <v>7.4872509585428666E-3</v>
      </c>
      <c r="F139" s="13">
        <f t="shared" si="7"/>
        <v>11.556832130418307</v>
      </c>
      <c r="G139" s="14"/>
      <c r="H139" s="14"/>
      <c r="I139" s="25" t="str">
        <f t="shared" si="8"/>
        <v/>
      </c>
    </row>
    <row r="140" spans="1:9" x14ac:dyDescent="0.25">
      <c r="A140" s="3">
        <v>2383</v>
      </c>
      <c r="B140" s="3">
        <v>113.47887179999999</v>
      </c>
      <c r="C140" s="3">
        <v>22.968965829999998</v>
      </c>
      <c r="D140" s="3">
        <v>1</v>
      </c>
      <c r="E140" s="30">
        <f t="shared" si="6"/>
        <v>8.2949896381146939E-3</v>
      </c>
      <c r="F140" s="30">
        <f t="shared" si="7"/>
        <v>10.979740503668891</v>
      </c>
      <c r="G140" s="14">
        <f>F140/$F$235*$D$2</f>
        <v>8.4283805851044171</v>
      </c>
      <c r="H140" s="14">
        <f>F140/$F$235*$E$2</f>
        <v>8.4283805851044171</v>
      </c>
      <c r="I140" s="33" t="str">
        <f t="shared" si="8"/>
        <v>选中</v>
      </c>
    </row>
    <row r="141" spans="1:9" hidden="1" x14ac:dyDescent="0.25">
      <c r="A141" s="3">
        <v>2397</v>
      </c>
      <c r="B141" s="3">
        <v>113.4794576</v>
      </c>
      <c r="C141" s="3">
        <v>22.972035219999999</v>
      </c>
      <c r="D141" s="3">
        <v>1</v>
      </c>
      <c r="E141" s="13">
        <f t="shared" si="6"/>
        <v>9.5094223978524905E-3</v>
      </c>
      <c r="F141" s="13">
        <f t="shared" si="7"/>
        <v>10.254699315060193</v>
      </c>
      <c r="G141" s="14"/>
      <c r="H141" s="14"/>
      <c r="I141" s="25" t="str">
        <f t="shared" si="8"/>
        <v/>
      </c>
    </row>
    <row r="142" spans="1:9" hidden="1" x14ac:dyDescent="0.25">
      <c r="A142" s="3">
        <v>2464</v>
      </c>
      <c r="B142" s="3">
        <v>113.49597180000001</v>
      </c>
      <c r="C142" s="3">
        <v>22.971295749999999</v>
      </c>
      <c r="D142" s="3">
        <v>1</v>
      </c>
      <c r="E142" s="13">
        <f t="shared" si="6"/>
        <v>1.110307717212683E-2</v>
      </c>
      <c r="F142" s="13">
        <f t="shared" si="7"/>
        <v>9.4902645902273441</v>
      </c>
      <c r="G142" s="14"/>
      <c r="H142" s="14"/>
      <c r="I142" s="25" t="str">
        <f t="shared" si="8"/>
        <v/>
      </c>
    </row>
    <row r="143" spans="1:9" x14ac:dyDescent="0.25">
      <c r="A143" s="3">
        <v>2382</v>
      </c>
      <c r="B143" s="3">
        <v>113.4752086</v>
      </c>
      <c r="C143" s="3">
        <v>22.968542459999998</v>
      </c>
      <c r="D143" s="3">
        <v>1</v>
      </c>
      <c r="E143" s="30">
        <f t="shared" si="6"/>
        <v>1.1621164704277809E-2</v>
      </c>
      <c r="F143" s="30">
        <f t="shared" si="7"/>
        <v>9.2763082515579143</v>
      </c>
      <c r="G143" s="14">
        <f>F143/$F$235*$D$2</f>
        <v>7.1207745158229647</v>
      </c>
      <c r="H143" s="14">
        <f>F143/$F$235*$E$2</f>
        <v>7.1207745158229647</v>
      </c>
      <c r="I143" s="33" t="str">
        <f t="shared" si="8"/>
        <v>选中</v>
      </c>
    </row>
    <row r="144" spans="1:9" hidden="1" x14ac:dyDescent="0.25">
      <c r="A144" s="3">
        <v>2181</v>
      </c>
      <c r="B144" s="3">
        <v>113.4933712</v>
      </c>
      <c r="C144" s="3">
        <v>22.978780700000002</v>
      </c>
      <c r="D144" s="3">
        <v>1</v>
      </c>
      <c r="E144" s="13">
        <f t="shared" si="6"/>
        <v>1.4898705824419319E-2</v>
      </c>
      <c r="F144" s="13">
        <f t="shared" si="7"/>
        <v>8.1926750102300296</v>
      </c>
      <c r="G144" s="14"/>
      <c r="H144" s="14"/>
      <c r="I144" s="25" t="str">
        <f t="shared" si="8"/>
        <v/>
      </c>
    </row>
    <row r="145" spans="1:9" hidden="1" x14ac:dyDescent="0.25">
      <c r="A145" s="3">
        <v>2811</v>
      </c>
      <c r="B145" s="3">
        <v>113.4715934</v>
      </c>
      <c r="C145" s="3">
        <v>22.960032900000002</v>
      </c>
      <c r="D145" s="3">
        <v>1</v>
      </c>
      <c r="E145" s="13">
        <f t="shared" si="6"/>
        <v>1.5859415335448396E-2</v>
      </c>
      <c r="F145" s="13">
        <f t="shared" si="7"/>
        <v>7.940656573962837</v>
      </c>
      <c r="G145" s="14"/>
      <c r="H145" s="14"/>
      <c r="I145" s="25" t="str">
        <f t="shared" si="8"/>
        <v/>
      </c>
    </row>
    <row r="146" spans="1:9" x14ac:dyDescent="0.25">
      <c r="A146" s="3">
        <v>2154</v>
      </c>
      <c r="B146" s="3">
        <v>113.47546180000001</v>
      </c>
      <c r="C146" s="3">
        <v>22.978280999999999</v>
      </c>
      <c r="D146" s="3">
        <v>1</v>
      </c>
      <c r="E146" s="30">
        <f t="shared" si="6"/>
        <v>1.6786973908429124E-2</v>
      </c>
      <c r="F146" s="30">
        <f t="shared" si="7"/>
        <v>7.7181602647168779</v>
      </c>
      <c r="G146" s="14">
        <f>F146/$F$235*$D$2</f>
        <v>5.9246930386129852</v>
      </c>
      <c r="H146" s="14">
        <f>F146/$F$235*$E$2</f>
        <v>5.9246930386129852</v>
      </c>
      <c r="I146" s="33" t="str">
        <f t="shared" si="8"/>
        <v>选中</v>
      </c>
    </row>
    <row r="147" spans="1:9" hidden="1" x14ac:dyDescent="0.25">
      <c r="A147" s="3">
        <v>3299</v>
      </c>
      <c r="B147" s="3">
        <v>113.47428360000001</v>
      </c>
      <c r="C147" s="3">
        <v>22.95359122</v>
      </c>
      <c r="D147" s="3">
        <v>1</v>
      </c>
      <c r="E147" s="13">
        <f t="shared" si="6"/>
        <v>1.7085120900380783E-2</v>
      </c>
      <c r="F147" s="13">
        <f t="shared" si="7"/>
        <v>7.6505202993869199</v>
      </c>
      <c r="G147" s="14"/>
      <c r="H147" s="14"/>
      <c r="I147" s="25" t="str">
        <f t="shared" si="8"/>
        <v/>
      </c>
    </row>
    <row r="148" spans="1:9" hidden="1" x14ac:dyDescent="0.25">
      <c r="A148" s="3">
        <v>2178</v>
      </c>
      <c r="B148" s="3">
        <v>113.4989386</v>
      </c>
      <c r="C148" s="3">
        <v>22.979918949999998</v>
      </c>
      <c r="D148" s="3">
        <v>1</v>
      </c>
      <c r="E148" s="13">
        <f t="shared" si="6"/>
        <v>1.9010103914764018E-2</v>
      </c>
      <c r="F148" s="13">
        <f t="shared" si="7"/>
        <v>7.2528342832207642</v>
      </c>
      <c r="G148" s="14"/>
      <c r="H148" s="14"/>
      <c r="I148" s="25" t="str">
        <f t="shared" si="8"/>
        <v/>
      </c>
    </row>
    <row r="149" spans="1:9" x14ac:dyDescent="0.25">
      <c r="A149" s="3">
        <v>3312</v>
      </c>
      <c r="B149" s="3">
        <v>113.48273349999999</v>
      </c>
      <c r="C149" s="3">
        <v>22.94595297</v>
      </c>
      <c r="D149" s="3">
        <v>1</v>
      </c>
      <c r="E149" s="30">
        <f t="shared" si="6"/>
        <v>1.99835364970362E-2</v>
      </c>
      <c r="F149" s="30">
        <f t="shared" si="7"/>
        <v>7.0739799735501512</v>
      </c>
      <c r="G149" s="14">
        <f>F149/$F$235*$D$2</f>
        <v>5.4302007819369456</v>
      </c>
      <c r="H149" s="14">
        <f>F149/$F$235*$E$2</f>
        <v>5.4302007819369456</v>
      </c>
      <c r="I149" s="33" t="str">
        <f t="shared" si="8"/>
        <v>选中</v>
      </c>
    </row>
    <row r="150" spans="1:9" hidden="1" x14ac:dyDescent="0.25">
      <c r="A150" s="3">
        <v>1950</v>
      </c>
      <c r="B150" s="3">
        <v>113.49383330000001</v>
      </c>
      <c r="C150" s="3">
        <v>22.98647777</v>
      </c>
      <c r="D150" s="3">
        <v>1</v>
      </c>
      <c r="E150" s="13">
        <f t="shared" si="6"/>
        <v>2.2156594998342567E-2</v>
      </c>
      <c r="F150" s="13">
        <f t="shared" si="7"/>
        <v>6.718131344359433</v>
      </c>
      <c r="G150" s="14"/>
      <c r="H150" s="14"/>
      <c r="I150" s="25" t="str">
        <f t="shared" si="8"/>
        <v/>
      </c>
    </row>
    <row r="151" spans="1:9" hidden="1" x14ac:dyDescent="0.25">
      <c r="A151" s="3">
        <v>3315</v>
      </c>
      <c r="B151" s="3">
        <v>113.50221620000001</v>
      </c>
      <c r="C151" s="3">
        <v>22.94870714</v>
      </c>
      <c r="D151" s="3">
        <v>1</v>
      </c>
      <c r="E151" s="13">
        <f t="shared" si="6"/>
        <v>2.3099956841354432E-2</v>
      </c>
      <c r="F151" s="13">
        <f t="shared" si="7"/>
        <v>6.5795230959924504</v>
      </c>
      <c r="G151" s="14"/>
      <c r="H151" s="14"/>
      <c r="I151" s="25" t="str">
        <f t="shared" si="8"/>
        <v/>
      </c>
    </row>
    <row r="152" spans="1:9" x14ac:dyDescent="0.25">
      <c r="A152" s="3">
        <v>3881</v>
      </c>
      <c r="B152" s="3">
        <v>113.48059550000001</v>
      </c>
      <c r="C152" s="3">
        <v>22.94106876</v>
      </c>
      <c r="D152" s="3">
        <v>1</v>
      </c>
      <c r="E152" s="30">
        <f t="shared" si="6"/>
        <v>2.5208275349772387E-2</v>
      </c>
      <c r="F152" s="30">
        <f t="shared" si="7"/>
        <v>6.2983738166607521</v>
      </c>
      <c r="G152" s="14">
        <f>F152/$F$235*$D$2</f>
        <v>4.8348220594407545</v>
      </c>
      <c r="H152" s="14">
        <f>F152/$F$235*$E$2</f>
        <v>4.8348220594407545</v>
      </c>
      <c r="I152" s="33" t="str">
        <f t="shared" si="8"/>
        <v>选中</v>
      </c>
    </row>
    <row r="153" spans="1:9" hidden="1" x14ac:dyDescent="0.25">
      <c r="A153" s="3">
        <v>1952</v>
      </c>
      <c r="B153" s="3">
        <v>113.4999395</v>
      </c>
      <c r="C153" s="3">
        <v>22.989305909999999</v>
      </c>
      <c r="D153" s="3">
        <v>1</v>
      </c>
      <c r="E153" s="13">
        <f t="shared" si="6"/>
        <v>2.7286406288215648E-2</v>
      </c>
      <c r="F153" s="13">
        <f t="shared" si="7"/>
        <v>6.0537827190743378</v>
      </c>
      <c r="G153" s="14"/>
      <c r="H153" s="14"/>
      <c r="I153" s="25" t="str">
        <f t="shared" si="8"/>
        <v/>
      </c>
    </row>
    <row r="154" spans="1:9" hidden="1" x14ac:dyDescent="0.25">
      <c r="A154" s="3">
        <v>4354</v>
      </c>
      <c r="B154" s="3">
        <v>113.51186920000001</v>
      </c>
      <c r="C154" s="3">
        <v>22.922863450000001</v>
      </c>
      <c r="D154" s="3">
        <v>1</v>
      </c>
      <c r="E154" s="13">
        <f t="shared" si="6"/>
        <v>4.9715650900701507E-2</v>
      </c>
      <c r="F154" s="13">
        <f t="shared" si="7"/>
        <v>4.4849069304258276</v>
      </c>
      <c r="G154" s="14"/>
      <c r="H154" s="14"/>
      <c r="I154" s="25" t="str">
        <f t="shared" si="8"/>
        <v/>
      </c>
    </row>
    <row r="155" spans="1:9" x14ac:dyDescent="0.25">
      <c r="A155" s="3">
        <v>4505</v>
      </c>
      <c r="B155" s="3">
        <v>113.5135461</v>
      </c>
      <c r="C155" s="3">
        <v>22.904526870000002</v>
      </c>
      <c r="D155" s="3">
        <v>1</v>
      </c>
      <c r="E155" s="30">
        <f t="shared" si="6"/>
        <v>6.680418513172931E-2</v>
      </c>
      <c r="F155" s="30">
        <f t="shared" si="7"/>
        <v>3.8689949650660522</v>
      </c>
      <c r="G155" s="14">
        <f>F155/$F$235*$D$2</f>
        <v>2.9699574444890575</v>
      </c>
      <c r="H155" s="14">
        <f>F155/$F$235*$E$2</f>
        <v>2.9699574444890575</v>
      </c>
      <c r="I155" s="33" t="str">
        <f t="shared" si="8"/>
        <v>选中</v>
      </c>
    </row>
    <row r="156" spans="1:9" hidden="1" x14ac:dyDescent="0.25">
      <c r="A156" s="3">
        <v>2426</v>
      </c>
      <c r="B156" s="3">
        <v>113.4880974</v>
      </c>
      <c r="C156" s="3">
        <v>22.969828719999999</v>
      </c>
      <c r="D156" s="3">
        <v>1</v>
      </c>
      <c r="E156" s="13">
        <f t="shared" si="6"/>
        <v>4.5499567229710909E-3</v>
      </c>
      <c r="F156" s="13">
        <f t="shared" si="7"/>
        <v>14.825056837171356</v>
      </c>
      <c r="G156" s="14"/>
      <c r="H156" s="14"/>
      <c r="I156" s="25" t="str">
        <f t="shared" si="8"/>
        <v/>
      </c>
    </row>
    <row r="157" spans="1:9" hidden="1" x14ac:dyDescent="0.25">
      <c r="A157" s="3">
        <v>2437</v>
      </c>
      <c r="B157" s="3">
        <v>113.4850337</v>
      </c>
      <c r="C157" s="3">
        <v>22.971381919999999</v>
      </c>
      <c r="D157" s="3">
        <v>1</v>
      </c>
      <c r="E157" s="13">
        <f t="shared" si="6"/>
        <v>5.9637954826496009E-3</v>
      </c>
      <c r="F157" s="13">
        <f t="shared" si="7"/>
        <v>12.949071507625904</v>
      </c>
      <c r="G157" s="14"/>
      <c r="H157" s="14"/>
      <c r="I157" s="25" t="str">
        <f t="shared" si="8"/>
        <v/>
      </c>
    </row>
    <row r="158" spans="1:9" x14ac:dyDescent="0.25">
      <c r="A158" s="3">
        <v>2425</v>
      </c>
      <c r="B158" s="3">
        <v>113.4859046</v>
      </c>
      <c r="C158" s="3">
        <v>22.97324171</v>
      </c>
      <c r="D158" s="3">
        <v>1</v>
      </c>
      <c r="E158" s="30">
        <f t="shared" si="6"/>
        <v>7.672726603470321E-3</v>
      </c>
      <c r="F158" s="30">
        <f t="shared" si="7"/>
        <v>11.416293834811142</v>
      </c>
      <c r="G158" s="14">
        <f>F158/$F$235*$D$2</f>
        <v>8.7634921134080717</v>
      </c>
      <c r="H158" s="14">
        <f>F158/$F$235*$E$2</f>
        <v>8.7634921134080717</v>
      </c>
      <c r="I158" s="33" t="str">
        <f t="shared" si="8"/>
        <v>选中</v>
      </c>
    </row>
    <row r="159" spans="1:9" hidden="1" x14ac:dyDescent="0.25">
      <c r="A159" s="3">
        <v>2462</v>
      </c>
      <c r="B159" s="3">
        <v>113.48270460000001</v>
      </c>
      <c r="C159" s="3">
        <v>22.97290937</v>
      </c>
      <c r="D159" s="3">
        <v>1</v>
      </c>
      <c r="E159" s="13">
        <f t="shared" si="6"/>
        <v>8.2226420093746786E-3</v>
      </c>
      <c r="F159" s="13">
        <f t="shared" si="7"/>
        <v>11.027937818246683</v>
      </c>
      <c r="G159" s="14"/>
      <c r="H159" s="14"/>
      <c r="I159" s="25" t="str">
        <f t="shared" si="8"/>
        <v/>
      </c>
    </row>
    <row r="160" spans="1:9" hidden="1" x14ac:dyDescent="0.25">
      <c r="A160" s="3">
        <v>2162</v>
      </c>
      <c r="B160" s="3">
        <v>113.4808601</v>
      </c>
      <c r="C160" s="3">
        <v>22.975618780000001</v>
      </c>
      <c r="D160" s="3">
        <v>1</v>
      </c>
      <c r="E160" s="13">
        <f t="shared" si="6"/>
        <v>1.1481992792667765E-2</v>
      </c>
      <c r="F160" s="13">
        <f t="shared" si="7"/>
        <v>9.3323574533606539</v>
      </c>
      <c r="G160" s="14"/>
      <c r="H160" s="14"/>
      <c r="I160" s="25" t="str">
        <f t="shared" si="8"/>
        <v/>
      </c>
    </row>
    <row r="161" spans="1:9" x14ac:dyDescent="0.25">
      <c r="A161" s="3">
        <v>2179</v>
      </c>
      <c r="B161" s="3">
        <v>113.4968787</v>
      </c>
      <c r="C161" s="3">
        <v>22.976516230000001</v>
      </c>
      <c r="D161" s="3">
        <v>1</v>
      </c>
      <c r="E161" s="30">
        <f t="shared" si="6"/>
        <v>1.5106960295521055E-2</v>
      </c>
      <c r="F161" s="30">
        <f t="shared" si="7"/>
        <v>8.1360096702470575</v>
      </c>
      <c r="G161" s="14">
        <f>F161/$F$235*$D$2</f>
        <v>6.2454468684408555</v>
      </c>
      <c r="H161" s="14">
        <f>F161/$F$235*$E$2</f>
        <v>6.2454468684408555</v>
      </c>
      <c r="I161" s="33" t="str">
        <f t="shared" si="8"/>
        <v>选中</v>
      </c>
    </row>
    <row r="162" spans="1:9" hidden="1" x14ac:dyDescent="0.25">
      <c r="A162" s="3">
        <v>3306</v>
      </c>
      <c r="B162" s="3">
        <v>113.47706100000001</v>
      </c>
      <c r="C162" s="3">
        <v>22.951086239999999</v>
      </c>
      <c r="D162" s="3">
        <v>1</v>
      </c>
      <c r="E162" s="13">
        <f t="shared" si="6"/>
        <v>1.7274954791255914E-2</v>
      </c>
      <c r="F162" s="13">
        <f t="shared" si="7"/>
        <v>7.6083685246572763</v>
      </c>
      <c r="G162" s="14"/>
      <c r="H162" s="14"/>
      <c r="I162" s="25" t="str">
        <f t="shared" si="8"/>
        <v/>
      </c>
    </row>
    <row r="163" spans="1:9" hidden="1" x14ac:dyDescent="0.25">
      <c r="A163" s="3">
        <v>2375</v>
      </c>
      <c r="B163" s="3">
        <v>113.46826710000001</v>
      </c>
      <c r="C163" s="3">
        <v>22.969745549999999</v>
      </c>
      <c r="D163" s="3">
        <v>1</v>
      </c>
      <c r="E163" s="13">
        <f t="shared" si="6"/>
        <v>1.8650154640099812E-2</v>
      </c>
      <c r="F163" s="13">
        <f t="shared" si="7"/>
        <v>7.3224899015209459</v>
      </c>
      <c r="G163" s="14"/>
      <c r="H163" s="14"/>
      <c r="I163" s="25" t="str">
        <f t="shared" si="8"/>
        <v/>
      </c>
    </row>
    <row r="164" spans="1:9" x14ac:dyDescent="0.25">
      <c r="A164" s="3">
        <v>2374</v>
      </c>
      <c r="B164" s="3">
        <v>113.4637354</v>
      </c>
      <c r="C164" s="3">
        <v>22.964669600000001</v>
      </c>
      <c r="D164" s="3">
        <v>1</v>
      </c>
      <c r="E164" s="30">
        <f t="shared" si="6"/>
        <v>2.2731170594188582E-2</v>
      </c>
      <c r="F164" s="30">
        <f t="shared" si="7"/>
        <v>6.6326808323377584</v>
      </c>
      <c r="G164" s="14">
        <f>F164/$F$235*$D$2</f>
        <v>5.0914462264194507</v>
      </c>
      <c r="H164" s="14">
        <f>F164/$F$235*$E$2</f>
        <v>5.0914462264194507</v>
      </c>
      <c r="I164" s="33" t="str">
        <f t="shared" si="8"/>
        <v>选中</v>
      </c>
    </row>
    <row r="165" spans="1:9" hidden="1" x14ac:dyDescent="0.25">
      <c r="A165" s="3">
        <v>2806</v>
      </c>
      <c r="B165" s="3">
        <v>113.46082680000001</v>
      </c>
      <c r="C165" s="3">
        <v>22.962398050000001</v>
      </c>
      <c r="D165" s="3">
        <v>1</v>
      </c>
      <c r="E165" s="13">
        <f t="shared" si="6"/>
        <v>2.5819048500660042E-2</v>
      </c>
      <c r="F165" s="13">
        <f t="shared" si="7"/>
        <v>6.2234310644689836</v>
      </c>
      <c r="G165" s="14"/>
      <c r="H165" s="14"/>
      <c r="I165" s="25" t="str">
        <f t="shared" si="8"/>
        <v/>
      </c>
    </row>
    <row r="166" spans="1:9" hidden="1" x14ac:dyDescent="0.25">
      <c r="A166" s="3">
        <v>4535</v>
      </c>
      <c r="B166" s="3">
        <v>113.550009</v>
      </c>
      <c r="C166" s="3">
        <v>22.872560310000001</v>
      </c>
      <c r="D166" s="3">
        <v>1</v>
      </c>
      <c r="E166" s="13">
        <f t="shared" si="6"/>
        <v>0.11266853305889937</v>
      </c>
      <c r="F166" s="13">
        <f t="shared" si="7"/>
        <v>2.979193282643982</v>
      </c>
      <c r="G166" s="14"/>
      <c r="H166" s="14"/>
      <c r="I166" s="25" t="str">
        <f t="shared" si="8"/>
        <v/>
      </c>
    </row>
    <row r="167" spans="1:9" x14ac:dyDescent="0.25">
      <c r="A167" s="3">
        <v>2418</v>
      </c>
      <c r="B167" s="3">
        <v>113.4872427</v>
      </c>
      <c r="C167" s="3">
        <v>22.966217709999999</v>
      </c>
      <c r="D167" s="3">
        <v>1</v>
      </c>
      <c r="E167" s="30">
        <f t="shared" si="6"/>
        <v>1.0137889235925495E-3</v>
      </c>
      <c r="F167" s="30">
        <f t="shared" si="7"/>
        <v>31.406983693627403</v>
      </c>
      <c r="G167" s="14">
        <f>F167/$F$235*$D$2</f>
        <v>24.108949707108938</v>
      </c>
      <c r="H167" s="14">
        <f>F167/$F$235*$E$2</f>
        <v>24.108949707108938</v>
      </c>
      <c r="I167" s="33" t="str">
        <f t="shared" si="8"/>
        <v>选中</v>
      </c>
    </row>
    <row r="168" spans="1:9" hidden="1" x14ac:dyDescent="0.25">
      <c r="A168" s="3">
        <v>2420</v>
      </c>
      <c r="B168" s="3">
        <v>113.4863605</v>
      </c>
      <c r="C168" s="3">
        <v>22.96798033</v>
      </c>
      <c r="D168" s="3">
        <v>1</v>
      </c>
      <c r="E168" s="13">
        <f t="shared" si="6"/>
        <v>2.3936797982182581E-3</v>
      </c>
      <c r="F168" s="13">
        <f t="shared" si="7"/>
        <v>20.43934492801182</v>
      </c>
      <c r="G168" s="14"/>
      <c r="H168" s="14"/>
      <c r="I168" s="25" t="str">
        <f t="shared" si="8"/>
        <v/>
      </c>
    </row>
    <row r="169" spans="1:9" hidden="1" x14ac:dyDescent="0.25">
      <c r="A169" s="3">
        <v>2459</v>
      </c>
      <c r="B169" s="3">
        <v>113.4831738</v>
      </c>
      <c r="C169" s="3">
        <v>22.96401857</v>
      </c>
      <c r="D169" s="3">
        <v>1</v>
      </c>
      <c r="E169" s="13">
        <f t="shared" si="6"/>
        <v>3.6310165163974044E-3</v>
      </c>
      <c r="F169" s="13">
        <f t="shared" si="7"/>
        <v>16.59532980813993</v>
      </c>
      <c r="G169" s="14"/>
      <c r="H169" s="14"/>
      <c r="I169" s="25" t="str">
        <f t="shared" si="8"/>
        <v/>
      </c>
    </row>
    <row r="170" spans="1:9" x14ac:dyDescent="0.25">
      <c r="A170" s="3">
        <v>2432</v>
      </c>
      <c r="B170" s="3">
        <v>113.4860383</v>
      </c>
      <c r="C170" s="3">
        <v>22.970040480000002</v>
      </c>
      <c r="D170" s="3">
        <v>1</v>
      </c>
      <c r="E170" s="30">
        <f t="shared" si="6"/>
        <v>4.4710408254576995E-3</v>
      </c>
      <c r="F170" s="30">
        <f t="shared" si="7"/>
        <v>14.955319041700058</v>
      </c>
      <c r="G170" s="14">
        <f>F170/$F$235*$D$2</f>
        <v>11.480154800834113</v>
      </c>
      <c r="H170" s="14">
        <f>F170/$F$235*$E$2</f>
        <v>11.480154800834113</v>
      </c>
      <c r="I170" s="33" t="str">
        <f t="shared" si="8"/>
        <v>选中</v>
      </c>
    </row>
    <row r="171" spans="1:9" hidden="1" x14ac:dyDescent="0.25">
      <c r="A171" s="3">
        <v>2427</v>
      </c>
      <c r="B171" s="3">
        <v>113.48557769999999</v>
      </c>
      <c r="C171" s="3">
        <v>22.97008409</v>
      </c>
      <c r="D171" s="3">
        <v>1</v>
      </c>
      <c r="E171" s="13">
        <f t="shared" si="6"/>
        <v>4.5793011907505794E-3</v>
      </c>
      <c r="F171" s="13">
        <f t="shared" si="7"/>
        <v>14.777480519597706</v>
      </c>
      <c r="G171" s="14"/>
      <c r="H171" s="14"/>
      <c r="I171" s="25" t="str">
        <f t="shared" si="8"/>
        <v/>
      </c>
    </row>
    <row r="172" spans="1:9" hidden="1" x14ac:dyDescent="0.25">
      <c r="A172" s="3">
        <v>2403</v>
      </c>
      <c r="B172" s="3">
        <v>113.48126809999999</v>
      </c>
      <c r="C172" s="3">
        <v>22.966381940000002</v>
      </c>
      <c r="D172" s="3">
        <v>1</v>
      </c>
      <c r="E172" s="13">
        <f t="shared" si="6"/>
        <v>5.240353788258989E-3</v>
      </c>
      <c r="F172" s="13">
        <f t="shared" si="7"/>
        <v>13.814007768660552</v>
      </c>
      <c r="G172" s="14"/>
      <c r="H172" s="14"/>
      <c r="I172" s="25" t="str">
        <f t="shared" si="8"/>
        <v/>
      </c>
    </row>
    <row r="173" spans="1:9" x14ac:dyDescent="0.25">
      <c r="A173" s="3">
        <v>2441</v>
      </c>
      <c r="B173" s="3">
        <v>113.4833259</v>
      </c>
      <c r="C173" s="3">
        <v>22.970092409999999</v>
      </c>
      <c r="D173" s="3">
        <v>1</v>
      </c>
      <c r="E173" s="30">
        <f t="shared" si="6"/>
        <v>5.4804165640569957E-3</v>
      </c>
      <c r="F173" s="30">
        <f t="shared" si="7"/>
        <v>13.508067273558247</v>
      </c>
      <c r="G173" s="14">
        <f>F173/$F$235*$D$2</f>
        <v>10.369200612045361</v>
      </c>
      <c r="H173" s="14">
        <f>F173/$F$235*$E$2</f>
        <v>10.369200612045361</v>
      </c>
      <c r="I173" s="33" t="str">
        <f t="shared" si="8"/>
        <v>选中</v>
      </c>
    </row>
    <row r="174" spans="1:9" hidden="1" x14ac:dyDescent="0.25">
      <c r="A174" s="3">
        <v>2423</v>
      </c>
      <c r="B174" s="3">
        <v>113.491675</v>
      </c>
      <c r="C174" s="3">
        <v>22.968684939999999</v>
      </c>
      <c r="D174" s="3">
        <v>1</v>
      </c>
      <c r="E174" s="13">
        <f t="shared" si="6"/>
        <v>6.075443848489538E-3</v>
      </c>
      <c r="F174" s="13">
        <f t="shared" si="7"/>
        <v>12.829537318061304</v>
      </c>
      <c r="G174" s="14"/>
      <c r="H174" s="14"/>
      <c r="I174" s="25" t="str">
        <f t="shared" si="8"/>
        <v/>
      </c>
    </row>
    <row r="175" spans="1:9" hidden="1" x14ac:dyDescent="0.25">
      <c r="A175" s="3">
        <v>2381</v>
      </c>
      <c r="B175" s="3">
        <v>113.4803349</v>
      </c>
      <c r="C175" s="3">
        <v>22.966731060000001</v>
      </c>
      <c r="D175" s="3">
        <v>1</v>
      </c>
      <c r="E175" s="13">
        <f t="shared" si="6"/>
        <v>6.2190036425475246E-3</v>
      </c>
      <c r="F175" s="13">
        <f t="shared" si="7"/>
        <v>12.680593901550074</v>
      </c>
      <c r="G175" s="14"/>
      <c r="H175" s="14"/>
      <c r="I175" s="25" t="str">
        <f t="shared" si="8"/>
        <v/>
      </c>
    </row>
    <row r="176" spans="1:9" x14ac:dyDescent="0.25">
      <c r="A176" s="3">
        <v>2444</v>
      </c>
      <c r="B176" s="3">
        <v>113.48417569999999</v>
      </c>
      <c r="C176" s="3">
        <v>22.972034090000001</v>
      </c>
      <c r="D176" s="3">
        <v>1</v>
      </c>
      <c r="E176" s="30">
        <f t="shared" si="6"/>
        <v>6.8346324404187035E-3</v>
      </c>
      <c r="F176" s="30">
        <f t="shared" si="7"/>
        <v>12.096017826304166</v>
      </c>
      <c r="G176" s="14">
        <f>F176/$F$235*$D$2</f>
        <v>9.2852687884774987</v>
      </c>
      <c r="H176" s="14">
        <f>F176/$F$235*$E$2</f>
        <v>9.2852687884774987</v>
      </c>
      <c r="I176" s="33" t="str">
        <f t="shared" si="8"/>
        <v>选中</v>
      </c>
    </row>
    <row r="177" spans="1:9" hidden="1" x14ac:dyDescent="0.25">
      <c r="A177" s="3">
        <v>2422</v>
      </c>
      <c r="B177" s="3">
        <v>113.4839308</v>
      </c>
      <c r="C177" s="3">
        <v>22.972238279999999</v>
      </c>
      <c r="D177" s="3">
        <v>1</v>
      </c>
      <c r="E177" s="13">
        <f t="shared" si="6"/>
        <v>7.1104989164538328E-3</v>
      </c>
      <c r="F177" s="13">
        <f t="shared" si="7"/>
        <v>11.8590517087503</v>
      </c>
      <c r="G177" s="14"/>
      <c r="H177" s="14"/>
      <c r="I177" s="25" t="str">
        <f t="shared" si="8"/>
        <v/>
      </c>
    </row>
    <row r="178" spans="1:9" hidden="1" x14ac:dyDescent="0.25">
      <c r="A178" s="3">
        <v>2446</v>
      </c>
      <c r="B178" s="3">
        <v>113.4873968</v>
      </c>
      <c r="C178" s="3">
        <v>22.972916300000001</v>
      </c>
      <c r="D178" s="3">
        <v>1</v>
      </c>
      <c r="E178" s="13">
        <f t="shared" si="6"/>
        <v>7.3892177016603808E-3</v>
      </c>
      <c r="F178" s="13">
        <f t="shared" si="7"/>
        <v>11.633242172503063</v>
      </c>
      <c r="G178" s="14"/>
      <c r="H178" s="14"/>
      <c r="I178" s="25" t="str">
        <f t="shared" si="8"/>
        <v/>
      </c>
    </row>
    <row r="179" spans="1:9" x14ac:dyDescent="0.25">
      <c r="A179" s="3">
        <v>2412</v>
      </c>
      <c r="B179" s="3">
        <v>113.4816752</v>
      </c>
      <c r="C179" s="3">
        <v>22.971240049999999</v>
      </c>
      <c r="D179" s="3">
        <v>1</v>
      </c>
      <c r="E179" s="30">
        <f t="shared" si="6"/>
        <v>7.3974632868279615E-3</v>
      </c>
      <c r="F179" s="30">
        <f t="shared" si="7"/>
        <v>11.626756865958322</v>
      </c>
      <c r="G179" s="14">
        <f>F179/$F$235*$D$2</f>
        <v>8.9250498956717212</v>
      </c>
      <c r="H179" s="14">
        <f>F179/$F$235*$E$2</f>
        <v>8.9250498956717212</v>
      </c>
      <c r="I179" s="33" t="str">
        <f t="shared" si="8"/>
        <v>选中</v>
      </c>
    </row>
    <row r="180" spans="1:9" hidden="1" x14ac:dyDescent="0.25">
      <c r="A180" s="3">
        <v>2413</v>
      </c>
      <c r="B180" s="3">
        <v>113.4799424</v>
      </c>
      <c r="C180" s="3">
        <v>22.969876559999999</v>
      </c>
      <c r="D180" s="3">
        <v>1</v>
      </c>
      <c r="E180" s="13">
        <f t="shared" si="6"/>
        <v>7.7918184024051004E-3</v>
      </c>
      <c r="F180" s="13">
        <f t="shared" si="7"/>
        <v>11.32871337299793</v>
      </c>
      <c r="G180" s="14"/>
      <c r="H180" s="14"/>
      <c r="I180" s="25" t="str">
        <f t="shared" si="8"/>
        <v/>
      </c>
    </row>
    <row r="181" spans="1:9" hidden="1" x14ac:dyDescent="0.25">
      <c r="A181" s="3">
        <v>2826</v>
      </c>
      <c r="B181" s="3">
        <v>113.4903992</v>
      </c>
      <c r="C181" s="3">
        <v>22.958480479999999</v>
      </c>
      <c r="D181" s="3">
        <v>1</v>
      </c>
      <c r="E181" s="13">
        <f t="shared" si="6"/>
        <v>8.1321814916379739E-3</v>
      </c>
      <c r="F181" s="13">
        <f t="shared" si="7"/>
        <v>11.089104310935321</v>
      </c>
      <c r="G181" s="14"/>
      <c r="H181" s="14"/>
      <c r="I181" s="25" t="str">
        <f t="shared" si="8"/>
        <v/>
      </c>
    </row>
    <row r="182" spans="1:9" x14ac:dyDescent="0.25">
      <c r="A182" s="3">
        <v>2414</v>
      </c>
      <c r="B182" s="3">
        <v>113.48054019999999</v>
      </c>
      <c r="C182" s="3">
        <v>22.972497180000001</v>
      </c>
      <c r="D182" s="3">
        <v>1</v>
      </c>
      <c r="E182" s="30">
        <f t="shared" si="6"/>
        <v>9.0904023335028998E-3</v>
      </c>
      <c r="F182" s="30">
        <f t="shared" si="7"/>
        <v>10.488380814331583</v>
      </c>
      <c r="G182" s="14">
        <f>F182/$F$235*$D$2</f>
        <v>8.0511980401681633</v>
      </c>
      <c r="H182" s="14">
        <f>F182/$F$235*$E$2</f>
        <v>8.0511980401681633</v>
      </c>
      <c r="I182" s="33" t="str">
        <f t="shared" si="8"/>
        <v>选中</v>
      </c>
    </row>
    <row r="183" spans="1:9" hidden="1" x14ac:dyDescent="0.25">
      <c r="A183" s="3">
        <v>2395</v>
      </c>
      <c r="B183" s="3">
        <v>113.4795118</v>
      </c>
      <c r="C183" s="3">
        <v>22.97181947</v>
      </c>
      <c r="D183" s="3">
        <v>1</v>
      </c>
      <c r="E183" s="13">
        <f t="shared" si="6"/>
        <v>9.3241070955013636E-3</v>
      </c>
      <c r="F183" s="13">
        <f t="shared" si="7"/>
        <v>10.356103291735495</v>
      </c>
      <c r="G183" s="14"/>
      <c r="H183" s="14"/>
      <c r="I183" s="25" t="str">
        <f t="shared" si="8"/>
        <v/>
      </c>
    </row>
    <row r="184" spans="1:9" hidden="1" x14ac:dyDescent="0.25">
      <c r="A184" s="3">
        <v>2829</v>
      </c>
      <c r="B184" s="3">
        <v>113.4917379</v>
      </c>
      <c r="C184" s="3">
        <v>22.957401959999999</v>
      </c>
      <c r="D184" s="3">
        <v>1</v>
      </c>
      <c r="E184" s="13">
        <f t="shared" si="6"/>
        <v>9.7467115466810302E-3</v>
      </c>
      <c r="F184" s="13">
        <f t="shared" si="7"/>
        <v>10.129101972789133</v>
      </c>
      <c r="G184" s="14"/>
      <c r="H184" s="14"/>
      <c r="I184" s="25" t="str">
        <f t="shared" si="8"/>
        <v/>
      </c>
    </row>
    <row r="185" spans="1:9" x14ac:dyDescent="0.25">
      <c r="A185" s="3">
        <v>2417</v>
      </c>
      <c r="B185" s="3">
        <v>113.478686</v>
      </c>
      <c r="C185" s="3">
        <v>22.971936020000001</v>
      </c>
      <c r="D185" s="3">
        <v>1</v>
      </c>
      <c r="E185" s="30">
        <f t="shared" si="6"/>
        <v>1.0027104665500997E-2</v>
      </c>
      <c r="F185" s="30">
        <f t="shared" si="7"/>
        <v>9.9864751550276978</v>
      </c>
      <c r="G185" s="14">
        <f>F185/$F$235*$D$2</f>
        <v>7.6659200900183082</v>
      </c>
      <c r="H185" s="14">
        <f>F185/$F$235*$E$2</f>
        <v>7.6659200900183082</v>
      </c>
      <c r="I185" s="33" t="str">
        <f t="shared" si="8"/>
        <v>选中</v>
      </c>
    </row>
    <row r="186" spans="1:9" hidden="1" x14ac:dyDescent="0.25">
      <c r="A186" s="3">
        <v>2160</v>
      </c>
      <c r="B186" s="3">
        <v>113.4810688</v>
      </c>
      <c r="C186" s="3">
        <v>22.975698359999999</v>
      </c>
      <c r="D186" s="3">
        <v>1</v>
      </c>
      <c r="E186" s="13">
        <f t="shared" si="6"/>
        <v>1.1452079149744505E-2</v>
      </c>
      <c r="F186" s="13">
        <f t="shared" si="7"/>
        <v>9.3445378942647146</v>
      </c>
      <c r="G186" s="14"/>
      <c r="H186" s="14"/>
      <c r="I186" s="25" t="str">
        <f t="shared" si="8"/>
        <v/>
      </c>
    </row>
    <row r="187" spans="1:9" hidden="1" x14ac:dyDescent="0.25">
      <c r="A187" s="3">
        <v>2472</v>
      </c>
      <c r="B187" s="3">
        <v>113.496577</v>
      </c>
      <c r="C187" s="3">
        <v>22.971067659999999</v>
      </c>
      <c r="D187" s="3">
        <v>1</v>
      </c>
      <c r="E187" s="13">
        <f t="shared" si="6"/>
        <v>1.1516100683313853E-2</v>
      </c>
      <c r="F187" s="13">
        <f t="shared" si="7"/>
        <v>9.3185271182094986</v>
      </c>
      <c r="G187" s="14"/>
      <c r="H187" s="14"/>
      <c r="I187" s="25" t="str">
        <f t="shared" si="8"/>
        <v/>
      </c>
    </row>
    <row r="188" spans="1:9" x14ac:dyDescent="0.25">
      <c r="A188" s="3">
        <v>2156</v>
      </c>
      <c r="B188" s="3">
        <v>113.4772991</v>
      </c>
      <c r="C188" s="3">
        <v>22.97514962</v>
      </c>
      <c r="D188" s="3">
        <v>1</v>
      </c>
      <c r="E188" s="30">
        <f t="shared" si="6"/>
        <v>1.323337324671584E-2</v>
      </c>
      <c r="F188" s="30">
        <f t="shared" si="7"/>
        <v>8.6929007075701215</v>
      </c>
      <c r="G188" s="14">
        <f>F188/$F$235*$D$2</f>
        <v>6.6729332562497454</v>
      </c>
      <c r="H188" s="14">
        <f>F188/$F$235*$E$2</f>
        <v>6.6729332562497454</v>
      </c>
      <c r="I188" s="33" t="str">
        <f t="shared" si="8"/>
        <v>选中</v>
      </c>
    </row>
    <row r="189" spans="1:9" hidden="1" x14ac:dyDescent="0.25">
      <c r="A189" s="3">
        <v>2153</v>
      </c>
      <c r="B189" s="3">
        <v>113.4767152</v>
      </c>
      <c r="C189" s="3">
        <v>22.97564573</v>
      </c>
      <c r="D189" s="3">
        <v>1</v>
      </c>
      <c r="E189" s="13">
        <f t="shared" si="6"/>
        <v>1.399572433960837E-2</v>
      </c>
      <c r="F189" s="13">
        <f t="shared" si="7"/>
        <v>8.4528334117450026</v>
      </c>
      <c r="G189" s="14"/>
      <c r="H189" s="14"/>
      <c r="I189" s="25" t="str">
        <f t="shared" si="8"/>
        <v/>
      </c>
    </row>
    <row r="190" spans="1:9" hidden="1" x14ac:dyDescent="0.25">
      <c r="A190" s="3">
        <v>2185</v>
      </c>
      <c r="B190" s="3">
        <v>113.49266369999999</v>
      </c>
      <c r="C190" s="3">
        <v>22.97938431</v>
      </c>
      <c r="D190" s="3">
        <v>1</v>
      </c>
      <c r="E190" s="13">
        <f t="shared" si="6"/>
        <v>1.5131629060137564E-2</v>
      </c>
      <c r="F190" s="13">
        <f t="shared" si="7"/>
        <v>8.1293749855481039</v>
      </c>
      <c r="G190" s="14"/>
      <c r="H190" s="14"/>
      <c r="I190" s="25" t="str">
        <f t="shared" si="8"/>
        <v/>
      </c>
    </row>
    <row r="191" spans="1:9" x14ac:dyDescent="0.25">
      <c r="A191" s="3">
        <v>2469</v>
      </c>
      <c r="B191" s="3">
        <v>113.5007726</v>
      </c>
      <c r="C191" s="3">
        <v>22.971798939999999</v>
      </c>
      <c r="D191" s="3">
        <v>1</v>
      </c>
      <c r="E191" s="30">
        <f t="shared" si="6"/>
        <v>1.5613034152154847E-2</v>
      </c>
      <c r="F191" s="30">
        <f t="shared" si="7"/>
        <v>8.0030650175863851</v>
      </c>
      <c r="G191" s="14">
        <f>F191/$F$235*$D$2</f>
        <v>6.1433945358739566</v>
      </c>
      <c r="H191" s="14">
        <f>F191/$F$235*$E$2</f>
        <v>6.1433945358739566</v>
      </c>
      <c r="I191" s="33" t="str">
        <f t="shared" si="8"/>
        <v>选中</v>
      </c>
    </row>
    <row r="192" spans="1:9" hidden="1" x14ac:dyDescent="0.25">
      <c r="A192" s="3">
        <v>2812</v>
      </c>
      <c r="B192" s="3">
        <v>113.47070429999999</v>
      </c>
      <c r="C192" s="3">
        <v>22.962443390000001</v>
      </c>
      <c r="D192" s="3">
        <v>1</v>
      </c>
      <c r="E192" s="13">
        <f t="shared" si="6"/>
        <v>1.6054726223440986E-2</v>
      </c>
      <c r="F192" s="13">
        <f t="shared" si="7"/>
        <v>7.8922084607885346</v>
      </c>
      <c r="G192" s="14"/>
      <c r="H192" s="14"/>
      <c r="I192" s="25" t="str">
        <f t="shared" si="8"/>
        <v/>
      </c>
    </row>
    <row r="193" spans="1:9" hidden="1" x14ac:dyDescent="0.25">
      <c r="A193" s="3">
        <v>2810</v>
      </c>
      <c r="B193" s="3">
        <v>113.4710647</v>
      </c>
      <c r="C193" s="3">
        <v>22.96015937</v>
      </c>
      <c r="D193" s="3">
        <v>1</v>
      </c>
      <c r="E193" s="13">
        <f t="shared" si="6"/>
        <v>1.6313143686741957E-2</v>
      </c>
      <c r="F193" s="13">
        <f t="shared" si="7"/>
        <v>7.8294484544504055</v>
      </c>
      <c r="G193" s="14"/>
      <c r="H193" s="14"/>
      <c r="I193" s="25" t="str">
        <f t="shared" si="8"/>
        <v/>
      </c>
    </row>
    <row r="194" spans="1:9" x14ac:dyDescent="0.25">
      <c r="A194" s="3">
        <v>2377</v>
      </c>
      <c r="B194" s="3">
        <v>113.4695674</v>
      </c>
      <c r="C194" s="3">
        <v>22.966996300000002</v>
      </c>
      <c r="D194" s="3">
        <v>1</v>
      </c>
      <c r="E194" s="30">
        <f t="shared" si="6"/>
        <v>1.6939222566643302E-2</v>
      </c>
      <c r="F194" s="30">
        <f t="shared" si="7"/>
        <v>7.6833968079660551</v>
      </c>
      <c r="G194" s="14">
        <f>F194/$F$235*$D$2</f>
        <v>5.8980075587647276</v>
      </c>
      <c r="H194" s="14">
        <f>F194/$F$235*$E$2</f>
        <v>5.8980075587647276</v>
      </c>
      <c r="I194" s="33" t="str">
        <f t="shared" si="8"/>
        <v>选中</v>
      </c>
    </row>
    <row r="195" spans="1:9" hidden="1" x14ac:dyDescent="0.25">
      <c r="A195" s="3">
        <v>2168</v>
      </c>
      <c r="B195" s="3">
        <v>113.4972769</v>
      </c>
      <c r="C195" s="3">
        <v>22.978659499999999</v>
      </c>
      <c r="D195" s="3">
        <v>1</v>
      </c>
      <c r="E195" s="13">
        <f t="shared" si="6"/>
        <v>1.6974176026324138E-2</v>
      </c>
      <c r="F195" s="13">
        <f t="shared" si="7"/>
        <v>7.6754818523609023</v>
      </c>
      <c r="G195" s="14"/>
      <c r="H195" s="14"/>
      <c r="I195" s="25" t="str">
        <f t="shared" si="8"/>
        <v/>
      </c>
    </row>
    <row r="196" spans="1:9" hidden="1" x14ac:dyDescent="0.25">
      <c r="A196" s="3">
        <v>3294</v>
      </c>
      <c r="B196" s="3">
        <v>113.4782982</v>
      </c>
      <c r="C196" s="3">
        <v>22.950016269999999</v>
      </c>
      <c r="D196" s="3">
        <v>1</v>
      </c>
      <c r="E196" s="13">
        <f t="shared" si="6"/>
        <v>1.7575716234634445E-2</v>
      </c>
      <c r="F196" s="13">
        <f t="shared" si="7"/>
        <v>7.542989165752795</v>
      </c>
      <c r="G196" s="14"/>
      <c r="H196" s="14"/>
      <c r="I196" s="25" t="str">
        <f t="shared" si="8"/>
        <v/>
      </c>
    </row>
    <row r="197" spans="1:9" x14ac:dyDescent="0.25">
      <c r="A197" s="3">
        <v>3309</v>
      </c>
      <c r="B197" s="3">
        <v>113.482051</v>
      </c>
      <c r="C197" s="3">
        <v>22.94786715</v>
      </c>
      <c r="D197" s="3">
        <v>1</v>
      </c>
      <c r="E197" s="30">
        <f t="shared" ref="E197:E233" si="9">SQRT((B197-$B$2)^2+(C197-$C$2)^2)</f>
        <v>1.8258449939957951E-2</v>
      </c>
      <c r="F197" s="30">
        <f t="shared" ref="F197:F233" si="10">SQRT(1/E197)</f>
        <v>7.4006190184289729</v>
      </c>
      <c r="G197" s="14">
        <f>F197/$F$235*$D$2</f>
        <v>5.6809387828281119</v>
      </c>
      <c r="H197" s="14">
        <f>F197/$F$235*$E$2</f>
        <v>5.6809387828281119</v>
      </c>
      <c r="I197" s="33" t="str">
        <f t="shared" ref="I197:I233" si="11">IF(MOD(ROW()-1,3)=1,"选中","")</f>
        <v>选中</v>
      </c>
    </row>
    <row r="198" spans="1:9" hidden="1" x14ac:dyDescent="0.25">
      <c r="A198" s="3">
        <v>2152</v>
      </c>
      <c r="B198" s="3">
        <v>113.46980259999999</v>
      </c>
      <c r="C198" s="3">
        <v>22.97492454</v>
      </c>
      <c r="D198" s="3">
        <v>1</v>
      </c>
      <c r="E198" s="13">
        <f t="shared" si="9"/>
        <v>1.9084958792833624E-2</v>
      </c>
      <c r="F198" s="13">
        <f t="shared" si="10"/>
        <v>7.2385968036495099</v>
      </c>
      <c r="G198" s="14"/>
      <c r="H198" s="14"/>
      <c r="I198" s="25" t="str">
        <f t="shared" si="11"/>
        <v/>
      </c>
    </row>
    <row r="199" spans="1:9" hidden="1" x14ac:dyDescent="0.25">
      <c r="A199" s="3">
        <v>2378</v>
      </c>
      <c r="B199" s="3">
        <v>113.4683572</v>
      </c>
      <c r="C199" s="3">
        <v>22.972174760000001</v>
      </c>
      <c r="D199" s="3">
        <v>1</v>
      </c>
      <c r="E199" s="13">
        <f t="shared" si="9"/>
        <v>1.9252510449808288E-2</v>
      </c>
      <c r="F199" s="13">
        <f t="shared" si="10"/>
        <v>7.2070297717810803</v>
      </c>
      <c r="G199" s="14"/>
      <c r="H199" s="14"/>
      <c r="I199" s="25" t="str">
        <f t="shared" si="11"/>
        <v/>
      </c>
    </row>
    <row r="200" spans="1:9" x14ac:dyDescent="0.25">
      <c r="A200" s="3">
        <v>3308</v>
      </c>
      <c r="B200" s="3">
        <v>113.4881613</v>
      </c>
      <c r="C200" s="3">
        <v>22.945296389999999</v>
      </c>
      <c r="D200" s="3">
        <v>1</v>
      </c>
      <c r="E200" s="30">
        <f t="shared" si="9"/>
        <v>2.036406096901194E-2</v>
      </c>
      <c r="F200" s="30">
        <f t="shared" si="10"/>
        <v>7.0075758246169029</v>
      </c>
      <c r="G200" s="14">
        <f>F200/$F$235*$D$2</f>
        <v>5.3792269506836154</v>
      </c>
      <c r="H200" s="14">
        <f>F200/$F$235*$E$2</f>
        <v>5.3792269506836154</v>
      </c>
      <c r="I200" s="33" t="str">
        <f t="shared" si="11"/>
        <v>选中</v>
      </c>
    </row>
    <row r="201" spans="1:9" hidden="1" x14ac:dyDescent="0.25">
      <c r="A201" s="3">
        <v>3310</v>
      </c>
      <c r="B201" s="3">
        <v>113.4886711</v>
      </c>
      <c r="C201" s="3">
        <v>22.944569220000002</v>
      </c>
      <c r="D201" s="3">
        <v>1</v>
      </c>
      <c r="E201" s="13">
        <f t="shared" si="9"/>
        <v>2.1136267308842722E-2</v>
      </c>
      <c r="F201" s="13">
        <f t="shared" si="10"/>
        <v>6.8783750681660205</v>
      </c>
      <c r="G201" s="14"/>
      <c r="H201" s="14"/>
      <c r="I201" s="25" t="str">
        <f t="shared" si="11"/>
        <v/>
      </c>
    </row>
    <row r="202" spans="1:9" hidden="1" x14ac:dyDescent="0.25">
      <c r="A202" s="3">
        <v>1947</v>
      </c>
      <c r="B202" s="3">
        <v>113.48915289999999</v>
      </c>
      <c r="C202" s="3">
        <v>22.987823129999999</v>
      </c>
      <c r="D202" s="3">
        <v>1</v>
      </c>
      <c r="E202" s="13">
        <f t="shared" si="9"/>
        <v>2.2398802928378807E-2</v>
      </c>
      <c r="F202" s="13">
        <f t="shared" si="10"/>
        <v>6.6817095878059805</v>
      </c>
      <c r="G202" s="14"/>
      <c r="H202" s="14"/>
      <c r="I202" s="25" t="str">
        <f t="shared" si="11"/>
        <v/>
      </c>
    </row>
    <row r="203" spans="1:9" x14ac:dyDescent="0.25">
      <c r="A203" s="3">
        <v>3291</v>
      </c>
      <c r="B203" s="3">
        <v>113.4713995</v>
      </c>
      <c r="C203" s="3">
        <v>22.94814543</v>
      </c>
      <c r="D203" s="3">
        <v>1</v>
      </c>
      <c r="E203" s="30">
        <f t="shared" si="9"/>
        <v>2.3037129200534797E-2</v>
      </c>
      <c r="F203" s="30">
        <f t="shared" si="10"/>
        <v>6.5884889365429276</v>
      </c>
      <c r="G203" s="14">
        <f>F203/$F$235*$D$2</f>
        <v>5.0575231918621544</v>
      </c>
      <c r="H203" s="14">
        <f>F203/$F$235*$E$2</f>
        <v>5.0575231918621544</v>
      </c>
      <c r="I203" s="33" t="str">
        <f t="shared" si="11"/>
        <v>选中</v>
      </c>
    </row>
    <row r="204" spans="1:9" hidden="1" x14ac:dyDescent="0.25">
      <c r="A204" s="3">
        <v>2813</v>
      </c>
      <c r="B204" s="3">
        <v>113.4624747</v>
      </c>
      <c r="C204" s="3">
        <v>22.963076999999998</v>
      </c>
      <c r="D204" s="3">
        <v>1</v>
      </c>
      <c r="E204" s="13">
        <f t="shared" si="9"/>
        <v>2.4104470320922614E-2</v>
      </c>
      <c r="F204" s="13">
        <f t="shared" si="10"/>
        <v>6.4409689224513871</v>
      </c>
      <c r="G204" s="14"/>
      <c r="H204" s="14"/>
      <c r="I204" s="25" t="str">
        <f t="shared" si="11"/>
        <v/>
      </c>
    </row>
    <row r="205" spans="1:9" hidden="1" x14ac:dyDescent="0.25">
      <c r="A205" s="3">
        <v>1951</v>
      </c>
      <c r="B205" s="3">
        <v>113.4961965</v>
      </c>
      <c r="C205" s="3">
        <v>22.988326090000001</v>
      </c>
      <c r="D205" s="3">
        <v>1</v>
      </c>
      <c r="E205" s="13">
        <f t="shared" si="9"/>
        <v>2.4739495146742039E-2</v>
      </c>
      <c r="F205" s="13">
        <f t="shared" si="10"/>
        <v>6.357766645353423</v>
      </c>
      <c r="G205" s="14"/>
      <c r="H205" s="14"/>
      <c r="I205" s="25" t="str">
        <f t="shared" si="11"/>
        <v/>
      </c>
    </row>
    <row r="206" spans="1:9" x14ac:dyDescent="0.25">
      <c r="A206" s="3">
        <v>3292</v>
      </c>
      <c r="B206" s="3">
        <v>113.46735270000001</v>
      </c>
      <c r="C206" s="3">
        <v>22.947946389999998</v>
      </c>
      <c r="D206" s="3">
        <v>1</v>
      </c>
      <c r="E206" s="30">
        <f t="shared" si="9"/>
        <v>2.5997417301517431E-2</v>
      </c>
      <c r="F206" s="30">
        <f t="shared" si="10"/>
        <v>6.2020447757957413</v>
      </c>
      <c r="G206" s="14">
        <f>F206/$F$235*$D$2</f>
        <v>4.7608769769010451</v>
      </c>
      <c r="H206" s="14">
        <f>F206/$F$235*$E$2</f>
        <v>4.7608769769010451</v>
      </c>
      <c r="I206" s="33" t="str">
        <f t="shared" si="11"/>
        <v>选中</v>
      </c>
    </row>
    <row r="207" spans="1:9" hidden="1" x14ac:dyDescent="0.25">
      <c r="A207" s="3">
        <v>2191</v>
      </c>
      <c r="B207" s="3">
        <v>113.5058013</v>
      </c>
      <c r="C207" s="3">
        <v>22.983603840000001</v>
      </c>
      <c r="D207" s="3">
        <v>1</v>
      </c>
      <c r="E207" s="13">
        <f t="shared" si="9"/>
        <v>2.6440720563902252E-2</v>
      </c>
      <c r="F207" s="13">
        <f t="shared" si="10"/>
        <v>6.1498334846638212</v>
      </c>
      <c r="G207" s="14"/>
      <c r="H207" s="14"/>
      <c r="I207" s="25" t="str">
        <f t="shared" si="11"/>
        <v/>
      </c>
    </row>
    <row r="208" spans="1:9" hidden="1" x14ac:dyDescent="0.25">
      <c r="A208" s="3">
        <v>1777</v>
      </c>
      <c r="B208" s="3">
        <v>113.4979312</v>
      </c>
      <c r="C208" s="3">
        <v>22.99427073</v>
      </c>
      <c r="D208" s="3">
        <v>1</v>
      </c>
      <c r="E208" s="13">
        <f t="shared" si="9"/>
        <v>3.0895768985258244E-2</v>
      </c>
      <c r="F208" s="13">
        <f t="shared" si="10"/>
        <v>5.6891907524098038</v>
      </c>
      <c r="G208" s="14"/>
      <c r="H208" s="14"/>
      <c r="I208" s="25" t="str">
        <f t="shared" si="11"/>
        <v/>
      </c>
    </row>
    <row r="209" spans="1:9" x14ac:dyDescent="0.25">
      <c r="A209" s="3">
        <v>2194</v>
      </c>
      <c r="B209" s="3">
        <v>113.5193888</v>
      </c>
      <c r="C209" s="3">
        <v>22.97598314</v>
      </c>
      <c r="D209" s="3">
        <v>1</v>
      </c>
      <c r="E209" s="30">
        <f t="shared" si="9"/>
        <v>3.4542004034978806E-2</v>
      </c>
      <c r="F209" s="30">
        <f t="shared" si="10"/>
        <v>5.3805445882001939</v>
      </c>
      <c r="G209" s="14">
        <f>F209/$F$235*$D$2</f>
        <v>4.1302686096562713</v>
      </c>
      <c r="H209" s="14">
        <f>F209/$F$235*$E$2</f>
        <v>4.1302686096562713</v>
      </c>
      <c r="I209" s="33" t="str">
        <f t="shared" si="11"/>
        <v>选中</v>
      </c>
    </row>
    <row r="210" spans="1:9" hidden="1" x14ac:dyDescent="0.25">
      <c r="A210" s="3">
        <v>4352</v>
      </c>
      <c r="B210" s="3">
        <v>113.52049599999999</v>
      </c>
      <c r="C210" s="3">
        <v>22.92130641</v>
      </c>
      <c r="D210" s="3">
        <v>1</v>
      </c>
      <c r="E210" s="13">
        <f t="shared" si="9"/>
        <v>5.5858281908643601E-2</v>
      </c>
      <c r="F210" s="13">
        <f t="shared" si="10"/>
        <v>4.231128481676742</v>
      </c>
      <c r="G210" s="14"/>
      <c r="H210" s="14"/>
      <c r="I210" s="25" t="str">
        <f t="shared" si="11"/>
        <v/>
      </c>
    </row>
    <row r="211" spans="1:9" hidden="1" x14ac:dyDescent="0.25">
      <c r="A211" s="3">
        <v>4504</v>
      </c>
      <c r="B211" s="3">
        <v>113.5180355</v>
      </c>
      <c r="C211" s="3">
        <v>22.912395320000002</v>
      </c>
      <c r="D211" s="3">
        <v>1</v>
      </c>
      <c r="E211" s="13">
        <f t="shared" si="9"/>
        <v>6.1864836201470097E-2</v>
      </c>
      <c r="F211" s="13">
        <f t="shared" si="10"/>
        <v>4.02048148359862</v>
      </c>
      <c r="G211" s="14"/>
      <c r="H211" s="14"/>
      <c r="I211" s="25" t="str">
        <f t="shared" si="11"/>
        <v/>
      </c>
    </row>
    <row r="212" spans="1:9" x14ac:dyDescent="0.25">
      <c r="A212" s="3">
        <v>2429</v>
      </c>
      <c r="B212" s="3">
        <v>113.4842323</v>
      </c>
      <c r="C212" s="3">
        <v>22.965651000000001</v>
      </c>
      <c r="D212" s="3">
        <v>1</v>
      </c>
      <c r="E212" s="30">
        <f t="shared" si="9"/>
        <v>2.2165883813806829E-3</v>
      </c>
      <c r="F212" s="30">
        <f t="shared" si="10"/>
        <v>21.240144831052024</v>
      </c>
      <c r="G212" s="14">
        <f>F212/$F$235*$D$2</f>
        <v>16.304576985132311</v>
      </c>
      <c r="H212" s="14">
        <f>F212/$F$235*$E$2</f>
        <v>16.304576985132311</v>
      </c>
      <c r="I212" s="33" t="str">
        <f t="shared" si="11"/>
        <v>选中</v>
      </c>
    </row>
    <row r="213" spans="1:9" hidden="1" x14ac:dyDescent="0.25">
      <c r="A213" s="3">
        <v>2451</v>
      </c>
      <c r="B213" s="3">
        <v>113.482694</v>
      </c>
      <c r="C213" s="3">
        <v>22.966150240000001</v>
      </c>
      <c r="D213" s="3">
        <v>1</v>
      </c>
      <c r="E213" s="13">
        <f t="shared" si="9"/>
        <v>3.7958330785358273E-3</v>
      </c>
      <c r="F213" s="13">
        <f t="shared" si="10"/>
        <v>16.231043696701605</v>
      </c>
      <c r="G213" s="14"/>
      <c r="H213" s="14"/>
      <c r="I213" s="25" t="str">
        <f t="shared" si="11"/>
        <v/>
      </c>
    </row>
    <row r="214" spans="1:9" hidden="1" x14ac:dyDescent="0.25">
      <c r="A214" s="3">
        <v>2832</v>
      </c>
      <c r="B214" s="3">
        <v>113.48184929999999</v>
      </c>
      <c r="C214" s="3">
        <v>22.963467900000001</v>
      </c>
      <c r="D214" s="3">
        <v>1</v>
      </c>
      <c r="E214" s="13">
        <f t="shared" si="9"/>
        <v>5.0639831963106337E-3</v>
      </c>
      <c r="F214" s="13">
        <f t="shared" si="10"/>
        <v>14.05250899797092</v>
      </c>
      <c r="G214" s="14"/>
      <c r="H214" s="14"/>
      <c r="I214" s="25" t="str">
        <f t="shared" si="11"/>
        <v/>
      </c>
    </row>
    <row r="215" spans="1:9" x14ac:dyDescent="0.25">
      <c r="A215" s="3">
        <v>2404</v>
      </c>
      <c r="B215" s="3">
        <v>113.4810414</v>
      </c>
      <c r="C215" s="3">
        <v>22.965793529999999</v>
      </c>
      <c r="D215" s="3">
        <v>1</v>
      </c>
      <c r="E215" s="30">
        <f t="shared" si="9"/>
        <v>5.4104956740030933E-3</v>
      </c>
      <c r="F215" s="30">
        <f t="shared" si="10"/>
        <v>13.595070778064498</v>
      </c>
      <c r="G215" s="14">
        <f>F215/$F$235*$D$2</f>
        <v>10.435987131086636</v>
      </c>
      <c r="H215" s="14">
        <f>F215/$F$235*$E$2</f>
        <v>10.435987131086636</v>
      </c>
      <c r="I215" s="33" t="str">
        <f t="shared" si="11"/>
        <v>选中</v>
      </c>
    </row>
    <row r="216" spans="1:9" hidden="1" x14ac:dyDescent="0.25">
      <c r="A216" s="3">
        <v>2416</v>
      </c>
      <c r="B216" s="3">
        <v>113.48100599999999</v>
      </c>
      <c r="C216" s="3">
        <v>22.969346900000001</v>
      </c>
      <c r="D216" s="3">
        <v>1</v>
      </c>
      <c r="E216" s="13">
        <f t="shared" si="9"/>
        <v>6.6138350313971967E-3</v>
      </c>
      <c r="F216" s="13">
        <f t="shared" si="10"/>
        <v>12.296268022496529</v>
      </c>
      <c r="G216" s="14"/>
      <c r="H216" s="14"/>
      <c r="I216" s="25" t="str">
        <f t="shared" si="11"/>
        <v/>
      </c>
    </row>
    <row r="217" spans="1:9" hidden="1" x14ac:dyDescent="0.25">
      <c r="A217" s="3">
        <v>2471</v>
      </c>
      <c r="B217" s="3">
        <v>113.4919749</v>
      </c>
      <c r="C217" s="3">
        <v>22.97016021</v>
      </c>
      <c r="D217" s="3">
        <v>1</v>
      </c>
      <c r="E217" s="13">
        <f t="shared" si="9"/>
        <v>7.1728266291380552E-3</v>
      </c>
      <c r="F217" s="13">
        <f t="shared" si="10"/>
        <v>11.807415142620057</v>
      </c>
      <c r="G217" s="14"/>
      <c r="H217" s="14"/>
      <c r="I217" s="25" t="str">
        <f t="shared" si="11"/>
        <v/>
      </c>
    </row>
    <row r="218" spans="1:9" x14ac:dyDescent="0.25">
      <c r="A218" s="3">
        <v>2390</v>
      </c>
      <c r="B218" s="3">
        <v>113.4799625</v>
      </c>
      <c r="C218" s="3">
        <v>22.969863629999999</v>
      </c>
      <c r="D218" s="3">
        <v>1</v>
      </c>
      <c r="E218" s="30">
        <f t="shared" si="9"/>
        <v>7.7679202103490717E-3</v>
      </c>
      <c r="F218" s="30">
        <f t="shared" si="10"/>
        <v>11.346126518926667</v>
      </c>
      <c r="G218" s="14">
        <f>F218/$F$235*$D$2</f>
        <v>8.7096295614914769</v>
      </c>
      <c r="H218" s="14">
        <f>F218/$F$235*$E$2</f>
        <v>8.7096295614914769</v>
      </c>
      <c r="I218" s="33" t="str">
        <f t="shared" si="11"/>
        <v>选中</v>
      </c>
    </row>
    <row r="219" spans="1:9" hidden="1" x14ac:dyDescent="0.25">
      <c r="A219" s="3">
        <v>2453</v>
      </c>
      <c r="B219" s="3">
        <v>113.48781719999999</v>
      </c>
      <c r="C219" s="3">
        <v>22.973442330000001</v>
      </c>
      <c r="D219" s="3">
        <v>1</v>
      </c>
      <c r="E219" s="13">
        <f t="shared" si="9"/>
        <v>7.9725329278980371E-3</v>
      </c>
      <c r="F219" s="13">
        <f t="shared" si="10"/>
        <v>11.199582652665709</v>
      </c>
      <c r="G219" s="14"/>
      <c r="H219" s="14"/>
      <c r="I219" s="25" t="str">
        <f t="shared" si="11"/>
        <v/>
      </c>
    </row>
    <row r="220" spans="1:9" hidden="1" x14ac:dyDescent="0.25">
      <c r="A220" s="3">
        <v>2415</v>
      </c>
      <c r="B220" s="3">
        <v>113.4789349</v>
      </c>
      <c r="C220" s="3">
        <v>22.971439950000001</v>
      </c>
      <c r="D220" s="3">
        <v>1</v>
      </c>
      <c r="E220" s="13">
        <f t="shared" si="9"/>
        <v>9.5230806202597218E-3</v>
      </c>
      <c r="F220" s="13">
        <f t="shared" si="10"/>
        <v>10.247342913005802</v>
      </c>
      <c r="G220" s="14"/>
      <c r="H220" s="14"/>
      <c r="I220" s="25" t="str">
        <f t="shared" si="11"/>
        <v/>
      </c>
    </row>
    <row r="221" spans="1:9" x14ac:dyDescent="0.25">
      <c r="A221" s="3">
        <v>2409</v>
      </c>
      <c r="B221" s="3">
        <v>113.47962010000001</v>
      </c>
      <c r="C221" s="3">
        <v>22.97352205</v>
      </c>
      <c r="D221" s="3">
        <v>1</v>
      </c>
      <c r="E221" s="30">
        <f t="shared" si="9"/>
        <v>1.0467349275240099E-2</v>
      </c>
      <c r="F221" s="30">
        <f t="shared" si="10"/>
        <v>9.7742094677978297</v>
      </c>
      <c r="G221" s="14">
        <f>F221/$F$235*$D$2</f>
        <v>7.5029785344747815</v>
      </c>
      <c r="H221" s="14">
        <f>F221/$F$235*$E$2</f>
        <v>7.5029785344747815</v>
      </c>
      <c r="I221" s="33" t="str">
        <f t="shared" si="11"/>
        <v>选中</v>
      </c>
    </row>
    <row r="222" spans="1:9" hidden="1" x14ac:dyDescent="0.25">
      <c r="A222" s="3">
        <v>2468</v>
      </c>
      <c r="B222" s="3">
        <v>113.49709970000001</v>
      </c>
      <c r="C222" s="3">
        <v>22.973008400000001</v>
      </c>
      <c r="D222" s="3">
        <v>1</v>
      </c>
      <c r="E222" s="13">
        <f t="shared" si="9"/>
        <v>1.2981422838531896E-2</v>
      </c>
      <c r="F222" s="13">
        <f t="shared" si="10"/>
        <v>8.7768535514177657</v>
      </c>
      <c r="G222" s="14"/>
      <c r="H222" s="14"/>
      <c r="I222" s="25" t="str">
        <f t="shared" si="11"/>
        <v/>
      </c>
    </row>
    <row r="223" spans="1:9" hidden="1" x14ac:dyDescent="0.25">
      <c r="A223" s="3">
        <v>2186</v>
      </c>
      <c r="B223" s="3">
        <v>113.49712270000001</v>
      </c>
      <c r="C223" s="3">
        <v>22.973873099999999</v>
      </c>
      <c r="D223" s="3">
        <v>1</v>
      </c>
      <c r="E223" s="13">
        <f t="shared" si="9"/>
        <v>1.3512511225256872E-2</v>
      </c>
      <c r="F223" s="13">
        <f t="shared" si="10"/>
        <v>8.6026442991445489</v>
      </c>
      <c r="G223" s="14"/>
      <c r="H223" s="14"/>
      <c r="I223" s="25" t="str">
        <f t="shared" si="11"/>
        <v/>
      </c>
    </row>
    <row r="224" spans="1:9" x14ac:dyDescent="0.25">
      <c r="A224" s="3">
        <v>2470</v>
      </c>
      <c r="B224" s="3">
        <v>113.5014822</v>
      </c>
      <c r="C224" s="3">
        <v>22.97047564</v>
      </c>
      <c r="D224" s="3">
        <v>1</v>
      </c>
      <c r="E224" s="30">
        <f t="shared" si="9"/>
        <v>1.5808660621702705E-2</v>
      </c>
      <c r="F224" s="30">
        <f t="shared" si="10"/>
        <v>7.9533933514252801</v>
      </c>
      <c r="G224" s="14">
        <f>F224/$F$235*$D$2</f>
        <v>6.1052650640014523</v>
      </c>
      <c r="H224" s="14">
        <f>F224/$F$235*$E$2</f>
        <v>6.1052650640014523</v>
      </c>
      <c r="I224" s="33" t="str">
        <f t="shared" si="11"/>
        <v>选中</v>
      </c>
    </row>
    <row r="225" spans="1:9" hidden="1" x14ac:dyDescent="0.25">
      <c r="A225" s="3">
        <v>2175</v>
      </c>
      <c r="B225" s="3">
        <v>113.4958017</v>
      </c>
      <c r="C225" s="3">
        <v>22.978962939999999</v>
      </c>
      <c r="D225" s="3">
        <v>1</v>
      </c>
      <c r="E225" s="13">
        <f t="shared" si="9"/>
        <v>1.6320969220183557E-2</v>
      </c>
      <c r="F225" s="13">
        <f t="shared" si="10"/>
        <v>7.8275712081916122</v>
      </c>
      <c r="G225" s="14"/>
      <c r="H225" s="14"/>
      <c r="I225" s="25" t="str">
        <f t="shared" si="11"/>
        <v/>
      </c>
    </row>
    <row r="226" spans="1:9" hidden="1" x14ac:dyDescent="0.25">
      <c r="A226" s="3">
        <v>2155</v>
      </c>
      <c r="B226" s="3">
        <v>113.47559320000001</v>
      </c>
      <c r="C226" s="3">
        <v>22.979309929999999</v>
      </c>
      <c r="D226" s="3">
        <v>1</v>
      </c>
      <c r="E226" s="13">
        <f t="shared" si="9"/>
        <v>1.7496033409380957E-2</v>
      </c>
      <c r="F226" s="13">
        <f t="shared" si="10"/>
        <v>7.5601463088961962</v>
      </c>
      <c r="G226" s="14"/>
      <c r="H226" s="14"/>
      <c r="I226" s="25" t="str">
        <f t="shared" si="11"/>
        <v/>
      </c>
    </row>
    <row r="227" spans="1:9" x14ac:dyDescent="0.25">
      <c r="A227" s="3">
        <v>2158</v>
      </c>
      <c r="B227" s="3">
        <v>113.4751497</v>
      </c>
      <c r="C227" s="3">
        <v>22.979420619999999</v>
      </c>
      <c r="D227" s="3">
        <v>1</v>
      </c>
      <c r="E227" s="30">
        <f t="shared" si="9"/>
        <v>1.786018036601875E-2</v>
      </c>
      <c r="F227" s="30">
        <f t="shared" si="10"/>
        <v>7.4826783969514326</v>
      </c>
      <c r="G227" s="14">
        <f>F227/$F$235*$D$2</f>
        <v>5.7439300413677215</v>
      </c>
      <c r="H227" s="14">
        <f>F227/$F$235*$E$2</f>
        <v>5.7439300413677215</v>
      </c>
      <c r="I227" s="33" t="str">
        <f t="shared" si="11"/>
        <v>选中</v>
      </c>
    </row>
    <row r="228" spans="1:9" hidden="1" x14ac:dyDescent="0.25">
      <c r="A228" s="3">
        <v>3298</v>
      </c>
      <c r="B228" s="3">
        <v>113.47723879999999</v>
      </c>
      <c r="C228" s="3">
        <v>22.947684200000001</v>
      </c>
      <c r="D228" s="3">
        <v>1</v>
      </c>
      <c r="E228" s="13">
        <f t="shared" si="9"/>
        <v>2.0133662633571203E-2</v>
      </c>
      <c r="F228" s="13">
        <f t="shared" si="10"/>
        <v>7.0475571514357611</v>
      </c>
      <c r="G228" s="14"/>
      <c r="H228" s="14"/>
      <c r="I228" s="25" t="str">
        <f t="shared" si="11"/>
        <v/>
      </c>
    </row>
    <row r="229" spans="1:9" hidden="1" x14ac:dyDescent="0.25">
      <c r="A229" s="3">
        <v>3313</v>
      </c>
      <c r="B229" s="3">
        <v>113.5016832</v>
      </c>
      <c r="C229" s="3">
        <v>22.95056675</v>
      </c>
      <c r="D229" s="3">
        <v>1</v>
      </c>
      <c r="E229" s="13">
        <f t="shared" si="9"/>
        <v>2.1395251372446727E-2</v>
      </c>
      <c r="F229" s="13">
        <f t="shared" si="10"/>
        <v>6.8366178298951557</v>
      </c>
      <c r="G229" s="14"/>
      <c r="H229" s="14"/>
      <c r="I229" s="25" t="str">
        <f t="shared" si="11"/>
        <v/>
      </c>
    </row>
    <row r="230" spans="1:9" x14ac:dyDescent="0.25">
      <c r="A230" s="3">
        <v>2809</v>
      </c>
      <c r="B230" s="3">
        <v>113.462586</v>
      </c>
      <c r="C230" s="3">
        <v>22.963677029999999</v>
      </c>
      <c r="D230" s="3">
        <v>1</v>
      </c>
      <c r="E230" s="30">
        <f t="shared" si="9"/>
        <v>2.3938416946158263E-2</v>
      </c>
      <c r="F230" s="30">
        <f t="shared" si="10"/>
        <v>6.4632698176843952</v>
      </c>
      <c r="G230" s="14">
        <f>F230/$F$235*$D$2</f>
        <v>4.9614012124840006</v>
      </c>
      <c r="H230" s="14">
        <f>F230/$F$235*$E$2</f>
        <v>4.9614012124840006</v>
      </c>
      <c r="I230" s="33" t="str">
        <f t="shared" si="11"/>
        <v>选中</v>
      </c>
    </row>
    <row r="231" spans="1:9" hidden="1" x14ac:dyDescent="0.25">
      <c r="A231" s="3">
        <v>2815</v>
      </c>
      <c r="B231" s="3">
        <v>113.4620484</v>
      </c>
      <c r="C231" s="3">
        <v>22.962576110000001</v>
      </c>
      <c r="D231" s="3">
        <v>1</v>
      </c>
      <c r="E231" s="13">
        <f t="shared" si="9"/>
        <v>2.4584821893586409E-2</v>
      </c>
      <c r="F231" s="13">
        <f t="shared" si="10"/>
        <v>6.3777349533166028</v>
      </c>
      <c r="G231" s="14"/>
      <c r="H231" s="14"/>
      <c r="I231" s="25" t="str">
        <f t="shared" si="11"/>
        <v/>
      </c>
    </row>
    <row r="232" spans="1:9" hidden="1" x14ac:dyDescent="0.25">
      <c r="A232" s="3">
        <v>1948</v>
      </c>
      <c r="B232" s="3">
        <v>113.4962063</v>
      </c>
      <c r="C232" s="3">
        <v>22.990819040000002</v>
      </c>
      <c r="D232" s="3">
        <v>1</v>
      </c>
      <c r="E232" s="13">
        <f t="shared" si="9"/>
        <v>2.7052119748999823E-2</v>
      </c>
      <c r="F232" s="13">
        <f t="shared" si="10"/>
        <v>6.0799407832172747</v>
      </c>
      <c r="G232" s="14"/>
      <c r="H232" s="14"/>
      <c r="I232" s="25" t="str">
        <f t="shared" si="11"/>
        <v/>
      </c>
    </row>
    <row r="233" spans="1:9" x14ac:dyDescent="0.25">
      <c r="A233" s="3">
        <v>2196</v>
      </c>
      <c r="B233" s="3">
        <v>113.52071119999999</v>
      </c>
      <c r="C233" s="3">
        <v>22.975305070000001</v>
      </c>
      <c r="D233" s="3">
        <v>1</v>
      </c>
      <c r="E233" s="30">
        <f t="shared" si="9"/>
        <v>3.5614371609678744E-2</v>
      </c>
      <c r="F233" s="30">
        <f t="shared" si="10"/>
        <v>5.2989199291791635</v>
      </c>
      <c r="G233" s="14">
        <f>F233/$F$235*$D$2</f>
        <v>4.0676110549418647</v>
      </c>
      <c r="H233" s="14">
        <f>F233/$F$235*$E$2</f>
        <v>4.0676110549418647</v>
      </c>
      <c r="I233" s="33" t="str">
        <f t="shared" si="11"/>
        <v>选中</v>
      </c>
    </row>
    <row r="234" spans="1:9" x14ac:dyDescent="0.25">
      <c r="A234" s="3"/>
      <c r="B234" s="3"/>
      <c r="C234" s="3"/>
      <c r="D234" s="3"/>
      <c r="G234" s="14"/>
      <c r="H234" s="14"/>
      <c r="I234" s="14"/>
    </row>
    <row r="235" spans="1:9" x14ac:dyDescent="0.25">
      <c r="A235" s="3"/>
      <c r="B235" s="3"/>
      <c r="C235" s="3"/>
      <c r="D235" s="3"/>
      <c r="F235" s="35">
        <f>SUM(F5:F233)</f>
        <v>2325.3383732678421</v>
      </c>
      <c r="G235" s="34">
        <f>SUM(G5:G233)</f>
        <v>2597.6428002143793</v>
      </c>
      <c r="H235" s="36">
        <f>SUM(H5:H233)</f>
        <v>10596.822971554551</v>
      </c>
      <c r="I235" s="14"/>
    </row>
    <row r="236" spans="1:9" x14ac:dyDescent="0.25">
      <c r="A236" s="3"/>
      <c r="B236" s="3"/>
      <c r="C236" s="3"/>
      <c r="D236" s="3"/>
      <c r="F236" s="40" t="s">
        <v>39</v>
      </c>
      <c r="G236" s="41"/>
      <c r="H236" s="42"/>
      <c r="I236" s="14"/>
    </row>
    <row r="237" spans="1:9" x14ac:dyDescent="0.25">
      <c r="A237" s="3"/>
      <c r="B237" s="3"/>
      <c r="C237" s="3"/>
      <c r="D237" s="3"/>
      <c r="G237" s="14"/>
      <c r="H237" s="14"/>
      <c r="I237" s="14"/>
    </row>
    <row r="238" spans="1:9" x14ac:dyDescent="0.25">
      <c r="A238" s="3"/>
      <c r="B238" s="3"/>
      <c r="C238" s="3"/>
      <c r="D238" s="3"/>
      <c r="G238" s="14"/>
      <c r="H238" s="14"/>
      <c r="I238" s="14"/>
    </row>
    <row r="239" spans="1:9" x14ac:dyDescent="0.25">
      <c r="A239" s="3"/>
      <c r="B239" s="3"/>
      <c r="C239" s="3"/>
      <c r="D239" s="3"/>
      <c r="G239" s="14"/>
      <c r="H239" s="14"/>
      <c r="I239" s="14"/>
    </row>
    <row r="240" spans="1:9" x14ac:dyDescent="0.25">
      <c r="A240" s="3"/>
      <c r="B240" s="3"/>
      <c r="C240" s="3"/>
      <c r="D240" s="3"/>
      <c r="G240" s="14"/>
      <c r="H240" s="14"/>
      <c r="I240" s="14"/>
    </row>
    <row r="241" spans="1:9" x14ac:dyDescent="0.25">
      <c r="A241" s="3"/>
      <c r="B241" s="3"/>
      <c r="C241" s="3"/>
      <c r="D241" s="3"/>
      <c r="G241" s="14"/>
      <c r="H241" s="14"/>
      <c r="I241" s="14"/>
    </row>
    <row r="242" spans="1:9" x14ac:dyDescent="0.25">
      <c r="A242" s="3"/>
      <c r="B242" s="3"/>
      <c r="C242" s="3"/>
      <c r="D242" s="3"/>
      <c r="G242" s="14"/>
      <c r="H242" s="14"/>
      <c r="I242" s="14"/>
    </row>
    <row r="243" spans="1:9" x14ac:dyDescent="0.25">
      <c r="A243" s="3"/>
      <c r="B243" s="3"/>
      <c r="C243" s="3"/>
      <c r="D243" s="3"/>
      <c r="G243" s="14"/>
      <c r="H243" s="14"/>
      <c r="I243" s="14"/>
    </row>
    <row r="244" spans="1:9" x14ac:dyDescent="0.25">
      <c r="A244" s="3"/>
      <c r="B244" s="3"/>
      <c r="C244" s="3"/>
      <c r="D244" s="3"/>
      <c r="G244" s="14"/>
      <c r="H244" s="14"/>
      <c r="I244" s="14"/>
    </row>
    <row r="245" spans="1:9" x14ac:dyDescent="0.25">
      <c r="A245" s="3"/>
      <c r="B245" s="3"/>
      <c r="C245" s="3"/>
      <c r="D245" s="3"/>
      <c r="G245" s="14"/>
      <c r="H245" s="14"/>
      <c r="I245" s="14"/>
    </row>
    <row r="247" spans="1:9" x14ac:dyDescent="0.25">
      <c r="A247" s="3"/>
      <c r="G247" s="14"/>
      <c r="H247" s="14"/>
      <c r="I247" s="14"/>
    </row>
  </sheetData>
  <mergeCells count="2">
    <mergeCell ref="H1:H2"/>
    <mergeCell ref="F236:H236"/>
  </mergeCells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C90D16-5267-49D7-8BDD-0D7AC48CF33A}">
  <sheetPr/>
  <dimension ref="A1:I247"/>
  <sheetViews>
    <sheetView zoomScale="115" zoomScaleNormal="115" workbookViewId="0">
      <selection activeCell="A4" sqref="A4:H233"/>
    </sheetView>
  </sheetViews>
  <sheetFormatPr defaultRowHeight="15" x14ac:dyDescent="0.25"/>
  <cols>
    <col min="1" max="1" width="8.875" style="4" customWidth="1"/>
    <col min="2" max="3" width="15.125" style="4" customWidth="1"/>
    <col min="4" max="4" width="10.25" style="4" customWidth="1"/>
    <col min="5" max="5" width="12" style="13" customWidth="1"/>
    <col min="6" max="6" width="15" style="13" customWidth="1"/>
    <col min="7" max="7" width="13.875" customWidth="1"/>
    <col min="8" max="8" width="11.125" customWidth="1"/>
    <col min="11" max="12" width="15.125" customWidth="1"/>
    <col min="13" max="13" width="11.125" customWidth="1"/>
  </cols>
  <sheetData>
    <row r="1" spans="1:9" ht="14.25" x14ac:dyDescent="0.2">
      <c r="A1" s="2" t="s">
        <v>12</v>
      </c>
      <c r="B1" s="2" t="s">
        <v>4</v>
      </c>
      <c r="C1" s="2" t="s">
        <v>5</v>
      </c>
      <c r="D1" s="2" t="s">
        <v>13</v>
      </c>
      <c r="E1" s="2" t="s">
        <v>14</v>
      </c>
      <c r="F1" s="2" t="s">
        <v>15</v>
      </c>
      <c r="G1" s="2" t="s">
        <v>16</v>
      </c>
    </row>
    <row r="2" spans="1:9" x14ac:dyDescent="0.25">
      <c r="A2" s="22">
        <v>1</v>
      </c>
      <c r="B2" s="3">
        <v>113.486448</v>
      </c>
      <c r="C2" s="23">
        <v>22.96558825</v>
      </c>
      <c r="D2" s="3">
        <v>1785</v>
      </c>
      <c r="E2" s="13">
        <v>1785</v>
      </c>
      <c r="F2" s="13">
        <v>5</v>
      </c>
      <c r="G2" s="19">
        <f>SUBTOTAL(2,A5:A250)</f>
        <v>77</v>
      </c>
    </row>
    <row r="3" spans="1:9" x14ac:dyDescent="0.25">
      <c r="A3" s="3"/>
      <c r="B3" s="3"/>
      <c r="C3" s="3"/>
      <c r="D3" s="3"/>
    </row>
    <row r="4" spans="1:9" ht="14.25" x14ac:dyDescent="0.2">
      <c r="A4" s="2" t="s">
        <v>0</v>
      </c>
      <c r="B4" s="2" t="s">
        <v>1</v>
      </c>
      <c r="C4" s="2" t="s">
        <v>2</v>
      </c>
      <c r="D4" s="2" t="s">
        <v>3</v>
      </c>
      <c r="E4" s="2" t="s">
        <v>7</v>
      </c>
      <c r="F4" s="2" t="s">
        <v>8</v>
      </c>
      <c r="G4" s="2" t="s">
        <v>13</v>
      </c>
      <c r="H4" s="2" t="s">
        <v>14</v>
      </c>
      <c r="I4" s="24" t="s">
        <v>20</v>
      </c>
    </row>
    <row r="5" spans="1:9" x14ac:dyDescent="0.25">
      <c r="A5" s="3">
        <v>2434</v>
      </c>
      <c r="B5" s="3">
        <v>113.48563009999999</v>
      </c>
      <c r="C5" s="3">
        <v>22.966376839999999</v>
      </c>
      <c r="D5" s="3">
        <v>1</v>
      </c>
      <c r="E5" s="13">
        <f t="shared" ref="E5:E68" si="0">SQRT((B5-$B$2)^2+(C5-$C$2)^2)</f>
        <v>1.136149021079816E-3</v>
      </c>
      <c r="F5" s="13">
        <f t="shared" ref="F5:F68" si="1">SQRT(1/E5)</f>
        <v>29.667595613229754</v>
      </c>
      <c r="G5" s="14">
        <f>F5/$F$235*$D$2</f>
        <v>69.52218763557228</v>
      </c>
      <c r="H5" s="14">
        <f>F5/$F$235*$E$2</f>
        <v>69.52218763557228</v>
      </c>
      <c r="I5" s="25" t="str">
        <f>IF(MOD(ROW()-1,3)=1,"选中","")</f>
        <v>选中</v>
      </c>
    </row>
    <row r="6" spans="1:9" hidden="1" x14ac:dyDescent="0.25">
      <c r="A6" s="3">
        <v>2433</v>
      </c>
      <c r="B6" s="3">
        <v>113.48468579999999</v>
      </c>
      <c r="C6" s="3">
        <v>22.967011759999998</v>
      </c>
      <c r="D6" s="3">
        <v>1</v>
      </c>
      <c r="E6" s="13">
        <f t="shared" si="0"/>
        <v>2.2653321081250164E-3</v>
      </c>
      <c r="F6" s="13">
        <f t="shared" si="1"/>
        <v>21.010387375216233</v>
      </c>
      <c r="G6" s="14">
        <f>F6/$F$124*$D$2</f>
        <v>4713.9255051276787</v>
      </c>
      <c r="H6" s="14">
        <f>F6/$F$124*$E$2</f>
        <v>4713.9255051276787</v>
      </c>
      <c r="I6" s="25" t="str">
        <f t="shared" ref="I6:I69" si="2">IF(MOD(ROW()-1,3)=1,"选中","")</f>
        <v/>
      </c>
    </row>
    <row r="7" spans="1:9" hidden="1" x14ac:dyDescent="0.25">
      <c r="A7" s="3">
        <v>2439</v>
      </c>
      <c r="B7" s="3">
        <v>113.4854425</v>
      </c>
      <c r="C7" s="3">
        <v>22.965732559999999</v>
      </c>
      <c r="D7" s="3">
        <v>1</v>
      </c>
      <c r="E7" s="13">
        <f t="shared" si="0"/>
        <v>1.0158029464820229E-3</v>
      </c>
      <c r="F7" s="13">
        <f t="shared" si="1"/>
        <v>31.375833080777092</v>
      </c>
      <c r="G7" s="14">
        <f>F7/$F$124*$D$2</f>
        <v>7039.5341676836497</v>
      </c>
      <c r="H7" s="14">
        <f>F7/$F$124*$E$2</f>
        <v>7039.5341676836497</v>
      </c>
      <c r="I7" s="25" t="str">
        <f t="shared" si="2"/>
        <v/>
      </c>
    </row>
    <row r="8" spans="1:9" x14ac:dyDescent="0.25">
      <c r="A8" s="3">
        <v>2420</v>
      </c>
      <c r="B8" s="3">
        <v>113.4863605</v>
      </c>
      <c r="C8" s="3">
        <v>22.96798033</v>
      </c>
      <c r="D8" s="3">
        <v>1</v>
      </c>
      <c r="E8" s="13">
        <f t="shared" si="0"/>
        <v>2.3936797982182581E-3</v>
      </c>
      <c r="F8" s="13">
        <f t="shared" si="1"/>
        <v>20.43934492801182</v>
      </c>
      <c r="G8" s="14">
        <f>F8/$F$235*$D$2</f>
        <v>47.896971219324406</v>
      </c>
      <c r="H8" s="14">
        <f>F8/$F$235*$E$2</f>
        <v>47.896971219324406</v>
      </c>
      <c r="I8" s="25" t="str">
        <f t="shared" si="2"/>
        <v>选中</v>
      </c>
    </row>
    <row r="9" spans="1:9" hidden="1" x14ac:dyDescent="0.25">
      <c r="A9" s="3">
        <v>2457</v>
      </c>
      <c r="B9" s="3">
        <v>113.485653</v>
      </c>
      <c r="C9" s="3">
        <v>22.968616950000001</v>
      </c>
      <c r="D9" s="3">
        <v>1</v>
      </c>
      <c r="E9" s="13">
        <f t="shared" si="0"/>
        <v>3.1313014371030933E-3</v>
      </c>
      <c r="F9" s="13">
        <f t="shared" si="1"/>
        <v>17.87053528514269</v>
      </c>
      <c r="G9" s="14">
        <f>F9/$F$124*$D$2</f>
        <v>4009.4630606519827</v>
      </c>
      <c r="H9" s="14">
        <f>F9/$F$124*$E$2</f>
        <v>4009.4630606519827</v>
      </c>
      <c r="I9" s="25" t="str">
        <f t="shared" si="2"/>
        <v/>
      </c>
    </row>
    <row r="10" spans="1:9" hidden="1" x14ac:dyDescent="0.25">
      <c r="A10" s="3">
        <v>2418</v>
      </c>
      <c r="B10" s="3">
        <v>113.4872427</v>
      </c>
      <c r="C10" s="3">
        <v>22.966217709999999</v>
      </c>
      <c r="D10" s="3">
        <v>1</v>
      </c>
      <c r="E10" s="13">
        <f t="shared" si="0"/>
        <v>1.0137889235925495E-3</v>
      </c>
      <c r="F10" s="13">
        <f t="shared" si="1"/>
        <v>31.406983693627403</v>
      </c>
      <c r="G10" s="14">
        <f>F10/$F$124*$D$2</f>
        <v>7046.5231710653134</v>
      </c>
      <c r="H10" s="14">
        <f>F10/$F$124*$E$2</f>
        <v>7046.5231710653134</v>
      </c>
      <c r="I10" s="25" t="str">
        <f t="shared" si="2"/>
        <v/>
      </c>
    </row>
    <row r="11" spans="1:9" x14ac:dyDescent="0.25">
      <c r="A11" s="3">
        <v>2419</v>
      </c>
      <c r="B11" s="3">
        <v>113.4866856</v>
      </c>
      <c r="C11" s="3">
        <v>22.96833814</v>
      </c>
      <c r="D11" s="3">
        <v>1</v>
      </c>
      <c r="E11" s="13">
        <f t="shared" si="0"/>
        <v>2.7601356437873185E-3</v>
      </c>
      <c r="F11" s="13">
        <f t="shared" si="1"/>
        <v>19.034206965998131</v>
      </c>
      <c r="G11" s="14">
        <f>F11/$F$235*$D$2</f>
        <v>44.604211458050763</v>
      </c>
      <c r="H11" s="14">
        <f>F11/$F$235*$E$2</f>
        <v>44.604211458050763</v>
      </c>
      <c r="I11" s="25" t="str">
        <f t="shared" si="2"/>
        <v>选中</v>
      </c>
    </row>
    <row r="12" spans="1:9" hidden="1" x14ac:dyDescent="0.25">
      <c r="A12" s="3">
        <v>2436</v>
      </c>
      <c r="B12" s="3">
        <v>113.4866396</v>
      </c>
      <c r="C12" s="3">
        <v>22.965449240000002</v>
      </c>
      <c r="D12" s="3">
        <v>1</v>
      </c>
      <c r="E12" s="13">
        <f t="shared" si="0"/>
        <v>2.3671573691350914E-4</v>
      </c>
      <c r="F12" s="13">
        <f t="shared" si="1"/>
        <v>64.995970749745297</v>
      </c>
      <c r="G12" s="14">
        <f>F12/$F$124*$D$2</f>
        <v>14582.604250751168</v>
      </c>
      <c r="H12" s="14">
        <f>F12/$F$124*$E$2</f>
        <v>14582.604250751168</v>
      </c>
      <c r="I12" s="25" t="str">
        <f t="shared" si="2"/>
        <v/>
      </c>
    </row>
    <row r="13" spans="1:9" hidden="1" x14ac:dyDescent="0.25">
      <c r="A13" s="3">
        <v>2429</v>
      </c>
      <c r="B13" s="3">
        <v>113.4842323</v>
      </c>
      <c r="C13" s="3">
        <v>22.965651000000001</v>
      </c>
      <c r="D13" s="3">
        <v>1</v>
      </c>
      <c r="E13" s="13">
        <f t="shared" si="0"/>
        <v>2.2165883813806829E-3</v>
      </c>
      <c r="F13" s="13">
        <f t="shared" si="1"/>
        <v>21.240144831052024</v>
      </c>
      <c r="G13" s="14">
        <f>F13/$F$124*$D$2</f>
        <v>4765.4742705890494</v>
      </c>
      <c r="H13" s="14">
        <f>F13/$F$124*$E$2</f>
        <v>4765.4742705890494</v>
      </c>
      <c r="I13" s="25" t="str">
        <f t="shared" si="2"/>
        <v/>
      </c>
    </row>
    <row r="14" spans="1:9" x14ac:dyDescent="0.25">
      <c r="A14" s="3">
        <v>2431</v>
      </c>
      <c r="B14" s="3">
        <v>113.4843656</v>
      </c>
      <c r="C14" s="3">
        <v>22.968361229999999</v>
      </c>
      <c r="D14" s="3">
        <v>1</v>
      </c>
      <c r="E14" s="13">
        <f t="shared" si="0"/>
        <v>3.4678246553659759E-3</v>
      </c>
      <c r="F14" s="13">
        <f t="shared" si="1"/>
        <v>16.981319569721311</v>
      </c>
      <c r="G14" s="14">
        <f>F14/$F$235*$D$2</f>
        <v>39.793534360409105</v>
      </c>
      <c r="H14" s="14">
        <f>F14/$F$235*$E$2</f>
        <v>39.793534360409105</v>
      </c>
      <c r="I14" s="25" t="str">
        <f t="shared" si="2"/>
        <v>选中</v>
      </c>
    </row>
    <row r="15" spans="1:9" hidden="1" x14ac:dyDescent="0.25">
      <c r="A15" s="3">
        <v>2421</v>
      </c>
      <c r="B15" s="3">
        <v>113.48732579999999</v>
      </c>
      <c r="C15" s="3">
        <v>22.968075169999999</v>
      </c>
      <c r="D15" s="3">
        <v>1</v>
      </c>
      <c r="E15" s="13">
        <f t="shared" si="0"/>
        <v>2.6372910204206694E-3</v>
      </c>
      <c r="F15" s="13">
        <f t="shared" si="1"/>
        <v>19.472466796094995</v>
      </c>
      <c r="G15" s="14">
        <f>F15/$F$124*$D$2</f>
        <v>4368.8750825289981</v>
      </c>
      <c r="H15" s="14">
        <f>F15/$F$124*$E$2</f>
        <v>4368.8750825289981</v>
      </c>
      <c r="I15" s="25" t="str">
        <f t="shared" si="2"/>
        <v/>
      </c>
    </row>
    <row r="16" spans="1:9" hidden="1" x14ac:dyDescent="0.25">
      <c r="A16" s="3">
        <v>2442</v>
      </c>
      <c r="B16" s="3">
        <v>113.4866949</v>
      </c>
      <c r="C16" s="3">
        <v>22.965071569999999</v>
      </c>
      <c r="D16" s="3">
        <v>1</v>
      </c>
      <c r="E16" s="13">
        <f t="shared" si="0"/>
        <v>5.7264110261511978E-4</v>
      </c>
      <c r="F16" s="13">
        <f t="shared" si="1"/>
        <v>41.788688494385376</v>
      </c>
      <c r="G16" s="14">
        <f>F16/$F$124*$D$2</f>
        <v>9375.7797512998695</v>
      </c>
      <c r="H16" s="14">
        <f>F16/$F$124*$E$2</f>
        <v>9375.7797512998695</v>
      </c>
      <c r="I16" s="25" t="str">
        <f t="shared" si="2"/>
        <v/>
      </c>
    </row>
    <row r="17" spans="1:9" x14ac:dyDescent="0.25">
      <c r="A17" s="3">
        <v>2447</v>
      </c>
      <c r="B17" s="3">
        <v>113.4828395</v>
      </c>
      <c r="C17" s="3">
        <v>22.966698430000001</v>
      </c>
      <c r="D17" s="3">
        <v>1</v>
      </c>
      <c r="E17" s="13">
        <f t="shared" si="0"/>
        <v>3.7754167826072604E-3</v>
      </c>
      <c r="F17" s="13">
        <f t="shared" si="1"/>
        <v>16.274870778620141</v>
      </c>
      <c r="G17" s="14">
        <f>F17/$F$235*$D$2</f>
        <v>38.13806264473164</v>
      </c>
      <c r="H17" s="14">
        <f>F17/$F$235*$E$2</f>
        <v>38.13806264473164</v>
      </c>
      <c r="I17" s="25" t="str">
        <f t="shared" si="2"/>
        <v>选中</v>
      </c>
    </row>
    <row r="18" spans="1:9" hidden="1" x14ac:dyDescent="0.25">
      <c r="A18" s="3">
        <v>2451</v>
      </c>
      <c r="B18" s="3">
        <v>113.482694</v>
      </c>
      <c r="C18" s="3">
        <v>22.966150240000001</v>
      </c>
      <c r="D18" s="3">
        <v>1</v>
      </c>
      <c r="E18" s="13">
        <f t="shared" si="0"/>
        <v>3.7958330785358273E-3</v>
      </c>
      <c r="F18" s="13">
        <f t="shared" si="1"/>
        <v>16.231043696701605</v>
      </c>
      <c r="G18" s="14">
        <f>F18/$F$124*$D$2</f>
        <v>3641.6239972318017</v>
      </c>
      <c r="H18" s="14">
        <f>F18/$F$124*$E$2</f>
        <v>3641.6239972318017</v>
      </c>
      <c r="I18" s="25" t="str">
        <f t="shared" si="2"/>
        <v/>
      </c>
    </row>
    <row r="19" spans="1:9" hidden="1" x14ac:dyDescent="0.25">
      <c r="A19" s="3">
        <v>2432</v>
      </c>
      <c r="B19" s="3">
        <v>113.4860383</v>
      </c>
      <c r="C19" s="3">
        <v>22.970040480000002</v>
      </c>
      <c r="D19" s="3">
        <v>1</v>
      </c>
      <c r="E19" s="13">
        <f t="shared" si="0"/>
        <v>4.4710408254576995E-3</v>
      </c>
      <c r="F19" s="13">
        <f t="shared" si="1"/>
        <v>14.955319041700058</v>
      </c>
      <c r="G19" s="14">
        <f>F19/$F$124*$D$2</f>
        <v>3355.4002888662103</v>
      </c>
      <c r="H19" s="14">
        <f>F19/$F$124*$E$2</f>
        <v>3355.4002888662103</v>
      </c>
      <c r="I19" s="25" t="str">
        <f t="shared" si="2"/>
        <v/>
      </c>
    </row>
    <row r="20" spans="1:9" x14ac:dyDescent="0.25">
      <c r="A20" s="3">
        <v>2449</v>
      </c>
      <c r="B20" s="3">
        <v>113.48740340000001</v>
      </c>
      <c r="C20" s="3">
        <v>22.964310009999998</v>
      </c>
      <c r="D20" s="3">
        <v>1</v>
      </c>
      <c r="E20" s="13">
        <f t="shared" si="0"/>
        <v>1.5958341573049772E-3</v>
      </c>
      <c r="F20" s="13">
        <f t="shared" si="1"/>
        <v>25.032609337406253</v>
      </c>
      <c r="G20" s="14">
        <f>F20/$F$235*$D$2</f>
        <v>58.660694518401414</v>
      </c>
      <c r="H20" s="14">
        <f>F20/$F$235*$E$2</f>
        <v>58.660694518401414</v>
      </c>
      <c r="I20" s="25" t="str">
        <f t="shared" si="2"/>
        <v>选中</v>
      </c>
    </row>
    <row r="21" spans="1:9" hidden="1" x14ac:dyDescent="0.25">
      <c r="A21" s="3">
        <v>2427</v>
      </c>
      <c r="B21" s="3">
        <v>113.48557769999999</v>
      </c>
      <c r="C21" s="3">
        <v>22.97008409</v>
      </c>
      <c r="D21" s="3">
        <v>1</v>
      </c>
      <c r="E21" s="13">
        <f t="shared" si="0"/>
        <v>4.5793011907505794E-3</v>
      </c>
      <c r="F21" s="13">
        <f t="shared" si="1"/>
        <v>14.777480519597706</v>
      </c>
      <c r="G21" s="14">
        <f>F21/$F$124*$D$2</f>
        <v>3315.5001418502939</v>
      </c>
      <c r="H21" s="14">
        <f>F21/$F$124*$E$2</f>
        <v>3315.5001418502939</v>
      </c>
      <c r="I21" s="25" t="str">
        <f t="shared" si="2"/>
        <v/>
      </c>
    </row>
    <row r="22" spans="1:9" hidden="1" x14ac:dyDescent="0.25">
      <c r="A22" s="3">
        <v>2454</v>
      </c>
      <c r="B22" s="3">
        <v>113.4825134</v>
      </c>
      <c r="C22" s="3">
        <v>22.9659178</v>
      </c>
      <c r="D22" s="3">
        <v>1</v>
      </c>
      <c r="E22" s="13">
        <f t="shared" si="0"/>
        <v>3.9483769276059703E-3</v>
      </c>
      <c r="F22" s="13">
        <f t="shared" si="1"/>
        <v>15.914415671201827</v>
      </c>
      <c r="G22" s="14">
        <f>F22/$F$124*$D$2</f>
        <v>3570.5848060742778</v>
      </c>
      <c r="H22" s="14">
        <f>F22/$F$124*$E$2</f>
        <v>3570.5848060742778</v>
      </c>
      <c r="I22" s="25" t="str">
        <f t="shared" si="2"/>
        <v/>
      </c>
    </row>
    <row r="23" spans="1:9" x14ac:dyDescent="0.25">
      <c r="A23" s="3">
        <v>2438</v>
      </c>
      <c r="B23" s="3">
        <v>113.48332600000001</v>
      </c>
      <c r="C23" s="3">
        <v>22.96937372</v>
      </c>
      <c r="D23" s="3">
        <v>1</v>
      </c>
      <c r="E23" s="13">
        <f t="shared" si="0"/>
        <v>4.9067980517689801E-3</v>
      </c>
      <c r="F23" s="13">
        <f t="shared" si="1"/>
        <v>14.275814888570183</v>
      </c>
      <c r="G23" s="14">
        <f>F23/$F$235*$D$2</f>
        <v>33.453532745717041</v>
      </c>
      <c r="H23" s="14">
        <f>F23/$F$235*$E$2</f>
        <v>33.453532745717041</v>
      </c>
      <c r="I23" s="25" t="str">
        <f t="shared" si="2"/>
        <v>选中</v>
      </c>
    </row>
    <row r="24" spans="1:9" hidden="1" x14ac:dyDescent="0.25">
      <c r="A24" s="3">
        <v>2424</v>
      </c>
      <c r="B24" s="3">
        <v>113.4881496</v>
      </c>
      <c r="C24" s="3">
        <v>22.96938007</v>
      </c>
      <c r="D24" s="3">
        <v>1</v>
      </c>
      <c r="E24" s="13">
        <f t="shared" si="0"/>
        <v>4.1561209646031579E-3</v>
      </c>
      <c r="F24" s="13">
        <f t="shared" si="1"/>
        <v>15.511575475501793</v>
      </c>
      <c r="G24" s="14">
        <f>F24/$F$124*$D$2</f>
        <v>3480.2029088208733</v>
      </c>
      <c r="H24" s="14">
        <f>F24/$F$124*$E$2</f>
        <v>3480.2029088208733</v>
      </c>
      <c r="I24" s="25" t="str">
        <f t="shared" si="2"/>
        <v/>
      </c>
    </row>
    <row r="25" spans="1:9" hidden="1" x14ac:dyDescent="0.25">
      <c r="A25" s="3">
        <v>2461</v>
      </c>
      <c r="B25" s="3">
        <v>113.4850127</v>
      </c>
      <c r="C25" s="3">
        <v>22.970355300000001</v>
      </c>
      <c r="D25" s="3">
        <v>1</v>
      </c>
      <c r="E25" s="13">
        <f t="shared" si="0"/>
        <v>4.9784386902429183E-3</v>
      </c>
      <c r="F25" s="13">
        <f t="shared" si="1"/>
        <v>14.172726894221592</v>
      </c>
      <c r="G25" s="14">
        <f>F25/$F$124*$D$2</f>
        <v>3179.8166112200283</v>
      </c>
      <c r="H25" s="14">
        <f>F25/$F$124*$E$2</f>
        <v>3179.8166112200283</v>
      </c>
      <c r="I25" s="25" t="str">
        <f t="shared" si="2"/>
        <v/>
      </c>
    </row>
    <row r="26" spans="1:9" x14ac:dyDescent="0.25">
      <c r="A26" s="3">
        <v>2450</v>
      </c>
      <c r="B26" s="3">
        <v>113.48208889999999</v>
      </c>
      <c r="C26" s="3">
        <v>22.967454889999999</v>
      </c>
      <c r="D26" s="3">
        <v>1</v>
      </c>
      <c r="E26" s="13">
        <f t="shared" si="0"/>
        <v>4.7419508326864345E-3</v>
      </c>
      <c r="F26" s="13">
        <f t="shared" si="1"/>
        <v>14.521834290059617</v>
      </c>
      <c r="G26" s="14">
        <f>F26/$F$235*$D$2</f>
        <v>34.030047513388759</v>
      </c>
      <c r="H26" s="14">
        <f>F26/$F$235*$E$2</f>
        <v>34.030047513388759</v>
      </c>
      <c r="I26" s="25" t="str">
        <f t="shared" si="2"/>
        <v>选中</v>
      </c>
    </row>
    <row r="27" spans="1:9" hidden="1" x14ac:dyDescent="0.25">
      <c r="A27" s="3">
        <v>2426</v>
      </c>
      <c r="B27" s="3">
        <v>113.4880974</v>
      </c>
      <c r="C27" s="3">
        <v>22.969828719999999</v>
      </c>
      <c r="D27" s="3">
        <v>1</v>
      </c>
      <c r="E27" s="13">
        <f t="shared" si="0"/>
        <v>4.5499567229710909E-3</v>
      </c>
      <c r="F27" s="13">
        <f t="shared" si="1"/>
        <v>14.825056837171356</v>
      </c>
      <c r="G27" s="14">
        <f>F27/$F$124*$D$2</f>
        <v>3326.1744437013404</v>
      </c>
      <c r="H27" s="14">
        <f>F27/$F$124*$E$2</f>
        <v>3326.1744437013404</v>
      </c>
      <c r="I27" s="25" t="str">
        <f t="shared" si="2"/>
        <v/>
      </c>
    </row>
    <row r="28" spans="1:9" hidden="1" x14ac:dyDescent="0.25">
      <c r="A28" s="3">
        <v>2428</v>
      </c>
      <c r="B28" s="3">
        <v>113.4886614</v>
      </c>
      <c r="C28" s="3">
        <v>22.969306629999998</v>
      </c>
      <c r="D28" s="3">
        <v>1</v>
      </c>
      <c r="E28" s="13">
        <f t="shared" si="0"/>
        <v>4.3272958512678818E-3</v>
      </c>
      <c r="F28" s="13">
        <f t="shared" si="1"/>
        <v>15.201684185449825</v>
      </c>
      <c r="G28" s="14">
        <f>F28/$F$124*$D$2</f>
        <v>3410.6751828487168</v>
      </c>
      <c r="H28" s="14">
        <f>F28/$F$124*$E$2</f>
        <v>3410.6751828487168</v>
      </c>
      <c r="I28" s="25" t="str">
        <f t="shared" si="2"/>
        <v/>
      </c>
    </row>
    <row r="29" spans="1:9" x14ac:dyDescent="0.25">
      <c r="A29" s="3">
        <v>2459</v>
      </c>
      <c r="B29" s="3">
        <v>113.4831738</v>
      </c>
      <c r="C29" s="3">
        <v>22.96401857</v>
      </c>
      <c r="D29" s="3">
        <v>1</v>
      </c>
      <c r="E29" s="13">
        <f t="shared" si="0"/>
        <v>3.6310165163974044E-3</v>
      </c>
      <c r="F29" s="13">
        <f t="shared" si="1"/>
        <v>16.59532980813993</v>
      </c>
      <c r="G29" s="14">
        <f>F29/$F$235*$D$2</f>
        <v>38.889017089110446</v>
      </c>
      <c r="H29" s="14">
        <f>F29/$F$235*$E$2</f>
        <v>38.889017089110446</v>
      </c>
      <c r="I29" s="25" t="str">
        <f t="shared" si="2"/>
        <v>选中</v>
      </c>
    </row>
    <row r="30" spans="1:9" hidden="1" x14ac:dyDescent="0.25">
      <c r="A30" s="3">
        <v>2441</v>
      </c>
      <c r="B30" s="3">
        <v>113.4833259</v>
      </c>
      <c r="C30" s="3">
        <v>22.970092409999999</v>
      </c>
      <c r="D30" s="3">
        <v>1</v>
      </c>
      <c r="E30" s="13">
        <f t="shared" si="0"/>
        <v>5.4804165640569957E-3</v>
      </c>
      <c r="F30" s="13">
        <f t="shared" si="1"/>
        <v>13.508067273558247</v>
      </c>
      <c r="G30" s="14">
        <f>F30/$F$124*$D$2</f>
        <v>3030.6924717113352</v>
      </c>
      <c r="H30" s="14">
        <f>F30/$F$124*$E$2</f>
        <v>3030.6924717113352</v>
      </c>
      <c r="I30" s="25" t="str">
        <f t="shared" si="2"/>
        <v/>
      </c>
    </row>
    <row r="31" spans="1:9" hidden="1" x14ac:dyDescent="0.25">
      <c r="A31" s="3">
        <v>2399</v>
      </c>
      <c r="B31" s="3">
        <v>113.4815972</v>
      </c>
      <c r="C31" s="3">
        <v>22.96761038</v>
      </c>
      <c r="D31" s="3">
        <v>1</v>
      </c>
      <c r="E31" s="13">
        <f t="shared" si="0"/>
        <v>5.2554039213841058E-3</v>
      </c>
      <c r="F31" s="13">
        <f t="shared" si="1"/>
        <v>13.794213694071452</v>
      </c>
      <c r="G31" s="14">
        <f>F31/$F$124*$D$2</f>
        <v>3094.8927592057635</v>
      </c>
      <c r="H31" s="14">
        <f>F31/$F$124*$E$2</f>
        <v>3094.8927592057635</v>
      </c>
      <c r="I31" s="25" t="str">
        <f t="shared" si="2"/>
        <v/>
      </c>
    </row>
    <row r="32" spans="1:9" x14ac:dyDescent="0.25">
      <c r="A32" s="3">
        <v>2398</v>
      </c>
      <c r="B32" s="3">
        <v>113.48163630000001</v>
      </c>
      <c r="C32" s="3">
        <v>22.967911369999999</v>
      </c>
      <c r="D32" s="3">
        <v>1</v>
      </c>
      <c r="E32" s="13">
        <f t="shared" si="0"/>
        <v>5.3431585625272207E-3</v>
      </c>
      <c r="F32" s="13">
        <f t="shared" si="1"/>
        <v>13.680468447972933</v>
      </c>
      <c r="G32" s="14">
        <f>F32/$F$235*$D$2</f>
        <v>32.058415072853954</v>
      </c>
      <c r="H32" s="14">
        <f>F32/$F$235*$E$2</f>
        <v>32.058415072853954</v>
      </c>
      <c r="I32" s="25" t="str">
        <f t="shared" si="2"/>
        <v>选中</v>
      </c>
    </row>
    <row r="33" spans="1:9" hidden="1" x14ac:dyDescent="0.25">
      <c r="A33" s="3">
        <v>2443</v>
      </c>
      <c r="B33" s="3">
        <v>113.48288239999999</v>
      </c>
      <c r="C33" s="3">
        <v>22.970119090000001</v>
      </c>
      <c r="D33" s="3">
        <v>1</v>
      </c>
      <c r="E33" s="13">
        <f t="shared" si="0"/>
        <v>5.7655888221084294E-3</v>
      </c>
      <c r="F33" s="13">
        <f t="shared" si="1"/>
        <v>13.169769273938785</v>
      </c>
      <c r="G33" s="14">
        <f>F33/$F$124*$D$2</f>
        <v>2954.7913690681266</v>
      </c>
      <c r="H33" s="14">
        <f>F33/$F$124*$E$2</f>
        <v>2954.7913690681266</v>
      </c>
      <c r="I33" s="25" t="str">
        <f t="shared" si="2"/>
        <v/>
      </c>
    </row>
    <row r="34" spans="1:9" hidden="1" x14ac:dyDescent="0.25">
      <c r="A34" s="3">
        <v>2396</v>
      </c>
      <c r="B34" s="3">
        <v>113.4814757</v>
      </c>
      <c r="C34" s="3">
        <v>22.968275739999999</v>
      </c>
      <c r="D34" s="3">
        <v>1</v>
      </c>
      <c r="E34" s="13">
        <f t="shared" si="0"/>
        <v>5.6521119760681564E-3</v>
      </c>
      <c r="F34" s="13">
        <f t="shared" si="1"/>
        <v>13.301316313868972</v>
      </c>
      <c r="G34" s="14">
        <f>F34/$F$124*$D$2</f>
        <v>2984.3054820436178</v>
      </c>
      <c r="H34" s="14">
        <f>F34/$F$124*$E$2</f>
        <v>2984.3054820436178</v>
      </c>
      <c r="I34" s="25" t="str">
        <f t="shared" si="2"/>
        <v/>
      </c>
    </row>
    <row r="35" spans="1:9" x14ac:dyDescent="0.25">
      <c r="A35" s="3">
        <v>2403</v>
      </c>
      <c r="B35" s="3">
        <v>113.48126809999999</v>
      </c>
      <c r="C35" s="3">
        <v>22.966381940000002</v>
      </c>
      <c r="D35" s="3">
        <v>1</v>
      </c>
      <c r="E35" s="13">
        <f t="shared" si="0"/>
        <v>5.240353788258989E-3</v>
      </c>
      <c r="F35" s="13">
        <f t="shared" si="1"/>
        <v>13.814007768660552</v>
      </c>
      <c r="G35" s="14">
        <f>F35/$F$235*$D$2</f>
        <v>32.371347264279386</v>
      </c>
      <c r="H35" s="14">
        <f>F35/$F$235*$E$2</f>
        <v>32.371347264279386</v>
      </c>
      <c r="I35" s="25" t="str">
        <f t="shared" si="2"/>
        <v>选中</v>
      </c>
    </row>
    <row r="36" spans="1:9" hidden="1" x14ac:dyDescent="0.25">
      <c r="A36" s="3">
        <v>2437</v>
      </c>
      <c r="B36" s="3">
        <v>113.4850337</v>
      </c>
      <c r="C36" s="3">
        <v>22.971381919999999</v>
      </c>
      <c r="D36" s="3">
        <v>1</v>
      </c>
      <c r="E36" s="13">
        <f t="shared" si="0"/>
        <v>5.9637954826496009E-3</v>
      </c>
      <c r="F36" s="13">
        <f t="shared" si="1"/>
        <v>12.949071507625904</v>
      </c>
      <c r="G36" s="14">
        <f>F36/$F$124*$D$2</f>
        <v>2905.275250637384</v>
      </c>
      <c r="H36" s="14">
        <f>F36/$F$124*$E$2</f>
        <v>2905.275250637384</v>
      </c>
      <c r="I36" s="25" t="str">
        <f t="shared" si="2"/>
        <v/>
      </c>
    </row>
    <row r="37" spans="1:9" hidden="1" x14ac:dyDescent="0.25">
      <c r="A37" s="3">
        <v>2831</v>
      </c>
      <c r="B37" s="3">
        <v>113.48257479999999</v>
      </c>
      <c r="C37" s="3">
        <v>22.963586979999999</v>
      </c>
      <c r="D37" s="3">
        <v>1</v>
      </c>
      <c r="E37" s="13">
        <f t="shared" si="0"/>
        <v>4.3596742828922071E-3</v>
      </c>
      <c r="F37" s="13">
        <f t="shared" si="1"/>
        <v>15.145129045128209</v>
      </c>
      <c r="G37" s="14">
        <f>F37/$F$124*$D$2</f>
        <v>3397.986377371355</v>
      </c>
      <c r="H37" s="14">
        <f>F37/$F$124*$E$2</f>
        <v>3397.986377371355</v>
      </c>
      <c r="I37" s="25" t="str">
        <f t="shared" si="2"/>
        <v/>
      </c>
    </row>
    <row r="38" spans="1:9" x14ac:dyDescent="0.25">
      <c r="A38" s="3">
        <v>2440</v>
      </c>
      <c r="B38" s="3">
        <v>113.485139</v>
      </c>
      <c r="C38" s="3">
        <v>22.97160813</v>
      </c>
      <c r="D38" s="3">
        <v>1</v>
      </c>
      <c r="E38" s="13">
        <f t="shared" si="0"/>
        <v>6.1605548625413191E-3</v>
      </c>
      <c r="F38" s="13">
        <f t="shared" si="1"/>
        <v>12.740605993259233</v>
      </c>
      <c r="G38" s="14">
        <f>F38/$F$235*$D$2</f>
        <v>29.855968511963876</v>
      </c>
      <c r="H38" s="14">
        <f>F38/$F$235*$E$2</f>
        <v>29.855968511963876</v>
      </c>
      <c r="I38" s="25" t="str">
        <f t="shared" si="2"/>
        <v>选中</v>
      </c>
    </row>
    <row r="39" spans="1:9" hidden="1" x14ac:dyDescent="0.25">
      <c r="A39" s="3">
        <v>2404</v>
      </c>
      <c r="B39" s="3">
        <v>113.4810414</v>
      </c>
      <c r="C39" s="3">
        <v>22.965793529999999</v>
      </c>
      <c r="D39" s="3">
        <v>1</v>
      </c>
      <c r="E39" s="13">
        <f t="shared" si="0"/>
        <v>5.4104956740030933E-3</v>
      </c>
      <c r="F39" s="13">
        <f t="shared" si="1"/>
        <v>13.595070778064498</v>
      </c>
      <c r="G39" s="14">
        <f>F39/$F$124*$D$2</f>
        <v>3050.2127228901068</v>
      </c>
      <c r="H39" s="14">
        <f>F39/$F$124*$E$2</f>
        <v>3050.2127228901068</v>
      </c>
      <c r="I39" s="25" t="str">
        <f t="shared" si="2"/>
        <v/>
      </c>
    </row>
    <row r="40" spans="1:9" hidden="1" x14ac:dyDescent="0.25">
      <c r="A40" s="3">
        <v>2460</v>
      </c>
      <c r="B40" s="3">
        <v>113.48231939999999</v>
      </c>
      <c r="C40" s="3">
        <v>22.970613220000001</v>
      </c>
      <c r="D40" s="3">
        <v>1</v>
      </c>
      <c r="E40" s="13">
        <f t="shared" si="0"/>
        <v>6.5035114715759831E-3</v>
      </c>
      <c r="F40" s="13">
        <f t="shared" si="1"/>
        <v>12.400124473883174</v>
      </c>
      <c r="G40" s="14">
        <f>F40/$F$124*$D$2</f>
        <v>2782.1125798540515</v>
      </c>
      <c r="H40" s="14">
        <f>F40/$F$124*$E$2</f>
        <v>2782.1125798540515</v>
      </c>
      <c r="I40" s="25" t="str">
        <f t="shared" si="2"/>
        <v/>
      </c>
    </row>
    <row r="41" spans="1:9" x14ac:dyDescent="0.25">
      <c r="A41" s="3">
        <v>2832</v>
      </c>
      <c r="B41" s="3">
        <v>113.48184929999999</v>
      </c>
      <c r="C41" s="3">
        <v>22.963467900000001</v>
      </c>
      <c r="D41" s="3">
        <v>1</v>
      </c>
      <c r="E41" s="13">
        <f t="shared" si="0"/>
        <v>5.0639831963106337E-3</v>
      </c>
      <c r="F41" s="13">
        <f t="shared" si="1"/>
        <v>14.05250899797092</v>
      </c>
      <c r="G41" s="14">
        <f>F41/$F$235*$D$2</f>
        <v>32.930244164169586</v>
      </c>
      <c r="H41" s="14">
        <f>F41/$F$235*$E$2</f>
        <v>32.930244164169586</v>
      </c>
      <c r="I41" s="25" t="str">
        <f t="shared" si="2"/>
        <v>选中</v>
      </c>
    </row>
    <row r="42" spans="1:9" hidden="1" x14ac:dyDescent="0.25">
      <c r="A42" s="3">
        <v>2463</v>
      </c>
      <c r="B42" s="3">
        <v>113.49085220000001</v>
      </c>
      <c r="C42" s="3">
        <v>22.966990200000001</v>
      </c>
      <c r="D42" s="3">
        <v>1</v>
      </c>
      <c r="E42" s="13">
        <f t="shared" si="0"/>
        <v>4.6219521246543211E-3</v>
      </c>
      <c r="F42" s="13">
        <f t="shared" si="1"/>
        <v>14.7091399027747</v>
      </c>
      <c r="G42" s="14">
        <f>F42/$F$124*$D$2</f>
        <v>3300.1671272359067</v>
      </c>
      <c r="H42" s="14">
        <f>F42/$F$124*$E$2</f>
        <v>3300.1671272359067</v>
      </c>
      <c r="I42" s="25" t="str">
        <f t="shared" si="2"/>
        <v/>
      </c>
    </row>
    <row r="43" spans="1:9" hidden="1" x14ac:dyDescent="0.25">
      <c r="A43" s="3">
        <v>2407</v>
      </c>
      <c r="B43" s="3">
        <v>113.4808046</v>
      </c>
      <c r="C43" s="3">
        <v>22.965088139999999</v>
      </c>
      <c r="D43" s="3">
        <v>1</v>
      </c>
      <c r="E43" s="13">
        <f t="shared" si="0"/>
        <v>5.6655161787840741E-3</v>
      </c>
      <c r="F43" s="13">
        <f t="shared" si="1"/>
        <v>13.285572018293619</v>
      </c>
      <c r="G43" s="14">
        <f>F43/$F$124*$D$2</f>
        <v>2980.7730656655899</v>
      </c>
      <c r="H43" s="14">
        <f>F43/$F$124*$E$2</f>
        <v>2980.7730656655899</v>
      </c>
      <c r="I43" s="25" t="str">
        <f t="shared" si="2"/>
        <v/>
      </c>
    </row>
    <row r="44" spans="1:9" x14ac:dyDescent="0.25">
      <c r="A44" s="3">
        <v>2416</v>
      </c>
      <c r="B44" s="3">
        <v>113.48100599999999</v>
      </c>
      <c r="C44" s="3">
        <v>22.969346900000001</v>
      </c>
      <c r="D44" s="3">
        <v>1</v>
      </c>
      <c r="E44" s="13">
        <f t="shared" si="0"/>
        <v>6.6138350313971967E-3</v>
      </c>
      <c r="F44" s="13">
        <f t="shared" si="1"/>
        <v>12.296268022496529</v>
      </c>
      <c r="G44" s="14">
        <f>F44/$F$235*$D$2</f>
        <v>28.814719730643738</v>
      </c>
      <c r="H44" s="14">
        <f>F44/$F$235*$E$2</f>
        <v>28.814719730643738</v>
      </c>
      <c r="I44" s="25" t="str">
        <f t="shared" si="2"/>
        <v>选中</v>
      </c>
    </row>
    <row r="45" spans="1:9" hidden="1" x14ac:dyDescent="0.25">
      <c r="A45" s="3">
        <v>2444</v>
      </c>
      <c r="B45" s="3">
        <v>113.48417569999999</v>
      </c>
      <c r="C45" s="3">
        <v>22.972034090000001</v>
      </c>
      <c r="D45" s="3">
        <v>1</v>
      </c>
      <c r="E45" s="13">
        <f t="shared" si="0"/>
        <v>6.8346324404187035E-3</v>
      </c>
      <c r="F45" s="13">
        <f t="shared" si="1"/>
        <v>12.096017826304166</v>
      </c>
      <c r="G45" s="14">
        <f>F45/$F$124*$D$2</f>
        <v>2713.8827059016771</v>
      </c>
      <c r="H45" s="14">
        <f>F45/$F$124*$E$2</f>
        <v>2713.8827059016771</v>
      </c>
      <c r="I45" s="25" t="str">
        <f t="shared" si="2"/>
        <v/>
      </c>
    </row>
    <row r="46" spans="1:9" hidden="1" x14ac:dyDescent="0.25">
      <c r="A46" s="3">
        <v>2381</v>
      </c>
      <c r="B46" s="3">
        <v>113.4803349</v>
      </c>
      <c r="C46" s="3">
        <v>22.966731060000001</v>
      </c>
      <c r="D46" s="3">
        <v>1</v>
      </c>
      <c r="E46" s="13">
        <f t="shared" si="0"/>
        <v>6.2190036425475246E-3</v>
      </c>
      <c r="F46" s="13">
        <f t="shared" si="1"/>
        <v>12.680593901550074</v>
      </c>
      <c r="G46" s="14">
        <f>F46/$F$124*$D$2</f>
        <v>2845.0391677782281</v>
      </c>
      <c r="H46" s="14">
        <f>F46/$F$124*$E$2</f>
        <v>2845.0391677782281</v>
      </c>
      <c r="I46" s="25" t="str">
        <f t="shared" si="2"/>
        <v/>
      </c>
    </row>
    <row r="47" spans="1:9" x14ac:dyDescent="0.25">
      <c r="A47" s="3">
        <v>2435</v>
      </c>
      <c r="B47" s="3">
        <v>113.48212770000001</v>
      </c>
      <c r="C47" s="3">
        <v>22.971022479999998</v>
      </c>
      <c r="D47" s="3">
        <v>1</v>
      </c>
      <c r="E47" s="13">
        <f t="shared" si="0"/>
        <v>6.9423229385266296E-3</v>
      </c>
      <c r="F47" s="13">
        <f t="shared" si="1"/>
        <v>12.001833401197409</v>
      </c>
      <c r="G47" s="14">
        <f>F47/$F$235*$D$2</f>
        <v>28.124750133672496</v>
      </c>
      <c r="H47" s="14">
        <f>F47/$F$235*$E$2</f>
        <v>28.124750133672496</v>
      </c>
      <c r="I47" s="25" t="str">
        <f t="shared" si="2"/>
        <v>选中</v>
      </c>
    </row>
    <row r="48" spans="1:9" hidden="1" x14ac:dyDescent="0.25">
      <c r="A48" s="3">
        <v>2411</v>
      </c>
      <c r="B48" s="3">
        <v>113.481168</v>
      </c>
      <c r="C48" s="3">
        <v>22.96386373</v>
      </c>
      <c r="D48" s="3">
        <v>1</v>
      </c>
      <c r="E48" s="13">
        <f t="shared" si="0"/>
        <v>5.5544909064998357E-3</v>
      </c>
      <c r="F48" s="13">
        <f t="shared" si="1"/>
        <v>13.41769358873252</v>
      </c>
      <c r="G48" s="14">
        <f>F48/$F$124*$D$2</f>
        <v>3010.4160812629189</v>
      </c>
      <c r="H48" s="14">
        <f>F48/$F$124*$E$2</f>
        <v>3010.4160812629189</v>
      </c>
      <c r="I48" s="25" t="str">
        <f t="shared" si="2"/>
        <v/>
      </c>
    </row>
    <row r="49" spans="1:9" hidden="1" x14ac:dyDescent="0.25">
      <c r="A49" s="3">
        <v>2458</v>
      </c>
      <c r="B49" s="3">
        <v>113.49121340000001</v>
      </c>
      <c r="C49" s="3">
        <v>22.967537050000001</v>
      </c>
      <c r="D49" s="3">
        <v>1</v>
      </c>
      <c r="E49" s="13">
        <f t="shared" si="0"/>
        <v>5.1484811935275359E-3</v>
      </c>
      <c r="F49" s="13">
        <f t="shared" si="1"/>
        <v>13.936715502780315</v>
      </c>
      <c r="G49" s="14">
        <f>F49/$F$124*$D$2</f>
        <v>3126.8647023500348</v>
      </c>
      <c r="H49" s="14">
        <f>F49/$F$124*$E$2</f>
        <v>3126.8647023500348</v>
      </c>
      <c r="I49" s="25" t="str">
        <f t="shared" si="2"/>
        <v/>
      </c>
    </row>
    <row r="50" spans="1:9" x14ac:dyDescent="0.25">
      <c r="A50" s="3">
        <v>2422</v>
      </c>
      <c r="B50" s="3">
        <v>113.4839308</v>
      </c>
      <c r="C50" s="3">
        <v>22.972238279999999</v>
      </c>
      <c r="D50" s="3">
        <v>1</v>
      </c>
      <c r="E50" s="13">
        <f t="shared" si="0"/>
        <v>7.1104989164538328E-3</v>
      </c>
      <c r="F50" s="13">
        <f t="shared" si="1"/>
        <v>11.8590517087503</v>
      </c>
      <c r="G50" s="14">
        <f>F50/$F$235*$D$2</f>
        <v>27.790159634912765</v>
      </c>
      <c r="H50" s="14">
        <f>F50/$F$235*$E$2</f>
        <v>27.790159634912765</v>
      </c>
      <c r="I50" s="25" t="str">
        <f t="shared" si="2"/>
        <v>选中</v>
      </c>
    </row>
    <row r="51" spans="1:9" hidden="1" x14ac:dyDescent="0.25">
      <c r="A51" s="3">
        <v>2406</v>
      </c>
      <c r="B51" s="3">
        <v>113.4803481</v>
      </c>
      <c r="C51" s="3">
        <v>22.96489888</v>
      </c>
      <c r="D51" s="3">
        <v>1</v>
      </c>
      <c r="E51" s="13">
        <f t="shared" si="0"/>
        <v>6.1387304067569383E-3</v>
      </c>
      <c r="F51" s="13">
        <f t="shared" si="1"/>
        <v>12.763233643827874</v>
      </c>
      <c r="G51" s="14">
        <f>F51/$F$124*$D$2</f>
        <v>2863.5803579954072</v>
      </c>
      <c r="H51" s="14">
        <f>F51/$F$124*$E$2</f>
        <v>2863.5803579954072</v>
      </c>
      <c r="I51" s="25" t="str">
        <f t="shared" si="2"/>
        <v/>
      </c>
    </row>
    <row r="52" spans="1:9" hidden="1" x14ac:dyDescent="0.25">
      <c r="A52" s="3">
        <v>2401</v>
      </c>
      <c r="B52" s="3">
        <v>113.4812889</v>
      </c>
      <c r="C52" s="3">
        <v>22.970603189999999</v>
      </c>
      <c r="D52" s="3">
        <v>1</v>
      </c>
      <c r="E52" s="13">
        <f t="shared" si="0"/>
        <v>7.1948548292227544E-3</v>
      </c>
      <c r="F52" s="13">
        <f t="shared" si="1"/>
        <v>11.789326140393191</v>
      </c>
      <c r="G52" s="14">
        <f>F52/$F$124*$D$2</f>
        <v>2645.07284844366</v>
      </c>
      <c r="H52" s="14">
        <f>F52/$F$124*$E$2</f>
        <v>2645.07284844366</v>
      </c>
      <c r="I52" s="25" t="str">
        <f t="shared" si="2"/>
        <v/>
      </c>
    </row>
    <row r="53" spans="1:9" x14ac:dyDescent="0.25">
      <c r="A53" s="3">
        <v>2445</v>
      </c>
      <c r="B53" s="3">
        <v>113.4855644</v>
      </c>
      <c r="C53" s="3">
        <v>22.972739910000001</v>
      </c>
      <c r="D53" s="3">
        <v>1</v>
      </c>
      <c r="E53" s="13">
        <f t="shared" si="0"/>
        <v>7.2060384203537411E-3</v>
      </c>
      <c r="F53" s="13">
        <f t="shared" si="1"/>
        <v>11.780174218691114</v>
      </c>
      <c r="G53" s="14">
        <f>F53/$F$235*$D$2</f>
        <v>27.605320400361773</v>
      </c>
      <c r="H53" s="14">
        <f>F53/$F$235*$E$2</f>
        <v>27.605320400361773</v>
      </c>
      <c r="I53" s="25" t="str">
        <f t="shared" si="2"/>
        <v>选中</v>
      </c>
    </row>
    <row r="54" spans="1:9" hidden="1" x14ac:dyDescent="0.25">
      <c r="A54" s="3">
        <v>2392</v>
      </c>
      <c r="B54" s="3">
        <v>113.4798694</v>
      </c>
      <c r="C54" s="3">
        <v>22.966608749999999</v>
      </c>
      <c r="D54" s="3">
        <v>1</v>
      </c>
      <c r="E54" s="13">
        <f t="shared" si="0"/>
        <v>6.6572815931102572E-3</v>
      </c>
      <c r="F54" s="13">
        <f t="shared" si="1"/>
        <v>12.256078567093208</v>
      </c>
      <c r="G54" s="14">
        <f>F54/$F$124*$D$2</f>
        <v>2749.7942002925479</v>
      </c>
      <c r="H54" s="14">
        <f>F54/$F$124*$E$2</f>
        <v>2749.7942002925479</v>
      </c>
      <c r="I54" s="25" t="str">
        <f t="shared" si="2"/>
        <v/>
      </c>
    </row>
    <row r="55" spans="1:9" hidden="1" x14ac:dyDescent="0.25">
      <c r="A55" s="3">
        <v>2412</v>
      </c>
      <c r="B55" s="3">
        <v>113.4816752</v>
      </c>
      <c r="C55" s="3">
        <v>22.971240049999999</v>
      </c>
      <c r="D55" s="3">
        <v>1</v>
      </c>
      <c r="E55" s="13">
        <f t="shared" si="0"/>
        <v>7.3974632868279615E-3</v>
      </c>
      <c r="F55" s="13">
        <f t="shared" si="1"/>
        <v>11.626756865958322</v>
      </c>
      <c r="G55" s="14">
        <f>F55/$F$124*$D$2</f>
        <v>2608.5985352659504</v>
      </c>
      <c r="H55" s="14">
        <f>F55/$F$124*$E$2</f>
        <v>2608.5985352659504</v>
      </c>
      <c r="I55" s="25" t="str">
        <f t="shared" si="2"/>
        <v/>
      </c>
    </row>
    <row r="56" spans="1:9" x14ac:dyDescent="0.25">
      <c r="A56" s="3">
        <v>2430</v>
      </c>
      <c r="B56" s="3">
        <v>113.4916008</v>
      </c>
      <c r="C56" s="3">
        <v>22.967236339999999</v>
      </c>
      <c r="D56" s="3">
        <v>1</v>
      </c>
      <c r="E56" s="13">
        <f t="shared" si="0"/>
        <v>5.4099490282393603E-3</v>
      </c>
      <c r="F56" s="13">
        <f t="shared" si="1"/>
        <v>13.59575761449182</v>
      </c>
      <c r="G56" s="14">
        <f>F56/$F$235*$D$2</f>
        <v>31.859906149622795</v>
      </c>
      <c r="H56" s="14">
        <f>F56/$F$235*$E$2</f>
        <v>31.859906149622795</v>
      </c>
      <c r="I56" s="25" t="str">
        <f t="shared" si="2"/>
        <v>选中</v>
      </c>
    </row>
    <row r="57" spans="1:9" hidden="1" x14ac:dyDescent="0.25">
      <c r="A57" s="3">
        <v>2388</v>
      </c>
      <c r="B57" s="3">
        <v>113.4796024</v>
      </c>
      <c r="C57" s="3">
        <v>22.967451610000001</v>
      </c>
      <c r="D57" s="3">
        <v>1</v>
      </c>
      <c r="E57" s="13">
        <f t="shared" si="0"/>
        <v>7.0946705243785449E-3</v>
      </c>
      <c r="F57" s="13">
        <f t="shared" si="1"/>
        <v>11.872273262856931</v>
      </c>
      <c r="G57" s="14">
        <f>F57/$F$124*$D$2</f>
        <v>2663.6830029913099</v>
      </c>
      <c r="H57" s="14">
        <f>F57/$F$124*$E$2</f>
        <v>2663.6830029913099</v>
      </c>
      <c r="I57" s="25" t="str">
        <f t="shared" si="2"/>
        <v/>
      </c>
    </row>
    <row r="58" spans="1:9" hidden="1" x14ac:dyDescent="0.25">
      <c r="A58" s="3">
        <v>2385</v>
      </c>
      <c r="B58" s="3">
        <v>113.4797659</v>
      </c>
      <c r="C58" s="3">
        <v>22.968643579999998</v>
      </c>
      <c r="D58" s="3">
        <v>1</v>
      </c>
      <c r="E58" s="13">
        <f t="shared" si="0"/>
        <v>7.3474826858444522E-3</v>
      </c>
      <c r="F58" s="13">
        <f t="shared" si="1"/>
        <v>11.666234835910588</v>
      </c>
      <c r="G58" s="14">
        <f>F58/$F$124*$D$2</f>
        <v>2617.4558783565481</v>
      </c>
      <c r="H58" s="14">
        <f>F58/$F$124*$E$2</f>
        <v>2617.4558783565481</v>
      </c>
      <c r="I58" s="25" t="str">
        <f t="shared" si="2"/>
        <v/>
      </c>
    </row>
    <row r="59" spans="1:9" x14ac:dyDescent="0.25">
      <c r="A59" s="3">
        <v>2446</v>
      </c>
      <c r="B59" s="3">
        <v>113.4873968</v>
      </c>
      <c r="C59" s="3">
        <v>22.972916300000001</v>
      </c>
      <c r="D59" s="3">
        <v>1</v>
      </c>
      <c r="E59" s="13">
        <f t="shared" si="0"/>
        <v>7.3892177016603808E-3</v>
      </c>
      <c r="F59" s="13">
        <f t="shared" si="1"/>
        <v>11.633242172503063</v>
      </c>
      <c r="G59" s="14">
        <f>F59/$F$235*$D$2</f>
        <v>27.261004082385231</v>
      </c>
      <c r="H59" s="14">
        <f>F59/$F$235*$E$2</f>
        <v>27.261004082385231</v>
      </c>
      <c r="I59" s="25" t="str">
        <f t="shared" si="2"/>
        <v>选中</v>
      </c>
    </row>
    <row r="60" spans="1:9" hidden="1" x14ac:dyDescent="0.25">
      <c r="A60" s="3">
        <v>2423</v>
      </c>
      <c r="B60" s="3">
        <v>113.491675</v>
      </c>
      <c r="C60" s="3">
        <v>22.968684939999999</v>
      </c>
      <c r="D60" s="3">
        <v>1</v>
      </c>
      <c r="E60" s="13">
        <f t="shared" si="0"/>
        <v>6.075443848489538E-3</v>
      </c>
      <c r="F60" s="13">
        <f t="shared" si="1"/>
        <v>12.829537318061304</v>
      </c>
      <c r="G60" s="14">
        <f>F60/$F$124*$D$2</f>
        <v>2878.4563607777895</v>
      </c>
      <c r="H60" s="14">
        <f>F60/$F$124*$E$2</f>
        <v>2878.4563607777895</v>
      </c>
      <c r="I60" s="25" t="str">
        <f t="shared" si="2"/>
        <v/>
      </c>
    </row>
    <row r="61" spans="1:9" hidden="1" x14ac:dyDescent="0.25">
      <c r="A61" s="3">
        <v>2425</v>
      </c>
      <c r="B61" s="3">
        <v>113.4859046</v>
      </c>
      <c r="C61" s="3">
        <v>22.97324171</v>
      </c>
      <c r="D61" s="3">
        <v>1</v>
      </c>
      <c r="E61" s="13">
        <f t="shared" si="0"/>
        <v>7.672726603470321E-3</v>
      </c>
      <c r="F61" s="13">
        <f t="shared" si="1"/>
        <v>11.416293834811142</v>
      </c>
      <c r="G61" s="14">
        <f>F61/$F$124*$D$2</f>
        <v>2561.3786990633366</v>
      </c>
      <c r="H61" s="14">
        <f>F61/$F$124*$E$2</f>
        <v>2561.3786990633366</v>
      </c>
      <c r="I61" s="25" t="str">
        <f t="shared" si="2"/>
        <v/>
      </c>
    </row>
    <row r="62" spans="1:9" x14ac:dyDescent="0.25">
      <c r="A62" s="3">
        <v>2456</v>
      </c>
      <c r="B62" s="3">
        <v>113.4877078</v>
      </c>
      <c r="C62" s="3">
        <v>22.973022180000001</v>
      </c>
      <c r="D62" s="3">
        <v>1</v>
      </c>
      <c r="E62" s="13">
        <f t="shared" si="0"/>
        <v>7.5399211723278575E-3</v>
      </c>
      <c r="F62" s="13">
        <f t="shared" si="1"/>
        <v>11.51639619242807</v>
      </c>
      <c r="G62" s="14">
        <f>F62/$F$235*$D$2</f>
        <v>26.987190583740485</v>
      </c>
      <c r="H62" s="14">
        <f>F62/$F$235*$E$2</f>
        <v>26.987190583740485</v>
      </c>
      <c r="I62" s="25" t="str">
        <f t="shared" si="2"/>
        <v>选中</v>
      </c>
    </row>
    <row r="63" spans="1:9" hidden="1" x14ac:dyDescent="0.25">
      <c r="A63" s="3">
        <v>2390</v>
      </c>
      <c r="B63" s="3">
        <v>113.4799625</v>
      </c>
      <c r="C63" s="3">
        <v>22.969863629999999</v>
      </c>
      <c r="D63" s="3">
        <v>1</v>
      </c>
      <c r="E63" s="13">
        <f t="shared" si="0"/>
        <v>7.7679202103490717E-3</v>
      </c>
      <c r="F63" s="13">
        <f t="shared" si="1"/>
        <v>11.346126518926667</v>
      </c>
      <c r="G63" s="14">
        <f>F63/$F$124*$D$2</f>
        <v>2545.6358432050797</v>
      </c>
      <c r="H63" s="14">
        <f>F63/$F$124*$E$2</f>
        <v>2545.6358432050797</v>
      </c>
      <c r="I63" s="25" t="str">
        <f t="shared" si="2"/>
        <v/>
      </c>
    </row>
    <row r="64" spans="1:9" hidden="1" x14ac:dyDescent="0.25">
      <c r="A64" s="3">
        <v>2413</v>
      </c>
      <c r="B64" s="3">
        <v>113.4799424</v>
      </c>
      <c r="C64" s="3">
        <v>22.969876559999999</v>
      </c>
      <c r="D64" s="3">
        <v>1</v>
      </c>
      <c r="E64" s="13">
        <f t="shared" si="0"/>
        <v>7.7918184024051004E-3</v>
      </c>
      <c r="F64" s="13">
        <f t="shared" si="1"/>
        <v>11.32871337299793</v>
      </c>
      <c r="G64" s="14">
        <f>F64/$F$124*$D$2</f>
        <v>2541.7290007822303</v>
      </c>
      <c r="H64" s="14">
        <f>F64/$F$124*$E$2</f>
        <v>2541.7290007822303</v>
      </c>
      <c r="I64" s="25" t="str">
        <f t="shared" si="2"/>
        <v/>
      </c>
    </row>
    <row r="65" spans="1:9" x14ac:dyDescent="0.25">
      <c r="A65" s="3">
        <v>2384</v>
      </c>
      <c r="B65" s="3">
        <v>113.4792953</v>
      </c>
      <c r="C65" s="3">
        <v>22.968531250000002</v>
      </c>
      <c r="D65" s="3">
        <v>1</v>
      </c>
      <c r="E65" s="13">
        <f t="shared" si="0"/>
        <v>7.7344919865427438E-3</v>
      </c>
      <c r="F65" s="13">
        <f t="shared" si="1"/>
        <v>11.370618879289992</v>
      </c>
      <c r="G65" s="14">
        <f>F65/$F$235*$D$2</f>
        <v>26.645580233878643</v>
      </c>
      <c r="H65" s="14">
        <f>F65/$F$235*$E$2</f>
        <v>26.645580233878643</v>
      </c>
      <c r="I65" s="25" t="str">
        <f t="shared" si="2"/>
        <v>选中</v>
      </c>
    </row>
    <row r="66" spans="1:9" hidden="1" x14ac:dyDescent="0.25">
      <c r="A66" s="3">
        <v>2462</v>
      </c>
      <c r="B66" s="3">
        <v>113.48270460000001</v>
      </c>
      <c r="C66" s="3">
        <v>22.97290937</v>
      </c>
      <c r="D66" s="3">
        <v>1</v>
      </c>
      <c r="E66" s="13">
        <f t="shared" si="0"/>
        <v>8.2226420093746786E-3</v>
      </c>
      <c r="F66" s="13">
        <f t="shared" si="1"/>
        <v>11.027937818246683</v>
      </c>
      <c r="G66" s="14">
        <f>F66/$F$124*$D$2</f>
        <v>2474.2464963647585</v>
      </c>
      <c r="H66" s="14">
        <f>F66/$F$124*$E$2</f>
        <v>2474.2464963647585</v>
      </c>
      <c r="I66" s="25" t="str">
        <f t="shared" si="2"/>
        <v/>
      </c>
    </row>
    <row r="67" spans="1:9" hidden="1" x14ac:dyDescent="0.25">
      <c r="A67" s="3">
        <v>2448</v>
      </c>
      <c r="B67" s="3">
        <v>113.4904445</v>
      </c>
      <c r="C67" s="3">
        <v>22.971637980000001</v>
      </c>
      <c r="D67" s="3">
        <v>1</v>
      </c>
      <c r="E67" s="13">
        <f t="shared" si="0"/>
        <v>7.250603100632841E-3</v>
      </c>
      <c r="F67" s="13">
        <f t="shared" si="1"/>
        <v>11.743915934029189</v>
      </c>
      <c r="G67" s="14">
        <f>F67/$F$124*$D$2</f>
        <v>2634.884538911353</v>
      </c>
      <c r="H67" s="14">
        <f>F67/$F$124*$E$2</f>
        <v>2634.884538911353</v>
      </c>
      <c r="I67" s="25" t="str">
        <f t="shared" si="2"/>
        <v/>
      </c>
    </row>
    <row r="68" spans="1:9" x14ac:dyDescent="0.25">
      <c r="A68" s="3">
        <v>2452</v>
      </c>
      <c r="B68" s="3">
        <v>113.4917682</v>
      </c>
      <c r="C68" s="3">
        <v>22.969744769999998</v>
      </c>
      <c r="D68" s="3">
        <v>1</v>
      </c>
      <c r="E68" s="13">
        <f t="shared" si="0"/>
        <v>6.7513840470223357E-3</v>
      </c>
      <c r="F68" s="13">
        <f t="shared" si="1"/>
        <v>12.170364722804784</v>
      </c>
      <c r="G68" s="14">
        <f>F68/$F$235*$D$2</f>
        <v>28.519681570517143</v>
      </c>
      <c r="H68" s="14">
        <f>F68/$F$235*$E$2</f>
        <v>28.519681570517143</v>
      </c>
      <c r="I68" s="25" t="str">
        <f t="shared" si="2"/>
        <v>选中</v>
      </c>
    </row>
    <row r="69" spans="1:9" hidden="1" x14ac:dyDescent="0.25">
      <c r="A69" s="3">
        <v>2394</v>
      </c>
      <c r="B69" s="3">
        <v>113.47909180000001</v>
      </c>
      <c r="C69" s="3">
        <v>22.965387010000001</v>
      </c>
      <c r="D69" s="3">
        <v>1</v>
      </c>
      <c r="E69" s="13">
        <f t="shared" ref="E69:E132" si="3">SQRT((B69-$B$2)^2+(C69-$C$2)^2)</f>
        <v>7.3589520977817629E-3</v>
      </c>
      <c r="F69" s="13">
        <f t="shared" ref="F69:F132" si="4">SQRT(1/E69)</f>
        <v>11.65713999279291</v>
      </c>
      <c r="G69" s="14">
        <f>F69/$F$124*$D$2</f>
        <v>2615.4153442068482</v>
      </c>
      <c r="H69" s="14">
        <f>F69/$F$124*$E$2</f>
        <v>2615.4153442068482</v>
      </c>
      <c r="I69" s="25" t="str">
        <f t="shared" si="2"/>
        <v/>
      </c>
    </row>
    <row r="70" spans="1:9" hidden="1" x14ac:dyDescent="0.25">
      <c r="A70" s="3">
        <v>2453</v>
      </c>
      <c r="B70" s="3">
        <v>113.48781719999999</v>
      </c>
      <c r="C70" s="3">
        <v>22.973442330000001</v>
      </c>
      <c r="D70" s="3">
        <v>1</v>
      </c>
      <c r="E70" s="13">
        <f t="shared" si="3"/>
        <v>7.9725329278980371E-3</v>
      </c>
      <c r="F70" s="13">
        <f t="shared" si="4"/>
        <v>11.199582652665709</v>
      </c>
      <c r="G70" s="14">
        <f>F70/$F$124*$D$2</f>
        <v>2512.7570172962146</v>
      </c>
      <c r="H70" s="14">
        <f>F70/$F$124*$E$2</f>
        <v>2512.7570172962146</v>
      </c>
      <c r="I70" s="25" t="str">
        <f t="shared" ref="I70:I133" si="5">IF(MOD(ROW()-1,3)=1,"选中","")</f>
        <v/>
      </c>
    </row>
    <row r="71" spans="1:9" x14ac:dyDescent="0.25">
      <c r="A71" s="3">
        <v>2387</v>
      </c>
      <c r="B71" s="3">
        <v>113.479546</v>
      </c>
      <c r="C71" s="3">
        <v>22.97007232</v>
      </c>
      <c r="D71" s="3">
        <v>1</v>
      </c>
      <c r="E71" s="13">
        <f t="shared" si="3"/>
        <v>8.2307039653273326E-3</v>
      </c>
      <c r="F71" s="13">
        <f t="shared" si="4"/>
        <v>11.022535574952988</v>
      </c>
      <c r="G71" s="14">
        <f>F71/$F$235*$D$2</f>
        <v>25.829891860866852</v>
      </c>
      <c r="H71" s="14">
        <f>F71/$F$235*$E$2</f>
        <v>25.829891860866852</v>
      </c>
      <c r="I71" s="25" t="str">
        <f t="shared" si="5"/>
        <v>选中</v>
      </c>
    </row>
    <row r="72" spans="1:9" hidden="1" x14ac:dyDescent="0.25">
      <c r="A72" s="3">
        <v>2400</v>
      </c>
      <c r="B72" s="3">
        <v>113.47905470000001</v>
      </c>
      <c r="C72" s="3">
        <v>22.964906110000001</v>
      </c>
      <c r="D72" s="3">
        <v>1</v>
      </c>
      <c r="E72" s="13">
        <f t="shared" si="3"/>
        <v>7.4247020054306594E-3</v>
      </c>
      <c r="F72" s="13">
        <f t="shared" si="4"/>
        <v>11.605409951513899</v>
      </c>
      <c r="G72" s="14">
        <f>F72/$F$124*$D$2</f>
        <v>2603.8091059870762</v>
      </c>
      <c r="H72" s="14">
        <f>F72/$F$124*$E$2</f>
        <v>2603.8091059870762</v>
      </c>
      <c r="I72" s="25" t="str">
        <f t="shared" si="5"/>
        <v/>
      </c>
    </row>
    <row r="73" spans="1:9" hidden="1" x14ac:dyDescent="0.25">
      <c r="A73" s="3">
        <v>2455</v>
      </c>
      <c r="B73" s="3">
        <v>113.4882417</v>
      </c>
      <c r="C73" s="3">
        <v>22.97340561</v>
      </c>
      <c r="D73" s="3">
        <v>1</v>
      </c>
      <c r="E73" s="13">
        <f t="shared" si="3"/>
        <v>8.0205035415263706E-3</v>
      </c>
      <c r="F73" s="13">
        <f t="shared" si="4"/>
        <v>11.166040083621516</v>
      </c>
      <c r="G73" s="14">
        <f>F73/$F$124*$D$2</f>
        <v>2505.2313506389951</v>
      </c>
      <c r="H73" s="14">
        <f>F73/$F$124*$E$2</f>
        <v>2505.2313506389951</v>
      </c>
      <c r="I73" s="25" t="str">
        <f t="shared" si="5"/>
        <v/>
      </c>
    </row>
    <row r="74" spans="1:9" x14ac:dyDescent="0.25">
      <c r="A74" s="3">
        <v>2471</v>
      </c>
      <c r="B74" s="3">
        <v>113.4919749</v>
      </c>
      <c r="C74" s="3">
        <v>22.97016021</v>
      </c>
      <c r="D74" s="3">
        <v>1</v>
      </c>
      <c r="E74" s="13">
        <f t="shared" si="3"/>
        <v>7.1728266291380552E-3</v>
      </c>
      <c r="F74" s="13">
        <f t="shared" si="4"/>
        <v>11.807415142620057</v>
      </c>
      <c r="G74" s="14">
        <f>F74/$F$235*$D$2</f>
        <v>27.669155995583036</v>
      </c>
      <c r="H74" s="14">
        <f>F74/$F$235*$E$2</f>
        <v>27.669155995583036</v>
      </c>
      <c r="I74" s="25" t="str">
        <f t="shared" si="5"/>
        <v>选中</v>
      </c>
    </row>
    <row r="75" spans="1:9" hidden="1" x14ac:dyDescent="0.25">
      <c r="A75" s="3">
        <v>2383</v>
      </c>
      <c r="B75" s="3">
        <v>113.47887179999999</v>
      </c>
      <c r="C75" s="3">
        <v>22.968965829999998</v>
      </c>
      <c r="D75" s="3">
        <v>1</v>
      </c>
      <c r="E75" s="13">
        <f t="shared" si="3"/>
        <v>8.2949896381146939E-3</v>
      </c>
      <c r="F75" s="13">
        <f t="shared" si="4"/>
        <v>10.979740503668891</v>
      </c>
      <c r="G75" s="14">
        <f>F75/$F$124*$D$2</f>
        <v>2463.4328665915677</v>
      </c>
      <c r="H75" s="14">
        <f>F75/$F$124*$E$2</f>
        <v>2463.4328665915677</v>
      </c>
      <c r="I75" s="25" t="str">
        <f t="shared" si="5"/>
        <v/>
      </c>
    </row>
    <row r="76" spans="1:9" hidden="1" x14ac:dyDescent="0.25">
      <c r="A76" s="3">
        <v>2822</v>
      </c>
      <c r="B76" s="3">
        <v>113.48139089999999</v>
      </c>
      <c r="C76" s="3">
        <v>22.961160540000002</v>
      </c>
      <c r="D76" s="3">
        <v>1</v>
      </c>
      <c r="E76" s="13">
        <f t="shared" si="3"/>
        <v>6.7215233581460173E-3</v>
      </c>
      <c r="F76" s="13">
        <f t="shared" si="4"/>
        <v>12.197368478246529</v>
      </c>
      <c r="G76" s="14">
        <f>F76/$F$124*$D$2</f>
        <v>2736.6219069749513</v>
      </c>
      <c r="H76" s="14">
        <f>F76/$F$124*$E$2</f>
        <v>2736.6219069749513</v>
      </c>
      <c r="I76" s="25" t="str">
        <f t="shared" si="5"/>
        <v/>
      </c>
    </row>
    <row r="77" spans="1:9" x14ac:dyDescent="0.25">
      <c r="A77" s="3">
        <v>2414</v>
      </c>
      <c r="B77" s="3">
        <v>113.48054019999999</v>
      </c>
      <c r="C77" s="3">
        <v>22.972497180000001</v>
      </c>
      <c r="D77" s="3">
        <v>1</v>
      </c>
      <c r="E77" s="13">
        <f t="shared" si="3"/>
        <v>9.0904023335028998E-3</v>
      </c>
      <c r="F77" s="13">
        <f t="shared" si="4"/>
        <v>10.488380814331583</v>
      </c>
      <c r="G77" s="14">
        <f>F77/$F$235*$D$2</f>
        <v>24.578169005449627</v>
      </c>
      <c r="H77" s="14">
        <f>F77/$F$235*$E$2</f>
        <v>24.578169005449627</v>
      </c>
      <c r="I77" s="25" t="str">
        <f t="shared" si="5"/>
        <v>选中</v>
      </c>
    </row>
    <row r="78" spans="1:9" hidden="1" x14ac:dyDescent="0.25">
      <c r="A78" s="3">
        <v>2818</v>
      </c>
      <c r="B78" s="3">
        <v>113.4815856</v>
      </c>
      <c r="C78" s="3">
        <v>22.960540380000001</v>
      </c>
      <c r="D78" s="3">
        <v>1</v>
      </c>
      <c r="E78" s="13">
        <f t="shared" si="3"/>
        <v>7.0088462172328714E-3</v>
      </c>
      <c r="F78" s="13">
        <f t="shared" si="4"/>
        <v>11.944740921172498</v>
      </c>
      <c r="G78" s="14">
        <f>F78/$F$124*$D$2</f>
        <v>2679.9419675087174</v>
      </c>
      <c r="H78" s="14">
        <f>F78/$F$124*$E$2</f>
        <v>2679.9419675087174</v>
      </c>
      <c r="I78" s="25" t="str">
        <f t="shared" si="5"/>
        <v/>
      </c>
    </row>
    <row r="79" spans="1:9" hidden="1" x14ac:dyDescent="0.25">
      <c r="A79" s="3">
        <v>2393</v>
      </c>
      <c r="B79" s="3">
        <v>113.4794857</v>
      </c>
      <c r="C79" s="3">
        <v>22.971426560000001</v>
      </c>
      <c r="D79" s="3">
        <v>1</v>
      </c>
      <c r="E79" s="13">
        <f t="shared" si="3"/>
        <v>9.0862250107559689E-3</v>
      </c>
      <c r="F79" s="13">
        <f t="shared" si="4"/>
        <v>10.490791513887553</v>
      </c>
      <c r="G79" s="14">
        <f>F79/$F$124*$D$2</f>
        <v>2353.7314568805082</v>
      </c>
      <c r="H79" s="14">
        <f>F79/$F$124*$E$2</f>
        <v>2353.7314568805082</v>
      </c>
      <c r="I79" s="25" t="str">
        <f t="shared" si="5"/>
        <v/>
      </c>
    </row>
    <row r="80" spans="1:9" x14ac:dyDescent="0.25">
      <c r="A80" s="3">
        <v>2395</v>
      </c>
      <c r="B80" s="3">
        <v>113.4795118</v>
      </c>
      <c r="C80" s="3">
        <v>22.97181947</v>
      </c>
      <c r="D80" s="3">
        <v>1</v>
      </c>
      <c r="E80" s="13">
        <f t="shared" si="3"/>
        <v>9.3241070955013636E-3</v>
      </c>
      <c r="F80" s="13">
        <f t="shared" si="4"/>
        <v>10.356103291735495</v>
      </c>
      <c r="G80" s="14">
        <f>F80/$F$235*$D$2</f>
        <v>24.268193675268403</v>
      </c>
      <c r="H80" s="14">
        <f>F80/$F$235*$E$2</f>
        <v>24.268193675268403</v>
      </c>
      <c r="I80" s="25" t="str">
        <f t="shared" si="5"/>
        <v>选中</v>
      </c>
    </row>
    <row r="81" spans="1:9" hidden="1" x14ac:dyDescent="0.25">
      <c r="A81" s="3">
        <v>2386</v>
      </c>
      <c r="B81" s="3">
        <v>113.47907739999999</v>
      </c>
      <c r="C81" s="3">
        <v>22.971443369999999</v>
      </c>
      <c r="D81" s="3">
        <v>1</v>
      </c>
      <c r="E81" s="13">
        <f t="shared" si="3"/>
        <v>9.4131915190555308E-3</v>
      </c>
      <c r="F81" s="13">
        <f t="shared" si="4"/>
        <v>10.306982830023712</v>
      </c>
      <c r="G81" s="14">
        <f>F81/$F$124*$D$2</f>
        <v>2312.4918344282451</v>
      </c>
      <c r="H81" s="14">
        <f>F81/$F$124*$E$2</f>
        <v>2312.4918344282451</v>
      </c>
      <c r="I81" s="25" t="str">
        <f t="shared" si="5"/>
        <v/>
      </c>
    </row>
    <row r="82" spans="1:9" hidden="1" x14ac:dyDescent="0.25">
      <c r="A82" s="3">
        <v>2828</v>
      </c>
      <c r="B82" s="3">
        <v>113.4823854</v>
      </c>
      <c r="C82" s="3">
        <v>22.95961213</v>
      </c>
      <c r="D82" s="3">
        <v>1</v>
      </c>
      <c r="E82" s="13">
        <f t="shared" si="3"/>
        <v>7.2262527643569075E-3</v>
      </c>
      <c r="F82" s="13">
        <f t="shared" si="4"/>
        <v>11.763686056205964</v>
      </c>
      <c r="G82" s="14">
        <f>F82/$F$124*$D$2</f>
        <v>2639.320196450848</v>
      </c>
      <c r="H82" s="14">
        <f>F82/$F$124*$E$2</f>
        <v>2639.320196450848</v>
      </c>
      <c r="I82" s="25" t="str">
        <f t="shared" si="5"/>
        <v/>
      </c>
    </row>
    <row r="83" spans="1:9" x14ac:dyDescent="0.25">
      <c r="A83" s="3">
        <v>2391</v>
      </c>
      <c r="B83" s="3">
        <v>113.4791225</v>
      </c>
      <c r="C83" s="3">
        <v>22.97156245</v>
      </c>
      <c r="D83" s="3">
        <v>1</v>
      </c>
      <c r="E83" s="13">
        <f t="shared" si="3"/>
        <v>9.4527253154796046E-3</v>
      </c>
      <c r="F83" s="13">
        <f t="shared" si="4"/>
        <v>10.285406983812866</v>
      </c>
      <c r="G83" s="14">
        <f>F83/$F$235*$D$2</f>
        <v>24.10252598690516</v>
      </c>
      <c r="H83" s="14">
        <f>F83/$F$235*$E$2</f>
        <v>24.10252598690516</v>
      </c>
      <c r="I83" s="25" t="str">
        <f t="shared" si="5"/>
        <v>选中</v>
      </c>
    </row>
    <row r="84" spans="1:9" hidden="1" x14ac:dyDescent="0.25">
      <c r="A84" s="3">
        <v>2397</v>
      </c>
      <c r="B84" s="3">
        <v>113.4794576</v>
      </c>
      <c r="C84" s="3">
        <v>22.972035219999999</v>
      </c>
      <c r="D84" s="3">
        <v>1</v>
      </c>
      <c r="E84" s="13">
        <f t="shared" si="3"/>
        <v>9.5094223978524905E-3</v>
      </c>
      <c r="F84" s="13">
        <f t="shared" si="4"/>
        <v>10.254699315060193</v>
      </c>
      <c r="G84" s="14">
        <f>F84/$F$124*$D$2</f>
        <v>2300.7614179307857</v>
      </c>
      <c r="H84" s="14">
        <f>F84/$F$124*$E$2</f>
        <v>2300.7614179307857</v>
      </c>
      <c r="I84" s="25" t="str">
        <f t="shared" si="5"/>
        <v/>
      </c>
    </row>
    <row r="85" spans="1:9" hidden="1" x14ac:dyDescent="0.25">
      <c r="A85" s="3">
        <v>2415</v>
      </c>
      <c r="B85" s="3">
        <v>113.4789349</v>
      </c>
      <c r="C85" s="3">
        <v>22.971439950000001</v>
      </c>
      <c r="D85" s="3">
        <v>1</v>
      </c>
      <c r="E85" s="13">
        <f t="shared" si="3"/>
        <v>9.5230806202597218E-3</v>
      </c>
      <c r="F85" s="13">
        <f t="shared" si="4"/>
        <v>10.247342913005802</v>
      </c>
      <c r="G85" s="14">
        <f>F85/$F$124*$D$2</f>
        <v>2299.1109233134866</v>
      </c>
      <c r="H85" s="14">
        <f>F85/$F$124*$E$2</f>
        <v>2299.1109233134866</v>
      </c>
      <c r="I85" s="25" t="str">
        <f t="shared" si="5"/>
        <v/>
      </c>
    </row>
    <row r="86" spans="1:9" x14ac:dyDescent="0.25">
      <c r="A86" s="3">
        <v>2408</v>
      </c>
      <c r="B86" s="3">
        <v>113.48003749999999</v>
      </c>
      <c r="C86" s="3">
        <v>22.97308846</v>
      </c>
      <c r="D86" s="3">
        <v>1</v>
      </c>
      <c r="E86" s="13">
        <f t="shared" si="3"/>
        <v>9.8664917926339912E-3</v>
      </c>
      <c r="F86" s="13">
        <f t="shared" si="4"/>
        <v>10.067430044758918</v>
      </c>
      <c r="G86" s="14">
        <f>F86/$F$235*$D$2</f>
        <v>23.591725116666169</v>
      </c>
      <c r="H86" s="14">
        <f>F86/$F$235*$E$2</f>
        <v>23.591725116666169</v>
      </c>
      <c r="I86" s="25" t="str">
        <f t="shared" si="5"/>
        <v>选中</v>
      </c>
    </row>
    <row r="87" spans="1:9" hidden="1" x14ac:dyDescent="0.25">
      <c r="A87" s="3">
        <v>2402</v>
      </c>
      <c r="B87" s="3">
        <v>113.47943050000001</v>
      </c>
      <c r="C87" s="3">
        <v>22.972667869999999</v>
      </c>
      <c r="D87" s="3">
        <v>1</v>
      </c>
      <c r="E87" s="13">
        <f t="shared" si="3"/>
        <v>9.9682659271427033E-3</v>
      </c>
      <c r="F87" s="13">
        <f t="shared" si="4"/>
        <v>10.015904901001761</v>
      </c>
      <c r="G87" s="14">
        <f>F87/$F$124*$D$2</f>
        <v>2247.1851054711742</v>
      </c>
      <c r="H87" s="14">
        <f>F87/$F$124*$E$2</f>
        <v>2247.1851054711742</v>
      </c>
      <c r="I87" s="25" t="str">
        <f t="shared" si="5"/>
        <v/>
      </c>
    </row>
    <row r="88" spans="1:9" hidden="1" x14ac:dyDescent="0.25">
      <c r="A88" s="3">
        <v>2417</v>
      </c>
      <c r="B88" s="3">
        <v>113.478686</v>
      </c>
      <c r="C88" s="3">
        <v>22.971936020000001</v>
      </c>
      <c r="D88" s="3">
        <v>1</v>
      </c>
      <c r="E88" s="13">
        <f t="shared" si="3"/>
        <v>1.0027104665500997E-2</v>
      </c>
      <c r="F88" s="13">
        <f t="shared" si="4"/>
        <v>9.9864751550276978</v>
      </c>
      <c r="G88" s="14">
        <f>F88/$F$124*$D$2</f>
        <v>2240.5821986480369</v>
      </c>
      <c r="H88" s="14">
        <f>F88/$F$124*$E$2</f>
        <v>2240.5821986480369</v>
      </c>
      <c r="I88" s="25" t="str">
        <f t="shared" si="5"/>
        <v/>
      </c>
    </row>
    <row r="89" spans="1:9" x14ac:dyDescent="0.25">
      <c r="A89" s="3">
        <v>2823</v>
      </c>
      <c r="B89" s="3">
        <v>113.4819901</v>
      </c>
      <c r="C89" s="3">
        <v>22.959126170000001</v>
      </c>
      <c r="D89" s="3">
        <v>1</v>
      </c>
      <c r="E89" s="13">
        <f t="shared" si="3"/>
        <v>7.850563695449184E-3</v>
      </c>
      <c r="F89" s="13">
        <f t="shared" si="4"/>
        <v>11.286247743592947</v>
      </c>
      <c r="G89" s="14">
        <f>F89/$F$235*$D$2</f>
        <v>26.447867348634226</v>
      </c>
      <c r="H89" s="14">
        <f>F89/$F$235*$E$2</f>
        <v>26.447867348634226</v>
      </c>
      <c r="I89" s="25" t="str">
        <f t="shared" si="5"/>
        <v>选中</v>
      </c>
    </row>
    <row r="90" spans="1:9" hidden="1" x14ac:dyDescent="0.25">
      <c r="A90" s="3">
        <v>2834</v>
      </c>
      <c r="B90" s="3">
        <v>113.4922164</v>
      </c>
      <c r="C90" s="3">
        <v>22.960814939999999</v>
      </c>
      <c r="D90" s="3">
        <v>1</v>
      </c>
      <c r="E90" s="13">
        <f t="shared" si="3"/>
        <v>7.4872509585428666E-3</v>
      </c>
      <c r="F90" s="13">
        <f t="shared" si="4"/>
        <v>11.556832130418307</v>
      </c>
      <c r="G90" s="14">
        <f>F90/$F$124*$D$2</f>
        <v>2592.9101051378034</v>
      </c>
      <c r="H90" s="14">
        <f>F90/$F$124*$E$2</f>
        <v>2592.9101051378034</v>
      </c>
      <c r="I90" s="25" t="str">
        <f t="shared" si="5"/>
        <v/>
      </c>
    </row>
    <row r="91" spans="1:9" hidden="1" x14ac:dyDescent="0.25">
      <c r="A91" s="3">
        <v>2409</v>
      </c>
      <c r="B91" s="3">
        <v>113.47962010000001</v>
      </c>
      <c r="C91" s="3">
        <v>22.97352205</v>
      </c>
      <c r="D91" s="3">
        <v>1</v>
      </c>
      <c r="E91" s="13">
        <f t="shared" si="3"/>
        <v>1.0467349275240099E-2</v>
      </c>
      <c r="F91" s="13">
        <f t="shared" si="4"/>
        <v>9.7742094677978297</v>
      </c>
      <c r="G91" s="14">
        <f>F91/$F$124*$D$2</f>
        <v>2192.9579155243173</v>
      </c>
      <c r="H91" s="14">
        <f>F91/$F$124*$E$2</f>
        <v>2192.9579155243173</v>
      </c>
      <c r="I91" s="25" t="str">
        <f t="shared" si="5"/>
        <v/>
      </c>
    </row>
    <row r="92" spans="1:9" x14ac:dyDescent="0.25">
      <c r="A92" s="3">
        <v>2833</v>
      </c>
      <c r="B92" s="3">
        <v>113.4925435</v>
      </c>
      <c r="C92" s="3">
        <v>22.96083192</v>
      </c>
      <c r="D92" s="3">
        <v>1</v>
      </c>
      <c r="E92" s="13">
        <f t="shared" si="3"/>
        <v>7.7316101375393938E-3</v>
      </c>
      <c r="F92" s="13">
        <f t="shared" si="4"/>
        <v>11.372737801039801</v>
      </c>
      <c r="G92" s="14">
        <f>F92/$F$235*$D$2</f>
        <v>26.650545653975229</v>
      </c>
      <c r="H92" s="14">
        <f>F92/$F$235*$E$2</f>
        <v>26.650545653975229</v>
      </c>
      <c r="I92" s="25" t="str">
        <f t="shared" si="5"/>
        <v>选中</v>
      </c>
    </row>
    <row r="93" spans="1:9" hidden="1" x14ac:dyDescent="0.25">
      <c r="A93" s="3">
        <v>2166</v>
      </c>
      <c r="B93" s="3">
        <v>113.49073629999999</v>
      </c>
      <c r="C93" s="3">
        <v>22.974683540000001</v>
      </c>
      <c r="D93" s="3">
        <v>1</v>
      </c>
      <c r="E93" s="13">
        <f t="shared" si="3"/>
        <v>1.0055536637798724E-2</v>
      </c>
      <c r="F93" s="13">
        <f t="shared" si="4"/>
        <v>9.9723468103295332</v>
      </c>
      <c r="G93" s="14">
        <f>F93/$F$124*$D$2</f>
        <v>2237.412339700245</v>
      </c>
      <c r="H93" s="14">
        <f>F93/$F$124*$E$2</f>
        <v>2237.412339700245</v>
      </c>
      <c r="I93" s="25" t="str">
        <f t="shared" si="5"/>
        <v/>
      </c>
    </row>
    <row r="94" spans="1:9" hidden="1" x14ac:dyDescent="0.25">
      <c r="A94" s="3">
        <v>2405</v>
      </c>
      <c r="B94" s="3">
        <v>113.47896489999999</v>
      </c>
      <c r="C94" s="3">
        <v>22.97331823</v>
      </c>
      <c r="D94" s="3">
        <v>1</v>
      </c>
      <c r="E94" s="13">
        <f t="shared" si="3"/>
        <v>1.0758688414971178E-2</v>
      </c>
      <c r="F94" s="13">
        <f t="shared" si="4"/>
        <v>9.6409611990693271</v>
      </c>
      <c r="G94" s="14">
        <f>F94/$F$124*$D$2</f>
        <v>2163.0621120221731</v>
      </c>
      <c r="H94" s="14">
        <f>F94/$F$124*$E$2</f>
        <v>2163.0621120221731</v>
      </c>
      <c r="I94" s="25" t="str">
        <f t="shared" si="5"/>
        <v/>
      </c>
    </row>
    <row r="95" spans="1:9" x14ac:dyDescent="0.25">
      <c r="A95" s="3">
        <v>2159</v>
      </c>
      <c r="B95" s="3">
        <v>113.4797605</v>
      </c>
      <c r="C95" s="3">
        <v>22.974346109999999</v>
      </c>
      <c r="D95" s="3">
        <v>1</v>
      </c>
      <c r="E95" s="13">
        <f t="shared" si="3"/>
        <v>1.1019199972301261E-2</v>
      </c>
      <c r="F95" s="13">
        <f t="shared" si="4"/>
        <v>9.5263156536700961</v>
      </c>
      <c r="G95" s="14">
        <f>F95/$F$235*$D$2</f>
        <v>22.323693264000301</v>
      </c>
      <c r="H95" s="14">
        <f>F95/$F$235*$E$2</f>
        <v>22.323693264000301</v>
      </c>
      <c r="I95" s="25" t="str">
        <f t="shared" si="5"/>
        <v>选中</v>
      </c>
    </row>
    <row r="96" spans="1:9" hidden="1" x14ac:dyDescent="0.25">
      <c r="A96" s="3">
        <v>2826</v>
      </c>
      <c r="B96" s="3">
        <v>113.4903992</v>
      </c>
      <c r="C96" s="3">
        <v>22.958480479999999</v>
      </c>
      <c r="D96" s="3">
        <v>1</v>
      </c>
      <c r="E96" s="13">
        <f t="shared" si="3"/>
        <v>8.1321814916379739E-3</v>
      </c>
      <c r="F96" s="13">
        <f t="shared" si="4"/>
        <v>11.089104310935321</v>
      </c>
      <c r="G96" s="14">
        <f>F96/$F$124*$D$2</f>
        <v>2487.9699125395737</v>
      </c>
      <c r="H96" s="14">
        <f>F96/$F$124*$E$2</f>
        <v>2487.9699125395737</v>
      </c>
      <c r="I96" s="25" t="str">
        <f t="shared" si="5"/>
        <v/>
      </c>
    </row>
    <row r="97" spans="1:9" hidden="1" x14ac:dyDescent="0.25">
      <c r="A97" s="3">
        <v>2466</v>
      </c>
      <c r="B97" s="3">
        <v>113.4944675</v>
      </c>
      <c r="C97" s="3">
        <v>22.971462150000001</v>
      </c>
      <c r="D97" s="3">
        <v>1</v>
      </c>
      <c r="E97" s="13">
        <f t="shared" si="3"/>
        <v>9.9405775214553085E-3</v>
      </c>
      <c r="F97" s="13">
        <f t="shared" si="4"/>
        <v>10.029844312056472</v>
      </c>
      <c r="G97" s="14">
        <f>F97/$F$124*$D$2</f>
        <v>2250.3125749520445</v>
      </c>
      <c r="H97" s="14">
        <f>F97/$F$124*$E$2</f>
        <v>2250.3125749520445</v>
      </c>
      <c r="I97" s="25" t="str">
        <f t="shared" si="5"/>
        <v/>
      </c>
    </row>
    <row r="98" spans="1:9" x14ac:dyDescent="0.25">
      <c r="A98" s="3">
        <v>2160</v>
      </c>
      <c r="B98" s="3">
        <v>113.4810688</v>
      </c>
      <c r="C98" s="3">
        <v>22.975698359999999</v>
      </c>
      <c r="D98" s="3">
        <v>1</v>
      </c>
      <c r="E98" s="13">
        <f t="shared" si="3"/>
        <v>1.1452079149744505E-2</v>
      </c>
      <c r="F98" s="13">
        <f t="shared" si="4"/>
        <v>9.3445378942647146</v>
      </c>
      <c r="G98" s="14">
        <f>F98/$F$235*$D$2</f>
        <v>21.89772050698593</v>
      </c>
      <c r="H98" s="14">
        <f>F98/$F$235*$E$2</f>
        <v>21.89772050698593</v>
      </c>
      <c r="I98" s="25" t="str">
        <f t="shared" si="5"/>
        <v>选中</v>
      </c>
    </row>
    <row r="99" spans="1:9" hidden="1" x14ac:dyDescent="0.25">
      <c r="A99" s="3">
        <v>2162</v>
      </c>
      <c r="B99" s="3">
        <v>113.4808601</v>
      </c>
      <c r="C99" s="3">
        <v>22.975618780000001</v>
      </c>
      <c r="D99" s="3">
        <v>1</v>
      </c>
      <c r="E99" s="13">
        <f t="shared" si="3"/>
        <v>1.1481992792667765E-2</v>
      </c>
      <c r="F99" s="13">
        <f t="shared" si="4"/>
        <v>9.3323574533606539</v>
      </c>
      <c r="G99" s="14">
        <f>F99/$F$124*$D$2</f>
        <v>2093.8232616433338</v>
      </c>
      <c r="H99" s="14">
        <f>F99/$F$124*$E$2</f>
        <v>2093.8232616433338</v>
      </c>
      <c r="I99" s="25" t="str">
        <f t="shared" si="5"/>
        <v/>
      </c>
    </row>
    <row r="100" spans="1:9" hidden="1" x14ac:dyDescent="0.25">
      <c r="A100" s="3">
        <v>2465</v>
      </c>
      <c r="B100" s="3">
        <v>113.4945709</v>
      </c>
      <c r="C100" s="3">
        <v>22.971445469999999</v>
      </c>
      <c r="D100" s="3">
        <v>1</v>
      </c>
      <c r="E100" s="13">
        <f t="shared" si="3"/>
        <v>1.001441613567414E-2</v>
      </c>
      <c r="F100" s="13">
        <f t="shared" si="4"/>
        <v>9.9927997162484132</v>
      </c>
      <c r="G100" s="14">
        <f>F100/$F$124*$D$2</f>
        <v>2242.0011877373213</v>
      </c>
      <c r="H100" s="14">
        <f>F100/$F$124*$E$2</f>
        <v>2242.0011877373213</v>
      </c>
      <c r="I100" s="25" t="str">
        <f t="shared" si="5"/>
        <v/>
      </c>
    </row>
    <row r="101" spans="1:9" x14ac:dyDescent="0.25">
      <c r="A101" s="3">
        <v>2824</v>
      </c>
      <c r="B101" s="3">
        <v>113.4830498</v>
      </c>
      <c r="C101" s="3">
        <v>22.957236099999999</v>
      </c>
      <c r="D101" s="3">
        <v>1</v>
      </c>
      <c r="E101" s="13">
        <f t="shared" si="3"/>
        <v>9.0169935600760889E-3</v>
      </c>
      <c r="F101" s="13">
        <f t="shared" si="4"/>
        <v>10.530988057145946</v>
      </c>
      <c r="G101" s="14">
        <f>F101/$F$235*$D$2</f>
        <v>24.678013589021255</v>
      </c>
      <c r="H101" s="14">
        <f>F101/$F$235*$E$2</f>
        <v>24.678013589021255</v>
      </c>
      <c r="I101" s="25" t="str">
        <f t="shared" si="5"/>
        <v>选中</v>
      </c>
    </row>
    <row r="102" spans="1:9" hidden="1" x14ac:dyDescent="0.25">
      <c r="A102" s="3">
        <v>2830</v>
      </c>
      <c r="B102" s="3">
        <v>113.482512</v>
      </c>
      <c r="C102" s="3">
        <v>22.9572605</v>
      </c>
      <c r="D102" s="3">
        <v>1</v>
      </c>
      <c r="E102" s="13">
        <f t="shared" si="3"/>
        <v>9.2110540147400215E-3</v>
      </c>
      <c r="F102" s="13">
        <f t="shared" si="4"/>
        <v>10.419462968013095</v>
      </c>
      <c r="G102" s="14">
        <f>F102/$F$124*$D$2</f>
        <v>2337.728065527624</v>
      </c>
      <c r="H102" s="14">
        <f>F102/$F$124*$E$2</f>
        <v>2337.728065527624</v>
      </c>
      <c r="I102" s="25" t="str">
        <f t="shared" si="5"/>
        <v/>
      </c>
    </row>
    <row r="103" spans="1:9" hidden="1" x14ac:dyDescent="0.25">
      <c r="A103" s="3">
        <v>2827</v>
      </c>
      <c r="B103" s="3">
        <v>113.4838044</v>
      </c>
      <c r="C103" s="3">
        <v>22.956692570000001</v>
      </c>
      <c r="D103" s="3">
        <v>1</v>
      </c>
      <c r="E103" s="13">
        <f t="shared" si="3"/>
        <v>9.2801801503185379E-3</v>
      </c>
      <c r="F103" s="13">
        <f t="shared" si="4"/>
        <v>10.380584224364105</v>
      </c>
      <c r="G103" s="14">
        <f>F103/$F$124*$D$2</f>
        <v>2329.0051658484645</v>
      </c>
      <c r="H103" s="14">
        <f>F103/$F$124*$E$2</f>
        <v>2329.0051658484645</v>
      </c>
      <c r="I103" s="25" t="str">
        <f t="shared" si="5"/>
        <v/>
      </c>
    </row>
    <row r="104" spans="1:9" x14ac:dyDescent="0.25">
      <c r="A104" s="3">
        <v>2382</v>
      </c>
      <c r="B104" s="3">
        <v>113.4752086</v>
      </c>
      <c r="C104" s="3">
        <v>22.968542459999998</v>
      </c>
      <c r="D104" s="3">
        <v>1</v>
      </c>
      <c r="E104" s="13">
        <f t="shared" si="3"/>
        <v>1.1621164704277809E-2</v>
      </c>
      <c r="F104" s="13">
        <f t="shared" si="4"/>
        <v>9.2763082515579143</v>
      </c>
      <c r="G104" s="14">
        <f>F104/$F$235*$D$2</f>
        <v>21.737833130724979</v>
      </c>
      <c r="H104" s="14">
        <f>F104/$F$235*$E$2</f>
        <v>21.737833130724979</v>
      </c>
      <c r="I104" s="25" t="str">
        <f t="shared" si="5"/>
        <v>选中</v>
      </c>
    </row>
    <row r="105" spans="1:9" hidden="1" x14ac:dyDescent="0.25">
      <c r="A105" s="3">
        <v>2163</v>
      </c>
      <c r="B105" s="3">
        <v>113.48369769999999</v>
      </c>
      <c r="C105" s="3">
        <v>22.977891159999999</v>
      </c>
      <c r="D105" s="3">
        <v>1</v>
      </c>
      <c r="E105" s="13">
        <f t="shared" si="3"/>
        <v>1.2606575449268027E-2</v>
      </c>
      <c r="F105" s="13">
        <f t="shared" si="4"/>
        <v>8.9063844192870079</v>
      </c>
      <c r="G105" s="14">
        <f>F105/$F$124*$D$2</f>
        <v>1998.2512422437762</v>
      </c>
      <c r="H105" s="14">
        <f>F105/$F$124*$E$2</f>
        <v>1998.2512422437762</v>
      </c>
      <c r="I105" s="25" t="str">
        <f t="shared" si="5"/>
        <v/>
      </c>
    </row>
    <row r="106" spans="1:9" hidden="1" x14ac:dyDescent="0.25">
      <c r="A106" s="3">
        <v>2825</v>
      </c>
      <c r="B106" s="3">
        <v>113.4914429</v>
      </c>
      <c r="C106" s="3">
        <v>22.957386079999999</v>
      </c>
      <c r="D106" s="3">
        <v>1</v>
      </c>
      <c r="E106" s="13">
        <f t="shared" si="3"/>
        <v>9.6033649685361468E-3</v>
      </c>
      <c r="F106" s="13">
        <f t="shared" si="4"/>
        <v>10.204419004282624</v>
      </c>
      <c r="G106" s="14">
        <f>F106/$F$124*$D$2</f>
        <v>2289.4804436609006</v>
      </c>
      <c r="H106" s="14">
        <f>F106/$F$124*$E$2</f>
        <v>2289.4804436609006</v>
      </c>
      <c r="I106" s="25" t="str">
        <f t="shared" si="5"/>
        <v/>
      </c>
    </row>
    <row r="107" spans="1:9" x14ac:dyDescent="0.25">
      <c r="A107" s="3">
        <v>2464</v>
      </c>
      <c r="B107" s="3">
        <v>113.49597180000001</v>
      </c>
      <c r="C107" s="3">
        <v>22.971295749999999</v>
      </c>
      <c r="D107" s="3">
        <v>1</v>
      </c>
      <c r="E107" s="13">
        <f t="shared" si="3"/>
        <v>1.110307717212683E-2</v>
      </c>
      <c r="F107" s="13">
        <f t="shared" si="4"/>
        <v>9.4902645902273441</v>
      </c>
      <c r="G107" s="14">
        <f>F107/$F$235*$D$2</f>
        <v>22.239212242019157</v>
      </c>
      <c r="H107" s="14">
        <f>F107/$F$235*$E$2</f>
        <v>22.239212242019157</v>
      </c>
      <c r="I107" s="25" t="str">
        <f t="shared" si="5"/>
        <v>选中</v>
      </c>
    </row>
    <row r="108" spans="1:9" hidden="1" x14ac:dyDescent="0.25">
      <c r="A108" s="3">
        <v>2164</v>
      </c>
      <c r="B108" s="3">
        <v>113.4824083</v>
      </c>
      <c r="C108" s="3">
        <v>22.97771942</v>
      </c>
      <c r="D108" s="3">
        <v>1</v>
      </c>
      <c r="E108" s="13">
        <f t="shared" si="3"/>
        <v>1.278610424088748E-2</v>
      </c>
      <c r="F108" s="13">
        <f t="shared" si="4"/>
        <v>8.8436364215421648</v>
      </c>
      <c r="G108" s="14">
        <f>F108/$F$124*$D$2</f>
        <v>1984.1729969604921</v>
      </c>
      <c r="H108" s="14">
        <f>F108/$F$124*$E$2</f>
        <v>1984.1729969604921</v>
      </c>
      <c r="I108" s="25" t="str">
        <f t="shared" si="5"/>
        <v/>
      </c>
    </row>
    <row r="109" spans="1:9" hidden="1" x14ac:dyDescent="0.25">
      <c r="A109" s="3">
        <v>2829</v>
      </c>
      <c r="B109" s="3">
        <v>113.4917379</v>
      </c>
      <c r="C109" s="3">
        <v>22.957401959999999</v>
      </c>
      <c r="D109" s="3">
        <v>1</v>
      </c>
      <c r="E109" s="13">
        <f t="shared" si="3"/>
        <v>9.7467115466810302E-3</v>
      </c>
      <c r="F109" s="13">
        <f t="shared" si="4"/>
        <v>10.129101972789133</v>
      </c>
      <c r="G109" s="14">
        <f>F109/$F$124*$D$2</f>
        <v>2272.582189031551</v>
      </c>
      <c r="H109" s="14">
        <f>F109/$F$124*$E$2</f>
        <v>2272.582189031551</v>
      </c>
      <c r="I109" s="25" t="str">
        <f t="shared" si="5"/>
        <v/>
      </c>
    </row>
    <row r="110" spans="1:9" x14ac:dyDescent="0.25">
      <c r="A110" s="3">
        <v>2817</v>
      </c>
      <c r="B110" s="3">
        <v>113.478101</v>
      </c>
      <c r="C110" s="3">
        <v>22.958415120000002</v>
      </c>
      <c r="D110" s="3">
        <v>1</v>
      </c>
      <c r="E110" s="13">
        <f t="shared" si="3"/>
        <v>1.1005735004845576E-2</v>
      </c>
      <c r="F110" s="13">
        <f t="shared" si="4"/>
        <v>9.5321413582105397</v>
      </c>
      <c r="G110" s="14">
        <f>F110/$F$235*$D$2</f>
        <v>22.337345051945984</v>
      </c>
      <c r="H110" s="14">
        <f>F110/$F$235*$E$2</f>
        <v>22.337345051945984</v>
      </c>
      <c r="I110" s="25" t="str">
        <f t="shared" si="5"/>
        <v>选中</v>
      </c>
    </row>
    <row r="111" spans="1:9" hidden="1" x14ac:dyDescent="0.25">
      <c r="A111" s="3">
        <v>2389</v>
      </c>
      <c r="B111" s="3">
        <v>113.4743769</v>
      </c>
      <c r="C111" s="3">
        <v>22.968509109999999</v>
      </c>
      <c r="D111" s="3">
        <v>1</v>
      </c>
      <c r="E111" s="13">
        <f t="shared" si="3"/>
        <v>1.2419455638215317E-2</v>
      </c>
      <c r="F111" s="13">
        <f t="shared" si="4"/>
        <v>8.9732283489614879</v>
      </c>
      <c r="G111" s="14">
        <f>F111/$F$124*$D$2</f>
        <v>2013.248457636729</v>
      </c>
      <c r="H111" s="14">
        <f>F111/$F$124*$E$2</f>
        <v>2013.248457636729</v>
      </c>
      <c r="I111" s="25" t="str">
        <f t="shared" si="5"/>
        <v/>
      </c>
    </row>
    <row r="112" spans="1:9" hidden="1" x14ac:dyDescent="0.25">
      <c r="A112" s="3">
        <v>2472</v>
      </c>
      <c r="B112" s="3">
        <v>113.496577</v>
      </c>
      <c r="C112" s="3">
        <v>22.971067659999999</v>
      </c>
      <c r="D112" s="3">
        <v>1</v>
      </c>
      <c r="E112" s="13">
        <f t="shared" si="3"/>
        <v>1.1516100683313853E-2</v>
      </c>
      <c r="F112" s="13">
        <f t="shared" si="4"/>
        <v>9.3185271182094986</v>
      </c>
      <c r="G112" s="14">
        <f>F112/$F$124*$D$2</f>
        <v>2090.7202646138549</v>
      </c>
      <c r="H112" s="14">
        <f>F112/$F$124*$E$2</f>
        <v>2090.7202646138549</v>
      </c>
      <c r="I112" s="25" t="str">
        <f t="shared" si="5"/>
        <v/>
      </c>
    </row>
    <row r="113" spans="1:9" x14ac:dyDescent="0.25">
      <c r="A113" s="3">
        <v>2165</v>
      </c>
      <c r="B113" s="3">
        <v>113.4846258</v>
      </c>
      <c r="C113" s="3">
        <v>22.97858961</v>
      </c>
      <c r="D113" s="3">
        <v>1</v>
      </c>
      <c r="E113" s="13">
        <f t="shared" si="3"/>
        <v>1.3128433824702227E-2</v>
      </c>
      <c r="F113" s="13">
        <f t="shared" si="4"/>
        <v>8.727574009465398</v>
      </c>
      <c r="G113" s="14">
        <f>F113/$F$235*$D$2</f>
        <v>20.451945139053436</v>
      </c>
      <c r="H113" s="14">
        <f>F113/$F$235*$E$2</f>
        <v>20.451945139053436</v>
      </c>
      <c r="I113" s="25" t="str">
        <f t="shared" si="5"/>
        <v>选中</v>
      </c>
    </row>
    <row r="114" spans="1:9" hidden="1" x14ac:dyDescent="0.25">
      <c r="A114" s="3">
        <v>2156</v>
      </c>
      <c r="B114" s="3">
        <v>113.4772991</v>
      </c>
      <c r="C114" s="3">
        <v>22.97514962</v>
      </c>
      <c r="D114" s="3">
        <v>1</v>
      </c>
      <c r="E114" s="13">
        <f t="shared" si="3"/>
        <v>1.323337324671584E-2</v>
      </c>
      <c r="F114" s="13">
        <f t="shared" si="4"/>
        <v>8.6929007075701215</v>
      </c>
      <c r="G114" s="14">
        <f>F114/$F$124*$D$2</f>
        <v>1950.3536811174811</v>
      </c>
      <c r="H114" s="14">
        <f>F114/$F$124*$E$2</f>
        <v>1950.3536811174811</v>
      </c>
      <c r="I114" s="25" t="str">
        <f t="shared" si="5"/>
        <v/>
      </c>
    </row>
    <row r="115" spans="1:9" hidden="1" x14ac:dyDescent="0.25">
      <c r="A115" s="3">
        <v>2167</v>
      </c>
      <c r="B115" s="3">
        <v>113.48470709999999</v>
      </c>
      <c r="C115" s="3">
        <v>22.978830739999999</v>
      </c>
      <c r="D115" s="3">
        <v>1</v>
      </c>
      <c r="E115" s="13">
        <f t="shared" si="3"/>
        <v>1.3356431941581414E-2</v>
      </c>
      <c r="F115" s="13">
        <f t="shared" si="4"/>
        <v>8.6527622773844968</v>
      </c>
      <c r="G115" s="14">
        <f>F115/$F$124*$D$2</f>
        <v>1941.3481560689052</v>
      </c>
      <c r="H115" s="14">
        <f>F115/$F$124*$E$2</f>
        <v>1941.3481560689052</v>
      </c>
      <c r="I115" s="25" t="str">
        <f t="shared" si="5"/>
        <v/>
      </c>
    </row>
    <row r="116" spans="1:9" x14ac:dyDescent="0.25">
      <c r="A116" s="3">
        <v>2153</v>
      </c>
      <c r="B116" s="3">
        <v>113.4767152</v>
      </c>
      <c r="C116" s="3">
        <v>22.97564573</v>
      </c>
      <c r="D116" s="3">
        <v>1</v>
      </c>
      <c r="E116" s="13">
        <f t="shared" si="3"/>
        <v>1.399572433960837E-2</v>
      </c>
      <c r="F116" s="13">
        <f t="shared" si="4"/>
        <v>8.4528334117450026</v>
      </c>
      <c r="G116" s="14">
        <f>F116/$F$235*$D$2</f>
        <v>19.808125948754476</v>
      </c>
      <c r="H116" s="14">
        <f>F116/$F$235*$E$2</f>
        <v>19.808125948754476</v>
      </c>
      <c r="I116" s="25" t="str">
        <f t="shared" si="5"/>
        <v>选中</v>
      </c>
    </row>
    <row r="117" spans="1:9" hidden="1" x14ac:dyDescent="0.25">
      <c r="A117" s="3">
        <v>2380</v>
      </c>
      <c r="B117" s="3">
        <v>113.4732131</v>
      </c>
      <c r="C117" s="3">
        <v>22.967954049999999</v>
      </c>
      <c r="D117" s="3">
        <v>1</v>
      </c>
      <c r="E117" s="13">
        <f t="shared" si="3"/>
        <v>1.3444686223561035E-2</v>
      </c>
      <c r="F117" s="13">
        <f t="shared" si="4"/>
        <v>8.6243160709909699</v>
      </c>
      <c r="G117" s="14">
        <f>F117/$F$124*$D$2</f>
        <v>1934.9659178241809</v>
      </c>
      <c r="H117" s="14">
        <f>F117/$F$124*$E$2</f>
        <v>1934.9659178241809</v>
      </c>
      <c r="I117" s="25" t="str">
        <f t="shared" si="5"/>
        <v/>
      </c>
    </row>
    <row r="118" spans="1:9" hidden="1" x14ac:dyDescent="0.25">
      <c r="A118" s="3">
        <v>2468</v>
      </c>
      <c r="B118" s="3">
        <v>113.49709970000001</v>
      </c>
      <c r="C118" s="3">
        <v>22.973008400000001</v>
      </c>
      <c r="D118" s="3">
        <v>1</v>
      </c>
      <c r="E118" s="13">
        <f t="shared" si="3"/>
        <v>1.2981422838531896E-2</v>
      </c>
      <c r="F118" s="13">
        <f t="shared" si="4"/>
        <v>8.7768535514177657</v>
      </c>
      <c r="G118" s="14">
        <f>F118/$F$124*$D$2</f>
        <v>1969.1894809898927</v>
      </c>
      <c r="H118" s="14">
        <f>F118/$F$124*$E$2</f>
        <v>1969.1894809898927</v>
      </c>
      <c r="I118" s="25" t="str">
        <f t="shared" si="5"/>
        <v/>
      </c>
    </row>
    <row r="119" spans="1:9" x14ac:dyDescent="0.25">
      <c r="A119" s="3">
        <v>2187</v>
      </c>
      <c r="B119" s="3">
        <v>113.49681560000001</v>
      </c>
      <c r="C119" s="3">
        <v>22.973931149999999</v>
      </c>
      <c r="D119" s="3">
        <v>1</v>
      </c>
      <c r="E119" s="13">
        <f t="shared" si="3"/>
        <v>1.3307558384999559E-2</v>
      </c>
      <c r="F119" s="13">
        <f t="shared" si="4"/>
        <v>8.6686368535671452</v>
      </c>
      <c r="G119" s="14">
        <f>F119/$F$235*$D$2</f>
        <v>20.313833508286901</v>
      </c>
      <c r="H119" s="14">
        <f>F119/$F$235*$E$2</f>
        <v>20.313833508286901</v>
      </c>
      <c r="I119" s="25" t="str">
        <f t="shared" si="5"/>
        <v>选中</v>
      </c>
    </row>
    <row r="120" spans="1:9" hidden="1" x14ac:dyDescent="0.25">
      <c r="A120" s="3">
        <v>2186</v>
      </c>
      <c r="B120" s="3">
        <v>113.49712270000001</v>
      </c>
      <c r="C120" s="3">
        <v>22.973873099999999</v>
      </c>
      <c r="D120" s="3">
        <v>1</v>
      </c>
      <c r="E120" s="13">
        <f t="shared" si="3"/>
        <v>1.3512511225256872E-2</v>
      </c>
      <c r="F120" s="13">
        <f t="shared" si="4"/>
        <v>8.6026442991445489</v>
      </c>
      <c r="G120" s="14">
        <f>F120/$F$124*$D$2</f>
        <v>1930.1036029975319</v>
      </c>
      <c r="H120" s="14">
        <f>F120/$F$124*$E$2</f>
        <v>1930.1036029975319</v>
      </c>
      <c r="I120" s="25" t="str">
        <f t="shared" si="5"/>
        <v/>
      </c>
    </row>
    <row r="121" spans="1:9" hidden="1" x14ac:dyDescent="0.25">
      <c r="A121" s="3">
        <v>2181</v>
      </c>
      <c r="B121" s="3">
        <v>113.4933712</v>
      </c>
      <c r="C121" s="3">
        <v>22.978780700000002</v>
      </c>
      <c r="D121" s="3">
        <v>1</v>
      </c>
      <c r="E121" s="13">
        <f t="shared" si="3"/>
        <v>1.4898705824419319E-2</v>
      </c>
      <c r="F121" s="13">
        <f t="shared" si="4"/>
        <v>8.1926750102300296</v>
      </c>
      <c r="G121" s="14">
        <f>F121/$F$124*$D$2</f>
        <v>1838.1222105167412</v>
      </c>
      <c r="H121" s="14">
        <f>F121/$F$124*$E$2</f>
        <v>1838.1222105167412</v>
      </c>
      <c r="I121" s="25" t="str">
        <f t="shared" si="5"/>
        <v/>
      </c>
    </row>
    <row r="122" spans="1:9" x14ac:dyDescent="0.25">
      <c r="A122" s="3">
        <v>2184</v>
      </c>
      <c r="B122" s="3">
        <v>113.49717080000001</v>
      </c>
      <c r="C122" s="3">
        <v>22.975252650000002</v>
      </c>
      <c r="D122" s="3">
        <v>1</v>
      </c>
      <c r="E122" s="13">
        <f t="shared" si="3"/>
        <v>1.4435340910427565E-2</v>
      </c>
      <c r="F122" s="13">
        <f t="shared" si="4"/>
        <v>8.3231261596801858</v>
      </c>
      <c r="G122" s="14">
        <f>F122/$F$235*$D$2</f>
        <v>19.504173716382688</v>
      </c>
      <c r="H122" s="14">
        <f>F122/$F$235*$E$2</f>
        <v>19.504173716382688</v>
      </c>
      <c r="I122" s="25" t="str">
        <f t="shared" si="5"/>
        <v>选中</v>
      </c>
    </row>
    <row r="123" spans="1:9" hidden="1" x14ac:dyDescent="0.25">
      <c r="A123" s="3">
        <v>2185</v>
      </c>
      <c r="B123" s="3">
        <v>113.49266369999999</v>
      </c>
      <c r="C123" s="3">
        <v>22.97938431</v>
      </c>
      <c r="D123" s="3">
        <v>1</v>
      </c>
      <c r="E123" s="13">
        <f t="shared" si="3"/>
        <v>1.5131629060137564E-2</v>
      </c>
      <c r="F123" s="13">
        <f t="shared" si="4"/>
        <v>8.1293749855481039</v>
      </c>
      <c r="G123" s="14">
        <f>F123/$F$124*$D$2</f>
        <v>1823.9201115504309</v>
      </c>
      <c r="H123" s="14">
        <f>F123/$F$124*$E$2</f>
        <v>1823.9201115504309</v>
      </c>
      <c r="I123" s="25" t="str">
        <f t="shared" si="5"/>
        <v/>
      </c>
    </row>
    <row r="124" spans="1:9" hidden="1" x14ac:dyDescent="0.25">
      <c r="A124" s="3">
        <v>2161</v>
      </c>
      <c r="B124" s="3">
        <v>113.4753164</v>
      </c>
      <c r="C124" s="3">
        <v>22.97679922</v>
      </c>
      <c r="D124" s="3">
        <v>1</v>
      </c>
      <c r="E124" s="13">
        <f t="shared" si="3"/>
        <v>1.5798682441927999E-2</v>
      </c>
      <c r="F124" s="13">
        <f t="shared" si="4"/>
        <v>7.9559045691251713</v>
      </c>
      <c r="G124" s="14">
        <f>F124/$F$124*$D$2</f>
        <v>1785</v>
      </c>
      <c r="H124" s="14">
        <f>F124/$F$124*$E$2</f>
        <v>1785</v>
      </c>
      <c r="I124" s="25" t="str">
        <f t="shared" si="5"/>
        <v/>
      </c>
    </row>
    <row r="125" spans="1:9" x14ac:dyDescent="0.25">
      <c r="A125" s="3">
        <v>2157</v>
      </c>
      <c r="B125" s="3">
        <v>113.47504549999999</v>
      </c>
      <c r="C125" s="3">
        <v>22.976735470000001</v>
      </c>
      <c r="D125" s="3">
        <v>1</v>
      </c>
      <c r="E125" s="13">
        <f t="shared" si="3"/>
        <v>1.5946081649687339E-2</v>
      </c>
      <c r="F125" s="13">
        <f t="shared" si="4"/>
        <v>7.9190485993357367</v>
      </c>
      <c r="G125" s="14">
        <f>F125/$F$235*$D$2</f>
        <v>18.55727001930439</v>
      </c>
      <c r="H125" s="14">
        <f>F125/$F$235*$E$2</f>
        <v>18.55727001930439</v>
      </c>
      <c r="I125" s="25" t="str">
        <f t="shared" si="5"/>
        <v>选中</v>
      </c>
    </row>
    <row r="126" spans="1:9" hidden="1" x14ac:dyDescent="0.25">
      <c r="A126" s="3">
        <v>2179</v>
      </c>
      <c r="B126" s="3">
        <v>113.4968787</v>
      </c>
      <c r="C126" s="3">
        <v>22.976516230000001</v>
      </c>
      <c r="D126" s="3">
        <v>1</v>
      </c>
      <c r="E126" s="13">
        <f t="shared" si="3"/>
        <v>1.5106960295521055E-2</v>
      </c>
      <c r="F126" s="13">
        <f t="shared" si="4"/>
        <v>8.1360096702470575</v>
      </c>
      <c r="G126" s="14">
        <f>F126/$F$124*$D$2</f>
        <v>1825.408680459816</v>
      </c>
      <c r="H126" s="14">
        <f>F126/$F$124*$E$2</f>
        <v>1825.408680459816</v>
      </c>
      <c r="I126" s="25" t="str">
        <f t="shared" si="5"/>
        <v/>
      </c>
    </row>
    <row r="127" spans="1:9" hidden="1" x14ac:dyDescent="0.25">
      <c r="A127" s="3">
        <v>2182</v>
      </c>
      <c r="B127" s="3">
        <v>113.4934535</v>
      </c>
      <c r="C127" s="3">
        <v>22.97949564</v>
      </c>
      <c r="D127" s="3">
        <v>1</v>
      </c>
      <c r="E127" s="13">
        <f t="shared" si="3"/>
        <v>1.557217155255405E-2</v>
      </c>
      <c r="F127" s="13">
        <f t="shared" si="4"/>
        <v>8.0135584733581791</v>
      </c>
      <c r="G127" s="14">
        <f>F127/$F$124*$D$2</f>
        <v>1797.9353259785562</v>
      </c>
      <c r="H127" s="14">
        <f>F127/$F$124*$E$2</f>
        <v>1797.9353259785562</v>
      </c>
      <c r="I127" s="25" t="str">
        <f t="shared" si="5"/>
        <v/>
      </c>
    </row>
    <row r="128" spans="1:9" x14ac:dyDescent="0.25">
      <c r="A128" s="3">
        <v>2467</v>
      </c>
      <c r="B128" s="3">
        <v>113.49980530000001</v>
      </c>
      <c r="C128" s="3">
        <v>22.97126428</v>
      </c>
      <c r="D128" s="3">
        <v>1</v>
      </c>
      <c r="E128" s="13">
        <f t="shared" si="3"/>
        <v>1.4513262205691801E-2</v>
      </c>
      <c r="F128" s="13">
        <f t="shared" si="4"/>
        <v>8.300752773994672</v>
      </c>
      <c r="G128" s="14">
        <f>F128/$F$235*$D$2</f>
        <v>19.451744569850241</v>
      </c>
      <c r="H128" s="14">
        <f>F128/$F$235*$E$2</f>
        <v>19.451744569850241</v>
      </c>
      <c r="I128" s="25" t="str">
        <f t="shared" si="5"/>
        <v>选中</v>
      </c>
    </row>
    <row r="129" spans="1:9" hidden="1" x14ac:dyDescent="0.25">
      <c r="A129" s="3">
        <v>2180</v>
      </c>
      <c r="B129" s="3">
        <v>113.49718369999999</v>
      </c>
      <c r="C129" s="3">
        <v>22.976280249999999</v>
      </c>
      <c r="D129" s="3">
        <v>1</v>
      </c>
      <c r="E129" s="13">
        <f t="shared" si="3"/>
        <v>1.5151703484754763E-2</v>
      </c>
      <c r="F129" s="13">
        <f t="shared" si="4"/>
        <v>8.1239879142330977</v>
      </c>
      <c r="G129" s="14">
        <f>F129/$F$124*$D$2</f>
        <v>1822.7114592578175</v>
      </c>
      <c r="H129" s="14">
        <f>F129/$F$124*$E$2</f>
        <v>1822.7114592578175</v>
      </c>
      <c r="I129" s="25" t="str">
        <f t="shared" si="5"/>
        <v/>
      </c>
    </row>
    <row r="130" spans="1:9" hidden="1" x14ac:dyDescent="0.25">
      <c r="A130" s="3">
        <v>2410</v>
      </c>
      <c r="B130" s="3">
        <v>113.4719978</v>
      </c>
      <c r="C130" s="3">
        <v>22.972723590000001</v>
      </c>
      <c r="D130" s="3">
        <v>1</v>
      </c>
      <c r="E130" s="13">
        <f t="shared" si="3"/>
        <v>1.6115872826365524E-2</v>
      </c>
      <c r="F130" s="13">
        <f t="shared" si="4"/>
        <v>7.8772219824354357</v>
      </c>
      <c r="G130" s="14">
        <f>F130/$F$124*$D$2</f>
        <v>1767.346643801357</v>
      </c>
      <c r="H130" s="14">
        <f>F130/$F$124*$E$2</f>
        <v>1767.346643801357</v>
      </c>
      <c r="I130" s="25" t="str">
        <f t="shared" si="5"/>
        <v/>
      </c>
    </row>
    <row r="131" spans="1:9" x14ac:dyDescent="0.25">
      <c r="A131" s="3">
        <v>2154</v>
      </c>
      <c r="B131" s="3">
        <v>113.47546180000001</v>
      </c>
      <c r="C131" s="3">
        <v>22.978280999999999</v>
      </c>
      <c r="D131" s="3">
        <v>1</v>
      </c>
      <c r="E131" s="13">
        <f t="shared" si="3"/>
        <v>1.6786973908429124E-2</v>
      </c>
      <c r="F131" s="13">
        <f t="shared" si="4"/>
        <v>7.7181602647168779</v>
      </c>
      <c r="G131" s="14">
        <f>F131/$F$235*$D$2</f>
        <v>18.086514091684091</v>
      </c>
      <c r="H131" s="14">
        <f>F131/$F$235*$E$2</f>
        <v>18.086514091684091</v>
      </c>
      <c r="I131" s="25" t="str">
        <f t="shared" si="5"/>
        <v>选中</v>
      </c>
    </row>
    <row r="132" spans="1:9" hidden="1" x14ac:dyDescent="0.25">
      <c r="A132" s="3">
        <v>2174</v>
      </c>
      <c r="B132" s="3">
        <v>113.4959051</v>
      </c>
      <c r="C132" s="3">
        <v>22.978650380000001</v>
      </c>
      <c r="D132" s="3">
        <v>1</v>
      </c>
      <c r="E132" s="13">
        <f t="shared" si="3"/>
        <v>1.6126251286242937E-2</v>
      </c>
      <c r="F132" s="13">
        <f t="shared" si="4"/>
        <v>7.8746867810206975</v>
      </c>
      <c r="G132" s="14">
        <f>F132/$F$124*$D$2</f>
        <v>1766.7778417894688</v>
      </c>
      <c r="H132" s="14">
        <f>F132/$F$124*$E$2</f>
        <v>1766.7778417894688</v>
      </c>
      <c r="I132" s="25" t="str">
        <f t="shared" si="5"/>
        <v/>
      </c>
    </row>
    <row r="133" spans="1:9" hidden="1" x14ac:dyDescent="0.25">
      <c r="A133" s="3">
        <v>2812</v>
      </c>
      <c r="B133" s="3">
        <v>113.47070429999999</v>
      </c>
      <c r="C133" s="3">
        <v>22.962443390000001</v>
      </c>
      <c r="D133" s="3">
        <v>1</v>
      </c>
      <c r="E133" s="13">
        <f t="shared" ref="E133:E196" si="6">SQRT((B133-$B$2)^2+(C133-$C$2)^2)</f>
        <v>1.6054726223440986E-2</v>
      </c>
      <c r="F133" s="13">
        <f t="shared" ref="F133:F196" si="7">SQRT(1/E133)</f>
        <v>7.8922084607885346</v>
      </c>
      <c r="G133" s="14">
        <f>F133/$F$124*$D$2</f>
        <v>1770.7090350452256</v>
      </c>
      <c r="H133" s="14">
        <f>F133/$F$124*$E$2</f>
        <v>1770.7090350452256</v>
      </c>
      <c r="I133" s="25" t="str">
        <f t="shared" si="5"/>
        <v/>
      </c>
    </row>
    <row r="134" spans="1:9" x14ac:dyDescent="0.25">
      <c r="A134" s="3">
        <v>2172</v>
      </c>
      <c r="B134" s="3">
        <v>113.4969016</v>
      </c>
      <c r="C134" s="3">
        <v>22.97784073</v>
      </c>
      <c r="D134" s="3">
        <v>1</v>
      </c>
      <c r="E134" s="13">
        <f t="shared" si="6"/>
        <v>1.6105931178001777E-2</v>
      </c>
      <c r="F134" s="13">
        <f t="shared" si="7"/>
        <v>7.8796527791701303</v>
      </c>
      <c r="G134" s="14">
        <f>F134/$F$235*$D$2</f>
        <v>18.464950990916758</v>
      </c>
      <c r="H134" s="14">
        <f>F134/$F$235*$E$2</f>
        <v>18.464950990916758</v>
      </c>
      <c r="I134" s="25" t="str">
        <f t="shared" ref="I134:I197" si="8">IF(MOD(ROW()-1,3)=1,"选中","")</f>
        <v>选中</v>
      </c>
    </row>
    <row r="135" spans="1:9" hidden="1" x14ac:dyDescent="0.25">
      <c r="A135" s="3">
        <v>2811</v>
      </c>
      <c r="B135" s="3">
        <v>113.4715934</v>
      </c>
      <c r="C135" s="3">
        <v>22.960032900000002</v>
      </c>
      <c r="D135" s="3">
        <v>1</v>
      </c>
      <c r="E135" s="13">
        <f t="shared" si="6"/>
        <v>1.5859415335448396E-2</v>
      </c>
      <c r="F135" s="13">
        <f t="shared" si="7"/>
        <v>7.940656573962837</v>
      </c>
      <c r="G135" s="14">
        <f>F135/$F$124*$D$2</f>
        <v>1781.5789344092448</v>
      </c>
      <c r="H135" s="14">
        <f>F135/$F$124*$E$2</f>
        <v>1781.5789344092448</v>
      </c>
      <c r="I135" s="25" t="str">
        <f t="shared" si="8"/>
        <v/>
      </c>
    </row>
    <row r="136" spans="1:9" hidden="1" x14ac:dyDescent="0.25">
      <c r="A136" s="3">
        <v>2175</v>
      </c>
      <c r="B136" s="3">
        <v>113.4958017</v>
      </c>
      <c r="C136" s="3">
        <v>22.978962939999999</v>
      </c>
      <c r="D136" s="3">
        <v>1</v>
      </c>
      <c r="E136" s="13">
        <f t="shared" si="6"/>
        <v>1.6320969220183557E-2</v>
      </c>
      <c r="F136" s="13">
        <f t="shared" si="7"/>
        <v>7.8275712081916122</v>
      </c>
      <c r="G136" s="14">
        <f>F136/$F$124*$D$2</f>
        <v>1756.2069133967009</v>
      </c>
      <c r="H136" s="14">
        <f>F136/$F$124*$E$2</f>
        <v>1756.2069133967009</v>
      </c>
      <c r="I136" s="25" t="str">
        <f t="shared" si="8"/>
        <v/>
      </c>
    </row>
    <row r="137" spans="1:9" x14ac:dyDescent="0.25">
      <c r="A137" s="3">
        <v>2469</v>
      </c>
      <c r="B137" s="3">
        <v>113.5007726</v>
      </c>
      <c r="C137" s="3">
        <v>22.971798939999999</v>
      </c>
      <c r="D137" s="3">
        <v>1</v>
      </c>
      <c r="E137" s="13">
        <f t="shared" si="6"/>
        <v>1.5613034152154847E-2</v>
      </c>
      <c r="F137" s="13">
        <f t="shared" si="7"/>
        <v>8.0030650175863851</v>
      </c>
      <c r="G137" s="14">
        <f>F137/$F$235*$D$2</f>
        <v>18.754151669918695</v>
      </c>
      <c r="H137" s="14">
        <f>F137/$F$235*$E$2</f>
        <v>18.754151669918695</v>
      </c>
      <c r="I137" s="25" t="str">
        <f t="shared" si="8"/>
        <v>选中</v>
      </c>
    </row>
    <row r="138" spans="1:9" hidden="1" x14ac:dyDescent="0.25">
      <c r="A138" s="3">
        <v>2170</v>
      </c>
      <c r="B138" s="3">
        <v>113.4972077</v>
      </c>
      <c r="C138" s="3">
        <v>22.977887630000001</v>
      </c>
      <c r="D138" s="3">
        <v>1</v>
      </c>
      <c r="E138" s="13">
        <f t="shared" si="6"/>
        <v>1.6341538864948522E-2</v>
      </c>
      <c r="F138" s="13">
        <f t="shared" si="7"/>
        <v>7.8226432433390221</v>
      </c>
      <c r="G138" s="14">
        <f>F138/$F$124*$D$2</f>
        <v>1755.1012669946551</v>
      </c>
      <c r="H138" s="14">
        <f>F138/$F$124*$E$2</f>
        <v>1755.1012669946551</v>
      </c>
      <c r="I138" s="25" t="str">
        <f t="shared" si="8"/>
        <v/>
      </c>
    </row>
    <row r="139" spans="1:9" hidden="1" x14ac:dyDescent="0.25">
      <c r="A139" s="3">
        <v>2155</v>
      </c>
      <c r="B139" s="3">
        <v>113.47559320000001</v>
      </c>
      <c r="C139" s="3">
        <v>22.979309929999999</v>
      </c>
      <c r="D139" s="3">
        <v>1</v>
      </c>
      <c r="E139" s="13">
        <f t="shared" si="6"/>
        <v>1.7496033409380957E-2</v>
      </c>
      <c r="F139" s="13">
        <f t="shared" si="7"/>
        <v>7.5601463088961962</v>
      </c>
      <c r="G139" s="14">
        <f>F139/$F$124*$D$2</f>
        <v>1696.2070175841238</v>
      </c>
      <c r="H139" s="14">
        <f>F139/$F$124*$E$2</f>
        <v>1696.2070175841238</v>
      </c>
      <c r="I139" s="25" t="str">
        <f t="shared" si="8"/>
        <v/>
      </c>
    </row>
    <row r="140" spans="1:9" x14ac:dyDescent="0.25">
      <c r="A140" s="3">
        <v>2169</v>
      </c>
      <c r="B140" s="3">
        <v>113.49610680000001</v>
      </c>
      <c r="C140" s="3">
        <v>22.97906781</v>
      </c>
      <c r="D140" s="3">
        <v>1</v>
      </c>
      <c r="E140" s="13">
        <f t="shared" si="6"/>
        <v>1.6582851239573499E-2</v>
      </c>
      <c r="F140" s="13">
        <f t="shared" si="7"/>
        <v>7.7655174079130971</v>
      </c>
      <c r="G140" s="14">
        <f>F140/$F$235*$D$2</f>
        <v>18.197489454773645</v>
      </c>
      <c r="H140" s="14">
        <f>F140/$F$235*$E$2</f>
        <v>18.197489454773645</v>
      </c>
      <c r="I140" s="25" t="str">
        <f t="shared" si="8"/>
        <v>选中</v>
      </c>
    </row>
    <row r="141" spans="1:9" hidden="1" x14ac:dyDescent="0.25">
      <c r="A141" s="3">
        <v>2816</v>
      </c>
      <c r="B141" s="3">
        <v>113.4727403</v>
      </c>
      <c r="C141" s="3">
        <v>22.957437219999999</v>
      </c>
      <c r="D141" s="3">
        <v>1</v>
      </c>
      <c r="E141" s="13">
        <f t="shared" si="6"/>
        <v>1.5948050957745402E-2</v>
      </c>
      <c r="F141" s="13">
        <f t="shared" si="7"/>
        <v>7.9185596515727958</v>
      </c>
      <c r="G141" s="14">
        <f>F141/$F$124*$D$2</f>
        <v>1776.6212320985242</v>
      </c>
      <c r="H141" s="14">
        <f>F141/$F$124*$E$2</f>
        <v>1776.6212320985242</v>
      </c>
      <c r="I141" s="25" t="str">
        <f t="shared" si="8"/>
        <v/>
      </c>
    </row>
    <row r="142" spans="1:9" hidden="1" x14ac:dyDescent="0.25">
      <c r="A142" s="3">
        <v>2810</v>
      </c>
      <c r="B142" s="3">
        <v>113.4710647</v>
      </c>
      <c r="C142" s="3">
        <v>22.96015937</v>
      </c>
      <c r="D142" s="3">
        <v>1</v>
      </c>
      <c r="E142" s="13">
        <f t="shared" si="6"/>
        <v>1.6313143686741957E-2</v>
      </c>
      <c r="F142" s="13">
        <f t="shared" si="7"/>
        <v>7.8294484544504055</v>
      </c>
      <c r="G142" s="14">
        <f>F142/$F$124*$D$2</f>
        <v>1756.6280954939512</v>
      </c>
      <c r="H142" s="14">
        <f>F142/$F$124*$E$2</f>
        <v>1756.6280954939512</v>
      </c>
      <c r="I142" s="25" t="str">
        <f t="shared" si="8"/>
        <v/>
      </c>
    </row>
    <row r="143" spans="1:9" x14ac:dyDescent="0.25">
      <c r="A143" s="3">
        <v>2377</v>
      </c>
      <c r="B143" s="3">
        <v>113.4695674</v>
      </c>
      <c r="C143" s="3">
        <v>22.966996300000002</v>
      </c>
      <c r="D143" s="3">
        <v>1</v>
      </c>
      <c r="E143" s="13">
        <f t="shared" si="6"/>
        <v>1.6939222566643302E-2</v>
      </c>
      <c r="F143" s="13">
        <f t="shared" si="7"/>
        <v>7.6833968079660551</v>
      </c>
      <c r="G143" s="14">
        <f>F143/$F$235*$D$2</f>
        <v>18.005050410076741</v>
      </c>
      <c r="H143" s="14">
        <f>F143/$F$235*$E$2</f>
        <v>18.005050410076741</v>
      </c>
      <c r="I143" s="25" t="str">
        <f t="shared" si="8"/>
        <v>选中</v>
      </c>
    </row>
    <row r="144" spans="1:9" hidden="1" x14ac:dyDescent="0.25">
      <c r="A144" s="3">
        <v>3304</v>
      </c>
      <c r="B144" s="3">
        <v>113.48125810000001</v>
      </c>
      <c r="C144" s="3">
        <v>22.951415310000002</v>
      </c>
      <c r="D144" s="3">
        <v>1</v>
      </c>
      <c r="E144" s="13">
        <f t="shared" si="6"/>
        <v>1.509328626421198E-2</v>
      </c>
      <c r="F144" s="13">
        <f t="shared" si="7"/>
        <v>8.139694317272518</v>
      </c>
      <c r="G144" s="14">
        <f>F144/$F$124*$D$2</f>
        <v>1826.2353740033723</v>
      </c>
      <c r="H144" s="14">
        <f>F144/$F$124*$E$2</f>
        <v>1826.2353740033723</v>
      </c>
      <c r="I144" s="25" t="str">
        <f t="shared" si="8"/>
        <v/>
      </c>
    </row>
    <row r="145" spans="1:9" hidden="1" x14ac:dyDescent="0.25">
      <c r="A145" s="3">
        <v>2470</v>
      </c>
      <c r="B145" s="3">
        <v>113.5014822</v>
      </c>
      <c r="C145" s="3">
        <v>22.97047564</v>
      </c>
      <c r="D145" s="3">
        <v>1</v>
      </c>
      <c r="E145" s="13">
        <f t="shared" si="6"/>
        <v>1.5808660621702705E-2</v>
      </c>
      <c r="F145" s="13">
        <f t="shared" si="7"/>
        <v>7.9533933514252801</v>
      </c>
      <c r="G145" s="14">
        <f>F145/$F$124*$D$2</f>
        <v>1784.4365790143208</v>
      </c>
      <c r="H145" s="14">
        <f>F145/$F$124*$E$2</f>
        <v>1784.4365790143208</v>
      </c>
      <c r="I145" s="25" t="str">
        <f t="shared" si="8"/>
        <v/>
      </c>
    </row>
    <row r="146" spans="1:9" x14ac:dyDescent="0.25">
      <c r="A146" s="3">
        <v>2379</v>
      </c>
      <c r="B146" s="3">
        <v>113.4700526</v>
      </c>
      <c r="C146" s="3">
        <v>22.971569670000001</v>
      </c>
      <c r="D146" s="3">
        <v>1</v>
      </c>
      <c r="E146" s="13">
        <f t="shared" si="6"/>
        <v>1.7452407466484236E-2</v>
      </c>
      <c r="F146" s="13">
        <f t="shared" si="7"/>
        <v>7.5695894947837576</v>
      </c>
      <c r="G146" s="14">
        <f>F146/$F$235*$D$2</f>
        <v>17.738357635761329</v>
      </c>
      <c r="H146" s="14">
        <f>F146/$F$235*$E$2</f>
        <v>17.738357635761329</v>
      </c>
      <c r="I146" s="25" t="str">
        <f t="shared" si="8"/>
        <v>选中</v>
      </c>
    </row>
    <row r="147" spans="1:9" hidden="1" x14ac:dyDescent="0.25">
      <c r="A147" s="3">
        <v>2158</v>
      </c>
      <c r="B147" s="3">
        <v>113.4751497</v>
      </c>
      <c r="C147" s="3">
        <v>22.979420619999999</v>
      </c>
      <c r="D147" s="3">
        <v>1</v>
      </c>
      <c r="E147" s="13">
        <f t="shared" si="6"/>
        <v>1.786018036601875E-2</v>
      </c>
      <c r="F147" s="13">
        <f t="shared" si="7"/>
        <v>7.4826783969514326</v>
      </c>
      <c r="G147" s="14">
        <f>F147/$F$124*$D$2</f>
        <v>1678.8261878343512</v>
      </c>
      <c r="H147" s="14">
        <f>F147/$F$124*$E$2</f>
        <v>1678.8261878343512</v>
      </c>
      <c r="I147" s="25" t="str">
        <f t="shared" si="8"/>
        <v/>
      </c>
    </row>
    <row r="148" spans="1:9" hidden="1" x14ac:dyDescent="0.25">
      <c r="A148" s="3">
        <v>2168</v>
      </c>
      <c r="B148" s="3">
        <v>113.4972769</v>
      </c>
      <c r="C148" s="3">
        <v>22.978659499999999</v>
      </c>
      <c r="D148" s="3">
        <v>1</v>
      </c>
      <c r="E148" s="13">
        <f t="shared" si="6"/>
        <v>1.6974176026324138E-2</v>
      </c>
      <c r="F148" s="13">
        <f t="shared" si="7"/>
        <v>7.6754818523609023</v>
      </c>
      <c r="G148" s="14">
        <f>F148/$F$124*$D$2</f>
        <v>1722.0838922117362</v>
      </c>
      <c r="H148" s="14">
        <f>F148/$F$124*$E$2</f>
        <v>1722.0838922117362</v>
      </c>
      <c r="I148" s="25" t="str">
        <f t="shared" si="8"/>
        <v/>
      </c>
    </row>
    <row r="149" spans="1:9" x14ac:dyDescent="0.25">
      <c r="A149" s="3">
        <v>2819</v>
      </c>
      <c r="B149" s="3">
        <v>113.4732952</v>
      </c>
      <c r="C149" s="3">
        <v>22.95591044</v>
      </c>
      <c r="D149" s="3">
        <v>1</v>
      </c>
      <c r="E149" s="13">
        <f t="shared" si="6"/>
        <v>1.6329609739246596E-2</v>
      </c>
      <c r="F149" s="13">
        <f t="shared" si="7"/>
        <v>7.8255000249681652</v>
      </c>
      <c r="G149" s="14">
        <f>F149/$F$235*$D$2</f>
        <v>18.338050989053002</v>
      </c>
      <c r="H149" s="14">
        <f>F149/$F$235*$E$2</f>
        <v>18.338050989053002</v>
      </c>
      <c r="I149" s="25" t="str">
        <f t="shared" si="8"/>
        <v>选中</v>
      </c>
    </row>
    <row r="150" spans="1:9" hidden="1" x14ac:dyDescent="0.25">
      <c r="A150" s="3">
        <v>2171</v>
      </c>
      <c r="B150" s="3">
        <v>113.4977536</v>
      </c>
      <c r="C150" s="3">
        <v>22.978315080000002</v>
      </c>
      <c r="D150" s="3">
        <v>1</v>
      </c>
      <c r="E150" s="13">
        <f t="shared" si="6"/>
        <v>1.7023183991514271E-2</v>
      </c>
      <c r="F150" s="13">
        <f t="shared" si="7"/>
        <v>7.664425434561263</v>
      </c>
      <c r="G150" s="14">
        <f>F150/$F$124*$D$2</f>
        <v>1719.6032558993115</v>
      </c>
      <c r="H150" s="14">
        <f>F150/$F$124*$E$2</f>
        <v>1719.6032558993115</v>
      </c>
      <c r="I150" s="25" t="str">
        <f t="shared" si="8"/>
        <v/>
      </c>
    </row>
    <row r="151" spans="1:9" hidden="1" x14ac:dyDescent="0.25">
      <c r="A151" s="3">
        <v>2183</v>
      </c>
      <c r="B151" s="3">
        <v>113.4968815</v>
      </c>
      <c r="C151" s="3">
        <v>22.979336020000002</v>
      </c>
      <c r="D151" s="3">
        <v>1</v>
      </c>
      <c r="E151" s="13">
        <f t="shared" si="6"/>
        <v>1.7258595024597305E-2</v>
      </c>
      <c r="F151" s="13">
        <f t="shared" si="7"/>
        <v>7.6119737326809593</v>
      </c>
      <c r="G151" s="14">
        <f>F151/$F$124*$D$2</f>
        <v>1707.8351047050801</v>
      </c>
      <c r="H151" s="14">
        <f>F151/$F$124*$E$2</f>
        <v>1707.8351047050801</v>
      </c>
      <c r="I151" s="25" t="str">
        <f t="shared" si="8"/>
        <v/>
      </c>
    </row>
    <row r="152" spans="1:9" x14ac:dyDescent="0.25">
      <c r="A152" s="3">
        <v>2821</v>
      </c>
      <c r="B152" s="3">
        <v>113.4736865</v>
      </c>
      <c r="C152" s="3">
        <v>22.954977939999999</v>
      </c>
      <c r="D152" s="3">
        <v>1</v>
      </c>
      <c r="E152" s="13">
        <f t="shared" si="6"/>
        <v>1.6596221273109672E-2</v>
      </c>
      <c r="F152" s="13">
        <f t="shared" si="7"/>
        <v>7.7623887997355876</v>
      </c>
      <c r="G152" s="14">
        <f>F152/$F$235*$D$2</f>
        <v>18.190157964632327</v>
      </c>
      <c r="H152" s="14">
        <f>F152/$F$235*$E$2</f>
        <v>18.190157964632327</v>
      </c>
      <c r="I152" s="25" t="str">
        <f t="shared" si="8"/>
        <v>选中</v>
      </c>
    </row>
    <row r="153" spans="1:9" hidden="1" x14ac:dyDescent="0.25">
      <c r="A153" s="3">
        <v>2820</v>
      </c>
      <c r="B153" s="3">
        <v>113.4730113</v>
      </c>
      <c r="C153" s="3">
        <v>22.955294899999998</v>
      </c>
      <c r="D153" s="3">
        <v>1</v>
      </c>
      <c r="E153" s="13">
        <f t="shared" si="6"/>
        <v>1.6926250651355727E-2</v>
      </c>
      <c r="F153" s="13">
        <f t="shared" si="7"/>
        <v>7.6863404393098973</v>
      </c>
      <c r="G153" s="14">
        <f>F153/$F$124*$D$2</f>
        <v>1724.520142865015</v>
      </c>
      <c r="H153" s="14">
        <f>F153/$F$124*$E$2</f>
        <v>1724.520142865015</v>
      </c>
      <c r="I153" s="25" t="str">
        <f t="shared" si="8"/>
        <v/>
      </c>
    </row>
    <row r="154" spans="1:9" hidden="1" x14ac:dyDescent="0.25">
      <c r="A154" s="3">
        <v>3299</v>
      </c>
      <c r="B154" s="3">
        <v>113.47428360000001</v>
      </c>
      <c r="C154" s="3">
        <v>22.95359122</v>
      </c>
      <c r="D154" s="3">
        <v>1</v>
      </c>
      <c r="E154" s="13">
        <f t="shared" si="6"/>
        <v>1.7085120900380783E-2</v>
      </c>
      <c r="F154" s="13">
        <f t="shared" si="7"/>
        <v>7.6505202993869199</v>
      </c>
      <c r="G154" s="14">
        <f>F154/$F$124*$D$2</f>
        <v>1716.483476612048</v>
      </c>
      <c r="H154" s="14">
        <f>F154/$F$124*$E$2</f>
        <v>1716.483476612048</v>
      </c>
      <c r="I154" s="25" t="str">
        <f t="shared" si="8"/>
        <v/>
      </c>
    </row>
    <row r="155" spans="1:9" x14ac:dyDescent="0.25">
      <c r="A155" s="3">
        <v>2176</v>
      </c>
      <c r="B155" s="3">
        <v>113.4988795</v>
      </c>
      <c r="C155" s="3">
        <v>22.97855036</v>
      </c>
      <c r="D155" s="3">
        <v>1</v>
      </c>
      <c r="E155" s="13">
        <f t="shared" si="6"/>
        <v>1.7959913360098213E-2</v>
      </c>
      <c r="F155" s="13">
        <f t="shared" si="7"/>
        <v>7.461873484988331</v>
      </c>
      <c r="G155" s="14">
        <f>F155/$F$235*$D$2</f>
        <v>17.48593904606566</v>
      </c>
      <c r="H155" s="14">
        <f>F155/$F$235*$E$2</f>
        <v>17.48593904606566</v>
      </c>
      <c r="I155" s="25" t="str">
        <f t="shared" si="8"/>
        <v>选中</v>
      </c>
    </row>
    <row r="156" spans="1:9" hidden="1" x14ac:dyDescent="0.25">
      <c r="A156" s="3">
        <v>2375</v>
      </c>
      <c r="B156" s="3">
        <v>113.46826710000001</v>
      </c>
      <c r="C156" s="3">
        <v>22.969745549999999</v>
      </c>
      <c r="D156" s="3">
        <v>1</v>
      </c>
      <c r="E156" s="13">
        <f t="shared" si="6"/>
        <v>1.8650154640099812E-2</v>
      </c>
      <c r="F156" s="13">
        <f t="shared" si="7"/>
        <v>7.3224899015209459</v>
      </c>
      <c r="G156" s="14">
        <f>F156/$F$124*$D$2</f>
        <v>1642.8860301993457</v>
      </c>
      <c r="H156" s="14">
        <f>F156/$F$124*$E$2</f>
        <v>1642.8860301993457</v>
      </c>
      <c r="I156" s="25" t="str">
        <f t="shared" si="8"/>
        <v/>
      </c>
    </row>
    <row r="157" spans="1:9" hidden="1" x14ac:dyDescent="0.25">
      <c r="A157" s="3">
        <v>2152</v>
      </c>
      <c r="B157" s="3">
        <v>113.46980259999999</v>
      </c>
      <c r="C157" s="3">
        <v>22.97492454</v>
      </c>
      <c r="D157" s="3">
        <v>1</v>
      </c>
      <c r="E157" s="13">
        <f t="shared" si="6"/>
        <v>1.9084958792833624E-2</v>
      </c>
      <c r="F157" s="13">
        <f t="shared" si="7"/>
        <v>7.2385968036495099</v>
      </c>
      <c r="G157" s="14">
        <f>F157/$F$124*$D$2</f>
        <v>1624.0636350336656</v>
      </c>
      <c r="H157" s="14">
        <f>F157/$F$124*$E$2</f>
        <v>1624.0636350336656</v>
      </c>
      <c r="I157" s="25" t="str">
        <f t="shared" si="8"/>
        <v/>
      </c>
    </row>
    <row r="158" spans="1:9" x14ac:dyDescent="0.25">
      <c r="A158" s="3">
        <v>3301</v>
      </c>
      <c r="B158" s="3">
        <v>113.4737408</v>
      </c>
      <c r="C158" s="3">
        <v>22.95359668</v>
      </c>
      <c r="D158" s="3">
        <v>1</v>
      </c>
      <c r="E158" s="13">
        <f t="shared" si="6"/>
        <v>1.7471997106934686E-2</v>
      </c>
      <c r="F158" s="13">
        <f t="shared" si="7"/>
        <v>7.5653447847061122</v>
      </c>
      <c r="G158" s="14">
        <f>F158/$F$235*$D$2</f>
        <v>17.728410704627308</v>
      </c>
      <c r="H158" s="14">
        <f>F158/$F$235*$E$2</f>
        <v>17.728410704627308</v>
      </c>
      <c r="I158" s="25" t="str">
        <f t="shared" si="8"/>
        <v>选中</v>
      </c>
    </row>
    <row r="159" spans="1:9" hidden="1" x14ac:dyDescent="0.25">
      <c r="A159" s="3">
        <v>2151</v>
      </c>
      <c r="B159" s="3">
        <v>113.469596</v>
      </c>
      <c r="C159" s="3">
        <v>22.974878990000001</v>
      </c>
      <c r="D159" s="3">
        <v>1</v>
      </c>
      <c r="E159" s="13">
        <f t="shared" si="6"/>
        <v>1.92433820766418E-2</v>
      </c>
      <c r="F159" s="13">
        <f t="shared" si="7"/>
        <v>7.2087389478719341</v>
      </c>
      <c r="G159" s="14">
        <f>F159/$F$124*$D$2</f>
        <v>1617.3646767819791</v>
      </c>
      <c r="H159" s="14">
        <f>F159/$F$124*$E$2</f>
        <v>1617.3646767819791</v>
      </c>
      <c r="I159" s="25" t="str">
        <f t="shared" si="8"/>
        <v/>
      </c>
    </row>
    <row r="160" spans="1:9" hidden="1" x14ac:dyDescent="0.25">
      <c r="A160" s="3">
        <v>3306</v>
      </c>
      <c r="B160" s="3">
        <v>113.47706100000001</v>
      </c>
      <c r="C160" s="3">
        <v>22.951086239999999</v>
      </c>
      <c r="D160" s="3">
        <v>1</v>
      </c>
      <c r="E160" s="13">
        <f t="shared" si="6"/>
        <v>1.7274954791255914E-2</v>
      </c>
      <c r="F160" s="13">
        <f t="shared" si="7"/>
        <v>7.6083685246572763</v>
      </c>
      <c r="G160" s="14">
        <f>F160/$F$124*$D$2</f>
        <v>1707.0262342282713</v>
      </c>
      <c r="H160" s="14">
        <f>F160/$F$124*$E$2</f>
        <v>1707.0262342282713</v>
      </c>
      <c r="I160" s="25" t="str">
        <f t="shared" si="8"/>
        <v/>
      </c>
    </row>
    <row r="161" spans="1:9" x14ac:dyDescent="0.25">
      <c r="A161" s="3">
        <v>2378</v>
      </c>
      <c r="B161" s="3">
        <v>113.4683572</v>
      </c>
      <c r="C161" s="3">
        <v>22.972174760000001</v>
      </c>
      <c r="D161" s="3">
        <v>1</v>
      </c>
      <c r="E161" s="13">
        <f t="shared" si="6"/>
        <v>1.9252510449808288E-2</v>
      </c>
      <c r="F161" s="13">
        <f t="shared" si="7"/>
        <v>7.2070297717810803</v>
      </c>
      <c r="G161" s="14">
        <f>F161/$F$235*$D$2</f>
        <v>16.888745640900066</v>
      </c>
      <c r="H161" s="14">
        <f>F161/$F$235*$E$2</f>
        <v>16.888745640900066</v>
      </c>
      <c r="I161" s="25" t="str">
        <f t="shared" si="8"/>
        <v>选中</v>
      </c>
    </row>
    <row r="162" spans="1:9" hidden="1" x14ac:dyDescent="0.25">
      <c r="A162" s="3">
        <v>3294</v>
      </c>
      <c r="B162" s="3">
        <v>113.4782982</v>
      </c>
      <c r="C162" s="3">
        <v>22.950016269999999</v>
      </c>
      <c r="D162" s="3">
        <v>1</v>
      </c>
      <c r="E162" s="13">
        <f t="shared" si="6"/>
        <v>1.7575716234634445E-2</v>
      </c>
      <c r="F162" s="13">
        <f t="shared" si="7"/>
        <v>7.542989165752795</v>
      </c>
      <c r="G162" s="14">
        <f>F162/$F$124*$D$2</f>
        <v>1692.3576123725757</v>
      </c>
      <c r="H162" s="14">
        <f>F162/$F$124*$E$2</f>
        <v>1692.3576123725757</v>
      </c>
      <c r="I162" s="25" t="str">
        <f t="shared" si="8"/>
        <v/>
      </c>
    </row>
    <row r="163" spans="1:9" hidden="1" x14ac:dyDescent="0.25">
      <c r="A163" s="3">
        <v>2177</v>
      </c>
      <c r="B163" s="3">
        <v>113.49907709999999</v>
      </c>
      <c r="C163" s="3">
        <v>22.979648480000002</v>
      </c>
      <c r="D163" s="3">
        <v>1</v>
      </c>
      <c r="E163" s="13">
        <f t="shared" si="6"/>
        <v>1.8899318359742616E-2</v>
      </c>
      <c r="F163" s="13">
        <f t="shared" si="7"/>
        <v>7.2740608474805688</v>
      </c>
      <c r="G163" s="14">
        <f>F163/$F$124*$D$2</f>
        <v>1632.0204069743579</v>
      </c>
      <c r="H163" s="14">
        <f>F163/$F$124*$E$2</f>
        <v>1632.0204069743579</v>
      </c>
      <c r="I163" s="25" t="str">
        <f t="shared" si="8"/>
        <v/>
      </c>
    </row>
    <row r="164" spans="1:9" x14ac:dyDescent="0.25">
      <c r="A164" s="3">
        <v>2178</v>
      </c>
      <c r="B164" s="3">
        <v>113.4989386</v>
      </c>
      <c r="C164" s="3">
        <v>22.979918949999998</v>
      </c>
      <c r="D164" s="3">
        <v>1</v>
      </c>
      <c r="E164" s="13">
        <f t="shared" si="6"/>
        <v>1.9010103914764018E-2</v>
      </c>
      <c r="F164" s="13">
        <f t="shared" si="7"/>
        <v>7.2528342832207642</v>
      </c>
      <c r="G164" s="14">
        <f>F164/$F$235*$D$2</f>
        <v>16.996082611525534</v>
      </c>
      <c r="H164" s="14">
        <f>F164/$F$235*$E$2</f>
        <v>16.996082611525534</v>
      </c>
      <c r="I164" s="25" t="str">
        <f t="shared" si="8"/>
        <v>选中</v>
      </c>
    </row>
    <row r="165" spans="1:9" hidden="1" x14ac:dyDescent="0.25">
      <c r="A165" s="3">
        <v>3307</v>
      </c>
      <c r="B165" s="3">
        <v>113.48067330000001</v>
      </c>
      <c r="C165" s="3">
        <v>22.9488117</v>
      </c>
      <c r="D165" s="3">
        <v>1</v>
      </c>
      <c r="E165" s="13">
        <f t="shared" si="6"/>
        <v>1.7742598174798337E-2</v>
      </c>
      <c r="F165" s="13">
        <f t="shared" si="7"/>
        <v>7.5074317290467638</v>
      </c>
      <c r="G165" s="14">
        <f>F165/$F$124*$D$2</f>
        <v>1684.3798866509048</v>
      </c>
      <c r="H165" s="14">
        <f>F165/$F$124*$E$2</f>
        <v>1684.3798866509048</v>
      </c>
      <c r="I165" s="25" t="str">
        <f t="shared" si="8"/>
        <v/>
      </c>
    </row>
    <row r="166" spans="1:9" hidden="1" x14ac:dyDescent="0.25">
      <c r="A166" s="3">
        <v>2189</v>
      </c>
      <c r="B166" s="3">
        <v>113.5034448</v>
      </c>
      <c r="C166" s="3">
        <v>22.974192890000001</v>
      </c>
      <c r="D166" s="3">
        <v>1</v>
      </c>
      <c r="E166" s="13">
        <f t="shared" si="6"/>
        <v>1.9050749060592464E-2</v>
      </c>
      <c r="F166" s="13">
        <f t="shared" si="7"/>
        <v>7.2450931201167386</v>
      </c>
      <c r="G166" s="14">
        <f>F166/$F$124*$D$2</f>
        <v>1625.5211594161228</v>
      </c>
      <c r="H166" s="14">
        <f>F166/$F$124*$E$2</f>
        <v>1625.5211594161228</v>
      </c>
      <c r="I166" s="25" t="str">
        <f t="shared" si="8"/>
        <v/>
      </c>
    </row>
    <row r="167" spans="1:9" x14ac:dyDescent="0.25">
      <c r="A167" s="3">
        <v>3309</v>
      </c>
      <c r="B167" s="3">
        <v>113.482051</v>
      </c>
      <c r="C167" s="3">
        <v>22.94786715</v>
      </c>
      <c r="D167" s="3">
        <v>1</v>
      </c>
      <c r="E167" s="13">
        <f t="shared" si="6"/>
        <v>1.8258449939957951E-2</v>
      </c>
      <c r="F167" s="13">
        <f t="shared" si="7"/>
        <v>7.4006190184289729</v>
      </c>
      <c r="G167" s="14">
        <f>F167/$F$235*$D$2</f>
        <v>17.342397096351423</v>
      </c>
      <c r="H167" s="14">
        <f>F167/$F$235*$E$2</f>
        <v>17.342397096351423</v>
      </c>
      <c r="I167" s="25" t="str">
        <f t="shared" si="8"/>
        <v>选中</v>
      </c>
    </row>
    <row r="168" spans="1:9" hidden="1" x14ac:dyDescent="0.25">
      <c r="A168" s="3">
        <v>3297</v>
      </c>
      <c r="B168" s="3">
        <v>113.47415530000001</v>
      </c>
      <c r="C168" s="3">
        <v>22.95101296</v>
      </c>
      <c r="D168" s="3">
        <v>1</v>
      </c>
      <c r="E168" s="13">
        <f t="shared" si="6"/>
        <v>1.906697542542668E-2</v>
      </c>
      <c r="F168" s="13">
        <f t="shared" si="7"/>
        <v>7.2420096067636148</v>
      </c>
      <c r="G168" s="14">
        <f>F168/$F$124*$D$2</f>
        <v>1624.8293372245037</v>
      </c>
      <c r="H168" s="14">
        <f>F168/$F$124*$E$2</f>
        <v>1624.8293372245037</v>
      </c>
      <c r="I168" s="25" t="str">
        <f t="shared" si="8"/>
        <v/>
      </c>
    </row>
    <row r="169" spans="1:9" hidden="1" x14ac:dyDescent="0.25">
      <c r="A169" s="3">
        <v>2376</v>
      </c>
      <c r="B169" s="3">
        <v>113.4658969</v>
      </c>
      <c r="C169" s="3">
        <v>22.966059730000001</v>
      </c>
      <c r="D169" s="3">
        <v>1</v>
      </c>
      <c r="E169" s="13">
        <f t="shared" si="6"/>
        <v>2.0556507597353606E-2</v>
      </c>
      <c r="F169" s="13">
        <f t="shared" si="7"/>
        <v>6.9746968080506413</v>
      </c>
      <c r="G169" s="14">
        <f>F169/$F$124*$D$2</f>
        <v>1564.8545924853111</v>
      </c>
      <c r="H169" s="14">
        <f>F169/$F$124*$E$2</f>
        <v>1564.8545924853111</v>
      </c>
      <c r="I169" s="25" t="str">
        <f t="shared" si="8"/>
        <v/>
      </c>
    </row>
    <row r="170" spans="1:9" x14ac:dyDescent="0.25">
      <c r="A170" s="3">
        <v>2814</v>
      </c>
      <c r="B170" s="3">
        <v>113.46646699999999</v>
      </c>
      <c r="C170" s="3">
        <v>22.960779519999999</v>
      </c>
      <c r="D170" s="3">
        <v>1</v>
      </c>
      <c r="E170" s="13">
        <f t="shared" si="6"/>
        <v>2.0551502261707294E-2</v>
      </c>
      <c r="F170" s="13">
        <f t="shared" si="7"/>
        <v>6.9755461029765629</v>
      </c>
      <c r="G170" s="14">
        <f>F170/$F$235*$D$2</f>
        <v>16.346293489839269</v>
      </c>
      <c r="H170" s="14">
        <f>F170/$F$235*$E$2</f>
        <v>16.346293489839269</v>
      </c>
      <c r="I170" s="25" t="str">
        <f t="shared" si="8"/>
        <v>选中</v>
      </c>
    </row>
    <row r="171" spans="1:9" hidden="1" x14ac:dyDescent="0.25">
      <c r="A171" s="3">
        <v>2173</v>
      </c>
      <c r="B171" s="3">
        <v>113.50114240000001</v>
      </c>
      <c r="C171" s="3">
        <v>22.979959539999999</v>
      </c>
      <c r="D171" s="3">
        <v>1</v>
      </c>
      <c r="E171" s="13">
        <f t="shared" si="6"/>
        <v>2.0553816376147716E-2</v>
      </c>
      <c r="F171" s="13">
        <f t="shared" si="7"/>
        <v>6.975153410299642</v>
      </c>
      <c r="G171" s="14">
        <f>F171/$F$124*$D$2</f>
        <v>1564.9570365263858</v>
      </c>
      <c r="H171" s="14">
        <f>F171/$F$124*$E$2</f>
        <v>1564.9570365263858</v>
      </c>
      <c r="I171" s="25" t="str">
        <f t="shared" si="8"/>
        <v/>
      </c>
    </row>
    <row r="172" spans="1:9" hidden="1" x14ac:dyDescent="0.25">
      <c r="A172" s="3">
        <v>3305</v>
      </c>
      <c r="B172" s="3">
        <v>113.47968</v>
      </c>
      <c r="C172" s="3">
        <v>22.94759432</v>
      </c>
      <c r="D172" s="3">
        <v>1</v>
      </c>
      <c r="E172" s="13">
        <f t="shared" si="6"/>
        <v>1.9224654505212702E-2</v>
      </c>
      <c r="F172" s="13">
        <f t="shared" si="7"/>
        <v>7.21224926613686</v>
      </c>
      <c r="G172" s="14">
        <f>F172/$F$124*$D$2</f>
        <v>1618.1522576344705</v>
      </c>
      <c r="H172" s="14">
        <f>F172/$F$124*$E$2</f>
        <v>1618.1522576344705</v>
      </c>
      <c r="I172" s="25" t="str">
        <f t="shared" si="8"/>
        <v/>
      </c>
    </row>
    <row r="173" spans="1:9" x14ac:dyDescent="0.25">
      <c r="A173" s="3">
        <v>3311</v>
      </c>
      <c r="B173" s="3">
        <v>113.483469</v>
      </c>
      <c r="C173" s="3">
        <v>22.94648492</v>
      </c>
      <c r="D173" s="3">
        <v>1</v>
      </c>
      <c r="E173" s="13">
        <f t="shared" si="6"/>
        <v>1.9334209528420888E-2</v>
      </c>
      <c r="F173" s="13">
        <f t="shared" si="7"/>
        <v>7.1917865566775463</v>
      </c>
      <c r="G173" s="14">
        <f>F173/$F$235*$D$2</f>
        <v>16.853025130400567</v>
      </c>
      <c r="H173" s="14">
        <f>F173/$F$235*$E$2</f>
        <v>16.853025130400567</v>
      </c>
      <c r="I173" s="25" t="str">
        <f t="shared" si="8"/>
        <v>选中</v>
      </c>
    </row>
    <row r="174" spans="1:9" hidden="1" x14ac:dyDescent="0.25">
      <c r="A174" s="3">
        <v>3295</v>
      </c>
      <c r="B174" s="3">
        <v>113.4785121</v>
      </c>
      <c r="C174" s="3">
        <v>22.94727206</v>
      </c>
      <c r="D174" s="3">
        <v>1</v>
      </c>
      <c r="E174" s="13">
        <f t="shared" si="6"/>
        <v>1.9961496059313497E-2</v>
      </c>
      <c r="F174" s="13">
        <f t="shared" si="7"/>
        <v>7.0778842550836787</v>
      </c>
      <c r="G174" s="14">
        <f>F174/$F$124*$D$2</f>
        <v>1588.0058999643832</v>
      </c>
      <c r="H174" s="14">
        <f>F174/$F$124*$E$2</f>
        <v>1588.0058999643832</v>
      </c>
      <c r="I174" s="25" t="str">
        <f t="shared" si="8"/>
        <v/>
      </c>
    </row>
    <row r="175" spans="1:9" hidden="1" x14ac:dyDescent="0.25">
      <c r="A175" s="3">
        <v>3298</v>
      </c>
      <c r="B175" s="3">
        <v>113.47723879999999</v>
      </c>
      <c r="C175" s="3">
        <v>22.947684200000001</v>
      </c>
      <c r="D175" s="3">
        <v>1</v>
      </c>
      <c r="E175" s="13">
        <f t="shared" si="6"/>
        <v>2.0133662633571203E-2</v>
      </c>
      <c r="F175" s="13">
        <f t="shared" si="7"/>
        <v>7.0475571514357611</v>
      </c>
      <c r="G175" s="14">
        <f>F175/$F$124*$D$2</f>
        <v>1581.201660478956</v>
      </c>
      <c r="H175" s="14">
        <f>F175/$F$124*$E$2</f>
        <v>1581.201660478956</v>
      </c>
      <c r="I175" s="25" t="str">
        <f t="shared" si="8"/>
        <v/>
      </c>
    </row>
    <row r="176" spans="1:9" x14ac:dyDescent="0.25">
      <c r="A176" s="3">
        <v>3302</v>
      </c>
      <c r="B176" s="3">
        <v>113.47530829999999</v>
      </c>
      <c r="C176" s="3">
        <v>22.94856828</v>
      </c>
      <c r="D176" s="3">
        <v>1</v>
      </c>
      <c r="E176" s="13">
        <f t="shared" si="6"/>
        <v>2.0341393631974101E-2</v>
      </c>
      <c r="F176" s="13">
        <f t="shared" si="7"/>
        <v>7.0114791672057741</v>
      </c>
      <c r="G176" s="14">
        <f>F176/$F$235*$D$2</f>
        <v>16.430497995867736</v>
      </c>
      <c r="H176" s="14">
        <f>F176/$F$235*$E$2</f>
        <v>16.430497995867736</v>
      </c>
      <c r="I176" s="25" t="str">
        <f t="shared" si="8"/>
        <v>选中</v>
      </c>
    </row>
    <row r="177" spans="1:9" hidden="1" x14ac:dyDescent="0.25">
      <c r="A177" s="3">
        <v>1947</v>
      </c>
      <c r="B177" s="3">
        <v>113.48915289999999</v>
      </c>
      <c r="C177" s="3">
        <v>22.987823129999999</v>
      </c>
      <c r="D177" s="3">
        <v>1</v>
      </c>
      <c r="E177" s="13">
        <f t="shared" si="6"/>
        <v>2.2398802928378807E-2</v>
      </c>
      <c r="F177" s="13">
        <f t="shared" si="7"/>
        <v>6.6817095878059805</v>
      </c>
      <c r="G177" s="14">
        <f>F177/$F$124*$D$2</f>
        <v>1499.1194917695134</v>
      </c>
      <c r="H177" s="14">
        <f>F177/$F$124*$E$2</f>
        <v>1499.1194917695134</v>
      </c>
      <c r="I177" s="25" t="str">
        <f t="shared" si="8"/>
        <v/>
      </c>
    </row>
    <row r="178" spans="1:9" hidden="1" x14ac:dyDescent="0.25">
      <c r="A178" s="3">
        <v>1950</v>
      </c>
      <c r="B178" s="3">
        <v>113.49383330000001</v>
      </c>
      <c r="C178" s="3">
        <v>22.98647777</v>
      </c>
      <c r="D178" s="3">
        <v>1</v>
      </c>
      <c r="E178" s="13">
        <f t="shared" si="6"/>
        <v>2.2156594998342567E-2</v>
      </c>
      <c r="F178" s="13">
        <f t="shared" si="7"/>
        <v>6.718131344359433</v>
      </c>
      <c r="G178" s="14">
        <f>F178/$F$124*$D$2</f>
        <v>1507.2911377317098</v>
      </c>
      <c r="H178" s="14">
        <f>F178/$F$124*$E$2</f>
        <v>1507.2911377317098</v>
      </c>
      <c r="I178" s="25" t="str">
        <f t="shared" si="8"/>
        <v/>
      </c>
    </row>
    <row r="179" spans="1:9" x14ac:dyDescent="0.25">
      <c r="A179" s="3">
        <v>3312</v>
      </c>
      <c r="B179" s="3">
        <v>113.48273349999999</v>
      </c>
      <c r="C179" s="3">
        <v>22.94595297</v>
      </c>
      <c r="D179" s="3">
        <v>1</v>
      </c>
      <c r="E179" s="13">
        <f t="shared" si="6"/>
        <v>1.99835364970362E-2</v>
      </c>
      <c r="F179" s="13">
        <f t="shared" si="7"/>
        <v>7.0739799735501512</v>
      </c>
      <c r="G179" s="14">
        <f>F179/$F$235*$D$2</f>
        <v>16.576960582276683</v>
      </c>
      <c r="H179" s="14">
        <f>F179/$F$235*$E$2</f>
        <v>16.576960582276683</v>
      </c>
      <c r="I179" s="25" t="str">
        <f t="shared" si="8"/>
        <v>选中</v>
      </c>
    </row>
    <row r="180" spans="1:9" hidden="1" x14ac:dyDescent="0.25">
      <c r="A180" s="3">
        <v>3300</v>
      </c>
      <c r="B180" s="3">
        <v>113.47641299999999</v>
      </c>
      <c r="C180" s="3">
        <v>22.947385950000001</v>
      </c>
      <c r="D180" s="3">
        <v>1</v>
      </c>
      <c r="E180" s="13">
        <f t="shared" si="6"/>
        <v>2.0785209892853911E-2</v>
      </c>
      <c r="F180" s="13">
        <f t="shared" si="7"/>
        <v>6.9362189351291068</v>
      </c>
      <c r="G180" s="14">
        <f>F180/$F$124*$D$2</f>
        <v>1556.2216328302293</v>
      </c>
      <c r="H180" s="14">
        <f>F180/$F$124*$E$2</f>
        <v>1556.2216328302293</v>
      </c>
      <c r="I180" s="25" t="str">
        <f t="shared" si="8"/>
        <v/>
      </c>
    </row>
    <row r="181" spans="1:9" hidden="1" x14ac:dyDescent="0.25">
      <c r="A181" s="3">
        <v>3308</v>
      </c>
      <c r="B181" s="3">
        <v>113.4881613</v>
      </c>
      <c r="C181" s="3">
        <v>22.945296389999999</v>
      </c>
      <c r="D181" s="3">
        <v>1</v>
      </c>
      <c r="E181" s="13">
        <f t="shared" si="6"/>
        <v>2.036406096901194E-2</v>
      </c>
      <c r="F181" s="13">
        <f t="shared" si="7"/>
        <v>7.0075758246169029</v>
      </c>
      <c r="G181" s="14">
        <f>F181/$F$124*$D$2</f>
        <v>1572.2313834034092</v>
      </c>
      <c r="H181" s="14">
        <f>F181/$F$124*$E$2</f>
        <v>1572.2313834034092</v>
      </c>
      <c r="I181" s="25" t="str">
        <f t="shared" si="8"/>
        <v/>
      </c>
    </row>
    <row r="182" spans="1:9" x14ac:dyDescent="0.25">
      <c r="A182" s="3">
        <v>3303</v>
      </c>
      <c r="B182" s="3">
        <v>113.47387260000001</v>
      </c>
      <c r="C182" s="3">
        <v>22.948581189999999</v>
      </c>
      <c r="D182" s="3">
        <v>1</v>
      </c>
      <c r="E182" s="13">
        <f t="shared" si="6"/>
        <v>2.1151377614787845E-2</v>
      </c>
      <c r="F182" s="13">
        <f t="shared" si="7"/>
        <v>6.8759177123711783</v>
      </c>
      <c r="G182" s="14">
        <f>F182/$F$235*$D$2</f>
        <v>16.112827193621825</v>
      </c>
      <c r="H182" s="14">
        <f>F182/$F$235*$E$2</f>
        <v>16.112827193621825</v>
      </c>
      <c r="I182" s="25" t="str">
        <f t="shared" si="8"/>
        <v>选中</v>
      </c>
    </row>
    <row r="183" spans="1:9" hidden="1" x14ac:dyDescent="0.25">
      <c r="A183" s="3">
        <v>2190</v>
      </c>
      <c r="B183" s="3">
        <v>113.5032126</v>
      </c>
      <c r="C183" s="3">
        <v>22.979951719999999</v>
      </c>
      <c r="D183" s="3">
        <v>1</v>
      </c>
      <c r="E183" s="13">
        <f t="shared" si="6"/>
        <v>2.2076256104714469E-2</v>
      </c>
      <c r="F183" s="13">
        <f t="shared" si="7"/>
        <v>6.7303444001132515</v>
      </c>
      <c r="G183" s="14">
        <f>F183/$F$124*$D$2</f>
        <v>1510.03127926196</v>
      </c>
      <c r="H183" s="14">
        <f>F183/$F$124*$E$2</f>
        <v>1510.03127926196</v>
      </c>
      <c r="I183" s="25" t="str">
        <f t="shared" si="8"/>
        <v/>
      </c>
    </row>
    <row r="184" spans="1:9" hidden="1" x14ac:dyDescent="0.25">
      <c r="A184" s="3">
        <v>2188</v>
      </c>
      <c r="B184" s="3">
        <v>113.5037073</v>
      </c>
      <c r="C184" s="3">
        <v>22.97929448</v>
      </c>
      <c r="D184" s="3">
        <v>1</v>
      </c>
      <c r="E184" s="13">
        <f t="shared" si="6"/>
        <v>2.2039604744711914E-2</v>
      </c>
      <c r="F184" s="13">
        <f t="shared" si="7"/>
        <v>6.7359382800701519</v>
      </c>
      <c r="G184" s="14">
        <f>F184/$F$124*$D$2</f>
        <v>1511.2863314859164</v>
      </c>
      <c r="H184" s="14">
        <f>F184/$F$124*$E$2</f>
        <v>1511.2863314859164</v>
      </c>
      <c r="I184" s="25" t="str">
        <f t="shared" si="8"/>
        <v/>
      </c>
    </row>
    <row r="185" spans="1:9" x14ac:dyDescent="0.25">
      <c r="A185" s="3">
        <v>2374</v>
      </c>
      <c r="B185" s="3">
        <v>113.4637354</v>
      </c>
      <c r="C185" s="3">
        <v>22.964669600000001</v>
      </c>
      <c r="D185" s="3">
        <v>1</v>
      </c>
      <c r="E185" s="13">
        <f t="shared" si="6"/>
        <v>2.2731170594188582E-2</v>
      </c>
      <c r="F185" s="13">
        <f t="shared" si="7"/>
        <v>6.6326808323377584</v>
      </c>
      <c r="G185" s="14">
        <f>F185/$F$235*$D$2</f>
        <v>15.542832906453047</v>
      </c>
      <c r="H185" s="14">
        <f>F185/$F$235*$E$2</f>
        <v>15.542832906453047</v>
      </c>
      <c r="I185" s="25" t="str">
        <f t="shared" si="8"/>
        <v>选中</v>
      </c>
    </row>
    <row r="186" spans="1:9" hidden="1" x14ac:dyDescent="0.25">
      <c r="A186" s="3">
        <v>1946</v>
      </c>
      <c r="B186" s="3">
        <v>113.4897639</v>
      </c>
      <c r="C186" s="3">
        <v>22.98883953</v>
      </c>
      <c r="D186" s="3">
        <v>1</v>
      </c>
      <c r="E186" s="13">
        <f t="shared" si="6"/>
        <v>2.3486532618682485E-2</v>
      </c>
      <c r="F186" s="13">
        <f t="shared" si="7"/>
        <v>6.5251507153544601</v>
      </c>
      <c r="G186" s="14">
        <f>F186/$F$124*$D$2</f>
        <v>1463.9936823913481</v>
      </c>
      <c r="H186" s="14">
        <f>F186/$F$124*$E$2</f>
        <v>1463.9936823913481</v>
      </c>
      <c r="I186" s="25" t="str">
        <f t="shared" si="8"/>
        <v/>
      </c>
    </row>
    <row r="187" spans="1:9" hidden="1" x14ac:dyDescent="0.25">
      <c r="A187" s="3">
        <v>3296</v>
      </c>
      <c r="B187" s="3">
        <v>113.4734984</v>
      </c>
      <c r="C187" s="3">
        <v>22.948256270000002</v>
      </c>
      <c r="D187" s="3">
        <v>1</v>
      </c>
      <c r="E187" s="13">
        <f t="shared" si="6"/>
        <v>2.1635380072471642E-2</v>
      </c>
      <c r="F187" s="13">
        <f t="shared" si="7"/>
        <v>6.7985725361344373</v>
      </c>
      <c r="G187" s="14">
        <f>F187/$F$124*$D$2</f>
        <v>1525.3390574963094</v>
      </c>
      <c r="H187" s="14">
        <f>F187/$F$124*$E$2</f>
        <v>1525.3390574963094</v>
      </c>
      <c r="I187" s="25" t="str">
        <f t="shared" si="8"/>
        <v/>
      </c>
    </row>
    <row r="188" spans="1:9" x14ac:dyDescent="0.25">
      <c r="A188" s="3">
        <v>3310</v>
      </c>
      <c r="B188" s="3">
        <v>113.4886711</v>
      </c>
      <c r="C188" s="3">
        <v>22.944569220000002</v>
      </c>
      <c r="D188" s="3">
        <v>1</v>
      </c>
      <c r="E188" s="13">
        <f t="shared" si="6"/>
        <v>2.1136267308842722E-2</v>
      </c>
      <c r="F188" s="13">
        <f t="shared" si="7"/>
        <v>6.8783750681660205</v>
      </c>
      <c r="G188" s="14">
        <f>F188/$F$235*$D$2</f>
        <v>16.118585690295557</v>
      </c>
      <c r="H188" s="14">
        <f>F188/$F$235*$E$2</f>
        <v>16.118585690295557</v>
      </c>
      <c r="I188" s="25" t="str">
        <f t="shared" si="8"/>
        <v>选中</v>
      </c>
    </row>
    <row r="189" spans="1:9" hidden="1" x14ac:dyDescent="0.25">
      <c r="A189" s="3">
        <v>3313</v>
      </c>
      <c r="B189" s="3">
        <v>113.5016832</v>
      </c>
      <c r="C189" s="3">
        <v>22.95056675</v>
      </c>
      <c r="D189" s="3">
        <v>1</v>
      </c>
      <c r="E189" s="13">
        <f t="shared" si="6"/>
        <v>2.1395251372446727E-2</v>
      </c>
      <c r="F189" s="13">
        <f t="shared" si="7"/>
        <v>6.8366178298951557</v>
      </c>
      <c r="G189" s="14">
        <f>F189/$F$124*$D$2</f>
        <v>1533.874962970393</v>
      </c>
      <c r="H189" s="14">
        <f>F189/$F$124*$E$2</f>
        <v>1533.874962970393</v>
      </c>
      <c r="I189" s="25" t="str">
        <f t="shared" si="8"/>
        <v/>
      </c>
    </row>
    <row r="190" spans="1:9" hidden="1" x14ac:dyDescent="0.25">
      <c r="A190" s="3">
        <v>1953</v>
      </c>
      <c r="B190" s="3">
        <v>113.4997742</v>
      </c>
      <c r="C190" s="3">
        <v>22.985163199999999</v>
      </c>
      <c r="D190" s="3">
        <v>1</v>
      </c>
      <c r="E190" s="13">
        <f t="shared" si="6"/>
        <v>2.3680504089708416E-2</v>
      </c>
      <c r="F190" s="13">
        <f t="shared" si="7"/>
        <v>6.4983713944686059</v>
      </c>
      <c r="G190" s="14">
        <f>F190/$F$124*$D$2</f>
        <v>1457.9854293553888</v>
      </c>
      <c r="H190" s="14">
        <f>F190/$F$124*$E$2</f>
        <v>1457.9854293553888</v>
      </c>
      <c r="I190" s="25" t="str">
        <f t="shared" si="8"/>
        <v/>
      </c>
    </row>
    <row r="191" spans="1:9" x14ac:dyDescent="0.25">
      <c r="A191" s="3">
        <v>2809</v>
      </c>
      <c r="B191" s="3">
        <v>113.462586</v>
      </c>
      <c r="C191" s="3">
        <v>22.963677029999999</v>
      </c>
      <c r="D191" s="3">
        <v>1</v>
      </c>
      <c r="E191" s="13">
        <f t="shared" si="6"/>
        <v>2.3938416946158263E-2</v>
      </c>
      <c r="F191" s="13">
        <f t="shared" si="7"/>
        <v>6.4632698176843952</v>
      </c>
      <c r="G191" s="14">
        <f>F191/$F$235*$D$2</f>
        <v>15.145840022303993</v>
      </c>
      <c r="H191" s="14">
        <f>F191/$F$235*$E$2</f>
        <v>15.145840022303993</v>
      </c>
      <c r="I191" s="25" t="str">
        <f t="shared" si="8"/>
        <v>选中</v>
      </c>
    </row>
    <row r="192" spans="1:9" hidden="1" x14ac:dyDescent="0.25">
      <c r="A192" s="3">
        <v>2813</v>
      </c>
      <c r="B192" s="3">
        <v>113.4624747</v>
      </c>
      <c r="C192" s="3">
        <v>22.963076999999998</v>
      </c>
      <c r="D192" s="3">
        <v>1</v>
      </c>
      <c r="E192" s="13">
        <f t="shared" si="6"/>
        <v>2.4104470320922614E-2</v>
      </c>
      <c r="F192" s="13">
        <f t="shared" si="7"/>
        <v>6.4409689224513871</v>
      </c>
      <c r="G192" s="14">
        <f>F192/$F$124*$D$2</f>
        <v>1445.106515127537</v>
      </c>
      <c r="H192" s="14">
        <f>F192/$F$124*$E$2</f>
        <v>1445.106515127537</v>
      </c>
      <c r="I192" s="25" t="str">
        <f t="shared" si="8"/>
        <v/>
      </c>
    </row>
    <row r="193" spans="1:9" hidden="1" x14ac:dyDescent="0.25">
      <c r="A193" s="3">
        <v>3291</v>
      </c>
      <c r="B193" s="3">
        <v>113.4713995</v>
      </c>
      <c r="C193" s="3">
        <v>22.94814543</v>
      </c>
      <c r="D193" s="3">
        <v>1</v>
      </c>
      <c r="E193" s="13">
        <f t="shared" si="6"/>
        <v>2.3037129200534797E-2</v>
      </c>
      <c r="F193" s="13">
        <f t="shared" si="7"/>
        <v>6.5884889365429276</v>
      </c>
      <c r="G193" s="14">
        <f>F193/$F$124*$D$2</f>
        <v>1478.204351189484</v>
      </c>
      <c r="H193" s="14">
        <f>F193/$F$124*$E$2</f>
        <v>1478.204351189484</v>
      </c>
      <c r="I193" s="25" t="str">
        <f t="shared" si="8"/>
        <v/>
      </c>
    </row>
    <row r="194" spans="1:9" x14ac:dyDescent="0.25">
      <c r="A194" s="3">
        <v>15</v>
      </c>
      <c r="B194" s="3">
        <v>113.5092411</v>
      </c>
      <c r="C194" s="3">
        <v>22.969596979999999</v>
      </c>
      <c r="D194" s="3">
        <v>1</v>
      </c>
      <c r="E194" s="13">
        <f t="shared" si="6"/>
        <v>2.3142932481060981E-2</v>
      </c>
      <c r="F194" s="13">
        <f t="shared" si="7"/>
        <v>6.5734112818385482</v>
      </c>
      <c r="G194" s="14">
        <f>F194/$F$235*$D$2</f>
        <v>15.403942351768368</v>
      </c>
      <c r="H194" s="14">
        <f>F194/$F$235*$E$2</f>
        <v>15.403942351768368</v>
      </c>
      <c r="I194" s="25" t="str">
        <f t="shared" si="8"/>
        <v>选中</v>
      </c>
    </row>
    <row r="195" spans="1:9" hidden="1" x14ac:dyDescent="0.25">
      <c r="A195" s="3">
        <v>1951</v>
      </c>
      <c r="B195" s="3">
        <v>113.4961965</v>
      </c>
      <c r="C195" s="3">
        <v>22.988326090000001</v>
      </c>
      <c r="D195" s="3">
        <v>1</v>
      </c>
      <c r="E195" s="13">
        <f t="shared" si="6"/>
        <v>2.4739495146742039E-2</v>
      </c>
      <c r="F195" s="13">
        <f t="shared" si="7"/>
        <v>6.357766645353423</v>
      </c>
      <c r="G195" s="14">
        <f>F195/$F$124*$D$2</f>
        <v>1426.4391136611823</v>
      </c>
      <c r="H195" s="14">
        <f>F195/$F$124*$E$2</f>
        <v>1426.4391136611823</v>
      </c>
      <c r="I195" s="25" t="str">
        <f t="shared" si="8"/>
        <v/>
      </c>
    </row>
    <row r="196" spans="1:9" hidden="1" x14ac:dyDescent="0.25">
      <c r="A196" s="3">
        <v>2815</v>
      </c>
      <c r="B196" s="3">
        <v>113.4620484</v>
      </c>
      <c r="C196" s="3">
        <v>22.962576110000001</v>
      </c>
      <c r="D196" s="3">
        <v>1</v>
      </c>
      <c r="E196" s="13">
        <f t="shared" si="6"/>
        <v>2.4584821893586409E-2</v>
      </c>
      <c r="F196" s="13">
        <f t="shared" si="7"/>
        <v>6.3777349533166028</v>
      </c>
      <c r="G196" s="14">
        <f>F196/$F$124*$D$2</f>
        <v>1430.9192364938015</v>
      </c>
      <c r="H196" s="14">
        <f>F196/$F$124*$E$2</f>
        <v>1430.9192364938015</v>
      </c>
      <c r="I196" s="25" t="str">
        <f t="shared" si="8"/>
        <v/>
      </c>
    </row>
    <row r="197" spans="1:9" x14ac:dyDescent="0.25">
      <c r="A197" s="3">
        <v>3290</v>
      </c>
      <c r="B197" s="3">
        <v>113.4705087</v>
      </c>
      <c r="C197" s="3">
        <v>22.947714130000001</v>
      </c>
      <c r="D197" s="3">
        <v>1</v>
      </c>
      <c r="E197" s="13">
        <f t="shared" ref="E197:E233" si="9">SQRT((B197-$B$2)^2+(C197-$C$2)^2)</f>
        <v>2.3948808952937977E-2</v>
      </c>
      <c r="F197" s="13">
        <f t="shared" ref="F197:F233" si="10">SQRT(1/E197)</f>
        <v>6.4618673756719209</v>
      </c>
      <c r="G197" s="14">
        <f>F197/$F$235*$D$2</f>
        <v>15.142553580153093</v>
      </c>
      <c r="H197" s="14">
        <f>F197/$F$235*$E$2</f>
        <v>15.142553580153093</v>
      </c>
      <c r="I197" s="25" t="str">
        <f t="shared" si="8"/>
        <v>选中</v>
      </c>
    </row>
    <row r="198" spans="1:9" hidden="1" x14ac:dyDescent="0.25">
      <c r="A198" s="3">
        <v>2807</v>
      </c>
      <c r="B198" s="3">
        <v>113.4615901</v>
      </c>
      <c r="C198" s="3">
        <v>22.962395010000002</v>
      </c>
      <c r="D198" s="3">
        <v>1</v>
      </c>
      <c r="E198" s="13">
        <f t="shared" si="9"/>
        <v>2.5062162199371792E-2</v>
      </c>
      <c r="F198" s="13">
        <f t="shared" si="10"/>
        <v>6.3167069880205498</v>
      </c>
      <c r="G198" s="14">
        <f>F198/$F$124*$D$2</f>
        <v>1417.2269005555092</v>
      </c>
      <c r="H198" s="14">
        <f>F198/$F$124*$E$2</f>
        <v>1417.2269005555092</v>
      </c>
      <c r="I198" s="25" t="str">
        <f t="shared" ref="I198:I233" si="11">IF(MOD(ROW()-1,3)=1,"选中","")</f>
        <v/>
      </c>
    </row>
    <row r="199" spans="1:9" hidden="1" x14ac:dyDescent="0.25">
      <c r="A199" s="3">
        <v>3315</v>
      </c>
      <c r="B199" s="3">
        <v>113.50221620000001</v>
      </c>
      <c r="C199" s="3">
        <v>22.94870714</v>
      </c>
      <c r="D199" s="3">
        <v>1</v>
      </c>
      <c r="E199" s="13">
        <f t="shared" si="9"/>
        <v>2.3099956841354432E-2</v>
      </c>
      <c r="F199" s="13">
        <f t="shared" si="10"/>
        <v>6.5795230959924504</v>
      </c>
      <c r="G199" s="14">
        <f>F199/$F$124*$D$2</f>
        <v>1476.1927602706198</v>
      </c>
      <c r="H199" s="14">
        <f>F199/$F$124*$E$2</f>
        <v>1476.1927602706198</v>
      </c>
      <c r="I199" s="25" t="str">
        <f t="shared" si="11"/>
        <v/>
      </c>
    </row>
    <row r="200" spans="1:9" x14ac:dyDescent="0.25">
      <c r="A200" s="3">
        <v>16</v>
      </c>
      <c r="B200" s="3">
        <v>113.5102857</v>
      </c>
      <c r="C200" s="3">
        <v>22.970311720000002</v>
      </c>
      <c r="D200" s="3">
        <v>1</v>
      </c>
      <c r="E200" s="13">
        <f t="shared" si="9"/>
        <v>2.4301175077164158E-2</v>
      </c>
      <c r="F200" s="13">
        <f t="shared" si="10"/>
        <v>6.4148478911986713</v>
      </c>
      <c r="G200" s="14">
        <f>F200/$F$235*$D$2</f>
        <v>15.032369476773328</v>
      </c>
      <c r="H200" s="14">
        <f>F200/$F$235*$E$2</f>
        <v>15.032369476773328</v>
      </c>
      <c r="I200" s="25" t="str">
        <f t="shared" si="11"/>
        <v>选中</v>
      </c>
    </row>
    <row r="201" spans="1:9" hidden="1" x14ac:dyDescent="0.25">
      <c r="A201" s="3">
        <v>1945</v>
      </c>
      <c r="B201" s="3">
        <v>113.4722336</v>
      </c>
      <c r="C201" s="3">
        <v>22.987847729999999</v>
      </c>
      <c r="D201" s="3">
        <v>1</v>
      </c>
      <c r="E201" s="13">
        <f t="shared" si="9"/>
        <v>2.6410861728280579E-2</v>
      </c>
      <c r="F201" s="13">
        <f t="shared" si="10"/>
        <v>6.1533088539725522</v>
      </c>
      <c r="G201" s="14">
        <f>F201/$F$124*$D$2</f>
        <v>1380.5666230545</v>
      </c>
      <c r="H201" s="14">
        <f>F201/$F$124*$E$2</f>
        <v>1380.5666230545</v>
      </c>
      <c r="I201" s="25" t="str">
        <f t="shared" si="11"/>
        <v/>
      </c>
    </row>
    <row r="202" spans="1:9" hidden="1" x14ac:dyDescent="0.25">
      <c r="A202" s="3">
        <v>2806</v>
      </c>
      <c r="B202" s="3">
        <v>113.46082680000001</v>
      </c>
      <c r="C202" s="3">
        <v>22.962398050000001</v>
      </c>
      <c r="D202" s="3">
        <v>1</v>
      </c>
      <c r="E202" s="13">
        <f t="shared" si="9"/>
        <v>2.5819048500660042E-2</v>
      </c>
      <c r="F202" s="13">
        <f t="shared" si="10"/>
        <v>6.2234310644689836</v>
      </c>
      <c r="G202" s="14">
        <f>F202/$F$124*$D$2</f>
        <v>1396.2993589927712</v>
      </c>
      <c r="H202" s="14">
        <f>F202/$F$124*$E$2</f>
        <v>1396.2993589927712</v>
      </c>
      <c r="I202" s="25" t="str">
        <f t="shared" si="11"/>
        <v/>
      </c>
    </row>
    <row r="203" spans="1:9" x14ac:dyDescent="0.25">
      <c r="A203" s="3">
        <v>3293</v>
      </c>
      <c r="B203" s="3">
        <v>113.47145690000001</v>
      </c>
      <c r="C203" s="3">
        <v>22.94579658</v>
      </c>
      <c r="D203" s="3">
        <v>1</v>
      </c>
      <c r="E203" s="13">
        <f t="shared" si="9"/>
        <v>2.4828275828147426E-2</v>
      </c>
      <c r="F203" s="13">
        <f t="shared" si="10"/>
        <v>6.3463894488695534</v>
      </c>
      <c r="G203" s="14">
        <f>F203/$F$235*$D$2</f>
        <v>14.871945938078417</v>
      </c>
      <c r="H203" s="14">
        <f>F203/$F$235*$E$2</f>
        <v>14.871945938078417</v>
      </c>
      <c r="I203" s="25" t="str">
        <f t="shared" si="11"/>
        <v>选中</v>
      </c>
    </row>
    <row r="204" spans="1:9" hidden="1" x14ac:dyDescent="0.25">
      <c r="A204" s="3">
        <v>3882</v>
      </c>
      <c r="B204" s="3">
        <v>113.4803266</v>
      </c>
      <c r="C204" s="3">
        <v>22.94178367</v>
      </c>
      <c r="D204" s="3">
        <v>1</v>
      </c>
      <c r="E204" s="13">
        <f t="shared" si="9"/>
        <v>2.4579047315475479E-2</v>
      </c>
      <c r="F204" s="13">
        <f t="shared" si="10"/>
        <v>6.3784840988248366</v>
      </c>
      <c r="G204" s="14">
        <f>F204/$F$124*$D$2</f>
        <v>1431.0873160277599</v>
      </c>
      <c r="H204" s="14">
        <f>F204/$F$124*$E$2</f>
        <v>1431.0873160277599</v>
      </c>
      <c r="I204" s="25" t="str">
        <f t="shared" si="11"/>
        <v/>
      </c>
    </row>
    <row r="205" spans="1:9" hidden="1" x14ac:dyDescent="0.25">
      <c r="A205" s="3">
        <v>3314</v>
      </c>
      <c r="B205" s="3">
        <v>113.5039292</v>
      </c>
      <c r="C205" s="3">
        <v>22.948580289999999</v>
      </c>
      <c r="D205" s="3">
        <v>1</v>
      </c>
      <c r="E205" s="13">
        <f t="shared" si="9"/>
        <v>2.438981461187921E-2</v>
      </c>
      <c r="F205" s="13">
        <f t="shared" si="10"/>
        <v>6.4031805885928863</v>
      </c>
      <c r="G205" s="14">
        <f>F205/$F$124*$D$2</f>
        <v>1436.6282616050919</v>
      </c>
      <c r="H205" s="14">
        <f>F205/$F$124*$E$2</f>
        <v>1436.6282616050919</v>
      </c>
      <c r="I205" s="25" t="str">
        <f t="shared" si="11"/>
        <v/>
      </c>
    </row>
    <row r="206" spans="1:9" x14ac:dyDescent="0.25">
      <c r="A206" s="3">
        <v>1948</v>
      </c>
      <c r="B206" s="3">
        <v>113.4962063</v>
      </c>
      <c r="C206" s="3">
        <v>22.990819040000002</v>
      </c>
      <c r="D206" s="3">
        <v>1</v>
      </c>
      <c r="E206" s="13">
        <f t="shared" si="9"/>
        <v>2.7052119748999823E-2</v>
      </c>
      <c r="F206" s="13">
        <f t="shared" si="10"/>
        <v>6.0799407832172747</v>
      </c>
      <c r="G206" s="14">
        <f>F206/$F$235*$D$2</f>
        <v>14.247557822161632</v>
      </c>
      <c r="H206" s="14">
        <f>F206/$F$235*$E$2</f>
        <v>14.247557822161632</v>
      </c>
      <c r="I206" s="25" t="str">
        <f t="shared" si="11"/>
        <v>选中</v>
      </c>
    </row>
    <row r="207" spans="1:9" hidden="1" x14ac:dyDescent="0.25">
      <c r="A207" s="3">
        <v>2191</v>
      </c>
      <c r="B207" s="3">
        <v>113.5058013</v>
      </c>
      <c r="C207" s="3">
        <v>22.983603840000001</v>
      </c>
      <c r="D207" s="3">
        <v>1</v>
      </c>
      <c r="E207" s="13">
        <f t="shared" si="9"/>
        <v>2.6440720563902252E-2</v>
      </c>
      <c r="F207" s="13">
        <f t="shared" si="10"/>
        <v>6.1498334846638212</v>
      </c>
      <c r="G207" s="14">
        <f>F207/$F$124*$D$2</f>
        <v>1379.7868834080293</v>
      </c>
      <c r="H207" s="14">
        <f>F207/$F$124*$E$2</f>
        <v>1379.7868834080293</v>
      </c>
      <c r="I207" s="25" t="str">
        <f t="shared" si="11"/>
        <v/>
      </c>
    </row>
    <row r="208" spans="1:9" hidden="1" x14ac:dyDescent="0.25">
      <c r="A208" s="3">
        <v>2192</v>
      </c>
      <c r="B208" s="3">
        <v>113.5058495</v>
      </c>
      <c r="C208" s="3">
        <v>22.98368894</v>
      </c>
      <c r="D208" s="3">
        <v>1</v>
      </c>
      <c r="E208" s="13">
        <f t="shared" si="9"/>
        <v>2.6534000465933398E-2</v>
      </c>
      <c r="F208" s="13">
        <f t="shared" si="10"/>
        <v>6.1390141413158394</v>
      </c>
      <c r="G208" s="14">
        <f>F208/$F$124*$D$2</f>
        <v>1377.3594375144355</v>
      </c>
      <c r="H208" s="14">
        <f>F208/$F$124*$E$2</f>
        <v>1377.3594375144355</v>
      </c>
      <c r="I208" s="25" t="str">
        <f t="shared" si="11"/>
        <v/>
      </c>
    </row>
    <row r="209" spans="1:9" x14ac:dyDescent="0.25">
      <c r="A209" s="3">
        <v>3881</v>
      </c>
      <c r="B209" s="3">
        <v>113.48059550000001</v>
      </c>
      <c r="C209" s="3">
        <v>22.94106876</v>
      </c>
      <c r="D209" s="3">
        <v>1</v>
      </c>
      <c r="E209" s="13">
        <f t="shared" si="9"/>
        <v>2.5208275349772387E-2</v>
      </c>
      <c r="F209" s="13">
        <f t="shared" si="10"/>
        <v>6.2983738166607521</v>
      </c>
      <c r="G209" s="14">
        <f>F209/$F$235*$D$2</f>
        <v>14.759427490834504</v>
      </c>
      <c r="H209" s="14">
        <f>F209/$F$235*$E$2</f>
        <v>14.759427490834504</v>
      </c>
      <c r="I209" s="25" t="str">
        <f t="shared" si="11"/>
        <v>选中</v>
      </c>
    </row>
    <row r="210" spans="1:9" hidden="1" x14ac:dyDescent="0.25">
      <c r="A210" s="3">
        <v>3292</v>
      </c>
      <c r="B210" s="3">
        <v>113.46735270000001</v>
      </c>
      <c r="C210" s="3">
        <v>22.947946389999998</v>
      </c>
      <c r="D210" s="3">
        <v>1</v>
      </c>
      <c r="E210" s="13">
        <f t="shared" si="9"/>
        <v>2.5997417301517431E-2</v>
      </c>
      <c r="F210" s="13">
        <f t="shared" si="10"/>
        <v>6.2020447757957413</v>
      </c>
      <c r="G210" s="14">
        <f>F210/$F$124*$D$2</f>
        <v>1391.50109564634</v>
      </c>
      <c r="H210" s="14">
        <f>F210/$F$124*$E$2</f>
        <v>1391.50109564634</v>
      </c>
      <c r="I210" s="25" t="str">
        <f t="shared" si="11"/>
        <v/>
      </c>
    </row>
    <row r="211" spans="1:9" hidden="1" x14ac:dyDescent="0.25">
      <c r="A211" s="3">
        <v>1952</v>
      </c>
      <c r="B211" s="3">
        <v>113.4999395</v>
      </c>
      <c r="C211" s="3">
        <v>22.989305909999999</v>
      </c>
      <c r="D211" s="3">
        <v>1</v>
      </c>
      <c r="E211" s="13">
        <f t="shared" si="9"/>
        <v>2.7286406288215648E-2</v>
      </c>
      <c r="F211" s="13">
        <f t="shared" si="10"/>
        <v>6.0537827190743378</v>
      </c>
      <c r="G211" s="14">
        <f>F211/$F$124*$D$2</f>
        <v>1358.2367736640558</v>
      </c>
      <c r="H211" s="14">
        <f>F211/$F$124*$E$2</f>
        <v>1358.2367736640558</v>
      </c>
      <c r="I211" s="25" t="str">
        <f t="shared" si="11"/>
        <v/>
      </c>
    </row>
    <row r="212" spans="1:9" x14ac:dyDescent="0.25">
      <c r="A212" s="3">
        <v>3880</v>
      </c>
      <c r="B212" s="3">
        <v>113.4808223</v>
      </c>
      <c r="C212" s="3">
        <v>22.940668590000001</v>
      </c>
      <c r="D212" s="3">
        <v>1</v>
      </c>
      <c r="E212" s="13">
        <f t="shared" si="9"/>
        <v>2.5546779738461596E-2</v>
      </c>
      <c r="F212" s="13">
        <f t="shared" si="10"/>
        <v>6.2565067609761513</v>
      </c>
      <c r="G212" s="14">
        <f>F212/$F$235*$D$2</f>
        <v>14.661317440428002</v>
      </c>
      <c r="H212" s="14">
        <f>F212/$F$235*$E$2</f>
        <v>14.661317440428002</v>
      </c>
      <c r="I212" s="25" t="str">
        <f t="shared" si="11"/>
        <v>选中</v>
      </c>
    </row>
    <row r="213" spans="1:9" hidden="1" x14ac:dyDescent="0.25">
      <c r="A213" s="3">
        <v>3289</v>
      </c>
      <c r="B213" s="3">
        <v>113.4688726</v>
      </c>
      <c r="C213" s="3">
        <v>22.945997349999999</v>
      </c>
      <c r="D213" s="3">
        <v>1</v>
      </c>
      <c r="E213" s="13">
        <f t="shared" si="9"/>
        <v>2.6319157432751743E-2</v>
      </c>
      <c r="F213" s="13">
        <f t="shared" si="10"/>
        <v>6.164019572442001</v>
      </c>
      <c r="G213" s="14">
        <f>F213/$F$124*$D$2</f>
        <v>1382.9696976894272</v>
      </c>
      <c r="H213" s="14">
        <f>F213/$F$124*$E$2</f>
        <v>1382.9696976894272</v>
      </c>
      <c r="I213" s="25" t="str">
        <f t="shared" si="11"/>
        <v/>
      </c>
    </row>
    <row r="214" spans="1:9" hidden="1" x14ac:dyDescent="0.25">
      <c r="A214" s="3">
        <v>1949</v>
      </c>
      <c r="B214" s="3">
        <v>113.4982444</v>
      </c>
      <c r="C214" s="3">
        <v>22.992254549999998</v>
      </c>
      <c r="D214" s="3">
        <v>1</v>
      </c>
      <c r="E214" s="13">
        <f t="shared" si="9"/>
        <v>2.9158988470969521E-2</v>
      </c>
      <c r="F214" s="13">
        <f t="shared" si="10"/>
        <v>5.8561713140749152</v>
      </c>
      <c r="G214" s="14">
        <f>F214/$F$124*$D$2</f>
        <v>1313.9003497088404</v>
      </c>
      <c r="H214" s="14">
        <f>F214/$F$124*$E$2</f>
        <v>1313.9003497088404</v>
      </c>
      <c r="I214" s="25" t="str">
        <f t="shared" si="11"/>
        <v/>
      </c>
    </row>
    <row r="215" spans="1:9" x14ac:dyDescent="0.25">
      <c r="A215" s="3">
        <v>3879</v>
      </c>
      <c r="B215" s="3">
        <v>113.46973250000001</v>
      </c>
      <c r="C215" s="3">
        <v>22.942891029999998</v>
      </c>
      <c r="D215" s="3">
        <v>1</v>
      </c>
      <c r="E215" s="13">
        <f t="shared" si="9"/>
        <v>2.8188148856888525E-2</v>
      </c>
      <c r="F215" s="13">
        <f t="shared" si="10"/>
        <v>5.9561650222820894</v>
      </c>
      <c r="G215" s="14">
        <f>F215/$F$235*$D$2</f>
        <v>13.957505274976638</v>
      </c>
      <c r="H215" s="14">
        <f>F215/$F$235*$E$2</f>
        <v>13.957505274976638</v>
      </c>
      <c r="I215" s="25" t="str">
        <f t="shared" si="11"/>
        <v>选中</v>
      </c>
    </row>
    <row r="216" spans="1:9" hidden="1" x14ac:dyDescent="0.25">
      <c r="A216" s="3">
        <v>1777</v>
      </c>
      <c r="B216" s="3">
        <v>113.4979312</v>
      </c>
      <c r="C216" s="3">
        <v>22.99427073</v>
      </c>
      <c r="D216" s="3">
        <v>1</v>
      </c>
      <c r="E216" s="13">
        <f t="shared" si="9"/>
        <v>3.0895768985258244E-2</v>
      </c>
      <c r="F216" s="13">
        <f t="shared" si="10"/>
        <v>5.6891907524098038</v>
      </c>
      <c r="G216" s="14">
        <f>F216/$F$124*$D$2</f>
        <v>1276.4363127809818</v>
      </c>
      <c r="H216" s="14">
        <f>F216/$F$124*$E$2</f>
        <v>1276.4363127809818</v>
      </c>
      <c r="I216" s="25" t="str">
        <f t="shared" si="11"/>
        <v/>
      </c>
    </row>
    <row r="217" spans="1:9" hidden="1" x14ac:dyDescent="0.25">
      <c r="A217" s="3">
        <v>1776</v>
      </c>
      <c r="B217" s="3">
        <v>113.4949696</v>
      </c>
      <c r="C217" s="3">
        <v>22.996970659999999</v>
      </c>
      <c r="D217" s="3">
        <v>1</v>
      </c>
      <c r="E217" s="13">
        <f t="shared" si="9"/>
        <v>3.2518814922567404E-2</v>
      </c>
      <c r="F217" s="13">
        <f t="shared" si="10"/>
        <v>5.5453970219546846</v>
      </c>
      <c r="G217" s="14">
        <f>F217/$F$124*$D$2</f>
        <v>1244.1745119219738</v>
      </c>
      <c r="H217" s="14">
        <f>F217/$F$124*$E$2</f>
        <v>1244.1745119219738</v>
      </c>
      <c r="I217" s="25" t="str">
        <f t="shared" si="11"/>
        <v/>
      </c>
    </row>
    <row r="218" spans="1:9" x14ac:dyDescent="0.25">
      <c r="A218" s="3">
        <v>2193</v>
      </c>
      <c r="B218" s="3">
        <v>113.51612059999999</v>
      </c>
      <c r="C218" s="3">
        <v>22.981409679999999</v>
      </c>
      <c r="D218" s="3">
        <v>1</v>
      </c>
      <c r="E218" s="13">
        <f t="shared" si="9"/>
        <v>3.3627084887107597E-2</v>
      </c>
      <c r="F218" s="13">
        <f t="shared" si="10"/>
        <v>5.4532497722517812</v>
      </c>
      <c r="G218" s="14">
        <f>F218/$F$235*$D$2</f>
        <v>12.778988187403609</v>
      </c>
      <c r="H218" s="14">
        <f>F218/$F$235*$E$2</f>
        <v>12.778988187403609</v>
      </c>
      <c r="I218" s="25" t="str">
        <f t="shared" si="11"/>
        <v>选中</v>
      </c>
    </row>
    <row r="219" spans="1:9" hidden="1" x14ac:dyDescent="0.25">
      <c r="A219" s="3">
        <v>2195</v>
      </c>
      <c r="B219" s="3">
        <v>113.5194079</v>
      </c>
      <c r="C219" s="3">
        <v>22.975307489999999</v>
      </c>
      <c r="D219" s="3">
        <v>1</v>
      </c>
      <c r="E219" s="13">
        <f t="shared" si="9"/>
        <v>3.436304168999238E-2</v>
      </c>
      <c r="F219" s="13">
        <f t="shared" si="10"/>
        <v>5.3945373020440694</v>
      </c>
      <c r="G219" s="14">
        <f>F219/$F$124*$D$2</f>
        <v>1210.3273739000483</v>
      </c>
      <c r="H219" s="14">
        <f>F219/$F$124*$E$2</f>
        <v>1210.3273739000483</v>
      </c>
      <c r="I219" s="25" t="str">
        <f t="shared" si="11"/>
        <v/>
      </c>
    </row>
    <row r="220" spans="1:9" hidden="1" x14ac:dyDescent="0.25">
      <c r="A220" s="3">
        <v>2194</v>
      </c>
      <c r="B220" s="3">
        <v>113.5193888</v>
      </c>
      <c r="C220" s="3">
        <v>22.97598314</v>
      </c>
      <c r="D220" s="3">
        <v>1</v>
      </c>
      <c r="E220" s="13">
        <f t="shared" si="9"/>
        <v>3.4542004034978806E-2</v>
      </c>
      <c r="F220" s="13">
        <f t="shared" si="10"/>
        <v>5.3805445882001939</v>
      </c>
      <c r="G220" s="14">
        <f>F220/$F$124*$D$2</f>
        <v>1207.1879453166227</v>
      </c>
      <c r="H220" s="14">
        <f>F220/$F$124*$E$2</f>
        <v>1207.1879453166227</v>
      </c>
      <c r="I220" s="25" t="str">
        <f t="shared" si="11"/>
        <v/>
      </c>
    </row>
    <row r="221" spans="1:9" x14ac:dyDescent="0.25">
      <c r="A221" s="3">
        <v>2196</v>
      </c>
      <c r="B221" s="3">
        <v>113.52071119999999</v>
      </c>
      <c r="C221" s="3">
        <v>22.975305070000001</v>
      </c>
      <c r="D221" s="3">
        <v>1</v>
      </c>
      <c r="E221" s="13">
        <f t="shared" si="9"/>
        <v>3.5614371609678744E-2</v>
      </c>
      <c r="F221" s="13">
        <f t="shared" si="10"/>
        <v>5.2989199291791635</v>
      </c>
      <c r="G221" s="14">
        <f>F221/$F$235*$D$2</f>
        <v>12.417336085637791</v>
      </c>
      <c r="H221" s="14">
        <f>F221/$F$235*$E$2</f>
        <v>12.417336085637791</v>
      </c>
      <c r="I221" s="25" t="str">
        <f t="shared" si="11"/>
        <v>选中</v>
      </c>
    </row>
    <row r="222" spans="1:9" hidden="1" x14ac:dyDescent="0.25">
      <c r="A222" s="3">
        <v>1609</v>
      </c>
      <c r="B222" s="3">
        <v>113.4969421</v>
      </c>
      <c r="C222" s="3">
        <v>23.003904599999998</v>
      </c>
      <c r="D222" s="3">
        <v>1</v>
      </c>
      <c r="E222" s="13">
        <f t="shared" si="9"/>
        <v>3.972743148169107E-2</v>
      </c>
      <c r="F222" s="13">
        <f t="shared" si="10"/>
        <v>5.0171230925565409</v>
      </c>
      <c r="G222" s="14">
        <f>F222/$F$124*$D$2</f>
        <v>1125.6500932612591</v>
      </c>
      <c r="H222" s="14">
        <f>F222/$F$124*$E$2</f>
        <v>1125.6500932612591</v>
      </c>
      <c r="I222" s="25" t="str">
        <f t="shared" si="11"/>
        <v/>
      </c>
    </row>
    <row r="223" spans="1:9" hidden="1" x14ac:dyDescent="0.25">
      <c r="A223" s="3">
        <v>2473</v>
      </c>
      <c r="B223" s="3">
        <v>113.52536569999999</v>
      </c>
      <c r="C223" s="3">
        <v>22.964337279999999</v>
      </c>
      <c r="D223" s="3">
        <v>1</v>
      </c>
      <c r="E223" s="13">
        <f t="shared" si="9"/>
        <v>3.8937800390248294E-2</v>
      </c>
      <c r="F223" s="13">
        <f t="shared" si="10"/>
        <v>5.0677396201193652</v>
      </c>
      <c r="G223" s="14">
        <f>F223/$F$124*$D$2</f>
        <v>1137.006501689066</v>
      </c>
      <c r="H223" s="14">
        <f>F223/$F$124*$E$2</f>
        <v>1137.006501689066</v>
      </c>
      <c r="I223" s="25" t="str">
        <f t="shared" si="11"/>
        <v/>
      </c>
    </row>
    <row r="224" spans="1:9" x14ac:dyDescent="0.25">
      <c r="A224" s="3">
        <v>20</v>
      </c>
      <c r="B224" s="3">
        <v>113.5079834</v>
      </c>
      <c r="C224" s="3">
        <v>22.93101871</v>
      </c>
      <c r="D224" s="3">
        <v>1</v>
      </c>
      <c r="E224" s="13">
        <f t="shared" si="9"/>
        <v>4.0728694417717128E-2</v>
      </c>
      <c r="F224" s="13">
        <f t="shared" si="10"/>
        <v>4.9550695608420163</v>
      </c>
      <c r="G224" s="14">
        <f>F224/$F$235*$D$2</f>
        <v>11.61156705272581</v>
      </c>
      <c r="H224" s="14">
        <f>F224/$F$235*$E$2</f>
        <v>11.61156705272581</v>
      </c>
      <c r="I224" s="25" t="str">
        <f t="shared" si="11"/>
        <v>选中</v>
      </c>
    </row>
    <row r="225" spans="1:9" hidden="1" x14ac:dyDescent="0.25">
      <c r="A225" s="3">
        <v>22</v>
      </c>
      <c r="B225" s="3">
        <v>113.4794038</v>
      </c>
      <c r="C225" s="3">
        <v>22.921161649999998</v>
      </c>
      <c r="D225" s="3">
        <v>1</v>
      </c>
      <c r="E225" s="13">
        <f t="shared" si="9"/>
        <v>4.4981591136820147E-2</v>
      </c>
      <c r="F225" s="13">
        <f t="shared" si="10"/>
        <v>4.7150097284409158</v>
      </c>
      <c r="G225" s="14">
        <f>F225/$F$124*$D$2</f>
        <v>1057.8674357066211</v>
      </c>
      <c r="H225" s="14">
        <f>F225/$F$124*$E$2</f>
        <v>1057.8674357066211</v>
      </c>
      <c r="I225" s="25" t="str">
        <f t="shared" si="11"/>
        <v/>
      </c>
    </row>
    <row r="226" spans="1:9" hidden="1" x14ac:dyDescent="0.25">
      <c r="A226" s="3">
        <v>4354</v>
      </c>
      <c r="B226" s="3">
        <v>113.51186920000001</v>
      </c>
      <c r="C226" s="3">
        <v>22.922863450000001</v>
      </c>
      <c r="D226" s="3">
        <v>1</v>
      </c>
      <c r="E226" s="13">
        <f t="shared" si="9"/>
        <v>4.9715650900701507E-2</v>
      </c>
      <c r="F226" s="13">
        <f t="shared" si="10"/>
        <v>4.4849069304258276</v>
      </c>
      <c r="G226" s="14">
        <f>F226/$F$124*$D$2</f>
        <v>1006.2411886987214</v>
      </c>
      <c r="H226" s="14">
        <f>F226/$F$124*$E$2</f>
        <v>1006.2411886987214</v>
      </c>
      <c r="I226" s="25" t="str">
        <f t="shared" si="11"/>
        <v/>
      </c>
    </row>
    <row r="227" spans="1:9" x14ac:dyDescent="0.25">
      <c r="A227" s="3">
        <v>4353</v>
      </c>
      <c r="B227" s="3">
        <v>113.5134346</v>
      </c>
      <c r="C227" s="3">
        <v>22.9215585</v>
      </c>
      <c r="D227" s="3">
        <v>1</v>
      </c>
      <c r="E227" s="13">
        <f t="shared" si="9"/>
        <v>5.1641993228597777E-2</v>
      </c>
      <c r="F227" s="13">
        <f t="shared" si="10"/>
        <v>4.4004642978878596</v>
      </c>
      <c r="G227" s="14">
        <f>F227/$F$235*$D$2</f>
        <v>10.31192108014889</v>
      </c>
      <c r="H227" s="14">
        <f>F227/$F$235*$E$2</f>
        <v>10.31192108014889</v>
      </c>
      <c r="I227" s="25" t="str">
        <f t="shared" si="11"/>
        <v>选中</v>
      </c>
    </row>
    <row r="228" spans="1:9" hidden="1" x14ac:dyDescent="0.25">
      <c r="A228" s="3">
        <v>4352</v>
      </c>
      <c r="B228" s="3">
        <v>113.52049599999999</v>
      </c>
      <c r="C228" s="3">
        <v>22.92130641</v>
      </c>
      <c r="D228" s="3">
        <v>1</v>
      </c>
      <c r="E228" s="13">
        <f t="shared" si="9"/>
        <v>5.5858281908643601E-2</v>
      </c>
      <c r="F228" s="13">
        <f t="shared" si="10"/>
        <v>4.231128481676742</v>
      </c>
      <c r="G228" s="14">
        <f>F228/$F$124*$D$2</f>
        <v>949.30303325941759</v>
      </c>
      <c r="H228" s="14">
        <f>F228/$F$124*$E$2</f>
        <v>949.30303325941759</v>
      </c>
      <c r="I228" s="25" t="str">
        <f t="shared" si="11"/>
        <v/>
      </c>
    </row>
    <row r="229" spans="1:9" hidden="1" x14ac:dyDescent="0.25">
      <c r="A229" s="3">
        <v>4504</v>
      </c>
      <c r="B229" s="3">
        <v>113.5180355</v>
      </c>
      <c r="C229" s="3">
        <v>22.912395320000002</v>
      </c>
      <c r="D229" s="3">
        <v>1</v>
      </c>
      <c r="E229" s="13">
        <f t="shared" si="9"/>
        <v>6.1864836201470097E-2</v>
      </c>
      <c r="F229" s="13">
        <f t="shared" si="10"/>
        <v>4.02048148359862</v>
      </c>
      <c r="G229" s="14">
        <f>F229/$F$124*$D$2</f>
        <v>902.04192192977371</v>
      </c>
      <c r="H229" s="14">
        <f>F229/$F$124*$E$2</f>
        <v>902.04192192977371</v>
      </c>
      <c r="I229" s="25" t="str">
        <f t="shared" si="11"/>
        <v/>
      </c>
    </row>
    <row r="230" spans="1:9" x14ac:dyDescent="0.25">
      <c r="A230" s="3">
        <v>4503</v>
      </c>
      <c r="B230" s="3">
        <v>113.5185173</v>
      </c>
      <c r="C230" s="3">
        <v>22.909633800000002</v>
      </c>
      <c r="D230" s="3">
        <v>1</v>
      </c>
      <c r="E230" s="13">
        <f t="shared" si="9"/>
        <v>6.4492949050981491E-2</v>
      </c>
      <c r="F230" s="13">
        <f t="shared" si="10"/>
        <v>3.9377113901480683</v>
      </c>
      <c r="G230" s="14">
        <f>F230/$F$235*$D$2</f>
        <v>9.2275192667964774</v>
      </c>
      <c r="H230" s="14">
        <f>F230/$F$235*$E$2</f>
        <v>9.2275192667964774</v>
      </c>
      <c r="I230" s="25" t="str">
        <f t="shared" si="11"/>
        <v>选中</v>
      </c>
    </row>
    <row r="231" spans="1:9" hidden="1" x14ac:dyDescent="0.25">
      <c r="A231" s="3">
        <v>4505</v>
      </c>
      <c r="B231" s="3">
        <v>113.5135461</v>
      </c>
      <c r="C231" s="3">
        <v>22.904526870000002</v>
      </c>
      <c r="D231" s="3">
        <v>1</v>
      </c>
      <c r="E231" s="13">
        <f t="shared" si="9"/>
        <v>6.680418513172931E-2</v>
      </c>
      <c r="F231" s="13">
        <f t="shared" si="10"/>
        <v>3.8689949650660522</v>
      </c>
      <c r="G231" s="14">
        <f>F231/$F$124*$D$2</f>
        <v>868.05415432506902</v>
      </c>
      <c r="H231" s="14">
        <f>F231/$F$124*$E$2</f>
        <v>868.05415432506902</v>
      </c>
      <c r="I231" s="25" t="str">
        <f t="shared" si="11"/>
        <v/>
      </c>
    </row>
    <row r="232" spans="1:9" hidden="1" x14ac:dyDescent="0.25">
      <c r="A232" s="3">
        <v>4355</v>
      </c>
      <c r="B232" s="3">
        <v>113.54026930000001</v>
      </c>
      <c r="C232" s="3">
        <v>22.92063096</v>
      </c>
      <c r="D232" s="3">
        <v>1</v>
      </c>
      <c r="E232" s="13">
        <f t="shared" si="9"/>
        <v>7.0127671127986943E-2</v>
      </c>
      <c r="F232" s="13">
        <f t="shared" si="10"/>
        <v>3.7762026413554799</v>
      </c>
      <c r="G232" s="14">
        <f>F232/$F$124*$D$2</f>
        <v>847.23511402811073</v>
      </c>
      <c r="H232" s="14">
        <f>F232/$F$124*$E$2</f>
        <v>847.23511402811073</v>
      </c>
      <c r="I232" s="25" t="str">
        <f t="shared" si="11"/>
        <v/>
      </c>
    </row>
    <row r="233" spans="1:9" x14ac:dyDescent="0.25">
      <c r="A233" s="3">
        <v>4535</v>
      </c>
      <c r="B233" s="3">
        <v>113.550009</v>
      </c>
      <c r="C233" s="3">
        <v>22.872560310000001</v>
      </c>
      <c r="D233" s="3">
        <v>1</v>
      </c>
      <c r="E233" s="13">
        <f t="shared" si="9"/>
        <v>0.11266853305889937</v>
      </c>
      <c r="F233" s="13">
        <f t="shared" si="10"/>
        <v>2.979193282643982</v>
      </c>
      <c r="G233" s="14">
        <f>F233/$F$235*$D$2</f>
        <v>6.9813555873820059</v>
      </c>
      <c r="H233" s="14">
        <f>F233/$F$235*$E$2</f>
        <v>6.9813555873820059</v>
      </c>
      <c r="I233" s="25" t="str">
        <f t="shared" si="11"/>
        <v>选中</v>
      </c>
    </row>
    <row r="234" spans="1:9" x14ac:dyDescent="0.25">
      <c r="A234" s="3"/>
      <c r="B234" s="3"/>
      <c r="C234" s="3"/>
      <c r="D234" s="3"/>
      <c r="G234" s="14"/>
      <c r="H234" s="14"/>
    </row>
    <row r="235" spans="1:9" x14ac:dyDescent="0.25">
      <c r="A235" s="3"/>
      <c r="B235" s="3"/>
      <c r="C235" s="3"/>
      <c r="D235" s="3"/>
      <c r="F235" s="13">
        <f>SUBTOTAL(9,F5:F233)</f>
        <v>761.72312711458574</v>
      </c>
      <c r="G235" s="13">
        <f>SUBTOTAL(9,G5:G233)</f>
        <v>1784.9999999999998</v>
      </c>
      <c r="H235" s="13">
        <f>SUBTOTAL(9,H5:H233)</f>
        <v>1784.9999999999998</v>
      </c>
    </row>
    <row r="236" spans="1:9" x14ac:dyDescent="0.25">
      <c r="A236" s="3"/>
      <c r="B236" s="3"/>
      <c r="C236" s="3"/>
      <c r="D236" s="3"/>
      <c r="G236" s="14"/>
      <c r="H236" s="14"/>
    </row>
    <row r="237" spans="1:9" x14ac:dyDescent="0.25">
      <c r="A237" s="3"/>
      <c r="B237" s="3"/>
      <c r="C237" s="3"/>
      <c r="D237" s="3"/>
      <c r="G237" s="14"/>
      <c r="H237" s="14"/>
    </row>
    <row r="238" spans="1:9" x14ac:dyDescent="0.25">
      <c r="A238" s="3"/>
      <c r="B238" s="3"/>
      <c r="C238" s="3"/>
      <c r="D238" s="3"/>
      <c r="G238" s="14"/>
      <c r="H238" s="14"/>
    </row>
    <row r="239" spans="1:9" x14ac:dyDescent="0.25">
      <c r="A239" s="3"/>
      <c r="B239" s="3"/>
      <c r="C239" s="3"/>
      <c r="D239" s="3"/>
      <c r="G239" s="14"/>
      <c r="H239" s="14"/>
    </row>
    <row r="240" spans="1:9" x14ac:dyDescent="0.25">
      <c r="A240" s="3"/>
      <c r="B240" s="3"/>
      <c r="C240" s="3"/>
      <c r="D240" s="3"/>
      <c r="G240" s="14"/>
      <c r="H240" s="14"/>
    </row>
    <row r="241" spans="1:8" x14ac:dyDescent="0.25">
      <c r="A241" s="3"/>
      <c r="B241" s="3"/>
      <c r="C241" s="3"/>
      <c r="D241" s="3"/>
      <c r="G241" s="14"/>
      <c r="H241" s="14"/>
    </row>
    <row r="242" spans="1:8" x14ac:dyDescent="0.25">
      <c r="A242" s="3"/>
      <c r="B242" s="3"/>
      <c r="C242" s="3"/>
      <c r="D242" s="3"/>
      <c r="G242" s="14"/>
      <c r="H242" s="14"/>
    </row>
    <row r="243" spans="1:8" x14ac:dyDescent="0.25">
      <c r="A243" s="3"/>
      <c r="B243" s="3"/>
      <c r="C243" s="3"/>
      <c r="D243" s="3"/>
      <c r="G243" s="14"/>
      <c r="H243" s="14"/>
    </row>
    <row r="244" spans="1:8" x14ac:dyDescent="0.25">
      <c r="A244" s="3"/>
      <c r="B244" s="3"/>
      <c r="C244" s="3"/>
      <c r="D244" s="3"/>
      <c r="G244" s="14"/>
      <c r="H244" s="14"/>
    </row>
    <row r="245" spans="1:8" x14ac:dyDescent="0.25">
      <c r="A245" s="3"/>
      <c r="B245" s="3"/>
      <c r="C245" s="3"/>
      <c r="D245" s="3"/>
      <c r="G245" s="14"/>
      <c r="H245" s="14"/>
    </row>
    <row r="247" spans="1:8" x14ac:dyDescent="0.25">
      <c r="A247" s="3"/>
      <c r="G247" s="14"/>
      <c r="H247" s="14"/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A14A1F-246A-425E-B911-2CC181A600AC}">
  <sheetPr/>
  <dimension ref="A1:I247"/>
  <sheetViews>
    <sheetView zoomScale="115" zoomScaleNormal="115" workbookViewId="0">
      <selection activeCell="A5" sqref="A5:H77"/>
    </sheetView>
  </sheetViews>
  <sheetFormatPr defaultRowHeight="15" x14ac:dyDescent="0.25"/>
  <cols>
    <col min="1" max="1" width="8.875" style="4" customWidth="1"/>
    <col min="2" max="3" width="15.125" style="4" customWidth="1"/>
    <col min="4" max="4" width="10.25" style="4" customWidth="1"/>
    <col min="5" max="5" width="12" style="13" customWidth="1"/>
    <col min="6" max="6" width="15" style="13" customWidth="1"/>
    <col min="7" max="7" width="13.875" customWidth="1"/>
    <col min="8" max="8" width="11.125" customWidth="1"/>
    <col min="11" max="12" width="15.125" customWidth="1"/>
    <col min="13" max="13" width="11.125" customWidth="1"/>
  </cols>
  <sheetData>
    <row r="1" spans="1:9" ht="14.25" x14ac:dyDescent="0.2">
      <c r="A1" s="2" t="s">
        <v>12</v>
      </c>
      <c r="B1" s="2" t="s">
        <v>4</v>
      </c>
      <c r="C1" s="2" t="s">
        <v>5</v>
      </c>
      <c r="D1" s="2" t="s">
        <v>13</v>
      </c>
      <c r="E1" s="2" t="s">
        <v>14</v>
      </c>
      <c r="F1" s="2" t="s">
        <v>15</v>
      </c>
      <c r="G1" s="2" t="s">
        <v>16</v>
      </c>
    </row>
    <row r="2" spans="1:9" x14ac:dyDescent="0.25">
      <c r="A2" s="3">
        <v>2</v>
      </c>
      <c r="B2" s="3">
        <v>113.34630060000001</v>
      </c>
      <c r="C2" s="3">
        <v>22.9792846</v>
      </c>
      <c r="D2" s="3">
        <v>1750</v>
      </c>
      <c r="E2" s="13">
        <v>1750</v>
      </c>
      <c r="F2" s="13">
        <v>6</v>
      </c>
      <c r="G2" s="19">
        <f>SUBTOTAL(2,A5:A250)</f>
        <v>25</v>
      </c>
    </row>
    <row r="3" spans="1:9" x14ac:dyDescent="0.25">
      <c r="A3" s="3"/>
      <c r="B3" s="3"/>
      <c r="C3" s="3"/>
      <c r="D3" s="3"/>
    </row>
    <row r="4" spans="1:9" ht="14.25" x14ac:dyDescent="0.2">
      <c r="A4" s="2" t="s">
        <v>0</v>
      </c>
      <c r="B4" s="2" t="s">
        <v>1</v>
      </c>
      <c r="C4" s="2" t="s">
        <v>2</v>
      </c>
      <c r="D4" s="2" t="s">
        <v>3</v>
      </c>
      <c r="E4" s="2" t="s">
        <v>7</v>
      </c>
      <c r="F4" s="2" t="s">
        <v>8</v>
      </c>
      <c r="G4" s="2" t="s">
        <v>13</v>
      </c>
      <c r="H4" s="2" t="s">
        <v>14</v>
      </c>
      <c r="I4" s="24" t="s">
        <v>20</v>
      </c>
    </row>
    <row r="5" spans="1:9" x14ac:dyDescent="0.25">
      <c r="A5" s="3">
        <v>2058</v>
      </c>
      <c r="B5" s="3">
        <v>113.34697749999999</v>
      </c>
      <c r="C5" s="3">
        <v>22.980087449999999</v>
      </c>
      <c r="D5" s="3">
        <v>2</v>
      </c>
      <c r="E5" s="13">
        <f t="shared" ref="E5:E36" si="0">SQRT((B5-$B$2)^2+(C5-$C$2)^2)</f>
        <v>1.050124627119364E-3</v>
      </c>
      <c r="F5" s="13">
        <f t="shared" ref="F5:F36" si="1">SQRT(1/E5)</f>
        <v>30.858838690484404</v>
      </c>
      <c r="G5" s="14">
        <f>F5/$F$80*$D$2</f>
        <v>154.65672439950052</v>
      </c>
      <c r="H5" s="14">
        <f>F5/$F$80*$E$2</f>
        <v>154.65672439950052</v>
      </c>
      <c r="I5" s="25" t="str">
        <f>IF(MOD(ROW()-1,3)=1,"选中","")</f>
        <v>选中</v>
      </c>
    </row>
    <row r="6" spans="1:9" hidden="1" x14ac:dyDescent="0.25">
      <c r="A6" s="3">
        <v>2064</v>
      </c>
      <c r="B6" s="3">
        <v>113.34811550000001</v>
      </c>
      <c r="C6" s="3">
        <v>22.979373859999999</v>
      </c>
      <c r="D6" s="3">
        <v>2</v>
      </c>
      <c r="E6" s="13">
        <f t="shared" si="0"/>
        <v>1.8170936568040986E-3</v>
      </c>
      <c r="F6" s="13">
        <f t="shared" si="1"/>
        <v>23.459099853544501</v>
      </c>
      <c r="G6" s="14" t="e">
        <f>F6/$F$124*$D$2</f>
        <v>#DIV/0!</v>
      </c>
      <c r="H6" s="14" t="e">
        <f>F6/$F$124*$E$2</f>
        <v>#DIV/0!</v>
      </c>
      <c r="I6" s="25" t="str">
        <f t="shared" ref="I6:I69" si="2">IF(MOD(ROW()-1,3)=1,"选中","")</f>
        <v/>
      </c>
    </row>
    <row r="7" spans="1:9" hidden="1" x14ac:dyDescent="0.25">
      <c r="A7" s="3">
        <v>2057</v>
      </c>
      <c r="B7" s="3">
        <v>113.34756160000001</v>
      </c>
      <c r="C7" s="3">
        <v>22.977825450000001</v>
      </c>
      <c r="D7" s="3">
        <v>2</v>
      </c>
      <c r="E7" s="13">
        <f t="shared" si="0"/>
        <v>1.9285330493655282E-3</v>
      </c>
      <c r="F7" s="13">
        <f t="shared" si="1"/>
        <v>22.771228280726788</v>
      </c>
      <c r="G7" s="14" t="e">
        <f>F7/$F$124*$D$2</f>
        <v>#DIV/0!</v>
      </c>
      <c r="H7" s="14" t="e">
        <f>F7/$F$124*$E$2</f>
        <v>#DIV/0!</v>
      </c>
      <c r="I7" s="25" t="str">
        <f t="shared" si="2"/>
        <v/>
      </c>
    </row>
    <row r="8" spans="1:9" x14ac:dyDescent="0.25">
      <c r="A8" s="3">
        <v>2061</v>
      </c>
      <c r="B8" s="3">
        <v>113.344537</v>
      </c>
      <c r="C8" s="3">
        <v>22.978115460000001</v>
      </c>
      <c r="D8" s="3">
        <v>2</v>
      </c>
      <c r="E8" s="13">
        <f t="shared" si="0"/>
        <v>2.11593319828616E-3</v>
      </c>
      <c r="F8" s="13">
        <f t="shared" si="1"/>
        <v>21.739473592995243</v>
      </c>
      <c r="G8" s="14">
        <f>F8/$F$80*$D$2</f>
        <v>108.95276422371769</v>
      </c>
      <c r="H8" s="14">
        <f>F8/$F$80*$E$2</f>
        <v>108.95276422371769</v>
      </c>
      <c r="I8" s="25" t="str">
        <f t="shared" si="2"/>
        <v>选中</v>
      </c>
    </row>
    <row r="9" spans="1:9" hidden="1" x14ac:dyDescent="0.25">
      <c r="A9" s="3">
        <v>2056</v>
      </c>
      <c r="B9" s="3">
        <v>113.34846090000001</v>
      </c>
      <c r="C9" s="3">
        <v>22.979775109999999</v>
      </c>
      <c r="D9" s="3">
        <v>2</v>
      </c>
      <c r="E9" s="13">
        <f t="shared" si="0"/>
        <v>2.2152869227480081E-3</v>
      </c>
      <c r="F9" s="13">
        <f t="shared" si="1"/>
        <v>21.246383099950155</v>
      </c>
      <c r="G9" s="14" t="e">
        <f>F9/$F$124*$D$2</f>
        <v>#DIV/0!</v>
      </c>
      <c r="H9" s="14" t="e">
        <f>F9/$F$124*$E$2</f>
        <v>#DIV/0!</v>
      </c>
      <c r="I9" s="25" t="str">
        <f t="shared" si="2"/>
        <v/>
      </c>
    </row>
    <row r="10" spans="1:9" hidden="1" x14ac:dyDescent="0.25">
      <c r="A10" s="3">
        <v>2062</v>
      </c>
      <c r="B10" s="3">
        <v>113.3485238</v>
      </c>
      <c r="C10" s="3">
        <v>22.980469710000001</v>
      </c>
      <c r="D10" s="3">
        <v>2</v>
      </c>
      <c r="E10" s="13">
        <f t="shared" si="0"/>
        <v>2.5193459373524327E-3</v>
      </c>
      <c r="F10" s="13">
        <f t="shared" si="1"/>
        <v>19.923062492210381</v>
      </c>
      <c r="G10" s="14" t="e">
        <f>F10/$F$124*$D$2</f>
        <v>#DIV/0!</v>
      </c>
      <c r="H10" s="14" t="e">
        <f>F10/$F$124*$E$2</f>
        <v>#DIV/0!</v>
      </c>
      <c r="I10" s="25" t="str">
        <f t="shared" si="2"/>
        <v/>
      </c>
    </row>
    <row r="11" spans="1:9" x14ac:dyDescent="0.25">
      <c r="A11" s="3">
        <v>2074</v>
      </c>
      <c r="B11" s="3">
        <v>113.3439721</v>
      </c>
      <c r="C11" s="3">
        <v>22.978143419999999</v>
      </c>
      <c r="D11" s="3">
        <v>2</v>
      </c>
      <c r="E11" s="13">
        <f t="shared" si="0"/>
        <v>2.5931070248686574E-3</v>
      </c>
      <c r="F11" s="13">
        <f t="shared" si="1"/>
        <v>19.637661927360202</v>
      </c>
      <c r="G11" s="14">
        <f>F11/$F$80*$D$2</f>
        <v>98.419013722860115</v>
      </c>
      <c r="H11" s="14">
        <f>F11/$F$80*$E$2</f>
        <v>98.419013722860115</v>
      </c>
      <c r="I11" s="25" t="str">
        <f t="shared" si="2"/>
        <v>选中</v>
      </c>
    </row>
    <row r="12" spans="1:9" hidden="1" x14ac:dyDescent="0.25">
      <c r="A12" s="3">
        <v>2063</v>
      </c>
      <c r="B12" s="3">
        <v>113.348386</v>
      </c>
      <c r="C12" s="3">
        <v>22.981013699999998</v>
      </c>
      <c r="D12" s="3">
        <v>2</v>
      </c>
      <c r="E12" s="13">
        <f t="shared" si="0"/>
        <v>2.7089998098909465E-3</v>
      </c>
      <c r="F12" s="13">
        <f t="shared" si="1"/>
        <v>19.213014597628813</v>
      </c>
      <c r="G12" s="14" t="e">
        <f>F12/$F$124*$D$2</f>
        <v>#DIV/0!</v>
      </c>
      <c r="H12" s="14" t="e">
        <f>F12/$F$124*$E$2</f>
        <v>#DIV/0!</v>
      </c>
      <c r="I12" s="25" t="str">
        <f t="shared" si="2"/>
        <v/>
      </c>
    </row>
    <row r="13" spans="1:9" hidden="1" x14ac:dyDescent="0.25">
      <c r="A13" s="3">
        <v>2070</v>
      </c>
      <c r="B13" s="3">
        <v>113.3438544</v>
      </c>
      <c r="C13" s="3">
        <v>22.977014109999999</v>
      </c>
      <c r="D13" s="3">
        <v>2</v>
      </c>
      <c r="E13" s="13">
        <f t="shared" si="0"/>
        <v>3.3375169333121281E-3</v>
      </c>
      <c r="F13" s="13">
        <f t="shared" si="1"/>
        <v>17.309648984808408</v>
      </c>
      <c r="G13" s="14" t="e">
        <f>F13/$F$124*$D$2</f>
        <v>#DIV/0!</v>
      </c>
      <c r="H13" s="14" t="e">
        <f>F13/$F$124*$E$2</f>
        <v>#DIV/0!</v>
      </c>
      <c r="I13" s="25" t="str">
        <f t="shared" si="2"/>
        <v/>
      </c>
    </row>
    <row r="14" spans="1:9" x14ac:dyDescent="0.25">
      <c r="A14" s="3">
        <v>2060</v>
      </c>
      <c r="B14" s="3">
        <v>113.34716349999999</v>
      </c>
      <c r="C14" s="3">
        <v>22.975953919999998</v>
      </c>
      <c r="D14" s="3">
        <v>2</v>
      </c>
      <c r="E14" s="13">
        <f t="shared" si="0"/>
        <v>3.4406432062023102E-3</v>
      </c>
      <c r="F14" s="13">
        <f t="shared" si="1"/>
        <v>17.048264731372139</v>
      </c>
      <c r="G14" s="14">
        <f>F14/$F$80*$D$2</f>
        <v>85.441607394725878</v>
      </c>
      <c r="H14" s="14">
        <f>F14/$F$80*$E$2</f>
        <v>85.441607394725878</v>
      </c>
      <c r="I14" s="25" t="str">
        <f t="shared" si="2"/>
        <v>选中</v>
      </c>
    </row>
    <row r="15" spans="1:9" hidden="1" x14ac:dyDescent="0.25">
      <c r="A15" s="3">
        <v>2065</v>
      </c>
      <c r="B15" s="3">
        <v>113.3496748</v>
      </c>
      <c r="C15" s="3">
        <v>22.979982029999999</v>
      </c>
      <c r="D15" s="3">
        <v>2</v>
      </c>
      <c r="E15" s="13">
        <f t="shared" si="0"/>
        <v>3.4455237983320019E-3</v>
      </c>
      <c r="F15" s="13">
        <f t="shared" si="1"/>
        <v>17.036185999999095</v>
      </c>
      <c r="G15" s="14" t="e">
        <f>F15/$F$124*$D$2</f>
        <v>#DIV/0!</v>
      </c>
      <c r="H15" s="14" t="e">
        <f>F15/$F$124*$E$2</f>
        <v>#DIV/0!</v>
      </c>
      <c r="I15" s="25" t="str">
        <f t="shared" si="2"/>
        <v/>
      </c>
    </row>
    <row r="16" spans="1:9" hidden="1" x14ac:dyDescent="0.25">
      <c r="A16" s="3">
        <v>2068</v>
      </c>
      <c r="B16" s="3">
        <v>113.3487403</v>
      </c>
      <c r="C16" s="3">
        <v>22.981833760000001</v>
      </c>
      <c r="D16" s="3">
        <v>2</v>
      </c>
      <c r="E16" s="13">
        <f t="shared" si="0"/>
        <v>3.5285057454378143E-3</v>
      </c>
      <c r="F16" s="13">
        <f t="shared" si="1"/>
        <v>16.834669145029398</v>
      </c>
      <c r="G16" s="14" t="e">
        <f>F16/$F$124*$D$2</f>
        <v>#DIV/0!</v>
      </c>
      <c r="H16" s="14" t="e">
        <f>F16/$F$124*$E$2</f>
        <v>#DIV/0!</v>
      </c>
      <c r="I16" s="25" t="str">
        <f t="shared" si="2"/>
        <v/>
      </c>
    </row>
    <row r="17" spans="1:9" x14ac:dyDescent="0.25">
      <c r="A17" s="3">
        <v>2066</v>
      </c>
      <c r="B17" s="3">
        <v>113.34976760000001</v>
      </c>
      <c r="C17" s="3">
        <v>22.980407700000001</v>
      </c>
      <c r="D17" s="3">
        <v>2</v>
      </c>
      <c r="E17" s="13">
        <f t="shared" si="0"/>
        <v>3.6443713600573043E-3</v>
      </c>
      <c r="F17" s="13">
        <f t="shared" si="1"/>
        <v>16.564895005303519</v>
      </c>
      <c r="G17" s="14">
        <f>F17/$F$80*$D$2</f>
        <v>83.019080116318989</v>
      </c>
      <c r="H17" s="14">
        <f>F17/$F$80*$E$2</f>
        <v>83.019080116318989</v>
      </c>
      <c r="I17" s="25" t="str">
        <f t="shared" si="2"/>
        <v>选中</v>
      </c>
    </row>
    <row r="18" spans="1:9" hidden="1" x14ac:dyDescent="0.25">
      <c r="A18" s="3">
        <v>2077</v>
      </c>
      <c r="B18" s="3">
        <v>113.3434441</v>
      </c>
      <c r="C18" s="3">
        <v>22.976956850000001</v>
      </c>
      <c r="D18" s="3">
        <v>2</v>
      </c>
      <c r="E18" s="13">
        <f t="shared" si="0"/>
        <v>3.6848354525727501E-3</v>
      </c>
      <c r="F18" s="13">
        <f t="shared" si="1"/>
        <v>16.47369232295247</v>
      </c>
      <c r="G18" s="14" t="e">
        <f>F18/$F$124*$D$2</f>
        <v>#DIV/0!</v>
      </c>
      <c r="H18" s="14" t="e">
        <f>F18/$F$124*$E$2</f>
        <v>#DIV/0!</v>
      </c>
      <c r="I18" s="25" t="str">
        <f t="shared" si="2"/>
        <v/>
      </c>
    </row>
    <row r="19" spans="1:9" hidden="1" x14ac:dyDescent="0.25">
      <c r="A19" s="3">
        <v>2059</v>
      </c>
      <c r="B19" s="3">
        <v>113.3468575</v>
      </c>
      <c r="C19" s="3">
        <v>22.983262280000002</v>
      </c>
      <c r="D19" s="3">
        <v>2</v>
      </c>
      <c r="E19" s="13">
        <f t="shared" si="0"/>
        <v>4.0164755436087494E-3</v>
      </c>
      <c r="F19" s="13">
        <f t="shared" si="1"/>
        <v>15.778925896014881</v>
      </c>
      <c r="G19" s="14" t="e">
        <f>F19/$F$124*$D$2</f>
        <v>#DIV/0!</v>
      </c>
      <c r="H19" s="14" t="e">
        <f>F19/$F$124*$E$2</f>
        <v>#DIV/0!</v>
      </c>
      <c r="I19" s="25" t="str">
        <f t="shared" si="2"/>
        <v/>
      </c>
    </row>
    <row r="20" spans="1:9" x14ac:dyDescent="0.25">
      <c r="A20" s="3">
        <v>2075</v>
      </c>
      <c r="B20" s="3">
        <v>113.3422182</v>
      </c>
      <c r="C20" s="3">
        <v>22.98005766</v>
      </c>
      <c r="D20" s="3">
        <v>2</v>
      </c>
      <c r="E20" s="13">
        <f t="shared" si="0"/>
        <v>4.1549502432174142E-3</v>
      </c>
      <c r="F20" s="13">
        <f t="shared" si="1"/>
        <v>15.513760634535801</v>
      </c>
      <c r="G20" s="14">
        <f>F20/$F$80*$D$2</f>
        <v>77.751059491265664</v>
      </c>
      <c r="H20" s="14">
        <f>F20/$F$80*$E$2</f>
        <v>77.751059491265664</v>
      </c>
      <c r="I20" s="25" t="str">
        <f t="shared" si="2"/>
        <v>选中</v>
      </c>
    </row>
    <row r="21" spans="1:9" hidden="1" x14ac:dyDescent="0.25">
      <c r="A21" s="3">
        <v>2072</v>
      </c>
      <c r="B21" s="3">
        <v>113.3484018</v>
      </c>
      <c r="C21" s="3">
        <v>22.982968830000001</v>
      </c>
      <c r="D21" s="3">
        <v>2</v>
      </c>
      <c r="E21" s="13">
        <f t="shared" si="0"/>
        <v>4.2412960440060569E-3</v>
      </c>
      <c r="F21" s="13">
        <f t="shared" si="1"/>
        <v>15.3550313081425</v>
      </c>
      <c r="G21" s="14" t="e">
        <f>F21/$F$124*$D$2</f>
        <v>#DIV/0!</v>
      </c>
      <c r="H21" s="14" t="e">
        <f>F21/$F$124*$E$2</f>
        <v>#DIV/0!</v>
      </c>
      <c r="I21" s="25" t="str">
        <f t="shared" si="2"/>
        <v/>
      </c>
    </row>
    <row r="22" spans="1:9" hidden="1" x14ac:dyDescent="0.25">
      <c r="A22" s="3">
        <v>2071</v>
      </c>
      <c r="B22" s="3">
        <v>113.34945039999999</v>
      </c>
      <c r="C22" s="3">
        <v>22.976228020000001</v>
      </c>
      <c r="D22" s="3">
        <v>2</v>
      </c>
      <c r="E22" s="13">
        <f t="shared" si="0"/>
        <v>4.3890683904813169E-3</v>
      </c>
      <c r="F22" s="13">
        <f t="shared" si="1"/>
        <v>15.094329493731744</v>
      </c>
      <c r="G22" s="14" t="e">
        <f>F22/$F$124*$D$2</f>
        <v>#DIV/0!</v>
      </c>
      <c r="H22" s="14" t="e">
        <f>F22/$F$124*$E$2</f>
        <v>#DIV/0!</v>
      </c>
      <c r="I22" s="25" t="str">
        <f t="shared" si="2"/>
        <v/>
      </c>
    </row>
    <row r="23" spans="1:9" x14ac:dyDescent="0.25">
      <c r="A23" s="3">
        <v>2067</v>
      </c>
      <c r="B23" s="3">
        <v>113.3421026</v>
      </c>
      <c r="C23" s="3">
        <v>22.977348039999999</v>
      </c>
      <c r="D23" s="3">
        <v>2</v>
      </c>
      <c r="E23" s="13">
        <f t="shared" si="0"/>
        <v>4.6231448856403779E-3</v>
      </c>
      <c r="F23" s="13">
        <f t="shared" si="1"/>
        <v>14.707242317861819</v>
      </c>
      <c r="G23" s="14">
        <f>F23/$F$80*$D$2</f>
        <v>73.708992896469937</v>
      </c>
      <c r="H23" s="14">
        <f>F23/$F$80*$E$2</f>
        <v>73.708992896469937</v>
      </c>
      <c r="I23" s="25" t="str">
        <f t="shared" si="2"/>
        <v>选中</v>
      </c>
    </row>
    <row r="24" spans="1:9" hidden="1" x14ac:dyDescent="0.25">
      <c r="A24" s="3">
        <v>2069</v>
      </c>
      <c r="B24" s="3">
        <v>113.350663</v>
      </c>
      <c r="C24" s="3">
        <v>22.98115293</v>
      </c>
      <c r="D24" s="3">
        <v>2</v>
      </c>
      <c r="E24" s="13">
        <f t="shared" si="0"/>
        <v>4.7456496656224914E-3</v>
      </c>
      <c r="F24" s="13">
        <f t="shared" si="1"/>
        <v>14.516173915487116</v>
      </c>
      <c r="G24" s="14" t="e">
        <f>F24/$F$124*$D$2</f>
        <v>#DIV/0!</v>
      </c>
      <c r="H24" s="14" t="e">
        <f>F24/$F$124*$E$2</f>
        <v>#DIV/0!</v>
      </c>
      <c r="I24" s="25" t="str">
        <f t="shared" si="2"/>
        <v/>
      </c>
    </row>
    <row r="25" spans="1:9" hidden="1" x14ac:dyDescent="0.25">
      <c r="A25" s="3">
        <v>2073</v>
      </c>
      <c r="B25" s="3">
        <v>113.3509476</v>
      </c>
      <c r="C25" s="3">
        <v>22.980450780000002</v>
      </c>
      <c r="D25" s="3">
        <v>2</v>
      </c>
      <c r="E25" s="13">
        <f t="shared" si="0"/>
        <v>4.7910943209589236E-3</v>
      </c>
      <c r="F25" s="13">
        <f t="shared" si="1"/>
        <v>14.447165224546721</v>
      </c>
      <c r="G25" s="14" t="e">
        <f>F25/$F$124*$D$2</f>
        <v>#DIV/0!</v>
      </c>
      <c r="H25" s="14" t="e">
        <f>F25/$F$124*$E$2</f>
        <v>#DIV/0!</v>
      </c>
      <c r="I25" s="25" t="str">
        <f t="shared" si="2"/>
        <v/>
      </c>
    </row>
    <row r="26" spans="1:9" x14ac:dyDescent="0.25">
      <c r="A26" s="3">
        <v>1875</v>
      </c>
      <c r="B26" s="3">
        <v>113.3467486</v>
      </c>
      <c r="C26" s="3">
        <v>22.98412609</v>
      </c>
      <c r="D26" s="3">
        <v>2</v>
      </c>
      <c r="E26" s="13">
        <f t="shared" si="0"/>
        <v>4.8621733227124661E-3</v>
      </c>
      <c r="F26" s="13">
        <f t="shared" si="1"/>
        <v>14.341176537290945</v>
      </c>
      <c r="G26" s="14">
        <f>F26/$F$80*$D$2</f>
        <v>71.874363437283733</v>
      </c>
      <c r="H26" s="14">
        <f>F26/$F$80*$E$2</f>
        <v>71.874363437283733</v>
      </c>
      <c r="I26" s="25" t="str">
        <f t="shared" si="2"/>
        <v>选中</v>
      </c>
    </row>
    <row r="27" spans="1:9" hidden="1" x14ac:dyDescent="0.25">
      <c r="A27" s="3">
        <v>2078</v>
      </c>
      <c r="B27" s="3">
        <v>113.351319</v>
      </c>
      <c r="C27" s="3">
        <v>22.9799504</v>
      </c>
      <c r="D27" s="3">
        <v>2</v>
      </c>
      <c r="E27" s="13">
        <f t="shared" si="0"/>
        <v>5.0623737712631664E-3</v>
      </c>
      <c r="F27" s="13">
        <f t="shared" si="1"/>
        <v>14.054742600596658</v>
      </c>
      <c r="G27" s="14" t="e">
        <f>F27/$F$124*$D$2</f>
        <v>#DIV/0!</v>
      </c>
      <c r="H27" s="14" t="e">
        <f>F27/$F$124*$E$2</f>
        <v>#DIV/0!</v>
      </c>
      <c r="I27" s="25" t="str">
        <f t="shared" si="2"/>
        <v/>
      </c>
    </row>
    <row r="28" spans="1:9" hidden="1" x14ac:dyDescent="0.25">
      <c r="A28" s="3">
        <v>1873</v>
      </c>
      <c r="B28" s="3">
        <v>113.3479086</v>
      </c>
      <c r="C28" s="3">
        <v>22.984091169999999</v>
      </c>
      <c r="D28" s="3">
        <v>2</v>
      </c>
      <c r="E28" s="13">
        <f t="shared" si="0"/>
        <v>5.0684099247065685E-3</v>
      </c>
      <c r="F28" s="13">
        <f t="shared" si="1"/>
        <v>14.04637095564299</v>
      </c>
      <c r="G28" s="14" t="e">
        <f>F28/$F$124*$D$2</f>
        <v>#DIV/0!</v>
      </c>
      <c r="H28" s="14" t="e">
        <f>F28/$F$124*$E$2</f>
        <v>#DIV/0!</v>
      </c>
      <c r="I28" s="25" t="str">
        <f t="shared" si="2"/>
        <v/>
      </c>
    </row>
    <row r="29" spans="1:9" x14ac:dyDescent="0.25">
      <c r="A29" s="3">
        <v>2079</v>
      </c>
      <c r="B29" s="3">
        <v>113.3439034</v>
      </c>
      <c r="C29" s="3">
        <v>22.97477099</v>
      </c>
      <c r="D29" s="3">
        <v>2</v>
      </c>
      <c r="E29" s="13">
        <f t="shared" si="0"/>
        <v>5.1106988829436248E-3</v>
      </c>
      <c r="F29" s="13">
        <f t="shared" si="1"/>
        <v>13.988136229912694</v>
      </c>
      <c r="G29" s="14">
        <f>F29/$F$80*$D$2</f>
        <v>70.105014367872712</v>
      </c>
      <c r="H29" s="14">
        <f>F29/$F$80*$E$2</f>
        <v>70.105014367872712</v>
      </c>
      <c r="I29" s="25" t="str">
        <f t="shared" si="2"/>
        <v>选中</v>
      </c>
    </row>
    <row r="30" spans="1:9" hidden="1" x14ac:dyDescent="0.25">
      <c r="A30" s="3">
        <v>2080</v>
      </c>
      <c r="B30" s="3">
        <v>113.3438925</v>
      </c>
      <c r="C30" s="3">
        <v>22.974170269999998</v>
      </c>
      <c r="D30" s="3">
        <v>2</v>
      </c>
      <c r="E30" s="13">
        <f t="shared" si="0"/>
        <v>5.6529034096618634E-3</v>
      </c>
      <c r="F30" s="13">
        <f t="shared" si="1"/>
        <v>13.300385157231787</v>
      </c>
      <c r="G30" s="14" t="e">
        <f>F30/$F$124*$D$2</f>
        <v>#DIV/0!</v>
      </c>
      <c r="H30" s="14" t="e">
        <f>F30/$F$124*$E$2</f>
        <v>#DIV/0!</v>
      </c>
      <c r="I30" s="25" t="str">
        <f t="shared" si="2"/>
        <v/>
      </c>
    </row>
    <row r="31" spans="1:9" hidden="1" x14ac:dyDescent="0.25">
      <c r="A31" s="3">
        <v>1882</v>
      </c>
      <c r="B31" s="3">
        <v>113.34419819999999</v>
      </c>
      <c r="C31" s="3">
        <v>22.984657219999999</v>
      </c>
      <c r="D31" s="3">
        <v>2</v>
      </c>
      <c r="E31" s="13">
        <f t="shared" si="0"/>
        <v>5.7693267739351286E-3</v>
      </c>
      <c r="F31" s="13">
        <f t="shared" si="1"/>
        <v>13.165502230197104</v>
      </c>
      <c r="G31" s="14" t="e">
        <f>F31/$F$124*$D$2</f>
        <v>#DIV/0!</v>
      </c>
      <c r="H31" s="14" t="e">
        <f>F31/$F$124*$E$2</f>
        <v>#DIV/0!</v>
      </c>
      <c r="I31" s="25" t="str">
        <f t="shared" si="2"/>
        <v/>
      </c>
    </row>
    <row r="32" spans="1:9" x14ac:dyDescent="0.25">
      <c r="A32" s="3">
        <v>2087</v>
      </c>
      <c r="B32" s="3">
        <v>113.3520158</v>
      </c>
      <c r="C32" s="3">
        <v>22.980212179999999</v>
      </c>
      <c r="D32" s="3">
        <v>2</v>
      </c>
      <c r="E32" s="13">
        <f t="shared" si="0"/>
        <v>5.7899840842931616E-3</v>
      </c>
      <c r="F32" s="13">
        <f t="shared" si="1"/>
        <v>13.141995526965994</v>
      </c>
      <c r="G32" s="14">
        <f>F32/$F$80*$D$2</f>
        <v>65.864370356237259</v>
      </c>
      <c r="H32" s="14">
        <f>F32/$F$80*$E$2</f>
        <v>65.864370356237259</v>
      </c>
      <c r="I32" s="25" t="str">
        <f t="shared" si="2"/>
        <v>选中</v>
      </c>
    </row>
    <row r="33" spans="1:9" hidden="1" x14ac:dyDescent="0.25">
      <c r="A33" s="3">
        <v>2046</v>
      </c>
      <c r="B33" s="3">
        <v>113.3409698</v>
      </c>
      <c r="C33" s="3">
        <v>22.97684126</v>
      </c>
      <c r="D33" s="3">
        <v>2</v>
      </c>
      <c r="E33" s="13">
        <f t="shared" si="0"/>
        <v>5.8640718784564415E-3</v>
      </c>
      <c r="F33" s="13">
        <f t="shared" si="1"/>
        <v>13.058712407520341</v>
      </c>
      <c r="G33" s="14" t="e">
        <f>F33/$F$124*$D$2</f>
        <v>#DIV/0!</v>
      </c>
      <c r="H33" s="14" t="e">
        <f>F33/$F$124*$E$2</f>
        <v>#DIV/0!</v>
      </c>
      <c r="I33" s="25" t="str">
        <f t="shared" si="2"/>
        <v/>
      </c>
    </row>
    <row r="34" spans="1:9" hidden="1" x14ac:dyDescent="0.25">
      <c r="A34" s="3">
        <v>2086</v>
      </c>
      <c r="B34" s="3">
        <v>113.35210170000001</v>
      </c>
      <c r="C34" s="3">
        <v>22.980527909999999</v>
      </c>
      <c r="D34" s="3">
        <v>2</v>
      </c>
      <c r="E34" s="13">
        <f t="shared" si="0"/>
        <v>5.9328391994129762E-3</v>
      </c>
      <c r="F34" s="13">
        <f t="shared" si="1"/>
        <v>12.98281029419144</v>
      </c>
      <c r="G34" s="14" t="e">
        <f>F34/$F$124*$D$2</f>
        <v>#DIV/0!</v>
      </c>
      <c r="H34" s="14" t="e">
        <f>F34/$F$124*$E$2</f>
        <v>#DIV/0!</v>
      </c>
      <c r="I34" s="25" t="str">
        <f t="shared" si="2"/>
        <v/>
      </c>
    </row>
    <row r="35" spans="1:9" x14ac:dyDescent="0.25">
      <c r="A35" s="3">
        <v>1878</v>
      </c>
      <c r="B35" s="3">
        <v>113.34421519999999</v>
      </c>
      <c r="C35" s="3">
        <v>22.984977050000001</v>
      </c>
      <c r="D35" s="3">
        <v>2</v>
      </c>
      <c r="E35" s="13">
        <f t="shared" si="0"/>
        <v>6.0624153736419739E-3</v>
      </c>
      <c r="F35" s="13">
        <f t="shared" si="1"/>
        <v>12.843315621508731</v>
      </c>
      <c r="G35" s="14">
        <f>F35/$F$80*$D$2</f>
        <v>64.36746192474088</v>
      </c>
      <c r="H35" s="14">
        <f>F35/$F$80*$E$2</f>
        <v>64.36746192474088</v>
      </c>
      <c r="I35" s="25" t="str">
        <f t="shared" si="2"/>
        <v>选中</v>
      </c>
    </row>
    <row r="36" spans="1:9" hidden="1" x14ac:dyDescent="0.25">
      <c r="A36" s="3">
        <v>2076</v>
      </c>
      <c r="B36" s="3">
        <v>113.349822</v>
      </c>
      <c r="C36" s="3">
        <v>22.974089330000002</v>
      </c>
      <c r="D36" s="3">
        <v>2</v>
      </c>
      <c r="E36" s="13">
        <f t="shared" si="0"/>
        <v>6.276232017130688E-3</v>
      </c>
      <c r="F36" s="13">
        <f t="shared" si="1"/>
        <v>12.622648973787227</v>
      </c>
      <c r="G36" s="14" t="e">
        <f>F36/$F$124*$D$2</f>
        <v>#DIV/0!</v>
      </c>
      <c r="H36" s="14" t="e">
        <f>F36/$F$124*$E$2</f>
        <v>#DIV/0!</v>
      </c>
      <c r="I36" s="25" t="str">
        <f t="shared" si="2"/>
        <v/>
      </c>
    </row>
    <row r="37" spans="1:9" hidden="1" x14ac:dyDescent="0.25">
      <c r="A37" s="3">
        <v>1879</v>
      </c>
      <c r="B37" s="3">
        <v>113.3438348</v>
      </c>
      <c r="C37" s="3">
        <v>22.98513964</v>
      </c>
      <c r="D37" s="3">
        <v>2</v>
      </c>
      <c r="E37" s="13">
        <f t="shared" ref="E37:E68" si="3">SQRT((B37-$B$2)^2+(C37-$C$2)^2)</f>
        <v>6.3530829556721416E-3</v>
      </c>
      <c r="F37" s="13">
        <f t="shared" ref="F37:F68" si="4">SQRT(1/E37)</f>
        <v>12.546070883328195</v>
      </c>
      <c r="G37" s="14" t="e">
        <f>F37/$F$124*$D$2</f>
        <v>#DIV/0!</v>
      </c>
      <c r="H37" s="14" t="e">
        <f>F37/$F$124*$E$2</f>
        <v>#DIV/0!</v>
      </c>
      <c r="I37" s="25" t="str">
        <f t="shared" si="2"/>
        <v/>
      </c>
    </row>
    <row r="38" spans="1:9" x14ac:dyDescent="0.25">
      <c r="A38" s="3">
        <v>2051</v>
      </c>
      <c r="B38" s="3">
        <v>113.34094090000001</v>
      </c>
      <c r="C38" s="3">
        <v>22.975761779999999</v>
      </c>
      <c r="D38" s="3">
        <v>2</v>
      </c>
      <c r="E38" s="13">
        <f t="shared" si="3"/>
        <v>6.41378553136915E-3</v>
      </c>
      <c r="F38" s="13">
        <f t="shared" si="4"/>
        <v>12.486559276509674</v>
      </c>
      <c r="G38" s="14">
        <f>F38/$F$80*$D$2</f>
        <v>62.579489011058094</v>
      </c>
      <c r="H38" s="14">
        <f>F38/$F$80*$E$2</f>
        <v>62.579489011058094</v>
      </c>
      <c r="I38" s="25" t="str">
        <f t="shared" si="2"/>
        <v>选中</v>
      </c>
    </row>
    <row r="39" spans="1:9" hidden="1" x14ac:dyDescent="0.25">
      <c r="A39" s="3">
        <v>1864</v>
      </c>
      <c r="B39" s="3">
        <v>113.34765590000001</v>
      </c>
      <c r="C39" s="3">
        <v>22.985626929999999</v>
      </c>
      <c r="D39" s="3">
        <v>2</v>
      </c>
      <c r="E39" s="13">
        <f t="shared" si="3"/>
        <v>6.4855214068636896E-3</v>
      </c>
      <c r="F39" s="13">
        <f t="shared" si="4"/>
        <v>12.41731079887137</v>
      </c>
      <c r="G39" s="14" t="e">
        <f>F39/$F$124*$D$2</f>
        <v>#DIV/0!</v>
      </c>
      <c r="H39" s="14" t="e">
        <f>F39/$F$124*$E$2</f>
        <v>#DIV/0!</v>
      </c>
      <c r="I39" s="25" t="str">
        <f t="shared" si="2"/>
        <v/>
      </c>
    </row>
    <row r="40" spans="1:9" hidden="1" x14ac:dyDescent="0.25">
      <c r="A40" s="3">
        <v>1884</v>
      </c>
      <c r="B40" s="3">
        <v>113.3432889</v>
      </c>
      <c r="C40" s="3">
        <v>22.985048630000001</v>
      </c>
      <c r="D40" s="3">
        <v>2</v>
      </c>
      <c r="E40" s="13">
        <f t="shared" si="3"/>
        <v>6.5034128525667681E-3</v>
      </c>
      <c r="F40" s="13">
        <f t="shared" si="4"/>
        <v>12.400218492468607</v>
      </c>
      <c r="G40" s="14" t="e">
        <f>F40/$F$124*$D$2</f>
        <v>#DIV/0!</v>
      </c>
      <c r="H40" s="14" t="e">
        <f>F40/$F$124*$E$2</f>
        <v>#DIV/0!</v>
      </c>
      <c r="I40" s="25" t="str">
        <f t="shared" si="2"/>
        <v/>
      </c>
    </row>
    <row r="41" spans="1:9" x14ac:dyDescent="0.25">
      <c r="A41" s="3">
        <v>1865</v>
      </c>
      <c r="B41" s="3">
        <v>113.345377</v>
      </c>
      <c r="C41" s="3">
        <v>22.985836679999998</v>
      </c>
      <c r="D41" s="3">
        <v>2</v>
      </c>
      <c r="E41" s="13">
        <f t="shared" si="3"/>
        <v>6.6168564504904331E-3</v>
      </c>
      <c r="F41" s="13">
        <f t="shared" si="4"/>
        <v>12.293460313021905</v>
      </c>
      <c r="G41" s="14">
        <f>F41/$F$80*$D$2</f>
        <v>61.611725658797987</v>
      </c>
      <c r="H41" s="14">
        <f>F41/$F$80*$E$2</f>
        <v>61.611725658797987</v>
      </c>
      <c r="I41" s="25" t="str">
        <f t="shared" si="2"/>
        <v>选中</v>
      </c>
    </row>
    <row r="42" spans="1:9" hidden="1" x14ac:dyDescent="0.25">
      <c r="A42" s="3">
        <v>1868</v>
      </c>
      <c r="B42" s="3">
        <v>113.34473610000001</v>
      </c>
      <c r="C42" s="3">
        <v>22.985767809999999</v>
      </c>
      <c r="D42" s="3">
        <v>2</v>
      </c>
      <c r="E42" s="13">
        <f t="shared" si="3"/>
        <v>6.669308221554056E-3</v>
      </c>
      <c r="F42" s="13">
        <f t="shared" si="4"/>
        <v>12.24502301164936</v>
      </c>
      <c r="G42" s="14" t="e">
        <f>F42/$F$124*$D$2</f>
        <v>#DIV/0!</v>
      </c>
      <c r="H42" s="14" t="e">
        <f>F42/$F$124*$E$2</f>
        <v>#DIV/0!</v>
      </c>
      <c r="I42" s="25" t="str">
        <f t="shared" si="2"/>
        <v/>
      </c>
    </row>
    <row r="43" spans="1:9" hidden="1" x14ac:dyDescent="0.25">
      <c r="A43" s="3">
        <v>1877</v>
      </c>
      <c r="B43" s="3">
        <v>113.3440155</v>
      </c>
      <c r="C43" s="3">
        <v>22.985561149999999</v>
      </c>
      <c r="D43" s="3">
        <v>2</v>
      </c>
      <c r="E43" s="13">
        <f t="shared" si="3"/>
        <v>6.6795779741334197E-3</v>
      </c>
      <c r="F43" s="13">
        <f t="shared" si="4"/>
        <v>12.235606119570122</v>
      </c>
      <c r="G43" s="14" t="e">
        <f>F43/$F$124*$D$2</f>
        <v>#DIV/0!</v>
      </c>
      <c r="H43" s="14" t="e">
        <f>F43/$F$124*$E$2</f>
        <v>#DIV/0!</v>
      </c>
      <c r="I43" s="25" t="str">
        <f t="shared" si="2"/>
        <v/>
      </c>
    </row>
    <row r="44" spans="1:9" x14ac:dyDescent="0.25">
      <c r="A44" s="3">
        <v>1863</v>
      </c>
      <c r="B44" s="3">
        <v>113.34657079999999</v>
      </c>
      <c r="C44" s="3">
        <v>22.985962600000001</v>
      </c>
      <c r="D44" s="3">
        <v>2</v>
      </c>
      <c r="E44" s="13">
        <f t="shared" si="3"/>
        <v>6.6834640748645582E-3</v>
      </c>
      <c r="F44" s="13">
        <f t="shared" si="4"/>
        <v>12.232048405248795</v>
      </c>
      <c r="G44" s="14">
        <f>F44/$F$80*$D$2</f>
        <v>61.303944650232623</v>
      </c>
      <c r="H44" s="14">
        <f>F44/$F$80*$E$2</f>
        <v>61.303944650232623</v>
      </c>
      <c r="I44" s="25" t="str">
        <f t="shared" si="2"/>
        <v>选中</v>
      </c>
    </row>
    <row r="45" spans="1:9" hidden="1" x14ac:dyDescent="0.25">
      <c r="A45" s="3">
        <v>1887</v>
      </c>
      <c r="B45" s="3">
        <v>113.351136</v>
      </c>
      <c r="C45" s="3">
        <v>22.984193860000001</v>
      </c>
      <c r="D45" s="3">
        <v>2</v>
      </c>
      <c r="E45" s="13">
        <f t="shared" si="3"/>
        <v>6.8907130913659831E-3</v>
      </c>
      <c r="F45" s="13">
        <f t="shared" si="4"/>
        <v>12.046695035095537</v>
      </c>
      <c r="G45" s="14" t="e">
        <f>F45/$F$124*$D$2</f>
        <v>#DIV/0!</v>
      </c>
      <c r="H45" s="14" t="e">
        <f>F45/$F$124*$E$2</f>
        <v>#DIV/0!</v>
      </c>
      <c r="I45" s="25" t="str">
        <f t="shared" si="2"/>
        <v/>
      </c>
    </row>
    <row r="46" spans="1:9" hidden="1" x14ac:dyDescent="0.25">
      <c r="A46" s="3">
        <v>1883</v>
      </c>
      <c r="B46" s="3">
        <v>113.349958</v>
      </c>
      <c r="C46" s="3">
        <v>22.985126350000002</v>
      </c>
      <c r="D46" s="3">
        <v>2</v>
      </c>
      <c r="E46" s="13">
        <f t="shared" si="3"/>
        <v>6.8922142902322356E-3</v>
      </c>
      <c r="F46" s="13">
        <f t="shared" si="4"/>
        <v>12.045383013369021</v>
      </c>
      <c r="G46" s="14" t="e">
        <f>F46/$F$124*$D$2</f>
        <v>#DIV/0!</v>
      </c>
      <c r="H46" s="14" t="e">
        <f>F46/$F$124*$E$2</f>
        <v>#DIV/0!</v>
      </c>
      <c r="I46" s="25" t="str">
        <f t="shared" si="2"/>
        <v/>
      </c>
    </row>
    <row r="47" spans="1:9" x14ac:dyDescent="0.25">
      <c r="A47" s="3">
        <v>2285</v>
      </c>
      <c r="B47" s="3">
        <v>113.3428595</v>
      </c>
      <c r="C47" s="3">
        <v>22.9731785</v>
      </c>
      <c r="D47" s="3">
        <v>2</v>
      </c>
      <c r="E47" s="13">
        <f t="shared" si="3"/>
        <v>7.008967571620393E-3</v>
      </c>
      <c r="F47" s="13">
        <f t="shared" si="4"/>
        <v>11.944637514145837</v>
      </c>
      <c r="G47" s="14">
        <f>F47/$F$80*$D$2</f>
        <v>59.863513679366832</v>
      </c>
      <c r="H47" s="14">
        <f>F47/$F$80*$E$2</f>
        <v>59.863513679366832</v>
      </c>
      <c r="I47" s="25" t="str">
        <f t="shared" si="2"/>
        <v>选中</v>
      </c>
    </row>
    <row r="48" spans="1:9" hidden="1" x14ac:dyDescent="0.25">
      <c r="A48" s="3">
        <v>1891</v>
      </c>
      <c r="B48" s="3">
        <v>113.3500937</v>
      </c>
      <c r="C48" s="3">
        <v>22.985279070000001</v>
      </c>
      <c r="D48" s="3">
        <v>2</v>
      </c>
      <c r="E48" s="13">
        <f t="shared" si="3"/>
        <v>7.0937492337183458E-3</v>
      </c>
      <c r="F48" s="13">
        <f t="shared" si="4"/>
        <v>11.873044185185998</v>
      </c>
      <c r="G48" s="14" t="e">
        <f>F48/$F$124*$D$2</f>
        <v>#DIV/0!</v>
      </c>
      <c r="H48" s="14" t="e">
        <f>F48/$F$124*$E$2</f>
        <v>#DIV/0!</v>
      </c>
      <c r="I48" s="25" t="str">
        <f t="shared" si="2"/>
        <v/>
      </c>
    </row>
    <row r="49" spans="1:9" hidden="1" x14ac:dyDescent="0.25">
      <c r="A49" s="3">
        <v>1893</v>
      </c>
      <c r="B49" s="3">
        <v>113.35070570000001</v>
      </c>
      <c r="C49" s="3">
        <v>22.984921239999998</v>
      </c>
      <c r="D49" s="3">
        <v>2</v>
      </c>
      <c r="E49" s="13">
        <f t="shared" si="3"/>
        <v>7.1537833696291384E-3</v>
      </c>
      <c r="F49" s="13">
        <f t="shared" si="4"/>
        <v>11.823120275135835</v>
      </c>
      <c r="G49" s="14" t="e">
        <f>F49/$F$124*$D$2</f>
        <v>#DIV/0!</v>
      </c>
      <c r="H49" s="14" t="e">
        <f>F49/$F$124*$E$2</f>
        <v>#DIV/0!</v>
      </c>
      <c r="I49" s="25" t="str">
        <f t="shared" si="2"/>
        <v/>
      </c>
    </row>
    <row r="50" spans="1:9" x14ac:dyDescent="0.25">
      <c r="A50" s="3">
        <v>1867</v>
      </c>
      <c r="B50" s="3">
        <v>113.34438969999999</v>
      </c>
      <c r="C50" s="3">
        <v>22.98621322</v>
      </c>
      <c r="D50" s="3">
        <v>2</v>
      </c>
      <c r="E50" s="13">
        <f t="shared" si="3"/>
        <v>7.1873022695897312E-3</v>
      </c>
      <c r="F50" s="13">
        <f t="shared" si="4"/>
        <v>11.79551874274317</v>
      </c>
      <c r="G50" s="14">
        <f>F50/$F$80*$D$2</f>
        <v>59.116167968696082</v>
      </c>
      <c r="H50" s="14">
        <f>F50/$F$80*$E$2</f>
        <v>59.116167968696082</v>
      </c>
      <c r="I50" s="25" t="str">
        <f t="shared" si="2"/>
        <v>选中</v>
      </c>
    </row>
    <row r="51" spans="1:9" hidden="1" x14ac:dyDescent="0.25">
      <c r="A51" s="3">
        <v>2290</v>
      </c>
      <c r="B51" s="3">
        <v>113.3418643</v>
      </c>
      <c r="C51" s="3">
        <v>22.973527099999998</v>
      </c>
      <c r="D51" s="3">
        <v>2</v>
      </c>
      <c r="E51" s="13">
        <f t="shared" si="3"/>
        <v>7.2683948668255229E-3</v>
      </c>
      <c r="F51" s="13">
        <f t="shared" si="4"/>
        <v>11.729533595678838</v>
      </c>
      <c r="G51" s="14" t="e">
        <f>F51/$F$124*$D$2</f>
        <v>#DIV/0!</v>
      </c>
      <c r="H51" s="14" t="e">
        <f>F51/$F$124*$E$2</f>
        <v>#DIV/0!</v>
      </c>
      <c r="I51" s="25" t="str">
        <f t="shared" si="2"/>
        <v/>
      </c>
    </row>
    <row r="52" spans="1:9" hidden="1" x14ac:dyDescent="0.25">
      <c r="A52" s="3">
        <v>1898</v>
      </c>
      <c r="B52" s="3">
        <v>113.3521404</v>
      </c>
      <c r="C52" s="3">
        <v>22.983640510000001</v>
      </c>
      <c r="D52" s="3">
        <v>2</v>
      </c>
      <c r="E52" s="13">
        <f t="shared" si="3"/>
        <v>7.2854111735707128E-3</v>
      </c>
      <c r="F52" s="13">
        <f t="shared" si="4"/>
        <v>11.715827435575516</v>
      </c>
      <c r="G52" s="14" t="e">
        <f>F52/$F$124*$D$2</f>
        <v>#DIV/0!</v>
      </c>
      <c r="H52" s="14" t="e">
        <f>F52/$F$124*$E$2</f>
        <v>#DIV/0!</v>
      </c>
      <c r="I52" s="25" t="str">
        <f t="shared" si="2"/>
        <v/>
      </c>
    </row>
    <row r="53" spans="1:9" x14ac:dyDescent="0.25">
      <c r="A53" s="3">
        <v>2049</v>
      </c>
      <c r="B53" s="3">
        <v>113.34093799999999</v>
      </c>
      <c r="C53" s="3">
        <v>22.974336399999999</v>
      </c>
      <c r="D53" s="3">
        <v>2</v>
      </c>
      <c r="E53" s="13">
        <f t="shared" si="3"/>
        <v>7.2967226889983014E-3</v>
      </c>
      <c r="F53" s="13">
        <f t="shared" si="4"/>
        <v>11.706742866483001</v>
      </c>
      <c r="G53" s="14">
        <f>F53/$F$80*$D$2</f>
        <v>58.67124564463186</v>
      </c>
      <c r="H53" s="14">
        <f>F53/$F$80*$E$2</f>
        <v>58.67124564463186</v>
      </c>
      <c r="I53" s="25" t="str">
        <f t="shared" si="2"/>
        <v>选中</v>
      </c>
    </row>
    <row r="54" spans="1:9" hidden="1" x14ac:dyDescent="0.25">
      <c r="A54" s="3">
        <v>2055</v>
      </c>
      <c r="B54" s="3">
        <v>113.34093799999999</v>
      </c>
      <c r="C54" s="3">
        <v>22.974336399999999</v>
      </c>
      <c r="D54" s="3">
        <v>2</v>
      </c>
      <c r="E54" s="13">
        <f t="shared" si="3"/>
        <v>7.2967226889983014E-3</v>
      </c>
      <c r="F54" s="13">
        <f t="shared" si="4"/>
        <v>11.706742866483001</v>
      </c>
      <c r="G54" s="14" t="e">
        <f>F54/$F$124*$D$2</f>
        <v>#DIV/0!</v>
      </c>
      <c r="H54" s="14" t="e">
        <f>F54/$F$124*$E$2</f>
        <v>#DIV/0!</v>
      </c>
      <c r="I54" s="25" t="str">
        <f t="shared" si="2"/>
        <v/>
      </c>
    </row>
    <row r="55" spans="1:9" hidden="1" x14ac:dyDescent="0.25">
      <c r="A55" s="3">
        <v>2084</v>
      </c>
      <c r="B55" s="3">
        <v>113.3533496</v>
      </c>
      <c r="C55" s="3">
        <v>22.981491550000001</v>
      </c>
      <c r="D55" s="3">
        <v>2</v>
      </c>
      <c r="E55" s="13">
        <f t="shared" si="3"/>
        <v>7.3864084169801853E-3</v>
      </c>
      <c r="F55" s="13">
        <f t="shared" si="4"/>
        <v>11.635454207117816</v>
      </c>
      <c r="G55" s="14" t="e">
        <f>F55/$F$124*$D$2</f>
        <v>#DIV/0!</v>
      </c>
      <c r="H55" s="14" t="e">
        <f>F55/$F$124*$E$2</f>
        <v>#DIV/0!</v>
      </c>
      <c r="I55" s="25" t="str">
        <f t="shared" si="2"/>
        <v/>
      </c>
    </row>
    <row r="56" spans="1:9" x14ac:dyDescent="0.25">
      <c r="A56" s="3">
        <v>1897</v>
      </c>
      <c r="B56" s="3">
        <v>113.3522602</v>
      </c>
      <c r="C56" s="3">
        <v>22.983706290000001</v>
      </c>
      <c r="D56" s="3">
        <v>2</v>
      </c>
      <c r="E56" s="13">
        <f t="shared" si="3"/>
        <v>7.4207933953232517E-3</v>
      </c>
      <c r="F56" s="13">
        <f t="shared" si="4"/>
        <v>11.608465895047239</v>
      </c>
      <c r="G56" s="14">
        <f>F56/$F$80*$D$2</f>
        <v>58.178706225420171</v>
      </c>
      <c r="H56" s="14">
        <f>F56/$F$80*$E$2</f>
        <v>58.178706225420171</v>
      </c>
      <c r="I56" s="25" t="str">
        <f t="shared" si="2"/>
        <v>选中</v>
      </c>
    </row>
    <row r="57" spans="1:9" hidden="1" x14ac:dyDescent="0.25">
      <c r="A57" s="3">
        <v>2294</v>
      </c>
      <c r="B57" s="3">
        <v>113.349834</v>
      </c>
      <c r="C57" s="3">
        <v>22.9727289</v>
      </c>
      <c r="D57" s="3">
        <v>2</v>
      </c>
      <c r="E57" s="13">
        <f t="shared" si="3"/>
        <v>7.4472893088668064E-3</v>
      </c>
      <c r="F57" s="13">
        <f t="shared" si="4"/>
        <v>11.587797235791111</v>
      </c>
      <c r="G57" s="14" t="e">
        <f>F57/$F$124*$D$2</f>
        <v>#DIV/0!</v>
      </c>
      <c r="H57" s="14" t="e">
        <f>F57/$F$124*$E$2</f>
        <v>#DIV/0!</v>
      </c>
      <c r="I57" s="25" t="str">
        <f t="shared" si="2"/>
        <v/>
      </c>
    </row>
    <row r="58" spans="1:9" hidden="1" x14ac:dyDescent="0.25">
      <c r="A58" s="3">
        <v>2276</v>
      </c>
      <c r="B58" s="3">
        <v>113.349861</v>
      </c>
      <c r="C58" s="3">
        <v>22.97272585</v>
      </c>
      <c r="D58" s="3">
        <v>2</v>
      </c>
      <c r="E58" s="13">
        <f t="shared" si="3"/>
        <v>7.4628178138343715E-3</v>
      </c>
      <c r="F58" s="13">
        <f t="shared" si="4"/>
        <v>11.575735111699649</v>
      </c>
      <c r="G58" s="14" t="e">
        <f>F58/$F$124*$D$2</f>
        <v>#DIV/0!</v>
      </c>
      <c r="H58" s="14" t="e">
        <f>F58/$F$124*$E$2</f>
        <v>#DIV/0!</v>
      </c>
      <c r="I58" s="25" t="str">
        <f t="shared" si="2"/>
        <v/>
      </c>
    </row>
    <row r="59" spans="1:9" x14ac:dyDescent="0.25">
      <c r="A59" s="3">
        <v>2295</v>
      </c>
      <c r="B59" s="3">
        <v>113.3430082</v>
      </c>
      <c r="C59" s="3">
        <v>22.972425560000001</v>
      </c>
      <c r="D59" s="3">
        <v>2</v>
      </c>
      <c r="E59" s="13">
        <f t="shared" si="3"/>
        <v>7.608306479212088E-3</v>
      </c>
      <c r="F59" s="13">
        <f t="shared" si="4"/>
        <v>11.46452328444887</v>
      </c>
      <c r="G59" s="14">
        <f>F59/$F$80*$D$2</f>
        <v>57.457302128527786</v>
      </c>
      <c r="H59" s="14">
        <f>F59/$F$80*$E$2</f>
        <v>57.457302128527786</v>
      </c>
      <c r="I59" s="25" t="str">
        <f t="shared" si="2"/>
        <v>选中</v>
      </c>
    </row>
    <row r="60" spans="1:9" hidden="1" x14ac:dyDescent="0.25">
      <c r="A60" s="3">
        <v>2047</v>
      </c>
      <c r="B60" s="3">
        <v>113.340407</v>
      </c>
      <c r="C60" s="3">
        <v>22.97439232</v>
      </c>
      <c r="D60" s="3">
        <v>2</v>
      </c>
      <c r="E60" s="13">
        <f t="shared" si="3"/>
        <v>7.6595642538258481E-3</v>
      </c>
      <c r="F60" s="13">
        <f t="shared" si="4"/>
        <v>11.426098619183835</v>
      </c>
      <c r="G60" s="14" t="e">
        <f>F60/$F$124*$D$2</f>
        <v>#DIV/0!</v>
      </c>
      <c r="H60" s="14" t="e">
        <f>F60/$F$124*$E$2</f>
        <v>#DIV/0!</v>
      </c>
      <c r="I60" s="25" t="str">
        <f t="shared" si="2"/>
        <v/>
      </c>
    </row>
    <row r="61" spans="1:9" hidden="1" x14ac:dyDescent="0.25">
      <c r="A61" s="3">
        <v>2052</v>
      </c>
      <c r="B61" s="3">
        <v>113.34022229999999</v>
      </c>
      <c r="C61" s="3">
        <v>22.974308690000001</v>
      </c>
      <c r="D61" s="3">
        <v>2</v>
      </c>
      <c r="E61" s="13">
        <f t="shared" si="3"/>
        <v>7.8552791941626753E-3</v>
      </c>
      <c r="F61" s="13">
        <f t="shared" si="4"/>
        <v>11.282859686033877</v>
      </c>
      <c r="G61" s="14" t="e">
        <f>F61/$F$124*$D$2</f>
        <v>#DIV/0!</v>
      </c>
      <c r="H61" s="14" t="e">
        <f>F61/$F$124*$E$2</f>
        <v>#DIV/0!</v>
      </c>
      <c r="I61" s="25" t="str">
        <f t="shared" si="2"/>
        <v/>
      </c>
    </row>
    <row r="62" spans="1:9" x14ac:dyDescent="0.25">
      <c r="A62" s="3">
        <v>2053</v>
      </c>
      <c r="B62" s="3">
        <v>113.3383675</v>
      </c>
      <c r="C62" s="3">
        <v>22.979599759999999</v>
      </c>
      <c r="D62" s="3">
        <v>2</v>
      </c>
      <c r="E62" s="13">
        <f t="shared" si="3"/>
        <v>7.9393577470497495E-3</v>
      </c>
      <c r="F62" s="13">
        <f t="shared" si="4"/>
        <v>11.222957393125069</v>
      </c>
      <c r="G62" s="14">
        <f>F62/$F$80*$D$2</f>
        <v>56.246634745561593</v>
      </c>
      <c r="H62" s="14">
        <f>F62/$F$80*$E$2</f>
        <v>56.246634745561593</v>
      </c>
      <c r="I62" s="25" t="str">
        <f t="shared" si="2"/>
        <v>选中</v>
      </c>
    </row>
    <row r="63" spans="1:9" hidden="1" x14ac:dyDescent="0.25">
      <c r="A63" s="3">
        <v>2288</v>
      </c>
      <c r="B63" s="3">
        <v>113.34185340000001</v>
      </c>
      <c r="C63" s="3">
        <v>22.972691480000002</v>
      </c>
      <c r="D63" s="3">
        <v>2</v>
      </c>
      <c r="E63" s="13">
        <f t="shared" si="3"/>
        <v>7.952786880986152E-3</v>
      </c>
      <c r="F63" s="13">
        <f t="shared" si="4"/>
        <v>11.213477805750939</v>
      </c>
      <c r="G63" s="14" t="e">
        <f>F63/$F$124*$D$2</f>
        <v>#DIV/0!</v>
      </c>
      <c r="H63" s="14" t="e">
        <f>F63/$F$124*$E$2</f>
        <v>#DIV/0!</v>
      </c>
      <c r="I63" s="25" t="str">
        <f t="shared" si="2"/>
        <v/>
      </c>
    </row>
    <row r="64" spans="1:9" hidden="1" x14ac:dyDescent="0.25">
      <c r="A64" s="3">
        <v>2045</v>
      </c>
      <c r="B64" s="3">
        <v>113.33834950000001</v>
      </c>
      <c r="C64" s="3">
        <v>22.98002761</v>
      </c>
      <c r="D64" s="3">
        <v>2</v>
      </c>
      <c r="E64" s="13">
        <f t="shared" si="3"/>
        <v>7.9857407339642365E-3</v>
      </c>
      <c r="F64" s="13">
        <f t="shared" si="4"/>
        <v>11.19031719225622</v>
      </c>
      <c r="G64" s="14" t="e">
        <f>F64/$F$124*$D$2</f>
        <v>#DIV/0!</v>
      </c>
      <c r="H64" s="14" t="e">
        <f>F64/$F$124*$E$2</f>
        <v>#DIV/0!</v>
      </c>
      <c r="I64" s="25" t="str">
        <f t="shared" si="2"/>
        <v/>
      </c>
    </row>
    <row r="65" spans="1:9" x14ac:dyDescent="0.25">
      <c r="A65" s="3">
        <v>2050</v>
      </c>
      <c r="B65" s="3">
        <v>113.33834950000001</v>
      </c>
      <c r="C65" s="3">
        <v>22.98002761</v>
      </c>
      <c r="D65" s="3">
        <v>2</v>
      </c>
      <c r="E65" s="13">
        <f t="shared" si="3"/>
        <v>7.9857407339642365E-3</v>
      </c>
      <c r="F65" s="13">
        <f t="shared" si="4"/>
        <v>11.19031719225622</v>
      </c>
      <c r="G65" s="14">
        <f>F65/$F$80*$D$2</f>
        <v>56.083050282751763</v>
      </c>
      <c r="H65" s="14">
        <f>F65/$F$80*$E$2</f>
        <v>56.083050282751763</v>
      </c>
      <c r="I65" s="25" t="str">
        <f t="shared" si="2"/>
        <v>选中</v>
      </c>
    </row>
    <row r="66" spans="1:9" hidden="1" x14ac:dyDescent="0.25">
      <c r="A66" s="3">
        <v>2280</v>
      </c>
      <c r="B66" s="3">
        <v>113.34268590000001</v>
      </c>
      <c r="C66" s="3">
        <v>22.971706439999998</v>
      </c>
      <c r="D66" s="3">
        <v>2</v>
      </c>
      <c r="E66" s="13">
        <f t="shared" si="3"/>
        <v>8.3961041605985325E-3</v>
      </c>
      <c r="F66" s="13">
        <f t="shared" si="4"/>
        <v>10.913425576338163</v>
      </c>
      <c r="G66" s="14" t="e">
        <f>F66/$F$124*$D$2</f>
        <v>#DIV/0!</v>
      </c>
      <c r="H66" s="14" t="e">
        <f>F66/$F$124*$E$2</f>
        <v>#DIV/0!</v>
      </c>
      <c r="I66" s="25" t="str">
        <f t="shared" si="2"/>
        <v/>
      </c>
    </row>
    <row r="67" spans="1:9" hidden="1" x14ac:dyDescent="0.25">
      <c r="A67" s="3">
        <v>2269</v>
      </c>
      <c r="B67" s="3">
        <v>113.34077739999999</v>
      </c>
      <c r="C67" s="3">
        <v>22.972719380000001</v>
      </c>
      <c r="D67" s="3">
        <v>2</v>
      </c>
      <c r="E67" s="13">
        <f t="shared" si="3"/>
        <v>8.579501843844423E-3</v>
      </c>
      <c r="F67" s="13">
        <f t="shared" si="4"/>
        <v>10.796151344863995</v>
      </c>
      <c r="G67" s="14" t="e">
        <f>F67/$F$124*$D$2</f>
        <v>#DIV/0!</v>
      </c>
      <c r="H67" s="14" t="e">
        <f>F67/$F$124*$E$2</f>
        <v>#DIV/0!</v>
      </c>
      <c r="I67" s="25" t="str">
        <f t="shared" si="2"/>
        <v/>
      </c>
    </row>
    <row r="68" spans="1:9" x14ac:dyDescent="0.25">
      <c r="A68" s="3">
        <v>2271</v>
      </c>
      <c r="B68" s="3">
        <v>113.3407115</v>
      </c>
      <c r="C68" s="3">
        <v>22.972723500000001</v>
      </c>
      <c r="D68" s="3">
        <v>2</v>
      </c>
      <c r="E68" s="13">
        <f t="shared" si="3"/>
        <v>8.6189368265514564E-3</v>
      </c>
      <c r="F68" s="13">
        <f t="shared" si="4"/>
        <v>10.771424736710021</v>
      </c>
      <c r="G68" s="14">
        <f>F68/$F$80*$D$2</f>
        <v>53.983666838668519</v>
      </c>
      <c r="H68" s="14">
        <f>F68/$F$80*$E$2</f>
        <v>53.983666838668519</v>
      </c>
      <c r="I68" s="25" t="str">
        <f t="shared" si="2"/>
        <v>选中</v>
      </c>
    </row>
    <row r="69" spans="1:9" hidden="1" x14ac:dyDescent="0.25">
      <c r="A69" s="3">
        <v>2283</v>
      </c>
      <c r="B69" s="3">
        <v>113.3418774</v>
      </c>
      <c r="C69" s="3">
        <v>22.97180882</v>
      </c>
      <c r="D69" s="3">
        <v>2</v>
      </c>
      <c r="E69" s="13">
        <f t="shared" ref="E69:E78" si="5">SQRT((B69-$B$2)^2+(C69-$C$2)^2)</f>
        <v>8.6863101975721245E-3</v>
      </c>
      <c r="F69" s="13">
        <f t="shared" ref="F69:F78" si="6">SQRT(1/E69)</f>
        <v>10.729570378652397</v>
      </c>
      <c r="G69" s="14" t="e">
        <f>F69/$F$124*$D$2</f>
        <v>#DIV/0!</v>
      </c>
      <c r="H69" s="14" t="e">
        <f>F69/$F$124*$E$2</f>
        <v>#DIV/0!</v>
      </c>
      <c r="I69" s="25" t="str">
        <f t="shared" si="2"/>
        <v/>
      </c>
    </row>
    <row r="70" spans="1:9" hidden="1" x14ac:dyDescent="0.25">
      <c r="A70" s="3">
        <v>1896</v>
      </c>
      <c r="B70" s="3">
        <v>113.3538885</v>
      </c>
      <c r="C70" s="3">
        <v>22.98414958</v>
      </c>
      <c r="D70" s="3">
        <v>2</v>
      </c>
      <c r="E70" s="13">
        <f t="shared" si="5"/>
        <v>9.0135596081823526E-3</v>
      </c>
      <c r="F70" s="13">
        <f t="shared" si="6"/>
        <v>10.532993894146403</v>
      </c>
      <c r="G70" s="14" t="e">
        <f>F70/$F$124*$D$2</f>
        <v>#DIV/0!</v>
      </c>
      <c r="H70" s="14" t="e">
        <f>F70/$F$124*$E$2</f>
        <v>#DIV/0!</v>
      </c>
      <c r="I70" s="25" t="str">
        <f t="shared" ref="I70:I78" si="7">IF(MOD(ROW()-1,3)=1,"选中","")</f>
        <v/>
      </c>
    </row>
    <row r="71" spans="1:9" x14ac:dyDescent="0.25">
      <c r="A71" s="3">
        <v>2270</v>
      </c>
      <c r="B71" s="3">
        <v>113.3400458</v>
      </c>
      <c r="C71" s="3">
        <v>22.972188920000001</v>
      </c>
      <c r="D71" s="3">
        <v>2</v>
      </c>
      <c r="E71" s="13">
        <f t="shared" si="5"/>
        <v>9.4589215929979983E-3</v>
      </c>
      <c r="F71" s="13">
        <f t="shared" si="6"/>
        <v>10.282037589321304</v>
      </c>
      <c r="G71" s="14">
        <f>F71/$F$80*$D$2</f>
        <v>51.530981760739998</v>
      </c>
      <c r="H71" s="14">
        <f>F71/$F$80*$E$2</f>
        <v>51.530981760739998</v>
      </c>
      <c r="I71" s="25" t="str">
        <f t="shared" si="7"/>
        <v>选中</v>
      </c>
    </row>
    <row r="72" spans="1:9" hidden="1" x14ac:dyDescent="0.25">
      <c r="A72" s="3">
        <v>2089</v>
      </c>
      <c r="B72" s="3">
        <v>113.3557938</v>
      </c>
      <c r="C72" s="3">
        <v>22.980330349999999</v>
      </c>
      <c r="D72" s="3">
        <v>2</v>
      </c>
      <c r="E72" s="13">
        <f t="shared" si="5"/>
        <v>9.550625073909606E-3</v>
      </c>
      <c r="F72" s="13">
        <f t="shared" si="6"/>
        <v>10.232555332890612</v>
      </c>
      <c r="G72" s="14" t="e">
        <f>F72/$F$124*$D$2</f>
        <v>#DIV/0!</v>
      </c>
      <c r="H72" s="14" t="e">
        <f>F72/$F$124*$E$2</f>
        <v>#DIV/0!</v>
      </c>
      <c r="I72" s="25" t="str">
        <f t="shared" si="7"/>
        <v/>
      </c>
    </row>
    <row r="73" spans="1:9" hidden="1" x14ac:dyDescent="0.25">
      <c r="A73" s="3">
        <v>2100</v>
      </c>
      <c r="B73" s="3">
        <v>113.3557938</v>
      </c>
      <c r="C73" s="3">
        <v>22.980330349999999</v>
      </c>
      <c r="D73" s="3">
        <v>2</v>
      </c>
      <c r="E73" s="13">
        <f t="shared" si="5"/>
        <v>9.550625073909606E-3</v>
      </c>
      <c r="F73" s="13">
        <f t="shared" si="6"/>
        <v>10.232555332890612</v>
      </c>
      <c r="G73" s="14" t="e">
        <f>F73/$F$124*$D$2</f>
        <v>#DIV/0!</v>
      </c>
      <c r="H73" s="14" t="e">
        <f>F73/$F$124*$E$2</f>
        <v>#DIV/0!</v>
      </c>
      <c r="I73" s="25" t="str">
        <f t="shared" si="7"/>
        <v/>
      </c>
    </row>
    <row r="74" spans="1:9" x14ac:dyDescent="0.25">
      <c r="A74" s="3">
        <v>2085</v>
      </c>
      <c r="B74" s="3">
        <v>113.3559427</v>
      </c>
      <c r="C74" s="3">
        <v>22.978091089999999</v>
      </c>
      <c r="D74" s="3">
        <v>2</v>
      </c>
      <c r="E74" s="13">
        <f t="shared" si="5"/>
        <v>9.7156862099378304E-3</v>
      </c>
      <c r="F74" s="13">
        <f t="shared" si="6"/>
        <v>10.145261835820911</v>
      </c>
      <c r="G74" s="14">
        <f>F74/$F$80*$D$2</f>
        <v>50.845496145878961</v>
      </c>
      <c r="H74" s="14">
        <f>F74/$F$80*$E$2</f>
        <v>50.845496145878961</v>
      </c>
      <c r="I74" s="25" t="str">
        <f t="shared" si="7"/>
        <v>选中</v>
      </c>
    </row>
    <row r="75" spans="1:9" hidden="1" x14ac:dyDescent="0.25">
      <c r="A75" s="3">
        <v>2099</v>
      </c>
      <c r="B75" s="3">
        <v>113.3559427</v>
      </c>
      <c r="C75" s="3">
        <v>22.978091089999999</v>
      </c>
      <c r="D75" s="3">
        <v>2</v>
      </c>
      <c r="E75" s="13">
        <f t="shared" si="5"/>
        <v>9.7156862099378304E-3</v>
      </c>
      <c r="F75" s="13">
        <f t="shared" si="6"/>
        <v>10.145261835820911</v>
      </c>
      <c r="G75" s="14" t="e">
        <f>F75/$F$124*$D$2</f>
        <v>#DIV/0!</v>
      </c>
      <c r="H75" s="14" t="e">
        <f>F75/$F$124*$E$2</f>
        <v>#DIV/0!</v>
      </c>
      <c r="I75" s="25" t="str">
        <f t="shared" si="7"/>
        <v/>
      </c>
    </row>
    <row r="76" spans="1:9" hidden="1" x14ac:dyDescent="0.25">
      <c r="A76" s="3">
        <v>2054</v>
      </c>
      <c r="B76" s="3">
        <v>113.3377601</v>
      </c>
      <c r="C76" s="3">
        <v>22.974602010000002</v>
      </c>
      <c r="D76" s="3">
        <v>2</v>
      </c>
      <c r="E76" s="13">
        <f t="shared" si="5"/>
        <v>9.7399583858578179E-3</v>
      </c>
      <c r="F76" s="13">
        <f t="shared" si="6"/>
        <v>10.132612850310444</v>
      </c>
      <c r="G76" s="14" t="e">
        <f>F76/$F$124*$D$2</f>
        <v>#DIV/0!</v>
      </c>
      <c r="H76" s="14" t="e">
        <f>F76/$F$124*$E$2</f>
        <v>#DIV/0!</v>
      </c>
      <c r="I76" s="25" t="str">
        <f t="shared" si="7"/>
        <v/>
      </c>
    </row>
    <row r="77" spans="1:9" x14ac:dyDescent="0.25">
      <c r="A77" s="3">
        <v>1895</v>
      </c>
      <c r="B77" s="3">
        <v>113.3528639</v>
      </c>
      <c r="C77" s="3">
        <v>22.987781590000001</v>
      </c>
      <c r="D77" s="3">
        <v>2</v>
      </c>
      <c r="E77" s="13">
        <f t="shared" si="5"/>
        <v>1.0736654318272086E-2</v>
      </c>
      <c r="F77" s="13">
        <f t="shared" si="6"/>
        <v>9.6508488692843368</v>
      </c>
      <c r="G77" s="14">
        <f>F77/$F$80*$D$2</f>
        <v>48.367622928674422</v>
      </c>
      <c r="H77" s="14">
        <f>F77/$F$80*$E$2</f>
        <v>48.367622928674422</v>
      </c>
      <c r="I77" s="25" t="str">
        <f t="shared" si="7"/>
        <v>选中</v>
      </c>
    </row>
    <row r="78" spans="1:9" hidden="1" x14ac:dyDescent="0.25">
      <c r="A78" s="3">
        <v>2266</v>
      </c>
      <c r="B78" s="3">
        <v>113.3379439</v>
      </c>
      <c r="C78" s="3">
        <v>22.97211875</v>
      </c>
      <c r="D78" s="3">
        <v>2</v>
      </c>
      <c r="E78" s="13">
        <f t="shared" si="5"/>
        <v>1.1008353242543574E-2</v>
      </c>
      <c r="F78" s="13">
        <f t="shared" si="6"/>
        <v>9.5310077238036843</v>
      </c>
      <c r="G78" s="14" t="e">
        <f>F78/$F$124*$D$2</f>
        <v>#DIV/0!</v>
      </c>
      <c r="H78" s="14" t="e">
        <f>F78/$F$124*$E$2</f>
        <v>#DIV/0!</v>
      </c>
      <c r="I78" s="25" t="str">
        <f t="shared" si="7"/>
        <v/>
      </c>
    </row>
    <row r="79" spans="1:9" x14ac:dyDescent="0.25">
      <c r="A79" s="3"/>
      <c r="B79" s="3"/>
      <c r="C79" s="3"/>
      <c r="D79" s="3"/>
      <c r="G79" s="14"/>
      <c r="H79" s="14"/>
    </row>
    <row r="80" spans="1:9" x14ac:dyDescent="0.25">
      <c r="A80" s="3"/>
      <c r="B80" s="3"/>
      <c r="C80" s="3"/>
      <c r="D80" s="3"/>
      <c r="F80" s="13">
        <f>SUBTOTAL(9,F5:F77)</f>
        <v>349.17956472975783</v>
      </c>
      <c r="G80" s="13">
        <f>SUBTOTAL(9,G5:G77)</f>
        <v>1750</v>
      </c>
      <c r="H80" s="13">
        <f>SUBTOTAL(9,H5:H77)</f>
        <v>1750</v>
      </c>
    </row>
    <row r="81" spans="1:8" x14ac:dyDescent="0.25">
      <c r="A81" s="3"/>
      <c r="B81" s="3"/>
      <c r="C81" s="3"/>
      <c r="D81" s="3"/>
      <c r="G81" s="14"/>
      <c r="H81" s="14"/>
    </row>
    <row r="82" spans="1:8" x14ac:dyDescent="0.25">
      <c r="A82" s="3"/>
      <c r="B82" s="3"/>
      <c r="C82" s="3"/>
      <c r="D82" s="3"/>
      <c r="G82" s="14"/>
      <c r="H82" s="14"/>
    </row>
    <row r="83" spans="1:8" x14ac:dyDescent="0.25">
      <c r="A83" s="3"/>
      <c r="B83" s="3"/>
      <c r="C83" s="3"/>
      <c r="D83" s="3"/>
      <c r="G83" s="14"/>
      <c r="H83" s="14"/>
    </row>
    <row r="84" spans="1:8" x14ac:dyDescent="0.25">
      <c r="A84" s="3"/>
      <c r="B84" s="3"/>
      <c r="C84" s="3"/>
      <c r="D84" s="3"/>
      <c r="G84" s="14"/>
      <c r="H84" s="14"/>
    </row>
    <row r="85" spans="1:8" x14ac:dyDescent="0.25">
      <c r="A85" s="3"/>
      <c r="B85" s="3"/>
      <c r="C85" s="3"/>
      <c r="D85" s="3"/>
      <c r="G85" s="14"/>
      <c r="H85" s="14"/>
    </row>
    <row r="86" spans="1:8" x14ac:dyDescent="0.25">
      <c r="A86" s="3"/>
      <c r="B86" s="3"/>
      <c r="C86" s="3"/>
      <c r="D86" s="3"/>
      <c r="G86" s="14"/>
      <c r="H86" s="14"/>
    </row>
    <row r="87" spans="1:8" x14ac:dyDescent="0.25">
      <c r="A87" s="3"/>
      <c r="B87" s="3"/>
      <c r="C87" s="3"/>
      <c r="D87" s="3"/>
      <c r="G87" s="14"/>
      <c r="H87" s="14"/>
    </row>
    <row r="88" spans="1:8" x14ac:dyDescent="0.25">
      <c r="A88" s="3"/>
      <c r="B88" s="3"/>
      <c r="C88" s="3"/>
      <c r="D88" s="3"/>
      <c r="G88" s="14"/>
      <c r="H88" s="14"/>
    </row>
    <row r="89" spans="1:8" x14ac:dyDescent="0.25">
      <c r="A89" s="3"/>
      <c r="B89" s="3"/>
      <c r="C89" s="3"/>
      <c r="D89" s="3"/>
      <c r="G89" s="14"/>
      <c r="H89" s="14"/>
    </row>
    <row r="90" spans="1:8" x14ac:dyDescent="0.25">
      <c r="A90" s="3"/>
      <c r="B90" s="3"/>
      <c r="C90" s="3"/>
      <c r="D90" s="3"/>
      <c r="G90" s="14"/>
      <c r="H90" s="14"/>
    </row>
    <row r="91" spans="1:8" x14ac:dyDescent="0.25">
      <c r="A91" s="3"/>
      <c r="B91" s="3"/>
      <c r="C91" s="3"/>
      <c r="D91" s="3"/>
      <c r="G91" s="14"/>
      <c r="H91" s="14"/>
    </row>
    <row r="92" spans="1:8" x14ac:dyDescent="0.25">
      <c r="A92" s="3"/>
      <c r="B92" s="3"/>
      <c r="C92" s="3"/>
      <c r="D92" s="3"/>
      <c r="G92" s="14"/>
      <c r="H92" s="14"/>
    </row>
    <row r="93" spans="1:8" x14ac:dyDescent="0.25">
      <c r="A93" s="3"/>
      <c r="B93" s="3"/>
      <c r="C93" s="3"/>
      <c r="D93" s="3"/>
      <c r="G93" s="14"/>
      <c r="H93" s="14"/>
    </row>
    <row r="94" spans="1:8" x14ac:dyDescent="0.25">
      <c r="A94" s="3"/>
      <c r="B94" s="3"/>
      <c r="C94" s="3"/>
      <c r="D94" s="3"/>
      <c r="G94" s="14"/>
      <c r="H94" s="14"/>
    </row>
    <row r="95" spans="1:8" x14ac:dyDescent="0.25">
      <c r="A95" s="3"/>
      <c r="B95" s="3"/>
      <c r="C95" s="3"/>
      <c r="D95" s="3"/>
      <c r="G95" s="14"/>
      <c r="H95" s="14"/>
    </row>
    <row r="96" spans="1:8" x14ac:dyDescent="0.25">
      <c r="A96" s="3"/>
      <c r="B96" s="3"/>
      <c r="C96" s="3"/>
      <c r="D96" s="3"/>
      <c r="G96" s="14"/>
      <c r="H96" s="14"/>
    </row>
    <row r="97" spans="1:8" x14ac:dyDescent="0.25">
      <c r="A97" s="3"/>
      <c r="B97" s="3"/>
      <c r="C97" s="3"/>
      <c r="D97" s="3"/>
      <c r="G97" s="14"/>
      <c r="H97" s="14"/>
    </row>
    <row r="98" spans="1:8" x14ac:dyDescent="0.25">
      <c r="A98" s="3"/>
      <c r="B98" s="3"/>
      <c r="C98" s="3"/>
      <c r="D98" s="3"/>
      <c r="G98" s="14"/>
      <c r="H98" s="14"/>
    </row>
    <row r="99" spans="1:8" x14ac:dyDescent="0.25">
      <c r="A99" s="3"/>
      <c r="B99" s="3"/>
      <c r="C99" s="3"/>
      <c r="D99" s="3"/>
      <c r="G99" s="14"/>
      <c r="H99" s="14"/>
    </row>
    <row r="100" spans="1:8" x14ac:dyDescent="0.25">
      <c r="A100" s="3"/>
      <c r="B100" s="3"/>
      <c r="C100" s="3"/>
      <c r="D100" s="3"/>
      <c r="G100" s="14"/>
      <c r="H100" s="14"/>
    </row>
    <row r="101" spans="1:8" x14ac:dyDescent="0.25">
      <c r="A101" s="3"/>
      <c r="B101" s="3"/>
      <c r="C101" s="3"/>
      <c r="D101" s="3"/>
      <c r="G101" s="14"/>
      <c r="H101" s="14"/>
    </row>
    <row r="102" spans="1:8" x14ac:dyDescent="0.25">
      <c r="A102" s="3"/>
      <c r="B102" s="3"/>
      <c r="C102" s="3"/>
      <c r="D102" s="3"/>
      <c r="G102" s="14"/>
      <c r="H102" s="14"/>
    </row>
    <row r="103" spans="1:8" x14ac:dyDescent="0.25">
      <c r="A103" s="3"/>
      <c r="B103" s="3"/>
      <c r="C103" s="3"/>
      <c r="D103" s="3"/>
      <c r="G103" s="14"/>
      <c r="H103" s="14"/>
    </row>
    <row r="104" spans="1:8" x14ac:dyDescent="0.25">
      <c r="A104" s="3"/>
      <c r="B104" s="3"/>
      <c r="C104" s="3"/>
      <c r="D104" s="3"/>
      <c r="G104" s="14"/>
      <c r="H104" s="14"/>
    </row>
    <row r="105" spans="1:8" x14ac:dyDescent="0.25">
      <c r="A105" s="3"/>
      <c r="B105" s="3"/>
      <c r="C105" s="3"/>
      <c r="D105" s="3"/>
      <c r="G105" s="14"/>
      <c r="H105" s="14"/>
    </row>
    <row r="106" spans="1:8" x14ac:dyDescent="0.25">
      <c r="A106" s="3"/>
      <c r="B106" s="3"/>
      <c r="C106" s="3"/>
      <c r="D106" s="3"/>
      <c r="G106" s="14"/>
      <c r="H106" s="14"/>
    </row>
    <row r="107" spans="1:8" x14ac:dyDescent="0.25">
      <c r="A107" s="3"/>
      <c r="B107" s="3"/>
      <c r="C107" s="3"/>
      <c r="D107" s="3"/>
      <c r="G107" s="14"/>
      <c r="H107" s="14"/>
    </row>
    <row r="108" spans="1:8" x14ac:dyDescent="0.25">
      <c r="A108" s="3"/>
      <c r="B108" s="3"/>
      <c r="C108" s="3"/>
      <c r="D108" s="3"/>
      <c r="G108" s="14"/>
      <c r="H108" s="14"/>
    </row>
    <row r="109" spans="1:8" x14ac:dyDescent="0.25">
      <c r="A109" s="3"/>
      <c r="B109" s="3"/>
      <c r="C109" s="3"/>
      <c r="D109" s="3"/>
      <c r="G109" s="14"/>
      <c r="H109" s="14"/>
    </row>
    <row r="110" spans="1:8" x14ac:dyDescent="0.25">
      <c r="A110" s="3"/>
      <c r="B110" s="3"/>
      <c r="C110" s="3"/>
      <c r="D110" s="3"/>
      <c r="G110" s="14"/>
      <c r="H110" s="14"/>
    </row>
    <row r="111" spans="1:8" x14ac:dyDescent="0.25">
      <c r="A111" s="3"/>
      <c r="B111" s="3"/>
      <c r="C111" s="3"/>
      <c r="D111" s="3"/>
      <c r="G111" s="14"/>
      <c r="H111" s="14"/>
    </row>
    <row r="112" spans="1:8" x14ac:dyDescent="0.25">
      <c r="A112" s="3"/>
      <c r="B112" s="3"/>
      <c r="C112" s="3"/>
      <c r="D112" s="3"/>
      <c r="G112" s="14"/>
      <c r="H112" s="14"/>
    </row>
    <row r="113" spans="1:8" x14ac:dyDescent="0.25">
      <c r="A113" s="3"/>
      <c r="B113" s="3"/>
      <c r="C113" s="3"/>
      <c r="D113" s="3"/>
      <c r="G113" s="14"/>
      <c r="H113" s="14"/>
    </row>
    <row r="114" spans="1:8" x14ac:dyDescent="0.25">
      <c r="A114" s="3"/>
      <c r="B114" s="3"/>
      <c r="C114" s="3"/>
      <c r="D114" s="3"/>
      <c r="G114" s="14"/>
      <c r="H114" s="14"/>
    </row>
    <row r="115" spans="1:8" x14ac:dyDescent="0.25">
      <c r="A115" s="3"/>
      <c r="B115" s="3"/>
      <c r="C115" s="3"/>
      <c r="D115" s="3"/>
      <c r="G115" s="14"/>
      <c r="H115" s="14"/>
    </row>
    <row r="116" spans="1:8" x14ac:dyDescent="0.25">
      <c r="A116" s="3"/>
      <c r="B116" s="3"/>
      <c r="C116" s="3"/>
      <c r="D116" s="3"/>
      <c r="G116" s="14"/>
      <c r="H116" s="14"/>
    </row>
    <row r="117" spans="1:8" x14ac:dyDescent="0.25">
      <c r="A117" s="3"/>
      <c r="B117" s="3"/>
      <c r="C117" s="3"/>
      <c r="D117" s="3"/>
      <c r="G117" s="14"/>
      <c r="H117" s="14"/>
    </row>
    <row r="118" spans="1:8" x14ac:dyDescent="0.25">
      <c r="A118" s="3"/>
      <c r="B118" s="3"/>
      <c r="C118" s="3"/>
      <c r="D118" s="3"/>
      <c r="G118" s="14"/>
      <c r="H118" s="14"/>
    </row>
    <row r="119" spans="1:8" x14ac:dyDescent="0.25">
      <c r="A119" s="3"/>
      <c r="B119" s="3"/>
      <c r="C119" s="3"/>
      <c r="D119" s="3"/>
      <c r="G119" s="14"/>
      <c r="H119" s="14"/>
    </row>
    <row r="120" spans="1:8" x14ac:dyDescent="0.25">
      <c r="A120" s="3"/>
      <c r="B120" s="3"/>
      <c r="C120" s="3"/>
      <c r="D120" s="3"/>
      <c r="G120" s="14"/>
      <c r="H120" s="14"/>
    </row>
    <row r="121" spans="1:8" x14ac:dyDescent="0.25">
      <c r="A121" s="3"/>
      <c r="B121" s="3"/>
      <c r="C121" s="3"/>
      <c r="D121" s="3"/>
      <c r="G121" s="14"/>
      <c r="H121" s="14"/>
    </row>
    <row r="122" spans="1:8" x14ac:dyDescent="0.25">
      <c r="A122" s="3"/>
      <c r="B122" s="3"/>
      <c r="C122" s="3"/>
      <c r="D122" s="3"/>
      <c r="G122" s="14"/>
      <c r="H122" s="14"/>
    </row>
    <row r="123" spans="1:8" x14ac:dyDescent="0.25">
      <c r="A123" s="3"/>
      <c r="B123" s="3"/>
      <c r="C123" s="3"/>
      <c r="D123" s="3"/>
      <c r="G123" s="14"/>
      <c r="H123" s="14"/>
    </row>
    <row r="124" spans="1:8" x14ac:dyDescent="0.25">
      <c r="A124" s="3"/>
      <c r="B124" s="3"/>
      <c r="C124" s="3"/>
      <c r="D124" s="3"/>
      <c r="G124" s="14"/>
      <c r="H124" s="14"/>
    </row>
    <row r="125" spans="1:8" x14ac:dyDescent="0.25">
      <c r="A125" s="3"/>
      <c r="B125" s="3"/>
      <c r="C125" s="3"/>
      <c r="D125" s="3"/>
      <c r="G125" s="14"/>
      <c r="H125" s="14"/>
    </row>
    <row r="126" spans="1:8" x14ac:dyDescent="0.25">
      <c r="A126" s="18"/>
      <c r="B126" s="3"/>
      <c r="C126" s="3"/>
      <c r="D126" s="3"/>
      <c r="G126" s="14"/>
      <c r="H126" s="14"/>
    </row>
    <row r="127" spans="1:8" x14ac:dyDescent="0.25">
      <c r="A127" s="3"/>
      <c r="B127" s="3"/>
      <c r="C127" s="3"/>
      <c r="D127" s="3"/>
      <c r="G127" s="14"/>
      <c r="H127" s="14"/>
    </row>
    <row r="128" spans="1:8" x14ac:dyDescent="0.25">
      <c r="A128" s="3"/>
      <c r="B128" s="3"/>
      <c r="C128" s="3"/>
      <c r="D128" s="3"/>
      <c r="G128" s="14"/>
      <c r="H128" s="14"/>
    </row>
    <row r="129" spans="1:8" x14ac:dyDescent="0.25">
      <c r="A129" s="3"/>
      <c r="B129" s="3"/>
      <c r="C129" s="3"/>
      <c r="D129" s="3"/>
      <c r="G129" s="14"/>
      <c r="H129" s="14"/>
    </row>
    <row r="130" spans="1:8" x14ac:dyDescent="0.25">
      <c r="A130" s="3"/>
      <c r="B130" s="3"/>
      <c r="C130" s="3"/>
      <c r="D130" s="3"/>
      <c r="G130" s="14"/>
      <c r="H130" s="14"/>
    </row>
    <row r="131" spans="1:8" x14ac:dyDescent="0.25">
      <c r="A131" s="3"/>
      <c r="B131" s="3"/>
      <c r="C131" s="3"/>
      <c r="D131" s="3"/>
      <c r="G131" s="14"/>
      <c r="H131" s="14"/>
    </row>
    <row r="132" spans="1:8" x14ac:dyDescent="0.25">
      <c r="A132" s="3"/>
      <c r="B132" s="3"/>
      <c r="C132" s="3"/>
      <c r="D132" s="3"/>
      <c r="G132" s="14"/>
      <c r="H132" s="14"/>
    </row>
    <row r="133" spans="1:8" x14ac:dyDescent="0.25">
      <c r="A133" s="3"/>
      <c r="B133" s="3"/>
      <c r="C133" s="3"/>
      <c r="D133" s="3"/>
      <c r="G133" s="14"/>
      <c r="H133" s="14"/>
    </row>
    <row r="134" spans="1:8" x14ac:dyDescent="0.25">
      <c r="A134" s="3"/>
      <c r="B134" s="3"/>
      <c r="C134" s="3"/>
      <c r="D134" s="3"/>
      <c r="G134" s="14"/>
      <c r="H134" s="14"/>
    </row>
    <row r="135" spans="1:8" x14ac:dyDescent="0.25">
      <c r="A135" s="3"/>
      <c r="B135" s="3"/>
      <c r="C135" s="3"/>
      <c r="D135" s="3"/>
      <c r="G135" s="14"/>
      <c r="H135" s="14"/>
    </row>
    <row r="136" spans="1:8" x14ac:dyDescent="0.25">
      <c r="A136" s="3"/>
      <c r="B136" s="3"/>
      <c r="C136" s="3"/>
      <c r="D136" s="3"/>
      <c r="G136" s="14"/>
      <c r="H136" s="14"/>
    </row>
    <row r="137" spans="1:8" x14ac:dyDescent="0.25">
      <c r="A137" s="3"/>
      <c r="B137" s="3"/>
      <c r="C137" s="3"/>
      <c r="D137" s="3"/>
      <c r="G137" s="14"/>
      <c r="H137" s="14"/>
    </row>
    <row r="138" spans="1:8" x14ac:dyDescent="0.25">
      <c r="A138" s="3"/>
      <c r="B138" s="3"/>
      <c r="C138" s="3"/>
      <c r="D138" s="3"/>
      <c r="G138" s="14"/>
      <c r="H138" s="14"/>
    </row>
    <row r="139" spans="1:8" x14ac:dyDescent="0.25">
      <c r="A139" s="3"/>
      <c r="B139" s="3"/>
      <c r="C139" s="3"/>
      <c r="D139" s="3"/>
      <c r="G139" s="14"/>
      <c r="H139" s="14"/>
    </row>
    <row r="140" spans="1:8" x14ac:dyDescent="0.25">
      <c r="A140" s="3"/>
      <c r="B140" s="3"/>
      <c r="C140" s="3"/>
      <c r="D140" s="3"/>
      <c r="G140" s="14"/>
      <c r="H140" s="14"/>
    </row>
    <row r="141" spans="1:8" x14ac:dyDescent="0.25">
      <c r="A141" s="3"/>
      <c r="B141" s="3"/>
      <c r="C141" s="3"/>
      <c r="D141" s="3"/>
      <c r="G141" s="14"/>
      <c r="H141" s="14"/>
    </row>
    <row r="142" spans="1:8" x14ac:dyDescent="0.25">
      <c r="A142" s="3"/>
      <c r="B142" s="3"/>
      <c r="C142" s="3"/>
      <c r="D142" s="3"/>
      <c r="G142" s="14"/>
      <c r="H142" s="14"/>
    </row>
    <row r="143" spans="1:8" x14ac:dyDescent="0.25">
      <c r="A143" s="3"/>
      <c r="B143" s="3"/>
      <c r="C143" s="3"/>
      <c r="D143" s="3"/>
      <c r="G143" s="14"/>
      <c r="H143" s="14"/>
    </row>
    <row r="144" spans="1:8" x14ac:dyDescent="0.25">
      <c r="A144" s="3"/>
      <c r="B144" s="3"/>
      <c r="C144" s="3"/>
      <c r="D144" s="3"/>
      <c r="G144" s="14"/>
      <c r="H144" s="14"/>
    </row>
    <row r="145" spans="1:8" x14ac:dyDescent="0.25">
      <c r="A145" s="3"/>
      <c r="B145" s="3"/>
      <c r="C145" s="3"/>
      <c r="D145" s="3"/>
      <c r="G145" s="14"/>
      <c r="H145" s="14"/>
    </row>
    <row r="146" spans="1:8" x14ac:dyDescent="0.25">
      <c r="A146" s="3"/>
      <c r="B146" s="3"/>
      <c r="C146" s="3"/>
      <c r="D146" s="3"/>
      <c r="G146" s="14"/>
      <c r="H146" s="14"/>
    </row>
    <row r="147" spans="1:8" x14ac:dyDescent="0.25">
      <c r="A147" s="3"/>
      <c r="B147" s="3"/>
      <c r="C147" s="3"/>
      <c r="D147" s="3"/>
      <c r="G147" s="14"/>
      <c r="H147" s="14"/>
    </row>
    <row r="148" spans="1:8" x14ac:dyDescent="0.25">
      <c r="A148" s="3"/>
      <c r="B148" s="3"/>
      <c r="C148" s="3"/>
      <c r="D148" s="3"/>
      <c r="G148" s="14"/>
      <c r="H148" s="14"/>
    </row>
    <row r="149" spans="1:8" x14ac:dyDescent="0.25">
      <c r="A149" s="3"/>
      <c r="B149" s="3"/>
      <c r="C149" s="3"/>
      <c r="D149" s="3"/>
      <c r="G149" s="14"/>
      <c r="H149" s="14"/>
    </row>
    <row r="150" spans="1:8" x14ac:dyDescent="0.25">
      <c r="A150" s="3"/>
      <c r="B150" s="3"/>
      <c r="C150" s="3"/>
      <c r="D150" s="3"/>
      <c r="G150" s="14"/>
      <c r="H150" s="14"/>
    </row>
    <row r="151" spans="1:8" x14ac:dyDescent="0.25">
      <c r="A151" s="3"/>
      <c r="B151" s="3"/>
      <c r="C151" s="3"/>
      <c r="D151" s="3"/>
      <c r="G151" s="14"/>
      <c r="H151" s="14"/>
    </row>
    <row r="152" spans="1:8" x14ac:dyDescent="0.25">
      <c r="A152" s="3"/>
      <c r="B152" s="3"/>
      <c r="C152" s="3"/>
      <c r="D152" s="3"/>
      <c r="G152" s="14"/>
      <c r="H152" s="14"/>
    </row>
    <row r="153" spans="1:8" x14ac:dyDescent="0.25">
      <c r="A153" s="3"/>
      <c r="B153" s="3"/>
      <c r="C153" s="3"/>
      <c r="D153" s="3"/>
      <c r="G153" s="14"/>
      <c r="H153" s="14"/>
    </row>
    <row r="154" spans="1:8" x14ac:dyDescent="0.25">
      <c r="A154" s="3"/>
      <c r="B154" s="3"/>
      <c r="C154" s="3"/>
      <c r="D154" s="3"/>
      <c r="G154" s="14"/>
      <c r="H154" s="14"/>
    </row>
    <row r="155" spans="1:8" x14ac:dyDescent="0.25">
      <c r="A155" s="3"/>
      <c r="B155" s="3"/>
      <c r="C155" s="3"/>
      <c r="D155" s="3"/>
      <c r="G155" s="14"/>
      <c r="H155" s="14"/>
    </row>
    <row r="156" spans="1:8" x14ac:dyDescent="0.25">
      <c r="A156" s="3"/>
      <c r="B156" s="3"/>
      <c r="C156" s="3"/>
      <c r="D156" s="3"/>
      <c r="G156" s="14"/>
      <c r="H156" s="14"/>
    </row>
    <row r="157" spans="1:8" x14ac:dyDescent="0.25">
      <c r="A157" s="3"/>
      <c r="B157" s="3"/>
      <c r="C157" s="3"/>
      <c r="D157" s="3"/>
      <c r="G157" s="14"/>
      <c r="H157" s="14"/>
    </row>
    <row r="158" spans="1:8" x14ac:dyDescent="0.25">
      <c r="A158" s="3"/>
      <c r="B158" s="3"/>
      <c r="C158" s="3"/>
      <c r="D158" s="3"/>
      <c r="G158" s="14"/>
      <c r="H158" s="14"/>
    </row>
    <row r="159" spans="1:8" x14ac:dyDescent="0.25">
      <c r="A159" s="3"/>
      <c r="B159" s="3"/>
      <c r="C159" s="3"/>
      <c r="D159" s="3"/>
      <c r="G159" s="14"/>
      <c r="H159" s="14"/>
    </row>
    <row r="160" spans="1:8" x14ac:dyDescent="0.25">
      <c r="A160" s="3"/>
      <c r="B160" s="3"/>
      <c r="C160" s="3"/>
      <c r="D160" s="3"/>
      <c r="G160" s="14"/>
      <c r="H160" s="14"/>
    </row>
    <row r="161" spans="1:8" x14ac:dyDescent="0.25">
      <c r="A161" s="3"/>
      <c r="B161" s="3"/>
      <c r="C161" s="3"/>
      <c r="D161" s="3"/>
      <c r="G161" s="14"/>
      <c r="H161" s="14"/>
    </row>
    <row r="162" spans="1:8" x14ac:dyDescent="0.25">
      <c r="A162" s="3"/>
      <c r="B162" s="3"/>
      <c r="C162" s="3"/>
      <c r="D162" s="3"/>
      <c r="G162" s="14"/>
      <c r="H162" s="14"/>
    </row>
    <row r="163" spans="1:8" x14ac:dyDescent="0.25">
      <c r="A163" s="3"/>
      <c r="B163" s="3"/>
      <c r="C163" s="3"/>
      <c r="D163" s="3"/>
      <c r="G163" s="14"/>
      <c r="H163" s="14"/>
    </row>
    <row r="164" spans="1:8" x14ac:dyDescent="0.25">
      <c r="A164" s="3"/>
      <c r="B164" s="3"/>
      <c r="C164" s="3"/>
      <c r="D164" s="3"/>
      <c r="G164" s="14"/>
      <c r="H164" s="14"/>
    </row>
    <row r="165" spans="1:8" x14ac:dyDescent="0.25">
      <c r="A165" s="3"/>
      <c r="B165" s="3"/>
      <c r="C165" s="3"/>
      <c r="D165" s="3"/>
      <c r="G165" s="14"/>
      <c r="H165" s="14"/>
    </row>
    <row r="166" spans="1:8" x14ac:dyDescent="0.25">
      <c r="A166" s="3"/>
      <c r="B166" s="3"/>
      <c r="C166" s="3"/>
      <c r="D166" s="3"/>
      <c r="G166" s="14"/>
      <c r="H166" s="14"/>
    </row>
    <row r="167" spans="1:8" x14ac:dyDescent="0.25">
      <c r="A167" s="3"/>
      <c r="B167" s="3"/>
      <c r="C167" s="3"/>
      <c r="D167" s="3"/>
      <c r="G167" s="14"/>
      <c r="H167" s="14"/>
    </row>
    <row r="168" spans="1:8" x14ac:dyDescent="0.25">
      <c r="A168" s="3"/>
      <c r="B168" s="3"/>
      <c r="C168" s="3"/>
      <c r="D168" s="3"/>
      <c r="G168" s="14"/>
      <c r="H168" s="14"/>
    </row>
    <row r="169" spans="1:8" x14ac:dyDescent="0.25">
      <c r="A169" s="3"/>
      <c r="B169" s="3"/>
      <c r="C169" s="3"/>
      <c r="D169" s="3"/>
      <c r="G169" s="14"/>
      <c r="H169" s="14"/>
    </row>
    <row r="170" spans="1:8" x14ac:dyDescent="0.25">
      <c r="A170" s="3"/>
      <c r="B170" s="3"/>
      <c r="C170" s="3"/>
      <c r="D170" s="3"/>
      <c r="G170" s="14"/>
      <c r="H170" s="14"/>
    </row>
    <row r="171" spans="1:8" x14ac:dyDescent="0.25">
      <c r="A171" s="3"/>
      <c r="B171" s="3"/>
      <c r="C171" s="3"/>
      <c r="D171" s="3"/>
      <c r="G171" s="14"/>
      <c r="H171" s="14"/>
    </row>
    <row r="172" spans="1:8" x14ac:dyDescent="0.25">
      <c r="A172" s="3"/>
      <c r="B172" s="3"/>
      <c r="C172" s="3"/>
      <c r="D172" s="3"/>
      <c r="G172" s="14"/>
      <c r="H172" s="14"/>
    </row>
    <row r="173" spans="1:8" x14ac:dyDescent="0.25">
      <c r="A173" s="3"/>
      <c r="B173" s="3"/>
      <c r="C173" s="3"/>
      <c r="D173" s="3"/>
      <c r="G173" s="14"/>
      <c r="H173" s="14"/>
    </row>
    <row r="174" spans="1:8" x14ac:dyDescent="0.25">
      <c r="A174" s="3"/>
      <c r="B174" s="3"/>
      <c r="C174" s="3"/>
      <c r="D174" s="3"/>
      <c r="G174" s="14"/>
      <c r="H174" s="14"/>
    </row>
    <row r="175" spans="1:8" x14ac:dyDescent="0.25">
      <c r="A175" s="3"/>
      <c r="B175" s="3"/>
      <c r="C175" s="3"/>
      <c r="D175" s="3"/>
      <c r="G175" s="14"/>
      <c r="H175" s="14"/>
    </row>
    <row r="176" spans="1:8" x14ac:dyDescent="0.25">
      <c r="A176" s="3"/>
      <c r="B176" s="3"/>
      <c r="C176" s="3"/>
      <c r="D176" s="3"/>
      <c r="G176" s="14"/>
      <c r="H176" s="14"/>
    </row>
    <row r="177" spans="1:8" x14ac:dyDescent="0.25">
      <c r="A177" s="3"/>
      <c r="B177" s="3"/>
      <c r="C177" s="3"/>
      <c r="D177" s="3"/>
      <c r="G177" s="14"/>
      <c r="H177" s="14"/>
    </row>
    <row r="178" spans="1:8" x14ac:dyDescent="0.25">
      <c r="A178" s="3"/>
      <c r="B178" s="3"/>
      <c r="C178" s="3"/>
      <c r="D178" s="3"/>
      <c r="G178" s="14"/>
      <c r="H178" s="14"/>
    </row>
    <row r="179" spans="1:8" x14ac:dyDescent="0.25">
      <c r="A179" s="3"/>
      <c r="B179" s="3"/>
      <c r="C179" s="3"/>
      <c r="D179" s="3"/>
      <c r="G179" s="14"/>
      <c r="H179" s="14"/>
    </row>
    <row r="180" spans="1:8" x14ac:dyDescent="0.25">
      <c r="A180" s="3"/>
      <c r="B180" s="3"/>
      <c r="C180" s="3"/>
      <c r="D180" s="3"/>
      <c r="G180" s="14"/>
      <c r="H180" s="14"/>
    </row>
    <row r="181" spans="1:8" x14ac:dyDescent="0.25">
      <c r="A181" s="3"/>
      <c r="B181" s="3"/>
      <c r="C181" s="3"/>
      <c r="D181" s="3"/>
      <c r="G181" s="14"/>
      <c r="H181" s="14"/>
    </row>
    <row r="182" spans="1:8" x14ac:dyDescent="0.25">
      <c r="A182" s="3"/>
      <c r="B182" s="3"/>
      <c r="C182" s="3"/>
      <c r="D182" s="3"/>
      <c r="G182" s="14"/>
      <c r="H182" s="14"/>
    </row>
    <row r="183" spans="1:8" x14ac:dyDescent="0.25">
      <c r="A183" s="3"/>
      <c r="B183" s="3"/>
      <c r="C183" s="3"/>
      <c r="D183" s="3"/>
      <c r="G183" s="14"/>
      <c r="H183" s="14"/>
    </row>
    <row r="184" spans="1:8" x14ac:dyDescent="0.25">
      <c r="A184" s="3"/>
      <c r="B184" s="3"/>
      <c r="C184" s="3"/>
      <c r="D184" s="3"/>
      <c r="G184" s="14"/>
      <c r="H184" s="14"/>
    </row>
    <row r="185" spans="1:8" x14ac:dyDescent="0.25">
      <c r="A185" s="3"/>
      <c r="B185" s="3"/>
      <c r="C185" s="3"/>
      <c r="D185" s="3"/>
      <c r="G185" s="14"/>
      <c r="H185" s="14"/>
    </row>
    <row r="186" spans="1:8" x14ac:dyDescent="0.25">
      <c r="A186" s="3"/>
      <c r="B186" s="3"/>
      <c r="C186" s="3"/>
      <c r="D186" s="3"/>
      <c r="G186" s="14"/>
      <c r="H186" s="14"/>
    </row>
    <row r="187" spans="1:8" x14ac:dyDescent="0.25">
      <c r="A187" s="3"/>
      <c r="B187" s="3"/>
      <c r="C187" s="3"/>
      <c r="D187" s="3"/>
      <c r="G187" s="14"/>
      <c r="H187" s="14"/>
    </row>
    <row r="188" spans="1:8" x14ac:dyDescent="0.25">
      <c r="A188" s="3"/>
      <c r="B188" s="3"/>
      <c r="C188" s="3"/>
      <c r="D188" s="3"/>
      <c r="G188" s="14"/>
      <c r="H188" s="14"/>
    </row>
    <row r="189" spans="1:8" x14ac:dyDescent="0.25">
      <c r="A189" s="3"/>
      <c r="B189" s="3"/>
      <c r="C189" s="3"/>
      <c r="D189" s="3"/>
      <c r="G189" s="14"/>
      <c r="H189" s="14"/>
    </row>
    <row r="190" spans="1:8" x14ac:dyDescent="0.25">
      <c r="A190" s="3"/>
      <c r="B190" s="3"/>
      <c r="C190" s="3"/>
      <c r="D190" s="3"/>
      <c r="G190" s="14"/>
      <c r="H190" s="14"/>
    </row>
    <row r="191" spans="1:8" x14ac:dyDescent="0.25">
      <c r="A191" s="3"/>
      <c r="B191" s="3"/>
      <c r="C191" s="3"/>
      <c r="D191" s="3"/>
      <c r="G191" s="14"/>
      <c r="H191" s="14"/>
    </row>
    <row r="192" spans="1:8" x14ac:dyDescent="0.25">
      <c r="A192" s="3"/>
      <c r="B192" s="3"/>
      <c r="C192" s="3"/>
      <c r="D192" s="3"/>
      <c r="G192" s="14"/>
      <c r="H192" s="14"/>
    </row>
    <row r="193" spans="1:8" x14ac:dyDescent="0.25">
      <c r="A193" s="3"/>
      <c r="B193" s="3"/>
      <c r="C193" s="3"/>
      <c r="D193" s="3"/>
      <c r="G193" s="14"/>
      <c r="H193" s="14"/>
    </row>
    <row r="194" spans="1:8" x14ac:dyDescent="0.25">
      <c r="A194" s="3"/>
      <c r="B194" s="3"/>
      <c r="C194" s="3"/>
      <c r="D194" s="3"/>
      <c r="G194" s="14"/>
      <c r="H194" s="14"/>
    </row>
    <row r="195" spans="1:8" x14ac:dyDescent="0.25">
      <c r="A195" s="3"/>
      <c r="B195" s="3"/>
      <c r="C195" s="3"/>
      <c r="D195" s="3"/>
      <c r="G195" s="14"/>
      <c r="H195" s="14"/>
    </row>
    <row r="196" spans="1:8" x14ac:dyDescent="0.25">
      <c r="A196" s="3"/>
      <c r="B196" s="3"/>
      <c r="C196" s="3"/>
      <c r="D196" s="3"/>
      <c r="G196" s="14"/>
      <c r="H196" s="14"/>
    </row>
    <row r="197" spans="1:8" x14ac:dyDescent="0.25">
      <c r="A197" s="3"/>
      <c r="B197" s="3"/>
      <c r="C197" s="3"/>
      <c r="D197" s="3"/>
      <c r="G197" s="14"/>
      <c r="H197" s="14"/>
    </row>
    <row r="198" spans="1:8" x14ac:dyDescent="0.25">
      <c r="A198" s="3"/>
      <c r="B198" s="3"/>
      <c r="C198" s="3"/>
      <c r="D198" s="3"/>
      <c r="G198" s="14"/>
      <c r="H198" s="14"/>
    </row>
    <row r="199" spans="1:8" x14ac:dyDescent="0.25">
      <c r="A199" s="3"/>
      <c r="B199" s="3"/>
      <c r="C199" s="3"/>
      <c r="D199" s="3"/>
      <c r="G199" s="14"/>
      <c r="H199" s="14"/>
    </row>
    <row r="200" spans="1:8" x14ac:dyDescent="0.25">
      <c r="A200" s="3"/>
      <c r="B200" s="3"/>
      <c r="C200" s="3"/>
      <c r="D200" s="3"/>
      <c r="G200" s="14"/>
      <c r="H200" s="14"/>
    </row>
    <row r="201" spans="1:8" x14ac:dyDescent="0.25">
      <c r="A201" s="3"/>
      <c r="B201" s="3"/>
      <c r="C201" s="3"/>
      <c r="D201" s="3"/>
      <c r="G201" s="14"/>
      <c r="H201" s="14"/>
    </row>
    <row r="202" spans="1:8" x14ac:dyDescent="0.25">
      <c r="A202" s="3"/>
      <c r="B202" s="3"/>
      <c r="C202" s="3"/>
      <c r="D202" s="3"/>
      <c r="G202" s="14"/>
      <c r="H202" s="14"/>
    </row>
    <row r="203" spans="1:8" x14ac:dyDescent="0.25">
      <c r="A203" s="3"/>
      <c r="B203" s="3"/>
      <c r="C203" s="3"/>
      <c r="D203" s="3"/>
      <c r="G203" s="14"/>
      <c r="H203" s="14"/>
    </row>
    <row r="204" spans="1:8" x14ac:dyDescent="0.25">
      <c r="A204" s="3"/>
      <c r="B204" s="3"/>
      <c r="C204" s="3"/>
      <c r="D204" s="3"/>
      <c r="G204" s="14"/>
      <c r="H204" s="14"/>
    </row>
    <row r="205" spans="1:8" x14ac:dyDescent="0.25">
      <c r="A205" s="3"/>
      <c r="B205" s="3"/>
      <c r="C205" s="3"/>
      <c r="D205" s="3"/>
      <c r="G205" s="14"/>
      <c r="H205" s="14"/>
    </row>
    <row r="206" spans="1:8" x14ac:dyDescent="0.25">
      <c r="A206" s="3"/>
      <c r="B206" s="3"/>
      <c r="C206" s="3"/>
      <c r="D206" s="3"/>
      <c r="G206" s="14"/>
      <c r="H206" s="14"/>
    </row>
    <row r="207" spans="1:8" x14ac:dyDescent="0.25">
      <c r="A207" s="3"/>
      <c r="B207" s="3"/>
      <c r="C207" s="3"/>
      <c r="D207" s="3"/>
      <c r="G207" s="14"/>
      <c r="H207" s="14"/>
    </row>
    <row r="208" spans="1:8" x14ac:dyDescent="0.25">
      <c r="A208" s="3"/>
      <c r="B208" s="3"/>
      <c r="C208" s="3"/>
      <c r="D208" s="3"/>
      <c r="G208" s="14"/>
      <c r="H208" s="14"/>
    </row>
    <row r="209" spans="1:8" x14ac:dyDescent="0.25">
      <c r="A209" s="3"/>
      <c r="B209" s="3"/>
      <c r="C209" s="3"/>
      <c r="D209" s="3"/>
      <c r="G209" s="14"/>
      <c r="H209" s="14"/>
    </row>
    <row r="210" spans="1:8" x14ac:dyDescent="0.25">
      <c r="A210" s="3"/>
      <c r="B210" s="3"/>
      <c r="C210" s="3"/>
      <c r="D210" s="3"/>
      <c r="G210" s="14"/>
      <c r="H210" s="14"/>
    </row>
    <row r="211" spans="1:8" x14ac:dyDescent="0.25">
      <c r="A211" s="3"/>
      <c r="B211" s="3"/>
      <c r="C211" s="3"/>
      <c r="D211" s="3"/>
      <c r="G211" s="14"/>
      <c r="H211" s="14"/>
    </row>
    <row r="212" spans="1:8" x14ac:dyDescent="0.25">
      <c r="A212" s="3"/>
      <c r="B212" s="3"/>
      <c r="C212" s="3"/>
      <c r="D212" s="3"/>
      <c r="G212" s="14"/>
      <c r="H212" s="14"/>
    </row>
    <row r="213" spans="1:8" x14ac:dyDescent="0.25">
      <c r="A213" s="3"/>
      <c r="B213" s="3"/>
      <c r="C213" s="3"/>
      <c r="D213" s="3"/>
      <c r="G213" s="14"/>
      <c r="H213" s="14"/>
    </row>
    <row r="214" spans="1:8" x14ac:dyDescent="0.25">
      <c r="A214" s="3"/>
      <c r="B214" s="3"/>
      <c r="C214" s="3"/>
      <c r="D214" s="3"/>
      <c r="G214" s="14"/>
      <c r="H214" s="14"/>
    </row>
    <row r="215" spans="1:8" x14ac:dyDescent="0.25">
      <c r="A215" s="3"/>
      <c r="B215" s="3"/>
      <c r="C215" s="3"/>
      <c r="D215" s="3"/>
      <c r="G215" s="14"/>
      <c r="H215" s="14"/>
    </row>
    <row r="216" spans="1:8" x14ac:dyDescent="0.25">
      <c r="A216" s="3"/>
      <c r="B216" s="3"/>
      <c r="C216" s="3"/>
      <c r="D216" s="3"/>
      <c r="G216" s="14"/>
      <c r="H216" s="14"/>
    </row>
    <row r="217" spans="1:8" x14ac:dyDescent="0.25">
      <c r="A217" s="3"/>
      <c r="B217" s="3"/>
      <c r="C217" s="3"/>
      <c r="D217" s="3"/>
      <c r="G217" s="14"/>
      <c r="H217" s="14"/>
    </row>
    <row r="218" spans="1:8" x14ac:dyDescent="0.25">
      <c r="A218" s="3"/>
      <c r="B218" s="3"/>
      <c r="C218" s="3"/>
      <c r="D218" s="3"/>
      <c r="G218" s="14"/>
      <c r="H218" s="14"/>
    </row>
    <row r="219" spans="1:8" x14ac:dyDescent="0.25">
      <c r="A219" s="3"/>
      <c r="B219" s="3"/>
      <c r="C219" s="3"/>
      <c r="D219" s="3"/>
      <c r="G219" s="14"/>
      <c r="H219" s="14"/>
    </row>
    <row r="220" spans="1:8" x14ac:dyDescent="0.25">
      <c r="A220" s="3"/>
      <c r="B220" s="3"/>
      <c r="C220" s="3"/>
      <c r="D220" s="3"/>
      <c r="G220" s="14"/>
      <c r="H220" s="14"/>
    </row>
    <row r="221" spans="1:8" x14ac:dyDescent="0.25">
      <c r="A221" s="3"/>
      <c r="B221" s="3"/>
      <c r="C221" s="3"/>
      <c r="D221" s="3"/>
      <c r="G221" s="14"/>
      <c r="H221" s="14"/>
    </row>
    <row r="222" spans="1:8" x14ac:dyDescent="0.25">
      <c r="A222" s="3"/>
      <c r="B222" s="3"/>
      <c r="C222" s="3"/>
      <c r="D222" s="3"/>
      <c r="G222" s="14"/>
      <c r="H222" s="14"/>
    </row>
    <row r="223" spans="1:8" x14ac:dyDescent="0.25">
      <c r="A223" s="3"/>
      <c r="B223" s="3"/>
      <c r="C223" s="3"/>
      <c r="D223" s="3"/>
      <c r="G223" s="14"/>
      <c r="H223" s="14"/>
    </row>
    <row r="224" spans="1:8" x14ac:dyDescent="0.25">
      <c r="A224" s="3"/>
      <c r="B224" s="3"/>
      <c r="C224" s="3"/>
      <c r="D224" s="3"/>
      <c r="G224" s="14"/>
      <c r="H224" s="14"/>
    </row>
    <row r="225" spans="1:8" x14ac:dyDescent="0.25">
      <c r="A225" s="3"/>
      <c r="B225" s="3"/>
      <c r="C225" s="3"/>
      <c r="D225" s="3"/>
      <c r="G225" s="14"/>
      <c r="H225" s="14"/>
    </row>
    <row r="226" spans="1:8" x14ac:dyDescent="0.25">
      <c r="A226" s="3"/>
      <c r="B226" s="3"/>
      <c r="C226" s="3"/>
      <c r="D226" s="3"/>
      <c r="G226" s="14"/>
      <c r="H226" s="14"/>
    </row>
    <row r="227" spans="1:8" x14ac:dyDescent="0.25">
      <c r="A227" s="3"/>
      <c r="B227" s="3"/>
      <c r="C227" s="3"/>
      <c r="D227" s="3"/>
      <c r="G227" s="14"/>
      <c r="H227" s="14"/>
    </row>
    <row r="228" spans="1:8" x14ac:dyDescent="0.25">
      <c r="A228" s="3"/>
      <c r="B228" s="3"/>
      <c r="C228" s="3"/>
      <c r="D228" s="3"/>
      <c r="G228" s="14"/>
      <c r="H228" s="14"/>
    </row>
    <row r="229" spans="1:8" x14ac:dyDescent="0.25">
      <c r="A229" s="3"/>
      <c r="B229" s="3"/>
      <c r="C229" s="3"/>
      <c r="D229" s="3"/>
      <c r="G229" s="14"/>
      <c r="H229" s="14"/>
    </row>
    <row r="230" spans="1:8" x14ac:dyDescent="0.25">
      <c r="A230" s="3"/>
      <c r="B230" s="3"/>
      <c r="C230" s="3"/>
      <c r="D230" s="3"/>
      <c r="G230" s="14"/>
      <c r="H230" s="14"/>
    </row>
    <row r="231" spans="1:8" x14ac:dyDescent="0.25">
      <c r="A231" s="3"/>
      <c r="B231" s="3"/>
      <c r="C231" s="3"/>
      <c r="D231" s="3"/>
      <c r="G231" s="14"/>
      <c r="H231" s="14"/>
    </row>
    <row r="232" spans="1:8" x14ac:dyDescent="0.25">
      <c r="A232" s="3"/>
      <c r="B232" s="3"/>
      <c r="C232" s="3"/>
      <c r="D232" s="3"/>
      <c r="G232" s="14"/>
      <c r="H232" s="14"/>
    </row>
    <row r="233" spans="1:8" x14ac:dyDescent="0.25">
      <c r="A233" s="3"/>
      <c r="B233" s="3"/>
      <c r="C233" s="3"/>
      <c r="D233" s="3"/>
      <c r="G233" s="14"/>
      <c r="H233" s="14"/>
    </row>
    <row r="234" spans="1:8" x14ac:dyDescent="0.25">
      <c r="A234" s="3"/>
      <c r="B234" s="3"/>
      <c r="C234" s="3"/>
      <c r="D234" s="3"/>
      <c r="G234" s="14"/>
      <c r="H234" s="14"/>
    </row>
    <row r="235" spans="1:8" x14ac:dyDescent="0.25">
      <c r="A235" s="3"/>
      <c r="B235" s="3"/>
      <c r="C235" s="3"/>
      <c r="D235" s="3"/>
      <c r="G235" s="14"/>
      <c r="H235" s="14"/>
    </row>
    <row r="236" spans="1:8" x14ac:dyDescent="0.25">
      <c r="A236" s="3"/>
      <c r="B236" s="3"/>
      <c r="C236" s="3"/>
      <c r="D236" s="3"/>
      <c r="G236" s="14"/>
      <c r="H236" s="14"/>
    </row>
    <row r="237" spans="1:8" x14ac:dyDescent="0.25">
      <c r="A237" s="3"/>
      <c r="B237" s="3"/>
      <c r="C237" s="3"/>
      <c r="D237" s="3"/>
      <c r="G237" s="14"/>
      <c r="H237" s="14"/>
    </row>
    <row r="238" spans="1:8" x14ac:dyDescent="0.25">
      <c r="A238" s="3"/>
      <c r="B238" s="3"/>
      <c r="C238" s="3"/>
      <c r="D238" s="3"/>
      <c r="G238" s="14"/>
      <c r="H238" s="14"/>
    </row>
    <row r="239" spans="1:8" x14ac:dyDescent="0.25">
      <c r="A239" s="3"/>
      <c r="B239" s="3"/>
      <c r="C239" s="3"/>
      <c r="D239" s="3"/>
      <c r="G239" s="14"/>
      <c r="H239" s="14"/>
    </row>
    <row r="240" spans="1:8" x14ac:dyDescent="0.25">
      <c r="A240" s="3"/>
      <c r="B240" s="3"/>
      <c r="C240" s="3"/>
      <c r="D240" s="3"/>
      <c r="G240" s="14"/>
      <c r="H240" s="14"/>
    </row>
    <row r="241" spans="1:8" x14ac:dyDescent="0.25">
      <c r="A241" s="3"/>
      <c r="B241" s="3"/>
      <c r="C241" s="3"/>
      <c r="D241" s="3"/>
      <c r="G241" s="14"/>
      <c r="H241" s="14"/>
    </row>
    <row r="242" spans="1:8" x14ac:dyDescent="0.25">
      <c r="A242" s="3"/>
      <c r="B242" s="3"/>
      <c r="C242" s="3"/>
      <c r="D242" s="3"/>
      <c r="G242" s="14"/>
      <c r="H242" s="14"/>
    </row>
    <row r="243" spans="1:8" x14ac:dyDescent="0.25">
      <c r="A243" s="3"/>
      <c r="B243" s="3"/>
      <c r="C243" s="3"/>
      <c r="D243" s="3"/>
      <c r="G243" s="14"/>
      <c r="H243" s="14"/>
    </row>
    <row r="244" spans="1:8" x14ac:dyDescent="0.25">
      <c r="A244" s="3"/>
      <c r="B244" s="3"/>
      <c r="C244" s="3"/>
      <c r="D244" s="3"/>
      <c r="G244" s="14"/>
      <c r="H244" s="14"/>
    </row>
    <row r="245" spans="1:8" x14ac:dyDescent="0.25">
      <c r="A245" s="3"/>
      <c r="B245" s="3"/>
      <c r="C245" s="3"/>
      <c r="D245" s="3"/>
      <c r="G245" s="14"/>
      <c r="H245" s="14"/>
    </row>
    <row r="247" spans="1:8" x14ac:dyDescent="0.25">
      <c r="A247" s="3"/>
      <c r="G247" s="14"/>
      <c r="H247" s="14"/>
    </row>
  </sheetData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39E9A3-2EAA-47D2-8871-2C45AB57A908}">
  <sheetPr/>
  <dimension ref="A1:I247"/>
  <sheetViews>
    <sheetView zoomScale="115" zoomScaleNormal="115" workbookViewId="0">
      <selection activeCell="A5" sqref="A5:H74"/>
    </sheetView>
  </sheetViews>
  <sheetFormatPr defaultRowHeight="15" x14ac:dyDescent="0.25"/>
  <cols>
    <col min="1" max="1" width="8.875" style="4" customWidth="1"/>
    <col min="2" max="3" width="15.125" style="4" customWidth="1"/>
    <col min="4" max="4" width="10.25" style="4" customWidth="1"/>
    <col min="5" max="5" width="12" style="13" customWidth="1"/>
    <col min="6" max="6" width="15" style="13" customWidth="1"/>
    <col min="7" max="7" width="13.875" customWidth="1"/>
    <col min="8" max="8" width="11.125" customWidth="1"/>
    <col min="11" max="12" width="15.125" customWidth="1"/>
    <col min="13" max="13" width="11.125" customWidth="1"/>
  </cols>
  <sheetData>
    <row r="1" spans="1:9" ht="14.25" x14ac:dyDescent="0.2">
      <c r="A1" s="2" t="s">
        <v>12</v>
      </c>
      <c r="B1" s="2" t="s">
        <v>4</v>
      </c>
      <c r="C1" s="2" t="s">
        <v>5</v>
      </c>
      <c r="D1" s="2" t="s">
        <v>13</v>
      </c>
      <c r="E1" s="2" t="s">
        <v>14</v>
      </c>
      <c r="F1" s="2" t="s">
        <v>15</v>
      </c>
      <c r="G1" s="2" t="s">
        <v>16</v>
      </c>
    </row>
    <row r="2" spans="1:9" x14ac:dyDescent="0.25">
      <c r="A2" s="3">
        <v>3</v>
      </c>
      <c r="B2" s="3">
        <v>113.32052400000001</v>
      </c>
      <c r="C2" s="3">
        <v>22.970600820000001</v>
      </c>
      <c r="D2" s="3">
        <v>0</v>
      </c>
      <c r="E2" s="13">
        <v>1120</v>
      </c>
      <c r="F2" s="13">
        <v>29</v>
      </c>
      <c r="G2" s="19">
        <f>SUBTOTAL(2,A5:A250)</f>
        <v>24</v>
      </c>
    </row>
    <row r="3" spans="1:9" x14ac:dyDescent="0.25">
      <c r="A3" s="3"/>
      <c r="B3" s="3"/>
      <c r="C3" s="3"/>
      <c r="D3" s="3"/>
    </row>
    <row r="4" spans="1:9" ht="14.25" x14ac:dyDescent="0.2">
      <c r="A4" s="2" t="s">
        <v>0</v>
      </c>
      <c r="B4" s="2" t="s">
        <v>1</v>
      </c>
      <c r="C4" s="2" t="s">
        <v>2</v>
      </c>
      <c r="D4" s="2" t="s">
        <v>3</v>
      </c>
      <c r="E4" s="2" t="s">
        <v>7</v>
      </c>
      <c r="F4" s="2" t="s">
        <v>8</v>
      </c>
      <c r="G4" s="2" t="s">
        <v>13</v>
      </c>
      <c r="H4" s="2" t="s">
        <v>14</v>
      </c>
      <c r="I4" s="24" t="s">
        <v>20</v>
      </c>
    </row>
    <row r="5" spans="1:9" x14ac:dyDescent="0.25">
      <c r="A5" s="3">
        <v>2232</v>
      </c>
      <c r="B5" s="3">
        <v>113.3196779</v>
      </c>
      <c r="C5" s="3">
        <v>22.970819800000001</v>
      </c>
      <c r="D5" s="3">
        <v>3</v>
      </c>
      <c r="E5" s="13">
        <f t="shared" ref="E5:E36" si="0">SQRT((B5-$B$2)^2+(C5-$C$2)^2)</f>
        <v>8.7397794617858769E-4</v>
      </c>
      <c r="F5" s="13">
        <f t="shared" ref="F5:F36" si="1">SQRT(1/E5)</f>
        <v>33.825931345613803</v>
      </c>
      <c r="G5" s="14">
        <f>F5/$F$76*$D$2</f>
        <v>0</v>
      </c>
      <c r="H5" s="14">
        <f>F5/$F$76*$E$2</f>
        <v>112.7527913277562</v>
      </c>
      <c r="I5" s="25" t="str">
        <f>IF(MOD(ROW()-1,3)=1,"选中","")</f>
        <v>选中</v>
      </c>
    </row>
    <row r="6" spans="1:9" hidden="1" x14ac:dyDescent="0.25">
      <c r="A6" s="3">
        <v>2241</v>
      </c>
      <c r="B6" s="3">
        <v>113.3195063</v>
      </c>
      <c r="C6" s="3">
        <v>22.971015040000001</v>
      </c>
      <c r="D6" s="3">
        <v>3</v>
      </c>
      <c r="E6" s="13">
        <f t="shared" si="0"/>
        <v>1.0987681731880756E-3</v>
      </c>
      <c r="F6" s="13">
        <f t="shared" si="1"/>
        <v>30.168030911870868</v>
      </c>
      <c r="G6" s="14" t="e">
        <f>F6/$F$124*$D$2</f>
        <v>#DIV/0!</v>
      </c>
      <c r="H6" s="14" t="e">
        <f>F6/$F$124*$E$2</f>
        <v>#DIV/0!</v>
      </c>
      <c r="I6" s="25" t="str">
        <f t="shared" ref="I6:I69" si="2">IF(MOD(ROW()-1,3)=1,"选中","")</f>
        <v/>
      </c>
    </row>
    <row r="7" spans="1:9" hidden="1" x14ac:dyDescent="0.25">
      <c r="A7" s="3">
        <v>2235</v>
      </c>
      <c r="B7" s="3">
        <v>113.3194803</v>
      </c>
      <c r="C7" s="3">
        <v>22.971170019999999</v>
      </c>
      <c r="D7" s="3">
        <v>3</v>
      </c>
      <c r="E7" s="13">
        <f t="shared" si="0"/>
        <v>1.188822244921439E-3</v>
      </c>
      <c r="F7" s="13">
        <f t="shared" si="1"/>
        <v>29.002907571521487</v>
      </c>
      <c r="G7" s="14" t="e">
        <f>F7/$F$124*$D$2</f>
        <v>#DIV/0!</v>
      </c>
      <c r="H7" s="14" t="e">
        <f>F7/$F$124*$E$2</f>
        <v>#DIV/0!</v>
      </c>
      <c r="I7" s="25" t="str">
        <f t="shared" si="2"/>
        <v/>
      </c>
    </row>
    <row r="8" spans="1:9" x14ac:dyDescent="0.25">
      <c r="A8" s="3">
        <v>2247</v>
      </c>
      <c r="B8" s="3">
        <v>113.31986550000001</v>
      </c>
      <c r="C8" s="3">
        <v>22.971726050000001</v>
      </c>
      <c r="D8" s="3">
        <v>3</v>
      </c>
      <c r="E8" s="13">
        <f t="shared" si="0"/>
        <v>1.3037502839497691E-3</v>
      </c>
      <c r="F8" s="13">
        <f t="shared" si="1"/>
        <v>27.69509071352217</v>
      </c>
      <c r="G8" s="14">
        <f>F8/$F$76*$D$2</f>
        <v>0</v>
      </c>
      <c r="H8" s="14">
        <f>F8/$F$76*$E$2</f>
        <v>92.316712646256889</v>
      </c>
      <c r="I8" s="25" t="str">
        <f t="shared" si="2"/>
        <v>选中</v>
      </c>
    </row>
    <row r="9" spans="1:9" hidden="1" x14ac:dyDescent="0.25">
      <c r="A9" s="3">
        <v>2236</v>
      </c>
      <c r="B9" s="3">
        <v>113.3191161</v>
      </c>
      <c r="C9" s="3">
        <v>22.971234689999999</v>
      </c>
      <c r="D9" s="3">
        <v>3</v>
      </c>
      <c r="E9" s="13">
        <f t="shared" si="0"/>
        <v>1.5440121718782046E-3</v>
      </c>
      <c r="F9" s="13">
        <f t="shared" si="1"/>
        <v>25.449229615686921</v>
      </c>
      <c r="G9" s="14" t="e">
        <f>F9/$F$124*$D$2</f>
        <v>#DIV/0!</v>
      </c>
      <c r="H9" s="14" t="e">
        <f>F9/$F$124*$E$2</f>
        <v>#DIV/0!</v>
      </c>
      <c r="I9" s="25" t="str">
        <f t="shared" si="2"/>
        <v/>
      </c>
    </row>
    <row r="10" spans="1:9" hidden="1" x14ac:dyDescent="0.25">
      <c r="A10" s="3">
        <v>2238</v>
      </c>
      <c r="B10" s="3">
        <v>113.320081</v>
      </c>
      <c r="C10" s="3">
        <v>22.972269399999998</v>
      </c>
      <c r="D10" s="3">
        <v>3</v>
      </c>
      <c r="E10" s="13">
        <f t="shared" si="0"/>
        <v>1.726385882818045E-3</v>
      </c>
      <c r="F10" s="13">
        <f t="shared" si="1"/>
        <v>24.067504517360277</v>
      </c>
      <c r="G10" s="14" t="e">
        <f>F10/$F$124*$D$2</f>
        <v>#DIV/0!</v>
      </c>
      <c r="H10" s="14" t="e">
        <f>F10/$F$124*$E$2</f>
        <v>#DIV/0!</v>
      </c>
      <c r="I10" s="25" t="str">
        <f t="shared" si="2"/>
        <v/>
      </c>
    </row>
    <row r="11" spans="1:9" x14ac:dyDescent="0.25">
      <c r="A11" s="3">
        <v>2224</v>
      </c>
      <c r="B11" s="3">
        <v>113.3186151</v>
      </c>
      <c r="C11" s="3">
        <v>22.971272630000001</v>
      </c>
      <c r="D11" s="3">
        <v>3</v>
      </c>
      <c r="E11" s="13">
        <f t="shared" si="0"/>
        <v>2.0236669405102269E-3</v>
      </c>
      <c r="F11" s="13">
        <f t="shared" si="1"/>
        <v>22.229540290901618</v>
      </c>
      <c r="G11" s="14">
        <f>F11/$F$76*$D$2</f>
        <v>0</v>
      </c>
      <c r="H11" s="14">
        <f>F11/$F$76*$E$2</f>
        <v>74.098261837127154</v>
      </c>
      <c r="I11" s="25" t="str">
        <f t="shared" si="2"/>
        <v>选中</v>
      </c>
    </row>
    <row r="12" spans="1:9" hidden="1" x14ac:dyDescent="0.25">
      <c r="A12" s="3">
        <v>2243</v>
      </c>
      <c r="B12" s="3">
        <v>113.3194962</v>
      </c>
      <c r="C12" s="3">
        <v>22.972674349999998</v>
      </c>
      <c r="D12" s="3">
        <v>3</v>
      </c>
      <c r="E12" s="13">
        <f t="shared" si="0"/>
        <v>2.3142816381964576E-3</v>
      </c>
      <c r="F12" s="13">
        <f t="shared" si="1"/>
        <v>20.787003787881183</v>
      </c>
      <c r="G12" s="14" t="e">
        <f>F12/$F$124*$D$2</f>
        <v>#DIV/0!</v>
      </c>
      <c r="H12" s="14" t="e">
        <f>F12/$F$124*$E$2</f>
        <v>#DIV/0!</v>
      </c>
      <c r="I12" s="25" t="str">
        <f t="shared" si="2"/>
        <v/>
      </c>
    </row>
    <row r="13" spans="1:9" hidden="1" x14ac:dyDescent="0.25">
      <c r="A13" s="3">
        <v>2227</v>
      </c>
      <c r="B13" s="3">
        <v>113.3179825</v>
      </c>
      <c r="C13" s="3">
        <v>22.97009534</v>
      </c>
      <c r="D13" s="3">
        <v>3</v>
      </c>
      <c r="E13" s="13">
        <f t="shared" si="0"/>
        <v>2.5912800467017836E-3</v>
      </c>
      <c r="F13" s="13">
        <f t="shared" si="1"/>
        <v>19.644583459829285</v>
      </c>
      <c r="G13" s="14" t="e">
        <f>F13/$F$124*$D$2</f>
        <v>#DIV/0!</v>
      </c>
      <c r="H13" s="14" t="e">
        <f>F13/$F$124*$E$2</f>
        <v>#DIV/0!</v>
      </c>
      <c r="I13" s="25" t="str">
        <f t="shared" si="2"/>
        <v/>
      </c>
    </row>
    <row r="14" spans="1:9" x14ac:dyDescent="0.25">
      <c r="A14" s="3">
        <v>2228</v>
      </c>
      <c r="B14" s="3">
        <v>113.31771999999999</v>
      </c>
      <c r="C14" s="3">
        <v>22.970541650000001</v>
      </c>
      <c r="D14" s="3">
        <v>3</v>
      </c>
      <c r="E14" s="13">
        <f t="shared" si="0"/>
        <v>2.8046242331132652E-3</v>
      </c>
      <c r="F14" s="13">
        <f t="shared" si="1"/>
        <v>18.88263763324931</v>
      </c>
      <c r="G14" s="14">
        <f>F14/$F$76*$D$2</f>
        <v>0</v>
      </c>
      <c r="H14" s="14">
        <f>F14/$F$76*$E$2</f>
        <v>62.941950630295686</v>
      </c>
      <c r="I14" s="25" t="str">
        <f t="shared" si="2"/>
        <v>选中</v>
      </c>
    </row>
    <row r="15" spans="1:9" hidden="1" x14ac:dyDescent="0.25">
      <c r="A15" s="3">
        <v>2239</v>
      </c>
      <c r="B15" s="3">
        <v>113.3208364</v>
      </c>
      <c r="C15" s="3">
        <v>22.97341746</v>
      </c>
      <c r="D15" s="3">
        <v>3</v>
      </c>
      <c r="E15" s="13">
        <f t="shared" si="0"/>
        <v>2.8339115458307878E-3</v>
      </c>
      <c r="F15" s="13">
        <f t="shared" si="1"/>
        <v>18.784812075081291</v>
      </c>
      <c r="G15" s="14" t="e">
        <f>F15/$F$124*$D$2</f>
        <v>#DIV/0!</v>
      </c>
      <c r="H15" s="14" t="e">
        <f>F15/$F$124*$E$2</f>
        <v>#DIV/0!</v>
      </c>
      <c r="I15" s="25" t="str">
        <f t="shared" si="2"/>
        <v/>
      </c>
    </row>
    <row r="16" spans="1:9" hidden="1" x14ac:dyDescent="0.25">
      <c r="A16" s="3">
        <v>2244</v>
      </c>
      <c r="B16" s="3">
        <v>113.32018170000001</v>
      </c>
      <c r="C16" s="3">
        <v>22.97347869</v>
      </c>
      <c r="D16" s="3">
        <v>3</v>
      </c>
      <c r="E16" s="13">
        <f t="shared" si="0"/>
        <v>2.8981554525066137E-3</v>
      </c>
      <c r="F16" s="13">
        <f t="shared" si="1"/>
        <v>18.575442220363382</v>
      </c>
      <c r="G16" s="14" t="e">
        <f>F16/$F$124*$D$2</f>
        <v>#DIV/0!</v>
      </c>
      <c r="H16" s="14" t="e">
        <f>F16/$F$124*$E$2</f>
        <v>#DIV/0!</v>
      </c>
      <c r="I16" s="25" t="str">
        <f t="shared" si="2"/>
        <v/>
      </c>
    </row>
    <row r="17" spans="1:9" x14ac:dyDescent="0.25">
      <c r="A17" s="3">
        <v>2242</v>
      </c>
      <c r="B17" s="3">
        <v>113.3211537</v>
      </c>
      <c r="C17" s="3">
        <v>22.97346284</v>
      </c>
      <c r="D17" s="3">
        <v>3</v>
      </c>
      <c r="E17" s="13">
        <f t="shared" si="0"/>
        <v>2.9304744616493656E-3</v>
      </c>
      <c r="F17" s="13">
        <f t="shared" si="1"/>
        <v>18.472727743295355</v>
      </c>
      <c r="G17" s="14">
        <f>F17/$F$76*$D$2</f>
        <v>0</v>
      </c>
      <c r="H17" s="14">
        <f>F17/$F$76*$E$2</f>
        <v>61.575588125360404</v>
      </c>
      <c r="I17" s="25" t="str">
        <f t="shared" si="2"/>
        <v>选中</v>
      </c>
    </row>
    <row r="18" spans="1:9" hidden="1" x14ac:dyDescent="0.25">
      <c r="A18" s="3">
        <v>2245</v>
      </c>
      <c r="B18" s="3">
        <v>113.3207535</v>
      </c>
      <c r="C18" s="3">
        <v>22.973663519999999</v>
      </c>
      <c r="D18" s="3">
        <v>3</v>
      </c>
      <c r="E18" s="13">
        <f t="shared" si="0"/>
        <v>3.0712866261518395E-3</v>
      </c>
      <c r="F18" s="13">
        <f t="shared" si="1"/>
        <v>18.044291138866953</v>
      </c>
      <c r="G18" s="14" t="e">
        <f>F18/$F$124*$D$2</f>
        <v>#DIV/0!</v>
      </c>
      <c r="H18" s="14" t="e">
        <f>F18/$F$124*$E$2</f>
        <v>#DIV/0!</v>
      </c>
      <c r="I18" s="25" t="str">
        <f t="shared" si="2"/>
        <v/>
      </c>
    </row>
    <row r="19" spans="1:9" hidden="1" x14ac:dyDescent="0.25">
      <c r="A19" s="3">
        <v>2225</v>
      </c>
      <c r="B19" s="3">
        <v>113.3176959</v>
      </c>
      <c r="C19" s="3">
        <v>22.971989069999999</v>
      </c>
      <c r="D19" s="3">
        <v>3</v>
      </c>
      <c r="E19" s="13">
        <f t="shared" si="0"/>
        <v>3.1504583273718012E-3</v>
      </c>
      <c r="F19" s="13">
        <f t="shared" si="1"/>
        <v>17.816120045197845</v>
      </c>
      <c r="G19" s="14" t="e">
        <f>F19/$F$124*$D$2</f>
        <v>#DIV/0!</v>
      </c>
      <c r="H19" s="14" t="e">
        <f>F19/$F$124*$E$2</f>
        <v>#DIV/0!</v>
      </c>
      <c r="I19" s="25" t="str">
        <f t="shared" si="2"/>
        <v/>
      </c>
    </row>
    <row r="20" spans="1:9" x14ac:dyDescent="0.25">
      <c r="A20" s="3">
        <v>2240</v>
      </c>
      <c r="B20" s="3">
        <v>113.3216267</v>
      </c>
      <c r="C20" s="3">
        <v>22.973571889999999</v>
      </c>
      <c r="D20" s="3">
        <v>3</v>
      </c>
      <c r="E20" s="13">
        <f t="shared" si="0"/>
        <v>3.1691014869931764E-3</v>
      </c>
      <c r="F20" s="13">
        <f t="shared" si="1"/>
        <v>17.76363849739268</v>
      </c>
      <c r="G20" s="14">
        <f>F20/$F$76*$D$2</f>
        <v>0</v>
      </c>
      <c r="H20" s="14">
        <f>F20/$F$76*$E$2</f>
        <v>59.211963870373339</v>
      </c>
      <c r="I20" s="25" t="str">
        <f t="shared" si="2"/>
        <v>选中</v>
      </c>
    </row>
    <row r="21" spans="1:9" hidden="1" x14ac:dyDescent="0.25">
      <c r="A21" s="3">
        <v>2231</v>
      </c>
      <c r="B21" s="3">
        <v>113.3177917</v>
      </c>
      <c r="C21" s="3">
        <v>22.972633609999999</v>
      </c>
      <c r="D21" s="3">
        <v>3</v>
      </c>
      <c r="E21" s="13">
        <f t="shared" si="0"/>
        <v>3.4055393807911217E-3</v>
      </c>
      <c r="F21" s="13">
        <f t="shared" si="1"/>
        <v>17.135905033062041</v>
      </c>
      <c r="G21" s="14" t="e">
        <f>F21/$F$124*$D$2</f>
        <v>#DIV/0!</v>
      </c>
      <c r="H21" s="14" t="e">
        <f>F21/$F$124*$E$2</f>
        <v>#DIV/0!</v>
      </c>
      <c r="I21" s="25" t="str">
        <f t="shared" si="2"/>
        <v/>
      </c>
    </row>
    <row r="22" spans="1:9" hidden="1" x14ac:dyDescent="0.25">
      <c r="A22" s="3">
        <v>2226</v>
      </c>
      <c r="B22" s="3">
        <v>113.31727600000001</v>
      </c>
      <c r="C22" s="3">
        <v>22.969527930000002</v>
      </c>
      <c r="D22" s="3">
        <v>3</v>
      </c>
      <c r="E22" s="13">
        <f t="shared" si="0"/>
        <v>3.4206135344546609E-3</v>
      </c>
      <c r="F22" s="13">
        <f t="shared" si="1"/>
        <v>17.098105603983395</v>
      </c>
      <c r="G22" s="14" t="e">
        <f>F22/$F$124*$D$2</f>
        <v>#DIV/0!</v>
      </c>
      <c r="H22" s="14" t="e">
        <f>F22/$F$124*$E$2</f>
        <v>#DIV/0!</v>
      </c>
      <c r="I22" s="25" t="str">
        <f t="shared" si="2"/>
        <v/>
      </c>
    </row>
    <row r="23" spans="1:9" x14ac:dyDescent="0.25">
      <c r="A23" s="3">
        <v>2229</v>
      </c>
      <c r="B23" s="3">
        <v>113.31699740000001</v>
      </c>
      <c r="C23" s="3">
        <v>22.97162556</v>
      </c>
      <c r="D23" s="3">
        <v>3</v>
      </c>
      <c r="E23" s="13">
        <f t="shared" si="0"/>
        <v>3.6724650614541657E-3</v>
      </c>
      <c r="F23" s="13">
        <f t="shared" si="1"/>
        <v>16.50141412468216</v>
      </c>
      <c r="G23" s="14">
        <f>F23/$F$76*$D$2</f>
        <v>0</v>
      </c>
      <c r="H23" s="14">
        <f>F23/$F$76*$E$2</f>
        <v>55.004560980238523</v>
      </c>
      <c r="I23" s="25" t="str">
        <f t="shared" si="2"/>
        <v>选中</v>
      </c>
    </row>
    <row r="24" spans="1:9" hidden="1" x14ac:dyDescent="0.25">
      <c r="A24" s="3">
        <v>2246</v>
      </c>
      <c r="B24" s="3">
        <v>113.3167967</v>
      </c>
      <c r="C24" s="3">
        <v>22.972561540000001</v>
      </c>
      <c r="D24" s="3">
        <v>3</v>
      </c>
      <c r="E24" s="13">
        <f t="shared" si="0"/>
        <v>4.2115541322012215E-3</v>
      </c>
      <c r="F24" s="13">
        <f t="shared" si="1"/>
        <v>15.409154385598363</v>
      </c>
      <c r="G24" s="14" t="e">
        <f>F24/$F$124*$D$2</f>
        <v>#DIV/0!</v>
      </c>
      <c r="H24" s="14" t="e">
        <f>F24/$F$124*$E$2</f>
        <v>#DIV/0!</v>
      </c>
      <c r="I24" s="25" t="str">
        <f t="shared" si="2"/>
        <v/>
      </c>
    </row>
    <row r="25" spans="1:9" hidden="1" x14ac:dyDescent="0.25">
      <c r="A25" s="3">
        <v>2028</v>
      </c>
      <c r="B25" s="3">
        <v>113.32140010000001</v>
      </c>
      <c r="C25" s="3">
        <v>22.974906749999999</v>
      </c>
      <c r="D25" s="3">
        <v>3</v>
      </c>
      <c r="E25" s="13">
        <f t="shared" si="0"/>
        <v>4.394153430966748E-3</v>
      </c>
      <c r="F25" s="13">
        <f t="shared" si="1"/>
        <v>15.085593169830847</v>
      </c>
      <c r="G25" s="14" t="e">
        <f>F25/$F$124*$D$2</f>
        <v>#DIV/0!</v>
      </c>
      <c r="H25" s="14" t="e">
        <f>F25/$F$124*$E$2</f>
        <v>#DIV/0!</v>
      </c>
      <c r="I25" s="25" t="str">
        <f t="shared" si="2"/>
        <v/>
      </c>
    </row>
    <row r="26" spans="1:9" x14ac:dyDescent="0.25">
      <c r="A26" s="3">
        <v>2025</v>
      </c>
      <c r="B26" s="3">
        <v>113.3206646</v>
      </c>
      <c r="C26" s="3">
        <v>22.97500711</v>
      </c>
      <c r="D26" s="3">
        <v>3</v>
      </c>
      <c r="E26" s="13">
        <f t="shared" si="0"/>
        <v>4.4085326270864858E-3</v>
      </c>
      <c r="F26" s="13">
        <f t="shared" si="1"/>
        <v>15.060970932716119</v>
      </c>
      <c r="G26" s="14">
        <f>F26/$F$76*$D$2</f>
        <v>0</v>
      </c>
      <c r="H26" s="14">
        <f>F26/$F$76*$E$2</f>
        <v>50.203097009186791</v>
      </c>
      <c r="I26" s="25" t="str">
        <f t="shared" si="2"/>
        <v>选中</v>
      </c>
    </row>
    <row r="27" spans="1:9" hidden="1" x14ac:dyDescent="0.25">
      <c r="A27" s="3">
        <v>2035</v>
      </c>
      <c r="B27" s="3">
        <v>113.3219539</v>
      </c>
      <c r="C27" s="3">
        <v>22.975316509999999</v>
      </c>
      <c r="D27" s="3">
        <v>3</v>
      </c>
      <c r="E27" s="13">
        <f t="shared" si="0"/>
        <v>4.9277120640365503E-3</v>
      </c>
      <c r="F27" s="13">
        <f t="shared" si="1"/>
        <v>14.245488235244617</v>
      </c>
      <c r="G27" s="14" t="e">
        <f>F27/$F$124*$D$2</f>
        <v>#DIV/0!</v>
      </c>
      <c r="H27" s="14" t="e">
        <f>F27/$F$124*$E$2</f>
        <v>#DIV/0!</v>
      </c>
      <c r="I27" s="25" t="str">
        <f t="shared" si="2"/>
        <v/>
      </c>
    </row>
    <row r="28" spans="1:9" hidden="1" x14ac:dyDescent="0.25">
      <c r="A28" s="3">
        <v>2223</v>
      </c>
      <c r="B28" s="3">
        <v>113.3181723</v>
      </c>
      <c r="C28" s="3">
        <v>22.966219639999998</v>
      </c>
      <c r="D28" s="3">
        <v>3</v>
      </c>
      <c r="E28" s="13">
        <f t="shared" si="0"/>
        <v>4.9724471925251318E-3</v>
      </c>
      <c r="F28" s="13">
        <f t="shared" si="1"/>
        <v>14.181262962412635</v>
      </c>
      <c r="G28" s="14" t="e">
        <f>F28/$F$124*$D$2</f>
        <v>#DIV/0!</v>
      </c>
      <c r="H28" s="14" t="e">
        <f>F28/$F$124*$E$2</f>
        <v>#DIV/0!</v>
      </c>
      <c r="I28" s="25" t="str">
        <f t="shared" si="2"/>
        <v/>
      </c>
    </row>
    <row r="29" spans="1:9" x14ac:dyDescent="0.25">
      <c r="A29" s="3">
        <v>2039</v>
      </c>
      <c r="B29" s="3">
        <v>113.3247362</v>
      </c>
      <c r="C29" s="3">
        <v>22.97463548</v>
      </c>
      <c r="D29" s="3">
        <v>3</v>
      </c>
      <c r="E29" s="13">
        <f t="shared" si="0"/>
        <v>5.8327617948592224E-3</v>
      </c>
      <c r="F29" s="13">
        <f t="shared" si="1"/>
        <v>13.093714878028425</v>
      </c>
      <c r="G29" s="14">
        <f>F29/$F$76*$D$2</f>
        <v>0</v>
      </c>
      <c r="H29" s="14">
        <f>F29/$F$76*$E$2</f>
        <v>43.645595039585324</v>
      </c>
      <c r="I29" s="25" t="str">
        <f t="shared" si="2"/>
        <v>选中</v>
      </c>
    </row>
    <row r="30" spans="1:9" hidden="1" x14ac:dyDescent="0.25">
      <c r="A30" s="3">
        <v>2230</v>
      </c>
      <c r="B30" s="3">
        <v>113.3143548</v>
      </c>
      <c r="C30" s="3">
        <v>22.971773500000001</v>
      </c>
      <c r="D30" s="3">
        <v>3</v>
      </c>
      <c r="E30" s="13">
        <f t="shared" si="0"/>
        <v>6.2796661553323665E-3</v>
      </c>
      <c r="F30" s="13">
        <f t="shared" si="1"/>
        <v>12.619197050709159</v>
      </c>
      <c r="G30" s="14" t="e">
        <f>F30/$F$124*$D$2</f>
        <v>#DIV/0!</v>
      </c>
      <c r="H30" s="14" t="e">
        <f>F30/$F$124*$E$2</f>
        <v>#DIV/0!</v>
      </c>
      <c r="I30" s="25" t="str">
        <f t="shared" si="2"/>
        <v/>
      </c>
    </row>
    <row r="31" spans="1:9" hidden="1" x14ac:dyDescent="0.25">
      <c r="A31" s="3">
        <v>2040</v>
      </c>
      <c r="B31" s="3">
        <v>113.3221724</v>
      </c>
      <c r="C31" s="3">
        <v>22.976985370000001</v>
      </c>
      <c r="D31" s="3">
        <v>3</v>
      </c>
      <c r="E31" s="13">
        <f t="shared" si="0"/>
        <v>6.5939139562537167E-3</v>
      </c>
      <c r="F31" s="13">
        <f t="shared" si="1"/>
        <v>12.314828330506174</v>
      </c>
      <c r="G31" s="14" t="e">
        <f>F31/$F$124*$D$2</f>
        <v>#DIV/0!</v>
      </c>
      <c r="H31" s="14" t="e">
        <f>F31/$F$124*$E$2</f>
        <v>#DIV/0!</v>
      </c>
      <c r="I31" s="25" t="str">
        <f t="shared" si="2"/>
        <v/>
      </c>
    </row>
    <row r="32" spans="1:9" x14ac:dyDescent="0.25">
      <c r="A32" s="3">
        <v>2016</v>
      </c>
      <c r="B32" s="3">
        <v>113.3190408</v>
      </c>
      <c r="C32" s="3">
        <v>22.97716428</v>
      </c>
      <c r="D32" s="3">
        <v>3</v>
      </c>
      <c r="E32" s="13">
        <f t="shared" si="0"/>
        <v>6.7289590139644933E-3</v>
      </c>
      <c r="F32" s="13">
        <f t="shared" si="1"/>
        <v>12.190627427907273</v>
      </c>
      <c r="G32" s="14">
        <f>F32/$F$76*$D$2</f>
        <v>0</v>
      </c>
      <c r="H32" s="14">
        <f>F32/$F$76*$E$2</f>
        <v>40.635311899889032</v>
      </c>
      <c r="I32" s="25" t="str">
        <f t="shared" si="2"/>
        <v>选中</v>
      </c>
    </row>
    <row r="33" spans="1:9" hidden="1" x14ac:dyDescent="0.25">
      <c r="A33" s="3">
        <v>2018</v>
      </c>
      <c r="B33" s="3">
        <v>113.31911770000001</v>
      </c>
      <c r="C33" s="3">
        <v>22.977203119999999</v>
      </c>
      <c r="D33" s="3">
        <v>3</v>
      </c>
      <c r="E33" s="13">
        <f t="shared" si="0"/>
        <v>6.7504107267604245E-3</v>
      </c>
      <c r="F33" s="13">
        <f t="shared" si="1"/>
        <v>12.171242094278366</v>
      </c>
      <c r="G33" s="14" t="e">
        <f>F33/$F$124*$D$2</f>
        <v>#DIV/0!</v>
      </c>
      <c r="H33" s="14" t="e">
        <f>F33/$F$124*$E$2</f>
        <v>#DIV/0!</v>
      </c>
      <c r="I33" s="25" t="str">
        <f t="shared" si="2"/>
        <v/>
      </c>
    </row>
    <row r="34" spans="1:9" hidden="1" x14ac:dyDescent="0.25">
      <c r="A34" s="3">
        <v>2036</v>
      </c>
      <c r="B34" s="3">
        <v>113.3251952</v>
      </c>
      <c r="C34" s="3">
        <v>22.97570314</v>
      </c>
      <c r="D34" s="3">
        <v>3</v>
      </c>
      <c r="E34" s="13">
        <f t="shared" si="0"/>
        <v>6.9176425769401475E-3</v>
      </c>
      <c r="F34" s="13">
        <f t="shared" si="1"/>
        <v>12.023224059588554</v>
      </c>
      <c r="G34" s="14" t="e">
        <f>F34/$F$124*$D$2</f>
        <v>#DIV/0!</v>
      </c>
      <c r="H34" s="14" t="e">
        <f>F34/$F$124*$E$2</f>
        <v>#DIV/0!</v>
      </c>
      <c r="I34" s="25" t="str">
        <f t="shared" si="2"/>
        <v/>
      </c>
    </row>
    <row r="35" spans="1:9" x14ac:dyDescent="0.25">
      <c r="A35" s="3">
        <v>2251</v>
      </c>
      <c r="B35" s="3">
        <v>113.3234356</v>
      </c>
      <c r="C35" s="3">
        <v>22.964289409999999</v>
      </c>
      <c r="D35" s="3">
        <v>3</v>
      </c>
      <c r="E35" s="13">
        <f t="shared" si="0"/>
        <v>6.9506338378647189E-3</v>
      </c>
      <c r="F35" s="13">
        <f t="shared" si="1"/>
        <v>11.994655936083197</v>
      </c>
      <c r="G35" s="14">
        <f>F35/$F$76*$D$2</f>
        <v>0</v>
      </c>
      <c r="H35" s="14">
        <f>F35/$F$76*$E$2</f>
        <v>39.982075408096343</v>
      </c>
      <c r="I35" s="25" t="str">
        <f t="shared" si="2"/>
        <v>选中</v>
      </c>
    </row>
    <row r="36" spans="1:9" hidden="1" x14ac:dyDescent="0.25">
      <c r="A36" s="3">
        <v>2252</v>
      </c>
      <c r="B36" s="3">
        <v>113.3255362</v>
      </c>
      <c r="C36" s="3">
        <v>22.965736769999999</v>
      </c>
      <c r="D36" s="3">
        <v>3</v>
      </c>
      <c r="E36" s="13">
        <f t="shared" si="0"/>
        <v>6.984349020665955E-3</v>
      </c>
      <c r="F36" s="13">
        <f t="shared" si="1"/>
        <v>11.965670325899119</v>
      </c>
      <c r="G36" s="14" t="e">
        <f>F36/$F$124*$D$2</f>
        <v>#DIV/0!</v>
      </c>
      <c r="H36" s="14" t="e">
        <f>F36/$F$124*$E$2</f>
        <v>#DIV/0!</v>
      </c>
      <c r="I36" s="25" t="str">
        <f t="shared" si="2"/>
        <v/>
      </c>
    </row>
    <row r="37" spans="1:9" hidden="1" x14ac:dyDescent="0.25">
      <c r="A37" s="3">
        <v>2027</v>
      </c>
      <c r="B37" s="3">
        <v>113.3202802</v>
      </c>
      <c r="C37" s="3">
        <v>22.977667700000001</v>
      </c>
      <c r="D37" s="3">
        <v>3</v>
      </c>
      <c r="E37" s="13">
        <f t="shared" ref="E37:E68" si="3">SQRT((B37-$B$2)^2+(C37-$C$2)^2)</f>
        <v>7.071084172487507E-3</v>
      </c>
      <c r="F37" s="13">
        <f t="shared" ref="F37:F68" si="4">SQRT(1/E37)</f>
        <v>11.892057392462666</v>
      </c>
      <c r="G37" s="14" t="e">
        <f>F37/$F$124*$D$2</f>
        <v>#DIV/0!</v>
      </c>
      <c r="H37" s="14" t="e">
        <f>F37/$F$124*$E$2</f>
        <v>#DIV/0!</v>
      </c>
      <c r="I37" s="25" t="str">
        <f t="shared" si="2"/>
        <v/>
      </c>
    </row>
    <row r="38" spans="1:9" x14ac:dyDescent="0.25">
      <c r="A38" s="3">
        <v>2022</v>
      </c>
      <c r="B38" s="3">
        <v>113.32030020000001</v>
      </c>
      <c r="C38" s="3">
        <v>22.977693649999999</v>
      </c>
      <c r="D38" s="3">
        <v>3</v>
      </c>
      <c r="E38" s="13">
        <f t="shared" si="3"/>
        <v>7.0963599013062944E-3</v>
      </c>
      <c r="F38" s="13">
        <f t="shared" si="4"/>
        <v>11.870860007424513</v>
      </c>
      <c r="G38" s="14">
        <f>F38/$F$76*$D$2</f>
        <v>0</v>
      </c>
      <c r="H38" s="14">
        <f>F38/$F$76*$E$2</f>
        <v>39.569423458659671</v>
      </c>
      <c r="I38" s="25" t="str">
        <f t="shared" si="2"/>
        <v>选中</v>
      </c>
    </row>
    <row r="39" spans="1:9" hidden="1" x14ac:dyDescent="0.25">
      <c r="A39" s="3">
        <v>2038</v>
      </c>
      <c r="B39" s="3">
        <v>113.32530800000001</v>
      </c>
      <c r="C39" s="3">
        <v>22.975929829999998</v>
      </c>
      <c r="D39" s="3">
        <v>3</v>
      </c>
      <c r="E39" s="13">
        <f t="shared" si="3"/>
        <v>7.161354870419091E-3</v>
      </c>
      <c r="F39" s="13">
        <f t="shared" si="4"/>
        <v>11.816868494567565</v>
      </c>
      <c r="G39" s="14" t="e">
        <f>F39/$F$124*$D$2</f>
        <v>#DIV/0!</v>
      </c>
      <c r="H39" s="14" t="e">
        <f>F39/$F$124*$E$2</f>
        <v>#DIV/0!</v>
      </c>
      <c r="I39" s="25" t="str">
        <f t="shared" si="2"/>
        <v/>
      </c>
    </row>
    <row r="40" spans="1:9" hidden="1" x14ac:dyDescent="0.25">
      <c r="A40" s="3">
        <v>2017</v>
      </c>
      <c r="B40" s="3">
        <v>113.31917350000001</v>
      </c>
      <c r="C40" s="3">
        <v>22.97764282</v>
      </c>
      <c r="D40" s="3">
        <v>3</v>
      </c>
      <c r="E40" s="13">
        <f t="shared" si="3"/>
        <v>7.1703287407189698E-3</v>
      </c>
      <c r="F40" s="13">
        <f t="shared" si="4"/>
        <v>11.809471606028227</v>
      </c>
      <c r="G40" s="14" t="e">
        <f>F40/$F$124*$D$2</f>
        <v>#DIV/0!</v>
      </c>
      <c r="H40" s="14" t="e">
        <f>F40/$F$124*$E$2</f>
        <v>#DIV/0!</v>
      </c>
      <c r="I40" s="25" t="str">
        <f t="shared" si="2"/>
        <v/>
      </c>
    </row>
    <row r="41" spans="1:9" x14ac:dyDescent="0.25">
      <c r="A41" s="3">
        <v>2031</v>
      </c>
      <c r="B41" s="3">
        <v>113.3200966</v>
      </c>
      <c r="C41" s="3">
        <v>22.978287779999999</v>
      </c>
      <c r="D41" s="3">
        <v>3</v>
      </c>
      <c r="E41" s="13">
        <f t="shared" si="3"/>
        <v>7.6988326908411907E-3</v>
      </c>
      <c r="F41" s="13">
        <f t="shared" si="4"/>
        <v>11.396921557337889</v>
      </c>
      <c r="G41" s="14">
        <f>F41/$F$76*$D$2</f>
        <v>0</v>
      </c>
      <c r="H41" s="14">
        <f>F41/$F$76*$E$2</f>
        <v>37.989633012719842</v>
      </c>
      <c r="I41" s="25" t="str">
        <f t="shared" si="2"/>
        <v>选中</v>
      </c>
    </row>
    <row r="42" spans="1:9" hidden="1" x14ac:dyDescent="0.25">
      <c r="A42" s="3">
        <v>2233</v>
      </c>
      <c r="B42" s="3">
        <v>113.3128419</v>
      </c>
      <c r="C42" s="3">
        <v>22.97147348</v>
      </c>
      <c r="D42" s="3">
        <v>3</v>
      </c>
      <c r="E42" s="13">
        <f t="shared" si="3"/>
        <v>7.731506702174264E-3</v>
      </c>
      <c r="F42" s="13">
        <f t="shared" si="4"/>
        <v>11.372813875432406</v>
      </c>
      <c r="G42" s="14" t="e">
        <f>F42/$F$124*$D$2</f>
        <v>#DIV/0!</v>
      </c>
      <c r="H42" s="14" t="e">
        <f>F42/$F$124*$E$2</f>
        <v>#DIV/0!</v>
      </c>
      <c r="I42" s="25" t="str">
        <f t="shared" si="2"/>
        <v/>
      </c>
    </row>
    <row r="43" spans="1:9" hidden="1" x14ac:dyDescent="0.25">
      <c r="A43" s="3">
        <v>2234</v>
      </c>
      <c r="B43" s="3">
        <v>113.3128778</v>
      </c>
      <c r="C43" s="3">
        <v>22.971845250000001</v>
      </c>
      <c r="D43" s="3">
        <v>3</v>
      </c>
      <c r="E43" s="13">
        <f t="shared" si="3"/>
        <v>7.7468045325193051E-3</v>
      </c>
      <c r="F43" s="13">
        <f t="shared" si="4"/>
        <v>11.361579220429173</v>
      </c>
      <c r="G43" s="14" t="e">
        <f>F43/$F$124*$D$2</f>
        <v>#DIV/0!</v>
      </c>
      <c r="H43" s="14" t="e">
        <f>F43/$F$124*$E$2</f>
        <v>#DIV/0!</v>
      </c>
      <c r="I43" s="25" t="str">
        <f t="shared" si="2"/>
        <v/>
      </c>
    </row>
    <row r="44" spans="1:9" x14ac:dyDescent="0.25">
      <c r="A44" s="3">
        <v>2248</v>
      </c>
      <c r="B44" s="3">
        <v>113.312777</v>
      </c>
      <c r="C44" s="3">
        <v>22.971909409999999</v>
      </c>
      <c r="D44" s="3">
        <v>3</v>
      </c>
      <c r="E44" s="13">
        <f t="shared" si="3"/>
        <v>7.8567433958500171E-3</v>
      </c>
      <c r="F44" s="13">
        <f t="shared" si="4"/>
        <v>11.281808286546566</v>
      </c>
      <c r="G44" s="14">
        <f>F44/$F$76*$D$2</f>
        <v>0</v>
      </c>
      <c r="H44" s="14">
        <f>F44/$F$76*$E$2</f>
        <v>37.605923175791062</v>
      </c>
      <c r="I44" s="25" t="str">
        <f t="shared" si="2"/>
        <v>选中</v>
      </c>
    </row>
    <row r="45" spans="1:9" hidden="1" x14ac:dyDescent="0.25">
      <c r="A45" s="3">
        <v>2042</v>
      </c>
      <c r="B45" s="3">
        <v>113.3255005</v>
      </c>
      <c r="C45" s="3">
        <v>22.976766099999999</v>
      </c>
      <c r="D45" s="3">
        <v>3</v>
      </c>
      <c r="E45" s="13">
        <f t="shared" si="3"/>
        <v>7.923145191674202E-3</v>
      </c>
      <c r="F45" s="13">
        <f t="shared" si="4"/>
        <v>11.234433885712326</v>
      </c>
      <c r="G45" s="14" t="e">
        <f>F45/$F$124*$D$2</f>
        <v>#DIV/0!</v>
      </c>
      <c r="H45" s="14" t="e">
        <f>F45/$F$124*$E$2</f>
        <v>#DIV/0!</v>
      </c>
      <c r="I45" s="25" t="str">
        <f t="shared" si="2"/>
        <v/>
      </c>
    </row>
    <row r="46" spans="1:9" hidden="1" x14ac:dyDescent="0.25">
      <c r="A46" s="3">
        <v>2250</v>
      </c>
      <c r="B46" s="3">
        <v>113.3286425</v>
      </c>
      <c r="C46" s="3">
        <v>22.970785679999999</v>
      </c>
      <c r="D46" s="3">
        <v>3</v>
      </c>
      <c r="E46" s="13">
        <f t="shared" si="3"/>
        <v>8.12060437834E-3</v>
      </c>
      <c r="F46" s="13">
        <f t="shared" si="4"/>
        <v>11.097006068459832</v>
      </c>
      <c r="G46" s="14" t="e">
        <f>F46/$F$124*$D$2</f>
        <v>#DIV/0!</v>
      </c>
      <c r="H46" s="14" t="e">
        <f>F46/$F$124*$E$2</f>
        <v>#DIV/0!</v>
      </c>
      <c r="I46" s="25" t="str">
        <f t="shared" si="2"/>
        <v/>
      </c>
    </row>
    <row r="47" spans="1:9" x14ac:dyDescent="0.25">
      <c r="A47" s="3">
        <v>2253</v>
      </c>
      <c r="B47" s="3">
        <v>113.3261929</v>
      </c>
      <c r="C47" s="3">
        <v>22.964597009999999</v>
      </c>
      <c r="D47" s="3">
        <v>3</v>
      </c>
      <c r="E47" s="13">
        <f t="shared" si="3"/>
        <v>8.257249041055478E-3</v>
      </c>
      <c r="F47" s="13">
        <f t="shared" si="4"/>
        <v>11.004803908282707</v>
      </c>
      <c r="G47" s="14">
        <f>F47/$F$76*$D$2</f>
        <v>0</v>
      </c>
      <c r="H47" s="14">
        <f>F47/$F$76*$E$2</f>
        <v>36.682577812728063</v>
      </c>
      <c r="I47" s="25" t="str">
        <f t="shared" si="2"/>
        <v>选中</v>
      </c>
    </row>
    <row r="48" spans="1:9" hidden="1" x14ac:dyDescent="0.25">
      <c r="A48" s="3">
        <v>2249</v>
      </c>
      <c r="B48" s="3">
        <v>113.32609720000001</v>
      </c>
      <c r="C48" s="3">
        <v>22.964263330000001</v>
      </c>
      <c r="D48" s="3">
        <v>3</v>
      </c>
      <c r="E48" s="13">
        <f t="shared" si="3"/>
        <v>8.4394512700830329E-3</v>
      </c>
      <c r="F48" s="13">
        <f t="shared" si="4"/>
        <v>10.885362468413891</v>
      </c>
      <c r="G48" s="14" t="e">
        <f>F48/$F$124*$D$2</f>
        <v>#DIV/0!</v>
      </c>
      <c r="H48" s="14" t="e">
        <f>F48/$F$124*$E$2</f>
        <v>#DIV/0!</v>
      </c>
      <c r="I48" s="25" t="str">
        <f t="shared" si="2"/>
        <v/>
      </c>
    </row>
    <row r="49" spans="1:9" hidden="1" x14ac:dyDescent="0.25">
      <c r="A49" s="3">
        <v>2257</v>
      </c>
      <c r="B49" s="3">
        <v>113.3293539</v>
      </c>
      <c r="C49" s="3">
        <v>22.973551140000001</v>
      </c>
      <c r="D49" s="3">
        <v>3</v>
      </c>
      <c r="E49" s="13">
        <f t="shared" si="3"/>
        <v>9.3097541381236895E-3</v>
      </c>
      <c r="F49" s="13">
        <f t="shared" si="4"/>
        <v>10.364083280292581</v>
      </c>
      <c r="G49" s="14" t="e">
        <f>F49/$F$124*$D$2</f>
        <v>#DIV/0!</v>
      </c>
      <c r="H49" s="14" t="e">
        <f>F49/$F$124*$E$2</f>
        <v>#DIV/0!</v>
      </c>
      <c r="I49" s="25" t="str">
        <f t="shared" si="2"/>
        <v/>
      </c>
    </row>
    <row r="50" spans="1:9" x14ac:dyDescent="0.25">
      <c r="A50" s="3">
        <v>2029</v>
      </c>
      <c r="B50" s="3">
        <v>113.319846</v>
      </c>
      <c r="C50" s="3">
        <v>22.98010648</v>
      </c>
      <c r="D50" s="3">
        <v>3</v>
      </c>
      <c r="E50" s="13">
        <f t="shared" si="3"/>
        <v>9.5298088142198589E-3</v>
      </c>
      <c r="F50" s="13">
        <f t="shared" si="4"/>
        <v>10.243724882172513</v>
      </c>
      <c r="G50" s="14">
        <f>F50/$F$76*$D$2</f>
        <v>0</v>
      </c>
      <c r="H50" s="14">
        <f>F50/$F$76*$E$2</f>
        <v>34.145654771699604</v>
      </c>
      <c r="I50" s="25" t="str">
        <f t="shared" si="2"/>
        <v>选中</v>
      </c>
    </row>
    <row r="51" spans="1:9" hidden="1" x14ac:dyDescent="0.25">
      <c r="A51" s="3">
        <v>2032</v>
      </c>
      <c r="B51" s="3">
        <v>113.3198639</v>
      </c>
      <c r="C51" s="3">
        <v>22.98011644</v>
      </c>
      <c r="D51" s="3">
        <v>3</v>
      </c>
      <c r="E51" s="13">
        <f t="shared" si="3"/>
        <v>9.5384881398665848E-3</v>
      </c>
      <c r="F51" s="13">
        <f t="shared" si="4"/>
        <v>10.239063301790228</v>
      </c>
      <c r="G51" s="14" t="e">
        <f>F51/$F$124*$D$2</f>
        <v>#DIV/0!</v>
      </c>
      <c r="H51" s="14" t="e">
        <f>F51/$F$124*$E$2</f>
        <v>#DIV/0!</v>
      </c>
      <c r="I51" s="25" t="str">
        <f t="shared" si="2"/>
        <v/>
      </c>
    </row>
    <row r="52" spans="1:9" hidden="1" x14ac:dyDescent="0.25">
      <c r="A52" s="3">
        <v>2255</v>
      </c>
      <c r="B52" s="3">
        <v>113.3304448</v>
      </c>
      <c r="C52" s="3">
        <v>22.971542939999999</v>
      </c>
      <c r="D52" s="3">
        <v>3</v>
      </c>
      <c r="E52" s="13">
        <f t="shared" si="3"/>
        <v>9.9654333941971065E-3</v>
      </c>
      <c r="F52" s="13">
        <f t="shared" si="4"/>
        <v>10.017328239245412</v>
      </c>
      <c r="G52" s="14" t="e">
        <f>F52/$F$124*$D$2</f>
        <v>#DIV/0!</v>
      </c>
      <c r="H52" s="14" t="e">
        <f>F52/$F$124*$E$2</f>
        <v>#DIV/0!</v>
      </c>
      <c r="I52" s="25" t="str">
        <f t="shared" si="2"/>
        <v/>
      </c>
    </row>
    <row r="53" spans="1:9" x14ac:dyDescent="0.25">
      <c r="A53" s="3">
        <v>2237</v>
      </c>
      <c r="B53" s="3">
        <v>113.3122685</v>
      </c>
      <c r="C53" s="3">
        <v>22.96474744</v>
      </c>
      <c r="D53" s="3">
        <v>3</v>
      </c>
      <c r="E53" s="13">
        <f t="shared" si="3"/>
        <v>1.0120046327684722E-2</v>
      </c>
      <c r="F53" s="13">
        <f t="shared" si="4"/>
        <v>9.9405119031113784</v>
      </c>
      <c r="G53" s="14">
        <f>F53/$F$76*$D$2</f>
        <v>0</v>
      </c>
      <c r="H53" s="14">
        <f>F53/$F$76*$E$2</f>
        <v>33.134947648616041</v>
      </c>
      <c r="I53" s="25" t="str">
        <f t="shared" si="2"/>
        <v>选中</v>
      </c>
    </row>
    <row r="54" spans="1:9" hidden="1" x14ac:dyDescent="0.25">
      <c r="A54" s="3">
        <v>2037</v>
      </c>
      <c r="B54" s="3">
        <v>113.3292589</v>
      </c>
      <c r="C54" s="3">
        <v>22.975773369999999</v>
      </c>
      <c r="D54" s="3">
        <v>3</v>
      </c>
      <c r="E54" s="13">
        <f t="shared" si="3"/>
        <v>1.0151539366635765E-2</v>
      </c>
      <c r="F54" s="13">
        <f t="shared" si="4"/>
        <v>9.9250807407482853</v>
      </c>
      <c r="G54" s="14" t="e">
        <f>F54/$F$124*$D$2</f>
        <v>#DIV/0!</v>
      </c>
      <c r="H54" s="14" t="e">
        <f>F54/$F$124*$E$2</f>
        <v>#DIV/0!</v>
      </c>
      <c r="I54" s="25" t="str">
        <f t="shared" si="2"/>
        <v/>
      </c>
    </row>
    <row r="55" spans="1:9" hidden="1" x14ac:dyDescent="0.25">
      <c r="A55" s="3">
        <v>2256</v>
      </c>
      <c r="B55" s="3">
        <v>113.3307391</v>
      </c>
      <c r="C55" s="3">
        <v>22.973164690000001</v>
      </c>
      <c r="D55" s="3">
        <v>3</v>
      </c>
      <c r="E55" s="13">
        <f t="shared" si="3"/>
        <v>1.0531937019695051E-2</v>
      </c>
      <c r="F55" s="13">
        <f t="shared" si="4"/>
        <v>9.7441929103607308</v>
      </c>
      <c r="G55" s="14" t="e">
        <f>F55/$F$124*$D$2</f>
        <v>#DIV/0!</v>
      </c>
      <c r="H55" s="14" t="e">
        <f>F55/$F$124*$E$2</f>
        <v>#DIV/0!</v>
      </c>
      <c r="I55" s="25" t="str">
        <f t="shared" si="2"/>
        <v/>
      </c>
    </row>
    <row r="56" spans="1:9" x14ac:dyDescent="0.25">
      <c r="A56" s="3">
        <v>2041</v>
      </c>
      <c r="B56" s="3">
        <v>113.3305604</v>
      </c>
      <c r="C56" s="3">
        <v>22.973895710000001</v>
      </c>
      <c r="D56" s="3">
        <v>3</v>
      </c>
      <c r="E56" s="13">
        <f t="shared" si="3"/>
        <v>1.0563409727540359E-2</v>
      </c>
      <c r="F56" s="13">
        <f t="shared" si="4"/>
        <v>9.7296661186412834</v>
      </c>
      <c r="G56" s="14">
        <f>F56/$F$76*$D$2</f>
        <v>0</v>
      </c>
      <c r="H56" s="14">
        <f>F56/$F$76*$E$2</f>
        <v>32.432130319041569</v>
      </c>
      <c r="I56" s="25" t="str">
        <f t="shared" si="2"/>
        <v>选中</v>
      </c>
    </row>
    <row r="57" spans="1:9" hidden="1" x14ac:dyDescent="0.25">
      <c r="A57" s="3">
        <v>2254</v>
      </c>
      <c r="B57" s="3">
        <v>113.33110259999999</v>
      </c>
      <c r="C57" s="3">
        <v>22.970366200000001</v>
      </c>
      <c r="D57" s="3">
        <v>3</v>
      </c>
      <c r="E57" s="13">
        <f t="shared" si="3"/>
        <v>1.0581201467893368E-2</v>
      </c>
      <c r="F57" s="13">
        <f t="shared" si="4"/>
        <v>9.7214827132421249</v>
      </c>
      <c r="G57" s="14" t="e">
        <f>F57/$F$124*$D$2</f>
        <v>#DIV/0!</v>
      </c>
      <c r="H57" s="14" t="e">
        <f>F57/$F$124*$E$2</f>
        <v>#DIV/0!</v>
      </c>
      <c r="I57" s="25" t="str">
        <f t="shared" si="2"/>
        <v/>
      </c>
    </row>
    <row r="58" spans="1:9" hidden="1" x14ac:dyDescent="0.25">
      <c r="A58" s="3">
        <v>2259</v>
      </c>
      <c r="B58" s="3">
        <v>113.3308229</v>
      </c>
      <c r="C58" s="3">
        <v>22.973551359999998</v>
      </c>
      <c r="D58" s="3">
        <v>3</v>
      </c>
      <c r="E58" s="13">
        <f t="shared" si="3"/>
        <v>1.0713217420620258E-2</v>
      </c>
      <c r="F58" s="13">
        <f t="shared" si="4"/>
        <v>9.6613994993543546</v>
      </c>
      <c r="G58" s="14" t="e">
        <f>F58/$F$124*$D$2</f>
        <v>#DIV/0!</v>
      </c>
      <c r="H58" s="14" t="e">
        <f>F58/$F$124*$E$2</f>
        <v>#DIV/0!</v>
      </c>
      <c r="I58" s="25" t="str">
        <f t="shared" si="2"/>
        <v/>
      </c>
    </row>
    <row r="59" spans="1:9" x14ac:dyDescent="0.25">
      <c r="A59" s="3">
        <v>2258</v>
      </c>
      <c r="B59" s="3">
        <v>113.3314527</v>
      </c>
      <c r="C59" s="3">
        <v>22.97201484</v>
      </c>
      <c r="D59" s="3">
        <v>3</v>
      </c>
      <c r="E59" s="13">
        <f t="shared" si="3"/>
        <v>1.1019797468658867E-2</v>
      </c>
      <c r="F59" s="13">
        <f t="shared" si="4"/>
        <v>9.5260573904816237</v>
      </c>
      <c r="G59" s="14">
        <f>F59/$F$76*$D$2</f>
        <v>0</v>
      </c>
      <c r="H59" s="14">
        <f>F59/$F$76*$E$2</f>
        <v>31.75343644350183</v>
      </c>
      <c r="I59" s="25" t="str">
        <f t="shared" si="2"/>
        <v>选中</v>
      </c>
    </row>
    <row r="60" spans="1:9" hidden="1" x14ac:dyDescent="0.25">
      <c r="A60" s="3">
        <v>2043</v>
      </c>
      <c r="B60" s="3">
        <v>113.3308218</v>
      </c>
      <c r="C60" s="3">
        <v>22.974789829999999</v>
      </c>
      <c r="D60" s="3">
        <v>3</v>
      </c>
      <c r="E60" s="13">
        <f t="shared" si="3"/>
        <v>1.1117215911362881E-2</v>
      </c>
      <c r="F60" s="13">
        <f t="shared" si="4"/>
        <v>9.4842278690381914</v>
      </c>
      <c r="G60" s="14" t="e">
        <f>F60/$F$124*$D$2</f>
        <v>#DIV/0!</v>
      </c>
      <c r="H60" s="14" t="e">
        <f>F60/$F$124*$E$2</f>
        <v>#DIV/0!</v>
      </c>
      <c r="I60" s="25" t="str">
        <f t="shared" si="2"/>
        <v/>
      </c>
    </row>
    <row r="61" spans="1:9" hidden="1" x14ac:dyDescent="0.25">
      <c r="A61" s="3">
        <v>2488</v>
      </c>
      <c r="B61" s="3">
        <v>113.3122597</v>
      </c>
      <c r="C61" s="3">
        <v>22.962621370000001</v>
      </c>
      <c r="D61" s="3">
        <v>3</v>
      </c>
      <c r="E61" s="13">
        <f t="shared" si="3"/>
        <v>1.1487831683683116E-2</v>
      </c>
      <c r="F61" s="13">
        <f t="shared" si="4"/>
        <v>9.3299854851207265</v>
      </c>
      <c r="G61" s="14" t="e">
        <f>F61/$F$124*$D$2</f>
        <v>#DIV/0!</v>
      </c>
      <c r="H61" s="14" t="e">
        <f>F61/$F$124*$E$2</f>
        <v>#DIV/0!</v>
      </c>
      <c r="I61" s="25" t="str">
        <f t="shared" si="2"/>
        <v/>
      </c>
    </row>
    <row r="62" spans="1:9" x14ac:dyDescent="0.25">
      <c r="A62" s="3">
        <v>2044</v>
      </c>
      <c r="B62" s="3">
        <v>113.3314235</v>
      </c>
      <c r="C62" s="3">
        <v>22.975644330000002</v>
      </c>
      <c r="D62" s="3">
        <v>3</v>
      </c>
      <c r="E62" s="13">
        <f t="shared" si="3"/>
        <v>1.2009833194926664E-2</v>
      </c>
      <c r="F62" s="13">
        <f t="shared" si="4"/>
        <v>9.1249714063933975</v>
      </c>
      <c r="G62" s="14">
        <f>F62/$F$76*$D$2</f>
        <v>0</v>
      </c>
      <c r="H62" s="14">
        <f>F62/$F$76*$E$2</f>
        <v>30.416486876427999</v>
      </c>
      <c r="I62" s="25" t="str">
        <f t="shared" si="2"/>
        <v>选中</v>
      </c>
    </row>
    <row r="63" spans="1:9" hidden="1" x14ac:dyDescent="0.25">
      <c r="A63" s="3">
        <v>2479</v>
      </c>
      <c r="B63" s="3">
        <v>113.3113256</v>
      </c>
      <c r="C63" s="3">
        <v>22.961657519999999</v>
      </c>
      <c r="D63" s="3">
        <v>3</v>
      </c>
      <c r="E63" s="13">
        <f t="shared" si="3"/>
        <v>1.2829387259338748E-2</v>
      </c>
      <c r="F63" s="13">
        <f t="shared" si="4"/>
        <v>8.8287057523732635</v>
      </c>
      <c r="G63" s="14" t="e">
        <f>F63/$F$124*$D$2</f>
        <v>#DIV/0!</v>
      </c>
      <c r="H63" s="14" t="e">
        <f>F63/$F$124*$E$2</f>
        <v>#DIV/0!</v>
      </c>
      <c r="I63" s="25" t="str">
        <f t="shared" si="2"/>
        <v/>
      </c>
    </row>
    <row r="64" spans="1:9" hidden="1" x14ac:dyDescent="0.25">
      <c r="A64" s="3">
        <v>2486</v>
      </c>
      <c r="B64" s="3">
        <v>113.3120752</v>
      </c>
      <c r="C64" s="3">
        <v>22.96087546</v>
      </c>
      <c r="D64" s="3">
        <v>3</v>
      </c>
      <c r="E64" s="13">
        <f t="shared" si="3"/>
        <v>1.2882734514449882E-2</v>
      </c>
      <c r="F64" s="13">
        <f t="shared" si="4"/>
        <v>8.810407004623972</v>
      </c>
      <c r="G64" s="14" t="e">
        <f>F64/$F$124*$D$2</f>
        <v>#DIV/0!</v>
      </c>
      <c r="H64" s="14" t="e">
        <f>F64/$F$124*$E$2</f>
        <v>#DIV/0!</v>
      </c>
      <c r="I64" s="25" t="str">
        <f t="shared" si="2"/>
        <v/>
      </c>
    </row>
    <row r="65" spans="1:9" x14ac:dyDescent="0.25">
      <c r="A65" s="3">
        <v>2048</v>
      </c>
      <c r="B65" s="3">
        <v>113.3330294</v>
      </c>
      <c r="C65" s="3">
        <v>22.974036009999999</v>
      </c>
      <c r="D65" s="3">
        <v>3</v>
      </c>
      <c r="E65" s="13">
        <f t="shared" si="3"/>
        <v>1.296863753429618E-2</v>
      </c>
      <c r="F65" s="13">
        <f t="shared" si="4"/>
        <v>8.7811788746876562</v>
      </c>
      <c r="G65" s="14">
        <f>F65/$F$76*$D$2</f>
        <v>0</v>
      </c>
      <c r="H65" s="14">
        <f>F65/$F$76*$E$2</f>
        <v>29.270514953544492</v>
      </c>
      <c r="I65" s="25" t="str">
        <f t="shared" si="2"/>
        <v>选中</v>
      </c>
    </row>
    <row r="66" spans="1:9" hidden="1" x14ac:dyDescent="0.25">
      <c r="A66" s="3">
        <v>2482</v>
      </c>
      <c r="B66" s="3">
        <v>113.3176151</v>
      </c>
      <c r="C66" s="3">
        <v>22.957697360000001</v>
      </c>
      <c r="D66" s="3">
        <v>3</v>
      </c>
      <c r="E66" s="13">
        <f t="shared" si="3"/>
        <v>1.3227281624795775E-2</v>
      </c>
      <c r="F66" s="13">
        <f t="shared" si="4"/>
        <v>8.6949021682871379</v>
      </c>
      <c r="G66" s="14" t="e">
        <f>F66/$F$124*$D$2</f>
        <v>#DIV/0!</v>
      </c>
      <c r="H66" s="14" t="e">
        <f>F66/$F$124*$E$2</f>
        <v>#DIV/0!</v>
      </c>
      <c r="I66" s="25" t="str">
        <f t="shared" si="2"/>
        <v/>
      </c>
    </row>
    <row r="67" spans="1:9" hidden="1" x14ac:dyDescent="0.25">
      <c r="A67" s="3">
        <v>2485</v>
      </c>
      <c r="B67" s="3">
        <v>113.3128337</v>
      </c>
      <c r="C67" s="3">
        <v>22.959767509999999</v>
      </c>
      <c r="D67" s="3">
        <v>3</v>
      </c>
      <c r="E67" s="13">
        <f t="shared" si="3"/>
        <v>1.3285379921035912E-2</v>
      </c>
      <c r="F67" s="13">
        <f t="shared" si="4"/>
        <v>8.6758694987823226</v>
      </c>
      <c r="G67" s="14" t="e">
        <f>F67/$F$124*$D$2</f>
        <v>#DIV/0!</v>
      </c>
      <c r="H67" s="14" t="e">
        <f>F67/$F$124*$E$2</f>
        <v>#DIV/0!</v>
      </c>
      <c r="I67" s="25" t="str">
        <f t="shared" si="2"/>
        <v/>
      </c>
    </row>
    <row r="68" spans="1:9" x14ac:dyDescent="0.25">
      <c r="A68" s="3">
        <v>2481</v>
      </c>
      <c r="B68" s="3">
        <v>113.3174574</v>
      </c>
      <c r="C68" s="3">
        <v>22.957384789999999</v>
      </c>
      <c r="D68" s="3">
        <v>3</v>
      </c>
      <c r="E68" s="13">
        <f t="shared" si="3"/>
        <v>1.356714725065776E-2</v>
      </c>
      <c r="F68" s="13">
        <f t="shared" si="4"/>
        <v>8.5853050444149037</v>
      </c>
      <c r="G68" s="14">
        <f>F68/$F$76*$D$2</f>
        <v>0</v>
      </c>
      <c r="H68" s="14">
        <f>F68/$F$76*$E$2</f>
        <v>28.61760399935207</v>
      </c>
      <c r="I68" s="25" t="str">
        <f t="shared" si="2"/>
        <v>选中</v>
      </c>
    </row>
    <row r="69" spans="1:9" hidden="1" x14ac:dyDescent="0.25">
      <c r="A69" s="3">
        <v>2483</v>
      </c>
      <c r="B69" s="3">
        <v>113.3144006</v>
      </c>
      <c r="C69" s="3">
        <v>22.958410149999999</v>
      </c>
      <c r="D69" s="3">
        <v>3</v>
      </c>
      <c r="E69" s="13">
        <f t="shared" ref="E69:E74" si="5">SQRT((B69-$B$2)^2+(C69-$C$2)^2)</f>
        <v>1.3642157549634404E-2</v>
      </c>
      <c r="F69" s="13">
        <f t="shared" ref="F69:F74" si="6">SQRT(1/E69)</f>
        <v>8.5616697079755273</v>
      </c>
      <c r="G69" s="14" t="e">
        <f>F69/$F$124*$D$2</f>
        <v>#DIV/0!</v>
      </c>
      <c r="H69" s="14" t="e">
        <f>F69/$F$124*$E$2</f>
        <v>#DIV/0!</v>
      </c>
      <c r="I69" s="25" t="str">
        <f t="shared" si="2"/>
        <v/>
      </c>
    </row>
    <row r="70" spans="1:9" hidden="1" x14ac:dyDescent="0.25">
      <c r="A70" s="3">
        <v>2476</v>
      </c>
      <c r="B70" s="3">
        <v>113.3110243</v>
      </c>
      <c r="C70" s="3">
        <v>22.96061353</v>
      </c>
      <c r="D70" s="3">
        <v>3</v>
      </c>
      <c r="E70" s="13">
        <f t="shared" si="5"/>
        <v>1.3783695499910424E-2</v>
      </c>
      <c r="F70" s="13">
        <f t="shared" si="6"/>
        <v>8.5175985043114544</v>
      </c>
      <c r="G70" s="14" t="e">
        <f>F70/$F$124*$D$2</f>
        <v>#DIV/0!</v>
      </c>
      <c r="H70" s="14" t="e">
        <f>F70/$F$124*$E$2</f>
        <v>#DIV/0!</v>
      </c>
      <c r="I70" s="25" t="str">
        <f t="shared" ref="I70:I74" si="7">IF(MOD(ROW()-1,3)=1,"选中","")</f>
        <v/>
      </c>
    </row>
    <row r="71" spans="1:9" x14ac:dyDescent="0.25">
      <c r="A71" s="3">
        <v>2477</v>
      </c>
      <c r="B71" s="3">
        <v>113.31169199999999</v>
      </c>
      <c r="C71" s="3">
        <v>22.95981063</v>
      </c>
      <c r="D71" s="3">
        <v>3</v>
      </c>
      <c r="E71" s="13">
        <f t="shared" si="5"/>
        <v>1.3943902762008671E-2</v>
      </c>
      <c r="F71" s="13">
        <f t="shared" si="6"/>
        <v>8.4685260387946535</v>
      </c>
      <c r="G71" s="14">
        <f>F71/$F$76*$D$2</f>
        <v>0</v>
      </c>
      <c r="H71" s="14">
        <f>F71/$F$76*$E$2</f>
        <v>28.228341728414769</v>
      </c>
      <c r="I71" s="25" t="str">
        <f t="shared" si="7"/>
        <v>选中</v>
      </c>
    </row>
    <row r="72" spans="1:9" hidden="1" x14ac:dyDescent="0.25">
      <c r="A72" s="3">
        <v>2484</v>
      </c>
      <c r="B72" s="3">
        <v>113.3133747</v>
      </c>
      <c r="C72" s="3">
        <v>22.958510029999999</v>
      </c>
      <c r="D72" s="3">
        <v>3</v>
      </c>
      <c r="E72" s="13">
        <f t="shared" si="5"/>
        <v>1.4046340922613124E-2</v>
      </c>
      <c r="F72" s="13">
        <f t="shared" si="6"/>
        <v>8.4375895952412332</v>
      </c>
      <c r="G72" s="14" t="e">
        <f>F72/$F$124*$D$2</f>
        <v>#DIV/0!</v>
      </c>
      <c r="H72" s="14" t="e">
        <f>F72/$F$124*$E$2</f>
        <v>#DIV/0!</v>
      </c>
      <c r="I72" s="25" t="str">
        <f t="shared" si="7"/>
        <v/>
      </c>
    </row>
    <row r="73" spans="1:9" hidden="1" x14ac:dyDescent="0.25">
      <c r="A73" s="3">
        <v>2480</v>
      </c>
      <c r="B73" s="3">
        <v>113.3113717</v>
      </c>
      <c r="C73" s="3">
        <v>22.95965829</v>
      </c>
      <c r="D73" s="3">
        <v>3</v>
      </c>
      <c r="E73" s="13">
        <f t="shared" si="5"/>
        <v>1.4265467328171414E-2</v>
      </c>
      <c r="F73" s="13">
        <f t="shared" si="6"/>
        <v>8.3725355120598248</v>
      </c>
      <c r="G73" s="14" t="e">
        <f>F73/$F$124*$D$2</f>
        <v>#DIV/0!</v>
      </c>
      <c r="H73" s="14" t="e">
        <f>F73/$F$124*$E$2</f>
        <v>#DIV/0!</v>
      </c>
      <c r="I73" s="25" t="str">
        <f t="shared" si="7"/>
        <v/>
      </c>
    </row>
    <row r="74" spans="1:9" x14ac:dyDescent="0.25">
      <c r="A74" s="3">
        <v>2487</v>
      </c>
      <c r="B74" s="3">
        <v>113.31174590000001</v>
      </c>
      <c r="C74" s="3">
        <v>22.959195789999999</v>
      </c>
      <c r="D74" s="3">
        <v>3</v>
      </c>
      <c r="E74" s="13">
        <f t="shared" si="5"/>
        <v>1.439200294993598E-2</v>
      </c>
      <c r="F74" s="13">
        <f t="shared" si="6"/>
        <v>8.3356482588199583</v>
      </c>
      <c r="G74" s="14">
        <f>F74/$F$76*$D$2</f>
        <v>0</v>
      </c>
      <c r="H74" s="14">
        <f>F74/$F$76*$E$2</f>
        <v>27.785417025337082</v>
      </c>
      <c r="I74" s="25" t="str">
        <f t="shared" si="7"/>
        <v>选中</v>
      </c>
    </row>
    <row r="75" spans="1:9" x14ac:dyDescent="0.25">
      <c r="A75" s="3"/>
      <c r="B75" s="3"/>
      <c r="C75" s="3"/>
      <c r="D75" s="3"/>
      <c r="G75" s="14"/>
      <c r="H75" s="14"/>
    </row>
    <row r="76" spans="1:9" x14ac:dyDescent="0.25">
      <c r="A76" s="3"/>
      <c r="B76" s="3"/>
      <c r="C76" s="3"/>
      <c r="D76" s="3"/>
      <c r="F76" s="13">
        <f>SUBTOTAL(9,F5:F74)</f>
        <v>336.00093320050121</v>
      </c>
      <c r="G76" s="13">
        <f>SUBTOTAL(9,G5:G74)</f>
        <v>0</v>
      </c>
      <c r="H76" s="13">
        <f>SUBTOTAL(9,H5:H74)</f>
        <v>1119.9999999999998</v>
      </c>
    </row>
    <row r="77" spans="1:9" x14ac:dyDescent="0.25">
      <c r="A77" s="3"/>
      <c r="B77" s="3"/>
      <c r="C77" s="3"/>
      <c r="D77" s="3"/>
      <c r="G77" s="14"/>
      <c r="H77" s="14"/>
    </row>
    <row r="78" spans="1:9" x14ac:dyDescent="0.25">
      <c r="A78" s="3"/>
      <c r="B78" s="3"/>
      <c r="C78" s="3"/>
      <c r="D78" s="3"/>
      <c r="G78" s="14"/>
      <c r="H78" s="14"/>
    </row>
    <row r="79" spans="1:9" x14ac:dyDescent="0.25">
      <c r="A79" s="3"/>
      <c r="B79" s="3"/>
      <c r="C79" s="3"/>
      <c r="D79" s="3"/>
      <c r="G79" s="14"/>
      <c r="H79" s="14"/>
    </row>
    <row r="80" spans="1:9" x14ac:dyDescent="0.25">
      <c r="A80" s="3"/>
      <c r="B80" s="3"/>
      <c r="C80" s="3"/>
      <c r="D80" s="3"/>
      <c r="G80" s="14"/>
      <c r="H80" s="14"/>
    </row>
    <row r="81" spans="1:8" x14ac:dyDescent="0.25">
      <c r="A81" s="3"/>
      <c r="B81" s="3"/>
      <c r="C81" s="3"/>
      <c r="D81" s="3"/>
      <c r="G81" s="14"/>
      <c r="H81" s="14"/>
    </row>
    <row r="82" spans="1:8" x14ac:dyDescent="0.25">
      <c r="A82" s="3"/>
      <c r="B82" s="3"/>
      <c r="C82" s="3"/>
      <c r="D82" s="3"/>
      <c r="G82" s="14"/>
      <c r="H82" s="14"/>
    </row>
    <row r="83" spans="1:8" x14ac:dyDescent="0.25">
      <c r="A83" s="3"/>
      <c r="B83" s="3"/>
      <c r="C83" s="3"/>
      <c r="D83" s="3"/>
      <c r="G83" s="14"/>
      <c r="H83" s="14"/>
    </row>
    <row r="84" spans="1:8" x14ac:dyDescent="0.25">
      <c r="A84" s="3"/>
      <c r="B84" s="3"/>
      <c r="C84" s="3"/>
      <c r="D84" s="3"/>
      <c r="G84" s="14"/>
      <c r="H84" s="14"/>
    </row>
    <row r="85" spans="1:8" x14ac:dyDescent="0.25">
      <c r="A85" s="3"/>
      <c r="B85" s="3"/>
      <c r="C85" s="3"/>
      <c r="D85" s="3"/>
      <c r="G85" s="14"/>
      <c r="H85" s="14"/>
    </row>
    <row r="86" spans="1:8" x14ac:dyDescent="0.25">
      <c r="A86" s="3"/>
      <c r="B86" s="3"/>
      <c r="C86" s="3"/>
      <c r="D86" s="3"/>
      <c r="G86" s="14"/>
      <c r="H86" s="14"/>
    </row>
    <row r="87" spans="1:8" x14ac:dyDescent="0.25">
      <c r="A87" s="3"/>
      <c r="B87" s="3"/>
      <c r="C87" s="3"/>
      <c r="D87" s="3"/>
      <c r="G87" s="14"/>
      <c r="H87" s="14"/>
    </row>
    <row r="88" spans="1:8" x14ac:dyDescent="0.25">
      <c r="A88" s="3"/>
      <c r="B88" s="3"/>
      <c r="C88" s="3"/>
      <c r="D88" s="3"/>
      <c r="G88" s="14"/>
      <c r="H88" s="14"/>
    </row>
    <row r="89" spans="1:8" x14ac:dyDescent="0.25">
      <c r="A89" s="3"/>
      <c r="B89" s="3"/>
      <c r="C89" s="3"/>
      <c r="D89" s="3"/>
      <c r="G89" s="14"/>
      <c r="H89" s="14"/>
    </row>
    <row r="90" spans="1:8" x14ac:dyDescent="0.25">
      <c r="A90" s="3"/>
      <c r="B90" s="3"/>
      <c r="C90" s="3"/>
      <c r="D90" s="3"/>
      <c r="G90" s="14"/>
      <c r="H90" s="14"/>
    </row>
    <row r="91" spans="1:8" x14ac:dyDescent="0.25">
      <c r="A91" s="3"/>
      <c r="B91" s="3"/>
      <c r="C91" s="3"/>
      <c r="D91" s="3"/>
      <c r="G91" s="14"/>
      <c r="H91" s="14"/>
    </row>
    <row r="92" spans="1:8" x14ac:dyDescent="0.25">
      <c r="A92" s="3"/>
      <c r="B92" s="3"/>
      <c r="C92" s="3"/>
      <c r="D92" s="3"/>
      <c r="G92" s="14"/>
      <c r="H92" s="14"/>
    </row>
    <row r="93" spans="1:8" x14ac:dyDescent="0.25">
      <c r="A93" s="3"/>
      <c r="B93" s="3"/>
      <c r="C93" s="3"/>
      <c r="D93" s="3"/>
      <c r="G93" s="14"/>
      <c r="H93" s="14"/>
    </row>
    <row r="94" spans="1:8" x14ac:dyDescent="0.25">
      <c r="A94" s="3"/>
      <c r="B94" s="3"/>
      <c r="C94" s="3"/>
      <c r="D94" s="3"/>
      <c r="G94" s="14"/>
      <c r="H94" s="14"/>
    </row>
    <row r="95" spans="1:8" x14ac:dyDescent="0.25">
      <c r="A95" s="3"/>
      <c r="B95" s="3"/>
      <c r="C95" s="3"/>
      <c r="D95" s="3"/>
      <c r="G95" s="14"/>
      <c r="H95" s="14"/>
    </row>
    <row r="96" spans="1:8" x14ac:dyDescent="0.25">
      <c r="A96" s="3"/>
      <c r="B96" s="3"/>
      <c r="C96" s="3"/>
      <c r="D96" s="3"/>
      <c r="G96" s="14"/>
      <c r="H96" s="14"/>
    </row>
    <row r="97" spans="1:8" x14ac:dyDescent="0.25">
      <c r="A97" s="3"/>
      <c r="B97" s="3"/>
      <c r="C97" s="3"/>
      <c r="D97" s="3"/>
      <c r="G97" s="14"/>
      <c r="H97" s="14"/>
    </row>
    <row r="98" spans="1:8" x14ac:dyDescent="0.25">
      <c r="A98" s="3"/>
      <c r="B98" s="3"/>
      <c r="C98" s="3"/>
      <c r="D98" s="3"/>
      <c r="G98" s="14"/>
      <c r="H98" s="14"/>
    </row>
    <row r="99" spans="1:8" x14ac:dyDescent="0.25">
      <c r="A99" s="3"/>
      <c r="B99" s="3"/>
      <c r="C99" s="3"/>
      <c r="D99" s="3"/>
      <c r="G99" s="14"/>
      <c r="H99" s="14"/>
    </row>
    <row r="100" spans="1:8" x14ac:dyDescent="0.25">
      <c r="A100" s="3"/>
      <c r="B100" s="3"/>
      <c r="C100" s="3"/>
      <c r="D100" s="3"/>
      <c r="G100" s="14"/>
      <c r="H100" s="14"/>
    </row>
    <row r="101" spans="1:8" x14ac:dyDescent="0.25">
      <c r="A101" s="3"/>
      <c r="B101" s="3"/>
      <c r="C101" s="3"/>
      <c r="D101" s="3"/>
      <c r="G101" s="14"/>
      <c r="H101" s="14"/>
    </row>
    <row r="102" spans="1:8" x14ac:dyDescent="0.25">
      <c r="A102" s="3"/>
      <c r="B102" s="3"/>
      <c r="C102" s="3"/>
      <c r="D102" s="3"/>
      <c r="G102" s="14"/>
      <c r="H102" s="14"/>
    </row>
    <row r="103" spans="1:8" x14ac:dyDescent="0.25">
      <c r="A103" s="3"/>
      <c r="B103" s="3"/>
      <c r="C103" s="3"/>
      <c r="D103" s="3"/>
      <c r="G103" s="14"/>
      <c r="H103" s="14"/>
    </row>
    <row r="104" spans="1:8" x14ac:dyDescent="0.25">
      <c r="A104" s="3"/>
      <c r="B104" s="3"/>
      <c r="C104" s="3"/>
      <c r="D104" s="3"/>
      <c r="G104" s="14"/>
      <c r="H104" s="14"/>
    </row>
    <row r="105" spans="1:8" x14ac:dyDescent="0.25">
      <c r="A105" s="3"/>
      <c r="B105" s="3"/>
      <c r="C105" s="3"/>
      <c r="D105" s="3"/>
      <c r="G105" s="14"/>
      <c r="H105" s="14"/>
    </row>
    <row r="106" spans="1:8" x14ac:dyDescent="0.25">
      <c r="A106" s="3"/>
      <c r="B106" s="3"/>
      <c r="C106" s="3"/>
      <c r="D106" s="3"/>
      <c r="G106" s="14"/>
      <c r="H106" s="14"/>
    </row>
    <row r="107" spans="1:8" x14ac:dyDescent="0.25">
      <c r="A107" s="3"/>
      <c r="B107" s="3"/>
      <c r="C107" s="3"/>
      <c r="D107" s="3"/>
      <c r="G107" s="14"/>
      <c r="H107" s="14"/>
    </row>
    <row r="108" spans="1:8" x14ac:dyDescent="0.25">
      <c r="A108" s="3"/>
      <c r="B108" s="3"/>
      <c r="C108" s="3"/>
      <c r="D108" s="3"/>
      <c r="G108" s="14"/>
      <c r="H108" s="14"/>
    </row>
    <row r="109" spans="1:8" x14ac:dyDescent="0.25">
      <c r="A109" s="3"/>
      <c r="B109" s="3"/>
      <c r="C109" s="3"/>
      <c r="D109" s="3"/>
      <c r="G109" s="14"/>
      <c r="H109" s="14"/>
    </row>
    <row r="110" spans="1:8" x14ac:dyDescent="0.25">
      <c r="A110" s="3"/>
      <c r="B110" s="3"/>
      <c r="C110" s="3"/>
      <c r="D110" s="3"/>
      <c r="G110" s="14"/>
      <c r="H110" s="14"/>
    </row>
    <row r="111" spans="1:8" x14ac:dyDescent="0.25">
      <c r="A111" s="3"/>
      <c r="B111" s="3"/>
      <c r="C111" s="3"/>
      <c r="D111" s="3"/>
      <c r="G111" s="14"/>
      <c r="H111" s="14"/>
    </row>
    <row r="112" spans="1:8" x14ac:dyDescent="0.25">
      <c r="A112" s="3"/>
      <c r="B112" s="3"/>
      <c r="C112" s="3"/>
      <c r="D112" s="3"/>
      <c r="G112" s="14"/>
      <c r="H112" s="14"/>
    </row>
    <row r="113" spans="1:8" x14ac:dyDescent="0.25">
      <c r="A113" s="3"/>
      <c r="B113" s="3"/>
      <c r="C113" s="3"/>
      <c r="D113" s="3"/>
      <c r="G113" s="14"/>
      <c r="H113" s="14"/>
    </row>
    <row r="114" spans="1:8" x14ac:dyDescent="0.25">
      <c r="A114" s="3"/>
      <c r="B114" s="3"/>
      <c r="C114" s="3"/>
      <c r="D114" s="3"/>
      <c r="G114" s="14"/>
      <c r="H114" s="14"/>
    </row>
    <row r="115" spans="1:8" x14ac:dyDescent="0.25">
      <c r="A115" s="3"/>
      <c r="B115" s="3"/>
      <c r="C115" s="3"/>
      <c r="D115" s="3"/>
      <c r="G115" s="14"/>
      <c r="H115" s="14"/>
    </row>
    <row r="116" spans="1:8" x14ac:dyDescent="0.25">
      <c r="A116" s="3"/>
      <c r="B116" s="3"/>
      <c r="C116" s="3"/>
      <c r="D116" s="3"/>
      <c r="G116" s="14"/>
      <c r="H116" s="14"/>
    </row>
    <row r="117" spans="1:8" x14ac:dyDescent="0.25">
      <c r="A117" s="3"/>
      <c r="B117" s="3"/>
      <c r="C117" s="3"/>
      <c r="D117" s="3"/>
      <c r="G117" s="14"/>
      <c r="H117" s="14"/>
    </row>
    <row r="118" spans="1:8" x14ac:dyDescent="0.25">
      <c r="A118" s="3"/>
      <c r="B118" s="3"/>
      <c r="C118" s="3"/>
      <c r="D118" s="3"/>
      <c r="G118" s="14"/>
      <c r="H118" s="14"/>
    </row>
    <row r="119" spans="1:8" x14ac:dyDescent="0.25">
      <c r="A119" s="3"/>
      <c r="B119" s="3"/>
      <c r="C119" s="3"/>
      <c r="D119" s="3"/>
      <c r="G119" s="14"/>
      <c r="H119" s="14"/>
    </row>
    <row r="120" spans="1:8" x14ac:dyDescent="0.25">
      <c r="A120" s="3"/>
      <c r="B120" s="3"/>
      <c r="C120" s="3"/>
      <c r="D120" s="3"/>
      <c r="G120" s="14"/>
      <c r="H120" s="14"/>
    </row>
    <row r="121" spans="1:8" x14ac:dyDescent="0.25">
      <c r="A121" s="3"/>
      <c r="B121" s="3"/>
      <c r="C121" s="3"/>
      <c r="D121" s="3"/>
      <c r="G121" s="14"/>
      <c r="H121" s="14"/>
    </row>
    <row r="122" spans="1:8" x14ac:dyDescent="0.25">
      <c r="A122" s="3"/>
      <c r="B122" s="3"/>
      <c r="C122" s="3"/>
      <c r="D122" s="3"/>
      <c r="G122" s="14"/>
      <c r="H122" s="14"/>
    </row>
    <row r="123" spans="1:8" x14ac:dyDescent="0.25">
      <c r="A123" s="3"/>
      <c r="B123" s="3"/>
      <c r="C123" s="3"/>
      <c r="D123" s="3"/>
      <c r="G123" s="14"/>
      <c r="H123" s="14"/>
    </row>
    <row r="124" spans="1:8" x14ac:dyDescent="0.25">
      <c r="A124" s="3"/>
      <c r="B124" s="3"/>
      <c r="C124" s="3"/>
      <c r="D124" s="3"/>
      <c r="G124" s="14"/>
      <c r="H124" s="14"/>
    </row>
    <row r="125" spans="1:8" x14ac:dyDescent="0.25">
      <c r="A125" s="3"/>
      <c r="B125" s="3"/>
      <c r="C125" s="3"/>
      <c r="D125" s="3"/>
      <c r="G125" s="14"/>
      <c r="H125" s="14"/>
    </row>
    <row r="126" spans="1:8" x14ac:dyDescent="0.25">
      <c r="A126" s="18"/>
      <c r="B126" s="3"/>
      <c r="C126" s="3"/>
      <c r="D126" s="3"/>
      <c r="G126" s="14"/>
      <c r="H126" s="14"/>
    </row>
    <row r="127" spans="1:8" x14ac:dyDescent="0.25">
      <c r="A127" s="3"/>
      <c r="B127" s="3"/>
      <c r="C127" s="3"/>
      <c r="D127" s="3"/>
      <c r="G127" s="14"/>
      <c r="H127" s="14"/>
    </row>
    <row r="128" spans="1:8" x14ac:dyDescent="0.25">
      <c r="A128" s="3"/>
      <c r="B128" s="3"/>
      <c r="C128" s="3"/>
      <c r="D128" s="3"/>
      <c r="G128" s="14"/>
      <c r="H128" s="14"/>
    </row>
    <row r="129" spans="1:8" x14ac:dyDescent="0.25">
      <c r="A129" s="3"/>
      <c r="B129" s="3"/>
      <c r="C129" s="3"/>
      <c r="D129" s="3"/>
      <c r="G129" s="14"/>
      <c r="H129" s="14"/>
    </row>
    <row r="130" spans="1:8" x14ac:dyDescent="0.25">
      <c r="A130" s="3"/>
      <c r="B130" s="3"/>
      <c r="C130" s="3"/>
      <c r="D130" s="3"/>
      <c r="G130" s="14"/>
      <c r="H130" s="14"/>
    </row>
    <row r="131" spans="1:8" x14ac:dyDescent="0.25">
      <c r="A131" s="3"/>
      <c r="B131" s="3"/>
      <c r="C131" s="3"/>
      <c r="D131" s="3"/>
      <c r="G131" s="14"/>
      <c r="H131" s="14"/>
    </row>
    <row r="132" spans="1:8" x14ac:dyDescent="0.25">
      <c r="A132" s="3"/>
      <c r="B132" s="3"/>
      <c r="C132" s="3"/>
      <c r="D132" s="3"/>
      <c r="G132" s="14"/>
      <c r="H132" s="14"/>
    </row>
    <row r="133" spans="1:8" x14ac:dyDescent="0.25">
      <c r="A133" s="3"/>
      <c r="B133" s="3"/>
      <c r="C133" s="3"/>
      <c r="D133" s="3"/>
      <c r="G133" s="14"/>
      <c r="H133" s="14"/>
    </row>
    <row r="134" spans="1:8" x14ac:dyDescent="0.25">
      <c r="A134" s="3"/>
      <c r="B134" s="3"/>
      <c r="C134" s="3"/>
      <c r="D134" s="3"/>
      <c r="G134" s="14"/>
      <c r="H134" s="14"/>
    </row>
    <row r="135" spans="1:8" x14ac:dyDescent="0.25">
      <c r="A135" s="3"/>
      <c r="B135" s="3"/>
      <c r="C135" s="3"/>
      <c r="D135" s="3"/>
      <c r="G135" s="14"/>
      <c r="H135" s="14"/>
    </row>
    <row r="136" spans="1:8" x14ac:dyDescent="0.25">
      <c r="A136" s="3"/>
      <c r="B136" s="3"/>
      <c r="C136" s="3"/>
      <c r="D136" s="3"/>
      <c r="G136" s="14"/>
      <c r="H136" s="14"/>
    </row>
    <row r="137" spans="1:8" x14ac:dyDescent="0.25">
      <c r="A137" s="3"/>
      <c r="B137" s="3"/>
      <c r="C137" s="3"/>
      <c r="D137" s="3"/>
      <c r="G137" s="14"/>
      <c r="H137" s="14"/>
    </row>
    <row r="138" spans="1:8" x14ac:dyDescent="0.25">
      <c r="A138" s="3"/>
      <c r="B138" s="3"/>
      <c r="C138" s="3"/>
      <c r="D138" s="3"/>
      <c r="G138" s="14"/>
      <c r="H138" s="14"/>
    </row>
    <row r="139" spans="1:8" x14ac:dyDescent="0.25">
      <c r="A139" s="3"/>
      <c r="B139" s="3"/>
      <c r="C139" s="3"/>
      <c r="D139" s="3"/>
      <c r="G139" s="14"/>
      <c r="H139" s="14"/>
    </row>
    <row r="140" spans="1:8" x14ac:dyDescent="0.25">
      <c r="A140" s="3"/>
      <c r="B140" s="3"/>
      <c r="C140" s="3"/>
      <c r="D140" s="3"/>
      <c r="G140" s="14"/>
      <c r="H140" s="14"/>
    </row>
    <row r="141" spans="1:8" x14ac:dyDescent="0.25">
      <c r="A141" s="3"/>
      <c r="B141" s="3"/>
      <c r="C141" s="3"/>
      <c r="D141" s="3"/>
      <c r="G141" s="14"/>
      <c r="H141" s="14"/>
    </row>
    <row r="142" spans="1:8" x14ac:dyDescent="0.25">
      <c r="A142" s="3"/>
      <c r="B142" s="3"/>
      <c r="C142" s="3"/>
      <c r="D142" s="3"/>
      <c r="G142" s="14"/>
      <c r="H142" s="14"/>
    </row>
    <row r="143" spans="1:8" x14ac:dyDescent="0.25">
      <c r="A143" s="3"/>
      <c r="B143" s="3"/>
      <c r="C143" s="3"/>
      <c r="D143" s="3"/>
      <c r="G143" s="14"/>
      <c r="H143" s="14"/>
    </row>
    <row r="144" spans="1:8" x14ac:dyDescent="0.25">
      <c r="A144" s="3"/>
      <c r="B144" s="3"/>
      <c r="C144" s="3"/>
      <c r="D144" s="3"/>
      <c r="G144" s="14"/>
      <c r="H144" s="14"/>
    </row>
    <row r="145" spans="1:8" x14ac:dyDescent="0.25">
      <c r="A145" s="3"/>
      <c r="B145" s="3"/>
      <c r="C145" s="3"/>
      <c r="D145" s="3"/>
      <c r="G145" s="14"/>
      <c r="H145" s="14"/>
    </row>
    <row r="146" spans="1:8" x14ac:dyDescent="0.25">
      <c r="A146" s="3"/>
      <c r="B146" s="3"/>
      <c r="C146" s="3"/>
      <c r="D146" s="3"/>
      <c r="G146" s="14"/>
      <c r="H146" s="14"/>
    </row>
    <row r="147" spans="1:8" x14ac:dyDescent="0.25">
      <c r="A147" s="3"/>
      <c r="B147" s="3"/>
      <c r="C147" s="3"/>
      <c r="D147" s="3"/>
      <c r="G147" s="14"/>
      <c r="H147" s="14"/>
    </row>
    <row r="148" spans="1:8" x14ac:dyDescent="0.25">
      <c r="A148" s="3"/>
      <c r="B148" s="3"/>
      <c r="C148" s="3"/>
      <c r="D148" s="3"/>
      <c r="G148" s="14"/>
      <c r="H148" s="14"/>
    </row>
    <row r="149" spans="1:8" x14ac:dyDescent="0.25">
      <c r="A149" s="3"/>
      <c r="B149" s="3"/>
      <c r="C149" s="3"/>
      <c r="D149" s="3"/>
      <c r="G149" s="14"/>
      <c r="H149" s="14"/>
    </row>
    <row r="150" spans="1:8" x14ac:dyDescent="0.25">
      <c r="A150" s="3"/>
      <c r="B150" s="3"/>
      <c r="C150" s="3"/>
      <c r="D150" s="3"/>
      <c r="G150" s="14"/>
      <c r="H150" s="14"/>
    </row>
    <row r="151" spans="1:8" x14ac:dyDescent="0.25">
      <c r="A151" s="3"/>
      <c r="B151" s="3"/>
      <c r="C151" s="3"/>
      <c r="D151" s="3"/>
      <c r="G151" s="14"/>
      <c r="H151" s="14"/>
    </row>
    <row r="152" spans="1:8" x14ac:dyDescent="0.25">
      <c r="A152" s="3"/>
      <c r="B152" s="3"/>
      <c r="C152" s="3"/>
      <c r="D152" s="3"/>
      <c r="G152" s="14"/>
      <c r="H152" s="14"/>
    </row>
    <row r="153" spans="1:8" x14ac:dyDescent="0.25">
      <c r="A153" s="3"/>
      <c r="B153" s="3"/>
      <c r="C153" s="3"/>
      <c r="D153" s="3"/>
      <c r="G153" s="14"/>
      <c r="H153" s="14"/>
    </row>
    <row r="154" spans="1:8" x14ac:dyDescent="0.25">
      <c r="A154" s="3"/>
      <c r="B154" s="3"/>
      <c r="C154" s="3"/>
      <c r="D154" s="3"/>
      <c r="G154" s="14"/>
      <c r="H154" s="14"/>
    </row>
    <row r="155" spans="1:8" x14ac:dyDescent="0.25">
      <c r="A155" s="3"/>
      <c r="B155" s="3"/>
      <c r="C155" s="3"/>
      <c r="D155" s="3"/>
      <c r="G155" s="14"/>
      <c r="H155" s="14"/>
    </row>
    <row r="156" spans="1:8" x14ac:dyDescent="0.25">
      <c r="A156" s="3"/>
      <c r="B156" s="3"/>
      <c r="C156" s="3"/>
      <c r="D156" s="3"/>
      <c r="G156" s="14"/>
      <c r="H156" s="14"/>
    </row>
    <row r="157" spans="1:8" x14ac:dyDescent="0.25">
      <c r="A157" s="3"/>
      <c r="B157" s="3"/>
      <c r="C157" s="3"/>
      <c r="D157" s="3"/>
      <c r="G157" s="14"/>
      <c r="H157" s="14"/>
    </row>
    <row r="158" spans="1:8" x14ac:dyDescent="0.25">
      <c r="A158" s="3"/>
      <c r="B158" s="3"/>
      <c r="C158" s="3"/>
      <c r="D158" s="3"/>
      <c r="G158" s="14"/>
      <c r="H158" s="14"/>
    </row>
    <row r="159" spans="1:8" x14ac:dyDescent="0.25">
      <c r="A159" s="3"/>
      <c r="B159" s="3"/>
      <c r="C159" s="3"/>
      <c r="D159" s="3"/>
      <c r="G159" s="14"/>
      <c r="H159" s="14"/>
    </row>
    <row r="160" spans="1:8" x14ac:dyDescent="0.25">
      <c r="A160" s="3"/>
      <c r="B160" s="3"/>
      <c r="C160" s="3"/>
      <c r="D160" s="3"/>
      <c r="G160" s="14"/>
      <c r="H160" s="14"/>
    </row>
    <row r="161" spans="1:8" x14ac:dyDescent="0.25">
      <c r="A161" s="3"/>
      <c r="B161" s="3"/>
      <c r="C161" s="3"/>
      <c r="D161" s="3"/>
      <c r="G161" s="14"/>
      <c r="H161" s="14"/>
    </row>
    <row r="162" spans="1:8" x14ac:dyDescent="0.25">
      <c r="A162" s="3"/>
      <c r="B162" s="3"/>
      <c r="C162" s="3"/>
      <c r="D162" s="3"/>
      <c r="G162" s="14"/>
      <c r="H162" s="14"/>
    </row>
    <row r="163" spans="1:8" x14ac:dyDescent="0.25">
      <c r="A163" s="3"/>
      <c r="B163" s="3"/>
      <c r="C163" s="3"/>
      <c r="D163" s="3"/>
      <c r="G163" s="14"/>
      <c r="H163" s="14"/>
    </row>
    <row r="164" spans="1:8" x14ac:dyDescent="0.25">
      <c r="A164" s="3"/>
      <c r="B164" s="3"/>
      <c r="C164" s="3"/>
      <c r="D164" s="3"/>
      <c r="G164" s="14"/>
      <c r="H164" s="14"/>
    </row>
    <row r="165" spans="1:8" x14ac:dyDescent="0.25">
      <c r="A165" s="3"/>
      <c r="B165" s="3"/>
      <c r="C165" s="3"/>
      <c r="D165" s="3"/>
      <c r="G165" s="14"/>
      <c r="H165" s="14"/>
    </row>
    <row r="166" spans="1:8" x14ac:dyDescent="0.25">
      <c r="A166" s="3"/>
      <c r="B166" s="3"/>
      <c r="C166" s="3"/>
      <c r="D166" s="3"/>
      <c r="G166" s="14"/>
      <c r="H166" s="14"/>
    </row>
    <row r="167" spans="1:8" x14ac:dyDescent="0.25">
      <c r="A167" s="3"/>
      <c r="B167" s="3"/>
      <c r="C167" s="3"/>
      <c r="D167" s="3"/>
      <c r="G167" s="14"/>
      <c r="H167" s="14"/>
    </row>
    <row r="168" spans="1:8" x14ac:dyDescent="0.25">
      <c r="A168" s="3"/>
      <c r="B168" s="3"/>
      <c r="C168" s="3"/>
      <c r="D168" s="3"/>
      <c r="G168" s="14"/>
      <c r="H168" s="14"/>
    </row>
    <row r="169" spans="1:8" x14ac:dyDescent="0.25">
      <c r="A169" s="3"/>
      <c r="B169" s="3"/>
      <c r="C169" s="3"/>
      <c r="D169" s="3"/>
      <c r="G169" s="14"/>
      <c r="H169" s="14"/>
    </row>
    <row r="170" spans="1:8" x14ac:dyDescent="0.25">
      <c r="A170" s="3"/>
      <c r="B170" s="3"/>
      <c r="C170" s="3"/>
      <c r="D170" s="3"/>
      <c r="G170" s="14"/>
      <c r="H170" s="14"/>
    </row>
    <row r="171" spans="1:8" x14ac:dyDescent="0.25">
      <c r="A171" s="3"/>
      <c r="B171" s="3"/>
      <c r="C171" s="3"/>
      <c r="D171" s="3"/>
      <c r="G171" s="14"/>
      <c r="H171" s="14"/>
    </row>
    <row r="172" spans="1:8" x14ac:dyDescent="0.25">
      <c r="A172" s="3"/>
      <c r="B172" s="3"/>
      <c r="C172" s="3"/>
      <c r="D172" s="3"/>
      <c r="G172" s="14"/>
      <c r="H172" s="14"/>
    </row>
    <row r="173" spans="1:8" x14ac:dyDescent="0.25">
      <c r="A173" s="3"/>
      <c r="B173" s="3"/>
      <c r="C173" s="3"/>
      <c r="D173" s="3"/>
      <c r="G173" s="14"/>
      <c r="H173" s="14"/>
    </row>
    <row r="174" spans="1:8" x14ac:dyDescent="0.25">
      <c r="A174" s="3"/>
      <c r="B174" s="3"/>
      <c r="C174" s="3"/>
      <c r="D174" s="3"/>
      <c r="G174" s="14"/>
      <c r="H174" s="14"/>
    </row>
    <row r="175" spans="1:8" x14ac:dyDescent="0.25">
      <c r="A175" s="3"/>
      <c r="B175" s="3"/>
      <c r="C175" s="3"/>
      <c r="D175" s="3"/>
      <c r="G175" s="14"/>
      <c r="H175" s="14"/>
    </row>
    <row r="176" spans="1:8" x14ac:dyDescent="0.25">
      <c r="A176" s="3"/>
      <c r="B176" s="3"/>
      <c r="C176" s="3"/>
      <c r="D176" s="3"/>
      <c r="G176" s="14"/>
      <c r="H176" s="14"/>
    </row>
    <row r="177" spans="1:8" x14ac:dyDescent="0.25">
      <c r="A177" s="3"/>
      <c r="B177" s="3"/>
      <c r="C177" s="3"/>
      <c r="D177" s="3"/>
      <c r="G177" s="14"/>
      <c r="H177" s="14"/>
    </row>
    <row r="178" spans="1:8" x14ac:dyDescent="0.25">
      <c r="A178" s="3"/>
      <c r="B178" s="3"/>
      <c r="C178" s="3"/>
      <c r="D178" s="3"/>
      <c r="G178" s="14"/>
      <c r="H178" s="14"/>
    </row>
    <row r="179" spans="1:8" x14ac:dyDescent="0.25">
      <c r="A179" s="3"/>
      <c r="B179" s="3"/>
      <c r="C179" s="3"/>
      <c r="D179" s="3"/>
      <c r="G179" s="14"/>
      <c r="H179" s="14"/>
    </row>
    <row r="180" spans="1:8" x14ac:dyDescent="0.25">
      <c r="A180" s="3"/>
      <c r="B180" s="3"/>
      <c r="C180" s="3"/>
      <c r="D180" s="3"/>
      <c r="G180" s="14"/>
      <c r="H180" s="14"/>
    </row>
    <row r="181" spans="1:8" x14ac:dyDescent="0.25">
      <c r="A181" s="3"/>
      <c r="B181" s="3"/>
      <c r="C181" s="3"/>
      <c r="D181" s="3"/>
      <c r="G181" s="14"/>
      <c r="H181" s="14"/>
    </row>
    <row r="182" spans="1:8" x14ac:dyDescent="0.25">
      <c r="A182" s="3"/>
      <c r="B182" s="3"/>
      <c r="C182" s="3"/>
      <c r="D182" s="3"/>
      <c r="G182" s="14"/>
      <c r="H182" s="14"/>
    </row>
    <row r="183" spans="1:8" x14ac:dyDescent="0.25">
      <c r="A183" s="3"/>
      <c r="B183" s="3"/>
      <c r="C183" s="3"/>
      <c r="D183" s="3"/>
      <c r="G183" s="14"/>
      <c r="H183" s="14"/>
    </row>
    <row r="184" spans="1:8" x14ac:dyDescent="0.25">
      <c r="A184" s="3"/>
      <c r="B184" s="3"/>
      <c r="C184" s="3"/>
      <c r="D184" s="3"/>
      <c r="G184" s="14"/>
      <c r="H184" s="14"/>
    </row>
    <row r="185" spans="1:8" x14ac:dyDescent="0.25">
      <c r="A185" s="3"/>
      <c r="B185" s="3"/>
      <c r="C185" s="3"/>
      <c r="D185" s="3"/>
      <c r="G185" s="14"/>
      <c r="H185" s="14"/>
    </row>
    <row r="186" spans="1:8" x14ac:dyDescent="0.25">
      <c r="A186" s="3"/>
      <c r="B186" s="3"/>
      <c r="C186" s="3"/>
      <c r="D186" s="3"/>
      <c r="G186" s="14"/>
      <c r="H186" s="14"/>
    </row>
    <row r="187" spans="1:8" x14ac:dyDescent="0.25">
      <c r="A187" s="3"/>
      <c r="B187" s="3"/>
      <c r="C187" s="3"/>
      <c r="D187" s="3"/>
      <c r="G187" s="14"/>
      <c r="H187" s="14"/>
    </row>
    <row r="188" spans="1:8" x14ac:dyDescent="0.25">
      <c r="A188" s="3"/>
      <c r="B188" s="3"/>
      <c r="C188" s="3"/>
      <c r="D188" s="3"/>
      <c r="G188" s="14"/>
      <c r="H188" s="14"/>
    </row>
    <row r="189" spans="1:8" x14ac:dyDescent="0.25">
      <c r="A189" s="3"/>
      <c r="B189" s="3"/>
      <c r="C189" s="3"/>
      <c r="D189" s="3"/>
      <c r="G189" s="14"/>
      <c r="H189" s="14"/>
    </row>
    <row r="190" spans="1:8" x14ac:dyDescent="0.25">
      <c r="A190" s="3"/>
      <c r="B190" s="3"/>
      <c r="C190" s="3"/>
      <c r="D190" s="3"/>
      <c r="G190" s="14"/>
      <c r="H190" s="14"/>
    </row>
    <row r="191" spans="1:8" x14ac:dyDescent="0.25">
      <c r="A191" s="3"/>
      <c r="B191" s="3"/>
      <c r="C191" s="3"/>
      <c r="D191" s="3"/>
      <c r="G191" s="14"/>
      <c r="H191" s="14"/>
    </row>
    <row r="192" spans="1:8" x14ac:dyDescent="0.25">
      <c r="A192" s="3"/>
      <c r="B192" s="3"/>
      <c r="C192" s="3"/>
      <c r="D192" s="3"/>
      <c r="G192" s="14"/>
      <c r="H192" s="14"/>
    </row>
    <row r="193" spans="1:8" x14ac:dyDescent="0.25">
      <c r="A193" s="3"/>
      <c r="B193" s="3"/>
      <c r="C193" s="3"/>
      <c r="D193" s="3"/>
      <c r="G193" s="14"/>
      <c r="H193" s="14"/>
    </row>
    <row r="194" spans="1:8" x14ac:dyDescent="0.25">
      <c r="A194" s="3"/>
      <c r="B194" s="3"/>
      <c r="C194" s="3"/>
      <c r="D194" s="3"/>
      <c r="G194" s="14"/>
      <c r="H194" s="14"/>
    </row>
    <row r="195" spans="1:8" x14ac:dyDescent="0.25">
      <c r="A195" s="3"/>
      <c r="B195" s="3"/>
      <c r="C195" s="3"/>
      <c r="D195" s="3"/>
      <c r="G195" s="14"/>
      <c r="H195" s="14"/>
    </row>
    <row r="196" spans="1:8" x14ac:dyDescent="0.25">
      <c r="A196" s="3"/>
      <c r="B196" s="3"/>
      <c r="C196" s="3"/>
      <c r="D196" s="3"/>
      <c r="G196" s="14"/>
      <c r="H196" s="14"/>
    </row>
    <row r="197" spans="1:8" x14ac:dyDescent="0.25">
      <c r="A197" s="3"/>
      <c r="B197" s="3"/>
      <c r="C197" s="3"/>
      <c r="D197" s="3"/>
      <c r="G197" s="14"/>
      <c r="H197" s="14"/>
    </row>
    <row r="198" spans="1:8" x14ac:dyDescent="0.25">
      <c r="A198" s="3"/>
      <c r="B198" s="3"/>
      <c r="C198" s="3"/>
      <c r="D198" s="3"/>
      <c r="G198" s="14"/>
      <c r="H198" s="14"/>
    </row>
    <row r="199" spans="1:8" x14ac:dyDescent="0.25">
      <c r="A199" s="3"/>
      <c r="B199" s="3"/>
      <c r="C199" s="3"/>
      <c r="D199" s="3"/>
      <c r="G199" s="14"/>
      <c r="H199" s="14"/>
    </row>
    <row r="200" spans="1:8" x14ac:dyDescent="0.25">
      <c r="A200" s="3"/>
      <c r="B200" s="3"/>
      <c r="C200" s="3"/>
      <c r="D200" s="3"/>
      <c r="G200" s="14"/>
      <c r="H200" s="14"/>
    </row>
    <row r="201" spans="1:8" x14ac:dyDescent="0.25">
      <c r="A201" s="3"/>
      <c r="B201" s="3"/>
      <c r="C201" s="3"/>
      <c r="D201" s="3"/>
      <c r="G201" s="14"/>
      <c r="H201" s="14"/>
    </row>
    <row r="202" spans="1:8" x14ac:dyDescent="0.25">
      <c r="A202" s="3"/>
      <c r="B202" s="3"/>
      <c r="C202" s="3"/>
      <c r="D202" s="3"/>
      <c r="G202" s="14"/>
      <c r="H202" s="14"/>
    </row>
    <row r="203" spans="1:8" x14ac:dyDescent="0.25">
      <c r="A203" s="3"/>
      <c r="B203" s="3"/>
      <c r="C203" s="3"/>
      <c r="D203" s="3"/>
      <c r="G203" s="14"/>
      <c r="H203" s="14"/>
    </row>
    <row r="204" spans="1:8" x14ac:dyDescent="0.25">
      <c r="A204" s="3"/>
      <c r="B204" s="3"/>
      <c r="C204" s="3"/>
      <c r="D204" s="3"/>
      <c r="G204" s="14"/>
      <c r="H204" s="14"/>
    </row>
    <row r="205" spans="1:8" x14ac:dyDescent="0.25">
      <c r="A205" s="3"/>
      <c r="B205" s="3"/>
      <c r="C205" s="3"/>
      <c r="D205" s="3"/>
      <c r="G205" s="14"/>
      <c r="H205" s="14"/>
    </row>
    <row r="206" spans="1:8" x14ac:dyDescent="0.25">
      <c r="A206" s="3"/>
      <c r="B206" s="3"/>
      <c r="C206" s="3"/>
      <c r="D206" s="3"/>
      <c r="G206" s="14"/>
      <c r="H206" s="14"/>
    </row>
    <row r="207" spans="1:8" x14ac:dyDescent="0.25">
      <c r="A207" s="3"/>
      <c r="B207" s="3"/>
      <c r="C207" s="3"/>
      <c r="D207" s="3"/>
      <c r="G207" s="14"/>
      <c r="H207" s="14"/>
    </row>
    <row r="208" spans="1:8" x14ac:dyDescent="0.25">
      <c r="A208" s="3"/>
      <c r="B208" s="3"/>
      <c r="C208" s="3"/>
      <c r="D208" s="3"/>
      <c r="G208" s="14"/>
      <c r="H208" s="14"/>
    </row>
    <row r="209" spans="1:8" x14ac:dyDescent="0.25">
      <c r="A209" s="3"/>
      <c r="B209" s="3"/>
      <c r="C209" s="3"/>
      <c r="D209" s="3"/>
      <c r="G209" s="14"/>
      <c r="H209" s="14"/>
    </row>
    <row r="210" spans="1:8" x14ac:dyDescent="0.25">
      <c r="A210" s="3"/>
      <c r="B210" s="3"/>
      <c r="C210" s="3"/>
      <c r="D210" s="3"/>
      <c r="G210" s="14"/>
      <c r="H210" s="14"/>
    </row>
    <row r="211" spans="1:8" x14ac:dyDescent="0.25">
      <c r="A211" s="3"/>
      <c r="B211" s="3"/>
      <c r="C211" s="3"/>
      <c r="D211" s="3"/>
      <c r="G211" s="14"/>
      <c r="H211" s="14"/>
    </row>
    <row r="212" spans="1:8" x14ac:dyDescent="0.25">
      <c r="A212" s="3"/>
      <c r="B212" s="3"/>
      <c r="C212" s="3"/>
      <c r="D212" s="3"/>
      <c r="G212" s="14"/>
      <c r="H212" s="14"/>
    </row>
    <row r="213" spans="1:8" x14ac:dyDescent="0.25">
      <c r="A213" s="3"/>
      <c r="B213" s="3"/>
      <c r="C213" s="3"/>
      <c r="D213" s="3"/>
      <c r="G213" s="14"/>
      <c r="H213" s="14"/>
    </row>
    <row r="214" spans="1:8" x14ac:dyDescent="0.25">
      <c r="A214" s="3"/>
      <c r="B214" s="3"/>
      <c r="C214" s="3"/>
      <c r="D214" s="3"/>
      <c r="G214" s="14"/>
      <c r="H214" s="14"/>
    </row>
    <row r="215" spans="1:8" x14ac:dyDescent="0.25">
      <c r="A215" s="3"/>
      <c r="B215" s="3"/>
      <c r="C215" s="3"/>
      <c r="D215" s="3"/>
      <c r="G215" s="14"/>
      <c r="H215" s="14"/>
    </row>
    <row r="216" spans="1:8" x14ac:dyDescent="0.25">
      <c r="A216" s="3"/>
      <c r="B216" s="3"/>
      <c r="C216" s="3"/>
      <c r="D216" s="3"/>
      <c r="G216" s="14"/>
      <c r="H216" s="14"/>
    </row>
    <row r="217" spans="1:8" x14ac:dyDescent="0.25">
      <c r="A217" s="3"/>
      <c r="B217" s="3"/>
      <c r="C217" s="3"/>
      <c r="D217" s="3"/>
      <c r="G217" s="14"/>
      <c r="H217" s="14"/>
    </row>
    <row r="218" spans="1:8" x14ac:dyDescent="0.25">
      <c r="A218" s="3"/>
      <c r="B218" s="3"/>
      <c r="C218" s="3"/>
      <c r="D218" s="3"/>
      <c r="G218" s="14"/>
      <c r="H218" s="14"/>
    </row>
    <row r="219" spans="1:8" x14ac:dyDescent="0.25">
      <c r="A219" s="3"/>
      <c r="B219" s="3"/>
      <c r="C219" s="3"/>
      <c r="D219" s="3"/>
      <c r="G219" s="14"/>
      <c r="H219" s="14"/>
    </row>
    <row r="220" spans="1:8" x14ac:dyDescent="0.25">
      <c r="A220" s="3"/>
      <c r="B220" s="3"/>
      <c r="C220" s="3"/>
      <c r="D220" s="3"/>
      <c r="G220" s="14"/>
      <c r="H220" s="14"/>
    </row>
    <row r="221" spans="1:8" x14ac:dyDescent="0.25">
      <c r="A221" s="3"/>
      <c r="B221" s="3"/>
      <c r="C221" s="3"/>
      <c r="D221" s="3"/>
      <c r="G221" s="14"/>
      <c r="H221" s="14"/>
    </row>
    <row r="222" spans="1:8" x14ac:dyDescent="0.25">
      <c r="A222" s="3"/>
      <c r="B222" s="3"/>
      <c r="C222" s="3"/>
      <c r="D222" s="3"/>
      <c r="G222" s="14"/>
      <c r="H222" s="14"/>
    </row>
    <row r="223" spans="1:8" x14ac:dyDescent="0.25">
      <c r="A223" s="3"/>
      <c r="B223" s="3"/>
      <c r="C223" s="3"/>
      <c r="D223" s="3"/>
      <c r="G223" s="14"/>
      <c r="H223" s="14"/>
    </row>
    <row r="224" spans="1:8" x14ac:dyDescent="0.25">
      <c r="A224" s="3"/>
      <c r="B224" s="3"/>
      <c r="C224" s="3"/>
      <c r="D224" s="3"/>
      <c r="G224" s="14"/>
      <c r="H224" s="14"/>
    </row>
    <row r="225" spans="1:8" x14ac:dyDescent="0.25">
      <c r="A225" s="3"/>
      <c r="B225" s="3"/>
      <c r="C225" s="3"/>
      <c r="D225" s="3"/>
      <c r="G225" s="14"/>
      <c r="H225" s="14"/>
    </row>
    <row r="226" spans="1:8" x14ac:dyDescent="0.25">
      <c r="A226" s="3"/>
      <c r="B226" s="3"/>
      <c r="C226" s="3"/>
      <c r="D226" s="3"/>
      <c r="G226" s="14"/>
      <c r="H226" s="14"/>
    </row>
    <row r="227" spans="1:8" x14ac:dyDescent="0.25">
      <c r="A227" s="3"/>
      <c r="B227" s="3"/>
      <c r="C227" s="3"/>
      <c r="D227" s="3"/>
      <c r="G227" s="14"/>
      <c r="H227" s="14"/>
    </row>
    <row r="228" spans="1:8" x14ac:dyDescent="0.25">
      <c r="A228" s="3"/>
      <c r="B228" s="3"/>
      <c r="C228" s="3"/>
      <c r="D228" s="3"/>
      <c r="G228" s="14"/>
      <c r="H228" s="14"/>
    </row>
    <row r="229" spans="1:8" x14ac:dyDescent="0.25">
      <c r="A229" s="3"/>
      <c r="B229" s="3"/>
      <c r="C229" s="3"/>
      <c r="D229" s="3"/>
      <c r="G229" s="14"/>
      <c r="H229" s="14"/>
    </row>
    <row r="230" spans="1:8" x14ac:dyDescent="0.25">
      <c r="A230" s="3"/>
      <c r="B230" s="3"/>
      <c r="C230" s="3"/>
      <c r="D230" s="3"/>
      <c r="G230" s="14"/>
      <c r="H230" s="14"/>
    </row>
    <row r="231" spans="1:8" x14ac:dyDescent="0.25">
      <c r="A231" s="3"/>
      <c r="B231" s="3"/>
      <c r="C231" s="3"/>
      <c r="D231" s="3"/>
      <c r="G231" s="14"/>
      <c r="H231" s="14"/>
    </row>
    <row r="232" spans="1:8" x14ac:dyDescent="0.25">
      <c r="A232" s="3"/>
      <c r="B232" s="3"/>
      <c r="C232" s="3"/>
      <c r="D232" s="3"/>
      <c r="G232" s="14"/>
      <c r="H232" s="14"/>
    </row>
    <row r="233" spans="1:8" x14ac:dyDescent="0.25">
      <c r="A233" s="3"/>
      <c r="B233" s="3"/>
      <c r="C233" s="3"/>
      <c r="D233" s="3"/>
      <c r="G233" s="14"/>
      <c r="H233" s="14"/>
    </row>
    <row r="234" spans="1:8" x14ac:dyDescent="0.25">
      <c r="A234" s="3"/>
      <c r="B234" s="3"/>
      <c r="C234" s="3"/>
      <c r="D234" s="3"/>
      <c r="G234" s="14"/>
      <c r="H234" s="14"/>
    </row>
    <row r="235" spans="1:8" x14ac:dyDescent="0.25">
      <c r="A235" s="3"/>
      <c r="B235" s="3"/>
      <c r="C235" s="3"/>
      <c r="D235" s="3"/>
      <c r="G235" s="14"/>
      <c r="H235" s="14"/>
    </row>
    <row r="236" spans="1:8" x14ac:dyDescent="0.25">
      <c r="A236" s="3"/>
      <c r="B236" s="3"/>
      <c r="C236" s="3"/>
      <c r="D236" s="3"/>
      <c r="G236" s="14"/>
      <c r="H236" s="14"/>
    </row>
    <row r="237" spans="1:8" x14ac:dyDescent="0.25">
      <c r="A237" s="3"/>
      <c r="B237" s="3"/>
      <c r="C237" s="3"/>
      <c r="D237" s="3"/>
      <c r="G237" s="14"/>
      <c r="H237" s="14"/>
    </row>
    <row r="238" spans="1:8" x14ac:dyDescent="0.25">
      <c r="A238" s="3"/>
      <c r="B238" s="3"/>
      <c r="C238" s="3"/>
      <c r="D238" s="3"/>
      <c r="G238" s="14"/>
      <c r="H238" s="14"/>
    </row>
    <row r="239" spans="1:8" x14ac:dyDescent="0.25">
      <c r="A239" s="3"/>
      <c r="B239" s="3"/>
      <c r="C239" s="3"/>
      <c r="D239" s="3"/>
      <c r="G239" s="14"/>
      <c r="H239" s="14"/>
    </row>
    <row r="240" spans="1:8" x14ac:dyDescent="0.25">
      <c r="A240" s="3"/>
      <c r="B240" s="3"/>
      <c r="C240" s="3"/>
      <c r="D240" s="3"/>
      <c r="G240" s="14"/>
      <c r="H240" s="14"/>
    </row>
    <row r="241" spans="1:8" x14ac:dyDescent="0.25">
      <c r="A241" s="3"/>
      <c r="B241" s="3"/>
      <c r="C241" s="3"/>
      <c r="D241" s="3"/>
      <c r="G241" s="14"/>
      <c r="H241" s="14"/>
    </row>
    <row r="242" spans="1:8" x14ac:dyDescent="0.25">
      <c r="A242" s="3"/>
      <c r="B242" s="3"/>
      <c r="C242" s="3"/>
      <c r="D242" s="3"/>
      <c r="G242" s="14"/>
      <c r="H242" s="14"/>
    </row>
    <row r="243" spans="1:8" x14ac:dyDescent="0.25">
      <c r="A243" s="3"/>
      <c r="B243" s="3"/>
      <c r="C243" s="3"/>
      <c r="D243" s="3"/>
      <c r="G243" s="14"/>
      <c r="H243" s="14"/>
    </row>
    <row r="244" spans="1:8" x14ac:dyDescent="0.25">
      <c r="A244" s="3"/>
      <c r="B244" s="3"/>
      <c r="C244" s="3"/>
      <c r="D244" s="3"/>
      <c r="G244" s="14"/>
      <c r="H244" s="14"/>
    </row>
    <row r="245" spans="1:8" x14ac:dyDescent="0.25">
      <c r="A245" s="3"/>
      <c r="B245" s="3"/>
      <c r="C245" s="3"/>
      <c r="D245" s="3"/>
      <c r="G245" s="14"/>
      <c r="H245" s="14"/>
    </row>
    <row r="247" spans="1:8" x14ac:dyDescent="0.25">
      <c r="A247" s="3"/>
      <c r="G247" s="14"/>
      <c r="H247" s="14"/>
    </row>
  </sheetData>
  <phoneticPr fontId="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FD7463-DD9B-46F5-85F7-38F95A1D4674}">
  <sheetPr/>
  <dimension ref="A1:I247"/>
  <sheetViews>
    <sheetView zoomScale="115" zoomScaleNormal="115" workbookViewId="0">
      <selection activeCell="A5" sqref="A5:H101"/>
    </sheetView>
  </sheetViews>
  <sheetFormatPr defaultRowHeight="15" x14ac:dyDescent="0.25"/>
  <cols>
    <col min="1" max="1" width="8.875" style="4" customWidth="1"/>
    <col min="2" max="3" width="15.125" style="4" customWidth="1"/>
    <col min="4" max="4" width="10.25" style="4" customWidth="1"/>
    <col min="5" max="5" width="12" style="13" customWidth="1"/>
    <col min="6" max="6" width="15" style="13" customWidth="1"/>
    <col min="7" max="7" width="13.875" customWidth="1"/>
    <col min="8" max="8" width="11.125" customWidth="1"/>
    <col min="11" max="12" width="15.125" customWidth="1"/>
    <col min="13" max="13" width="11.125" customWidth="1"/>
  </cols>
  <sheetData>
    <row r="1" spans="1:9" ht="14.25" x14ac:dyDescent="0.2">
      <c r="A1" s="2" t="s">
        <v>12</v>
      </c>
      <c r="B1" s="2" t="s">
        <v>4</v>
      </c>
      <c r="C1" s="2" t="s">
        <v>5</v>
      </c>
      <c r="D1" s="2" t="s">
        <v>13</v>
      </c>
      <c r="E1" s="2" t="s">
        <v>14</v>
      </c>
      <c r="F1" s="2" t="s">
        <v>15</v>
      </c>
      <c r="G1" s="2" t="s">
        <v>16</v>
      </c>
    </row>
    <row r="2" spans="1:9" x14ac:dyDescent="0.25">
      <c r="A2" s="11">
        <v>4</v>
      </c>
      <c r="B2" s="3">
        <v>113.30939170000001</v>
      </c>
      <c r="C2" s="8">
        <v>23.040646670000001</v>
      </c>
      <c r="D2" s="3">
        <v>1785</v>
      </c>
      <c r="E2" s="13">
        <v>1785</v>
      </c>
      <c r="F2" s="13">
        <v>27</v>
      </c>
      <c r="G2" s="19">
        <f>SUBTOTAL(2,A5:A250)</f>
        <v>33</v>
      </c>
    </row>
    <row r="3" spans="1:9" x14ac:dyDescent="0.25">
      <c r="A3" s="3"/>
      <c r="B3" s="3"/>
      <c r="C3" s="3"/>
      <c r="D3" s="3"/>
    </row>
    <row r="4" spans="1:9" ht="14.25" x14ac:dyDescent="0.2">
      <c r="A4" s="2" t="s">
        <v>0</v>
      </c>
      <c r="B4" s="2" t="s">
        <v>1</v>
      </c>
      <c r="C4" s="2" t="s">
        <v>2</v>
      </c>
      <c r="D4" s="2" t="s">
        <v>3</v>
      </c>
      <c r="E4" s="2" t="s">
        <v>7</v>
      </c>
      <c r="F4" s="2" t="s">
        <v>8</v>
      </c>
      <c r="G4" s="2" t="s">
        <v>13</v>
      </c>
      <c r="H4" s="2" t="s">
        <v>14</v>
      </c>
      <c r="I4" s="24" t="s">
        <v>20</v>
      </c>
    </row>
    <row r="5" spans="1:9" x14ac:dyDescent="0.25">
      <c r="A5" s="3">
        <v>481</v>
      </c>
      <c r="B5" s="3">
        <v>113.3095369</v>
      </c>
      <c r="C5" s="3">
        <v>23.040624780000002</v>
      </c>
      <c r="D5" s="3">
        <v>4</v>
      </c>
      <c r="E5" s="13">
        <f t="shared" ref="E5:E36" si="0">SQRT((B5-$B$2)^2+(C5-$C$2)^2)</f>
        <v>1.4684077123710066E-4</v>
      </c>
      <c r="F5" s="13">
        <f t="shared" ref="F5:F36" si="1">SQRT(1/E5)</f>
        <v>82.523316162361255</v>
      </c>
      <c r="G5" s="14">
        <f>F5/$F$105*$D$2</f>
        <v>247.05766719151507</v>
      </c>
      <c r="H5" s="14">
        <f>F5/$F$105*$E$2</f>
        <v>247.05766719151507</v>
      </c>
      <c r="I5" s="25" t="str">
        <f>IF(MOD(ROW()-1,3)=1,"选中","")</f>
        <v>选中</v>
      </c>
    </row>
    <row r="6" spans="1:9" hidden="1" x14ac:dyDescent="0.25">
      <c r="A6" s="3">
        <v>480</v>
      </c>
      <c r="B6" s="3">
        <v>113.31000400000001</v>
      </c>
      <c r="C6" s="3">
        <v>23.04048397</v>
      </c>
      <c r="D6" s="3">
        <v>4</v>
      </c>
      <c r="E6" s="13">
        <f t="shared" si="0"/>
        <v>6.3354761462773102E-4</v>
      </c>
      <c r="F6" s="13">
        <f t="shared" si="1"/>
        <v>39.729250305204197</v>
      </c>
      <c r="G6" s="14" t="e">
        <f>F6/$F$124*$D$2</f>
        <v>#DIV/0!</v>
      </c>
      <c r="H6" s="14" t="e">
        <f>F6/$F$124*$E$2</f>
        <v>#DIV/0!</v>
      </c>
      <c r="I6" s="25" t="str">
        <f t="shared" ref="I6:I69" si="2">IF(MOD(ROW()-1,3)=1,"选中","")</f>
        <v/>
      </c>
    </row>
    <row r="7" spans="1:9" hidden="1" x14ac:dyDescent="0.25">
      <c r="A7" s="3">
        <v>488</v>
      </c>
      <c r="B7" s="3">
        <v>113.30998099999999</v>
      </c>
      <c r="C7" s="3">
        <v>23.040291100000001</v>
      </c>
      <c r="D7" s="3">
        <v>4</v>
      </c>
      <c r="E7" s="13">
        <f t="shared" si="0"/>
        <v>6.8826195222818293E-4</v>
      </c>
      <c r="F7" s="13">
        <f t="shared" si="1"/>
        <v>38.117386780714135</v>
      </c>
      <c r="G7" s="14" t="e">
        <f>F7/$F$124*$D$2</f>
        <v>#DIV/0!</v>
      </c>
      <c r="H7" s="14" t="e">
        <f>F7/$F$124*$E$2</f>
        <v>#DIV/0!</v>
      </c>
      <c r="I7" s="25" t="str">
        <f t="shared" si="2"/>
        <v/>
      </c>
    </row>
    <row r="8" spans="1:9" x14ac:dyDescent="0.25">
      <c r="A8" s="3">
        <v>485</v>
      </c>
      <c r="B8" s="3">
        <v>113.31002290000001</v>
      </c>
      <c r="C8" s="3">
        <v>23.04023205</v>
      </c>
      <c r="D8" s="3">
        <v>4</v>
      </c>
      <c r="E8" s="13">
        <f t="shared" si="0"/>
        <v>7.5519744729555345E-4</v>
      </c>
      <c r="F8" s="13">
        <f t="shared" si="1"/>
        <v>36.388968359226944</v>
      </c>
      <c r="G8" s="14">
        <f>F8/$F$105*$D$2</f>
        <v>108.94101270298765</v>
      </c>
      <c r="H8" s="14">
        <f>F8/$F$105*$E$2</f>
        <v>108.94101270298765</v>
      </c>
      <c r="I8" s="25" t="str">
        <f t="shared" si="2"/>
        <v>选中</v>
      </c>
    </row>
    <row r="9" spans="1:9" hidden="1" x14ac:dyDescent="0.25">
      <c r="A9" s="3">
        <v>470</v>
      </c>
      <c r="B9" s="3">
        <v>113.3083403</v>
      </c>
      <c r="C9" s="3">
        <v>23.04092485</v>
      </c>
      <c r="D9" s="3">
        <v>4</v>
      </c>
      <c r="E9" s="13">
        <f t="shared" si="0"/>
        <v>1.087578076469602E-3</v>
      </c>
      <c r="F9" s="13">
        <f t="shared" si="1"/>
        <v>30.322833257051663</v>
      </c>
      <c r="G9" s="14" t="e">
        <f>F9/$F$124*$D$2</f>
        <v>#DIV/0!</v>
      </c>
      <c r="H9" s="14" t="e">
        <f>F9/$F$124*$E$2</f>
        <v>#DIV/0!</v>
      </c>
      <c r="I9" s="25" t="str">
        <f t="shared" si="2"/>
        <v/>
      </c>
    </row>
    <row r="10" spans="1:9" hidden="1" x14ac:dyDescent="0.25">
      <c r="A10" s="3">
        <v>477</v>
      </c>
      <c r="B10" s="3">
        <v>113.3106636</v>
      </c>
      <c r="C10" s="3">
        <v>23.04058371</v>
      </c>
      <c r="D10" s="3">
        <v>4</v>
      </c>
      <c r="E10" s="13">
        <f t="shared" si="0"/>
        <v>1.2734573300976744E-3</v>
      </c>
      <c r="F10" s="13">
        <f t="shared" si="1"/>
        <v>28.022559579944335</v>
      </c>
      <c r="G10" s="14" t="e">
        <f>F10/$F$124*$D$2</f>
        <v>#DIV/0!</v>
      </c>
      <c r="H10" s="14" t="e">
        <f>F10/$F$124*$E$2</f>
        <v>#DIV/0!</v>
      </c>
      <c r="I10" s="25" t="str">
        <f t="shared" si="2"/>
        <v/>
      </c>
    </row>
    <row r="11" spans="1:9" x14ac:dyDescent="0.25">
      <c r="A11" s="3">
        <v>487</v>
      </c>
      <c r="B11" s="3">
        <v>113.3087554</v>
      </c>
      <c r="C11" s="3">
        <v>23.04180771</v>
      </c>
      <c r="D11" s="3">
        <v>4</v>
      </c>
      <c r="E11" s="13">
        <f t="shared" si="0"/>
        <v>1.3239681157839306E-3</v>
      </c>
      <c r="F11" s="13">
        <f t="shared" si="1"/>
        <v>27.482816415397796</v>
      </c>
      <c r="G11" s="14">
        <f>F11/$F$105*$D$2</f>
        <v>82.277843731850552</v>
      </c>
      <c r="H11" s="14">
        <f>F11/$F$105*$E$2</f>
        <v>82.277843731850552</v>
      </c>
      <c r="I11" s="25" t="str">
        <f t="shared" si="2"/>
        <v>选中</v>
      </c>
    </row>
    <row r="12" spans="1:9" hidden="1" x14ac:dyDescent="0.25">
      <c r="A12" s="3">
        <v>493</v>
      </c>
      <c r="B12" s="3">
        <v>113.3099721</v>
      </c>
      <c r="C12" s="3">
        <v>23.039113619999998</v>
      </c>
      <c r="D12" s="3">
        <v>4</v>
      </c>
      <c r="E12" s="13">
        <f t="shared" si="0"/>
        <v>1.6392395988677568E-3</v>
      </c>
      <c r="F12" s="13">
        <f t="shared" si="1"/>
        <v>24.69896653198094</v>
      </c>
      <c r="G12" s="14" t="e">
        <f>F12/$F$124*$D$2</f>
        <v>#DIV/0!</v>
      </c>
      <c r="H12" s="14" t="e">
        <f>F12/$F$124*$E$2</f>
        <v>#DIV/0!</v>
      </c>
      <c r="I12" s="25" t="str">
        <f t="shared" si="2"/>
        <v/>
      </c>
    </row>
    <row r="13" spans="1:9" hidden="1" x14ac:dyDescent="0.25">
      <c r="A13" s="3">
        <v>489</v>
      </c>
      <c r="B13" s="3">
        <v>113.31081639999999</v>
      </c>
      <c r="C13" s="3">
        <v>23.039819749999999</v>
      </c>
      <c r="D13" s="3">
        <v>4</v>
      </c>
      <c r="E13" s="13">
        <f t="shared" si="0"/>
        <v>1.6472907382624735E-3</v>
      </c>
      <c r="F13" s="13">
        <f t="shared" si="1"/>
        <v>24.638534457260523</v>
      </c>
      <c r="G13" s="14" t="e">
        <f>F13/$F$124*$D$2</f>
        <v>#DIV/0!</v>
      </c>
      <c r="H13" s="14" t="e">
        <f>F13/$F$124*$E$2</f>
        <v>#DIV/0!</v>
      </c>
      <c r="I13" s="25" t="str">
        <f t="shared" si="2"/>
        <v/>
      </c>
    </row>
    <row r="14" spans="1:9" x14ac:dyDescent="0.25">
      <c r="A14" s="3">
        <v>463</v>
      </c>
      <c r="B14" s="3">
        <v>113.3086009</v>
      </c>
      <c r="C14" s="3">
        <v>23.039128139999999</v>
      </c>
      <c r="D14" s="3">
        <v>4</v>
      </c>
      <c r="E14" s="13">
        <f t="shared" si="0"/>
        <v>1.7121033849954684E-3</v>
      </c>
      <c r="F14" s="13">
        <f t="shared" si="1"/>
        <v>24.167682512932782</v>
      </c>
      <c r="G14" s="14">
        <f>F14/$F$105*$D$2</f>
        <v>72.353021433639668</v>
      </c>
      <c r="H14" s="14">
        <f>F14/$F$105*$E$2</f>
        <v>72.353021433639668</v>
      </c>
      <c r="I14" s="25" t="str">
        <f t="shared" si="2"/>
        <v>选中</v>
      </c>
    </row>
    <row r="15" spans="1:9" hidden="1" x14ac:dyDescent="0.25">
      <c r="A15" s="3">
        <v>498</v>
      </c>
      <c r="B15" s="3">
        <v>113.3101338</v>
      </c>
      <c r="C15" s="3">
        <v>23.03896838</v>
      </c>
      <c r="D15" s="3">
        <v>4</v>
      </c>
      <c r="E15" s="13">
        <f t="shared" si="0"/>
        <v>1.8350394366601775E-3</v>
      </c>
      <c r="F15" s="13">
        <f t="shared" si="1"/>
        <v>23.344108815715348</v>
      </c>
      <c r="G15" s="14" t="e">
        <f>F15/$F$124*$D$2</f>
        <v>#DIV/0!</v>
      </c>
      <c r="H15" s="14" t="e">
        <f>F15/$F$124*$E$2</f>
        <v>#DIV/0!</v>
      </c>
      <c r="I15" s="25" t="str">
        <f t="shared" si="2"/>
        <v/>
      </c>
    </row>
    <row r="16" spans="1:9" hidden="1" x14ac:dyDescent="0.25">
      <c r="A16" s="3">
        <v>461</v>
      </c>
      <c r="B16" s="3">
        <v>113.3078144</v>
      </c>
      <c r="C16" s="3">
        <v>23.039508420000001</v>
      </c>
      <c r="D16" s="3">
        <v>4</v>
      </c>
      <c r="E16" s="13">
        <f t="shared" si="0"/>
        <v>1.9451191101128881E-3</v>
      </c>
      <c r="F16" s="13">
        <f t="shared" si="1"/>
        <v>22.673935123694953</v>
      </c>
      <c r="G16" s="14" t="e">
        <f>F16/$F$124*$D$2</f>
        <v>#DIV/0!</v>
      </c>
      <c r="H16" s="14" t="e">
        <f>F16/$F$124*$E$2</f>
        <v>#DIV/0!</v>
      </c>
      <c r="I16" s="25" t="str">
        <f t="shared" si="2"/>
        <v/>
      </c>
    </row>
    <row r="17" spans="1:9" x14ac:dyDescent="0.25">
      <c r="A17" s="3">
        <v>469</v>
      </c>
      <c r="B17" s="3">
        <v>113.31057389999999</v>
      </c>
      <c r="C17" s="3">
        <v>23.0389056</v>
      </c>
      <c r="D17" s="3">
        <v>4</v>
      </c>
      <c r="E17" s="13">
        <f t="shared" si="0"/>
        <v>2.104500317148145E-3</v>
      </c>
      <c r="F17" s="13">
        <f t="shared" si="1"/>
        <v>21.798444401657594</v>
      </c>
      <c r="G17" s="14">
        <f>F17/$F$105*$D$2</f>
        <v>65.260014656727677</v>
      </c>
      <c r="H17" s="14">
        <f>F17/$F$105*$E$2</f>
        <v>65.260014656727677</v>
      </c>
      <c r="I17" s="25" t="str">
        <f t="shared" si="2"/>
        <v>选中</v>
      </c>
    </row>
    <row r="18" spans="1:9" hidden="1" x14ac:dyDescent="0.25">
      <c r="A18" s="3">
        <v>462</v>
      </c>
      <c r="B18" s="3">
        <v>113.30794419999999</v>
      </c>
      <c r="C18" s="3">
        <v>23.038996399999998</v>
      </c>
      <c r="D18" s="3">
        <v>4</v>
      </c>
      <c r="E18" s="13">
        <f t="shared" si="0"/>
        <v>2.1951417546351029E-3</v>
      </c>
      <c r="F18" s="13">
        <f t="shared" si="1"/>
        <v>21.343651181854536</v>
      </c>
      <c r="G18" s="14" t="e">
        <f>F18/$F$124*$D$2</f>
        <v>#DIV/0!</v>
      </c>
      <c r="H18" s="14" t="e">
        <f>F18/$F$124*$E$2</f>
        <v>#DIV/0!</v>
      </c>
      <c r="I18" s="25" t="str">
        <f t="shared" si="2"/>
        <v/>
      </c>
    </row>
    <row r="19" spans="1:9" hidden="1" x14ac:dyDescent="0.25">
      <c r="A19" s="3">
        <v>459</v>
      </c>
      <c r="B19" s="3">
        <v>113.3074651</v>
      </c>
      <c r="C19" s="3">
        <v>23.039471070000001</v>
      </c>
      <c r="D19" s="3">
        <v>4</v>
      </c>
      <c r="E19" s="13">
        <f t="shared" si="0"/>
        <v>2.2569499152654496E-3</v>
      </c>
      <c r="F19" s="13">
        <f t="shared" si="1"/>
        <v>21.049366951608906</v>
      </c>
      <c r="G19" s="14" t="e">
        <f>F19/$F$124*$D$2</f>
        <v>#DIV/0!</v>
      </c>
      <c r="H19" s="14" t="e">
        <f>F19/$F$124*$E$2</f>
        <v>#DIV/0!</v>
      </c>
      <c r="I19" s="25" t="str">
        <f t="shared" si="2"/>
        <v/>
      </c>
    </row>
    <row r="20" spans="1:9" x14ac:dyDescent="0.25">
      <c r="A20" s="3">
        <v>529</v>
      </c>
      <c r="B20" s="3">
        <v>113.3117295</v>
      </c>
      <c r="C20" s="3">
        <v>23.040913580000002</v>
      </c>
      <c r="D20" s="3">
        <v>4</v>
      </c>
      <c r="E20" s="13">
        <f t="shared" si="0"/>
        <v>2.3529874177445633E-3</v>
      </c>
      <c r="F20" s="13">
        <f t="shared" si="1"/>
        <v>20.615325557313653</v>
      </c>
      <c r="G20" s="14">
        <f>F20/$F$105*$D$2</f>
        <v>61.71800258926725</v>
      </c>
      <c r="H20" s="14">
        <f>F20/$F$105*$E$2</f>
        <v>61.71800258926725</v>
      </c>
      <c r="I20" s="25" t="str">
        <f t="shared" si="2"/>
        <v>选中</v>
      </c>
    </row>
    <row r="21" spans="1:9" hidden="1" x14ac:dyDescent="0.25">
      <c r="A21" s="3">
        <v>479</v>
      </c>
      <c r="B21" s="3">
        <v>113.30996620000001</v>
      </c>
      <c r="C21" s="3">
        <v>23.038267000000001</v>
      </c>
      <c r="D21" s="3">
        <v>4</v>
      </c>
      <c r="E21" s="13">
        <f t="shared" si="0"/>
        <v>2.4480358573554638E-3</v>
      </c>
      <c r="F21" s="13">
        <f t="shared" si="1"/>
        <v>20.211154064326401</v>
      </c>
      <c r="G21" s="14" t="e">
        <f>F21/$F$124*$D$2</f>
        <v>#DIV/0!</v>
      </c>
      <c r="H21" s="14" t="e">
        <f>F21/$F$124*$E$2</f>
        <v>#DIV/0!</v>
      </c>
      <c r="I21" s="25" t="str">
        <f t="shared" si="2"/>
        <v/>
      </c>
    </row>
    <row r="22" spans="1:9" hidden="1" x14ac:dyDescent="0.25">
      <c r="A22" s="3">
        <v>473</v>
      </c>
      <c r="B22" s="3">
        <v>113.30726129999999</v>
      </c>
      <c r="C22" s="3">
        <v>23.042023350000001</v>
      </c>
      <c r="D22" s="3">
        <v>4</v>
      </c>
      <c r="E22" s="13">
        <f t="shared" si="0"/>
        <v>2.5365038896982832E-3</v>
      </c>
      <c r="F22" s="13">
        <f t="shared" si="1"/>
        <v>19.855564270260327</v>
      </c>
      <c r="G22" s="14" t="e">
        <f>F22/$F$124*$D$2</f>
        <v>#DIV/0!</v>
      </c>
      <c r="H22" s="14" t="e">
        <f>F22/$F$124*$E$2</f>
        <v>#DIV/0!</v>
      </c>
      <c r="I22" s="25" t="str">
        <f t="shared" si="2"/>
        <v/>
      </c>
    </row>
    <row r="23" spans="1:9" x14ac:dyDescent="0.25">
      <c r="A23" s="3">
        <v>499</v>
      </c>
      <c r="B23" s="3">
        <v>113.3098052</v>
      </c>
      <c r="C23" s="3">
        <v>23.043189179999999</v>
      </c>
      <c r="D23" s="3">
        <v>4</v>
      </c>
      <c r="E23" s="13">
        <f t="shared" si="0"/>
        <v>2.5759152451281324E-3</v>
      </c>
      <c r="F23" s="13">
        <f t="shared" si="1"/>
        <v>19.703084291482302</v>
      </c>
      <c r="G23" s="14">
        <f>F23/$F$105*$D$2</f>
        <v>58.986941726314171</v>
      </c>
      <c r="H23" s="14">
        <f>F23/$F$105*$E$2</f>
        <v>58.986941726314171</v>
      </c>
      <c r="I23" s="25" t="str">
        <f t="shared" si="2"/>
        <v>选中</v>
      </c>
    </row>
    <row r="24" spans="1:9" hidden="1" x14ac:dyDescent="0.25">
      <c r="A24" s="3">
        <v>490</v>
      </c>
      <c r="B24" s="3">
        <v>113.3116448</v>
      </c>
      <c r="C24" s="3">
        <v>23.038847629999999</v>
      </c>
      <c r="D24" s="3">
        <v>4</v>
      </c>
      <c r="E24" s="13">
        <f t="shared" si="0"/>
        <v>2.8832281442094394E-3</v>
      </c>
      <c r="F24" s="13">
        <f t="shared" si="1"/>
        <v>18.623465368980334</v>
      </c>
      <c r="G24" s="14" t="e">
        <f>F24/$F$124*$D$2</f>
        <v>#DIV/0!</v>
      </c>
      <c r="H24" s="14" t="e">
        <f>F24/$F$124*$E$2</f>
        <v>#DIV/0!</v>
      </c>
      <c r="I24" s="25" t="str">
        <f t="shared" si="2"/>
        <v/>
      </c>
    </row>
    <row r="25" spans="1:9" hidden="1" x14ac:dyDescent="0.25">
      <c r="A25" s="3">
        <v>467</v>
      </c>
      <c r="B25" s="3">
        <v>113.3064869</v>
      </c>
      <c r="C25" s="3">
        <v>23.0409772</v>
      </c>
      <c r="D25" s="3">
        <v>4</v>
      </c>
      <c r="E25" s="13">
        <f t="shared" si="0"/>
        <v>2.9235446158660159E-3</v>
      </c>
      <c r="F25" s="13">
        <f t="shared" si="1"/>
        <v>18.494608268789044</v>
      </c>
      <c r="G25" s="14" t="e">
        <f>F25/$F$124*$D$2</f>
        <v>#DIV/0!</v>
      </c>
      <c r="H25" s="14" t="e">
        <f>F25/$F$124*$E$2</f>
        <v>#DIV/0!</v>
      </c>
      <c r="I25" s="25" t="str">
        <f t="shared" si="2"/>
        <v/>
      </c>
    </row>
    <row r="26" spans="1:9" x14ac:dyDescent="0.25">
      <c r="A26" s="3">
        <v>531</v>
      </c>
      <c r="B26" s="3">
        <v>113.3123083</v>
      </c>
      <c r="C26" s="3">
        <v>23.04085053</v>
      </c>
      <c r="D26" s="3">
        <v>4</v>
      </c>
      <c r="E26" s="13">
        <f t="shared" si="0"/>
        <v>2.9237158650511873E-3</v>
      </c>
      <c r="F26" s="13">
        <f t="shared" si="1"/>
        <v>18.494066623649584</v>
      </c>
      <c r="G26" s="14">
        <f>F26/$F$105*$D$2</f>
        <v>55.367393960923799</v>
      </c>
      <c r="H26" s="14">
        <f>F26/$F$105*$E$2</f>
        <v>55.367393960923799</v>
      </c>
      <c r="I26" s="25" t="str">
        <f t="shared" si="2"/>
        <v>选中</v>
      </c>
    </row>
    <row r="27" spans="1:9" hidden="1" x14ac:dyDescent="0.25">
      <c r="A27" s="3">
        <v>464</v>
      </c>
      <c r="B27" s="3">
        <v>113.3112536</v>
      </c>
      <c r="C27" s="3">
        <v>23.03819464</v>
      </c>
      <c r="D27" s="3">
        <v>4</v>
      </c>
      <c r="E27" s="13">
        <f t="shared" si="0"/>
        <v>3.0788183984902695E-3</v>
      </c>
      <c r="F27" s="13">
        <f t="shared" si="1"/>
        <v>18.022206576847026</v>
      </c>
      <c r="G27" s="14" t="e">
        <f>F27/$F$124*$D$2</f>
        <v>#DIV/0!</v>
      </c>
      <c r="H27" s="14" t="e">
        <f>F27/$F$124*$E$2</f>
        <v>#DIV/0!</v>
      </c>
      <c r="I27" s="25" t="str">
        <f t="shared" si="2"/>
        <v/>
      </c>
    </row>
    <row r="28" spans="1:9" hidden="1" x14ac:dyDescent="0.25">
      <c r="A28" s="3">
        <v>525</v>
      </c>
      <c r="B28" s="3">
        <v>113.3125059</v>
      </c>
      <c r="C28" s="3">
        <v>23.04117402</v>
      </c>
      <c r="D28" s="3">
        <v>4</v>
      </c>
      <c r="E28" s="13">
        <f t="shared" si="0"/>
        <v>3.1585344168603645E-3</v>
      </c>
      <c r="F28" s="13">
        <f t="shared" si="1"/>
        <v>17.793328355510354</v>
      </c>
      <c r="G28" s="14" t="e">
        <f>F28/$F$124*$D$2</f>
        <v>#DIV/0!</v>
      </c>
      <c r="H28" s="14" t="e">
        <f>F28/$F$124*$E$2</f>
        <v>#DIV/0!</v>
      </c>
      <c r="I28" s="25" t="str">
        <f t="shared" si="2"/>
        <v/>
      </c>
    </row>
    <row r="29" spans="1:9" x14ac:dyDescent="0.25">
      <c r="A29" s="3">
        <v>263</v>
      </c>
      <c r="B29" s="3">
        <v>113.30978020000001</v>
      </c>
      <c r="C29" s="3">
        <v>23.043831950000001</v>
      </c>
      <c r="D29" s="3">
        <v>4</v>
      </c>
      <c r="E29" s="13">
        <f t="shared" si="0"/>
        <v>3.2088846860555149E-3</v>
      </c>
      <c r="F29" s="13">
        <f t="shared" si="1"/>
        <v>17.653179804024965</v>
      </c>
      <c r="G29" s="14">
        <f>F29/$F$105*$D$2</f>
        <v>52.849953488466106</v>
      </c>
      <c r="H29" s="14">
        <f>F29/$F$105*$E$2</f>
        <v>52.849953488466106</v>
      </c>
      <c r="I29" s="25" t="str">
        <f t="shared" si="2"/>
        <v>选中</v>
      </c>
    </row>
    <row r="30" spans="1:9" hidden="1" x14ac:dyDescent="0.25">
      <c r="A30" s="3">
        <v>466</v>
      </c>
      <c r="B30" s="3">
        <v>113.30618560000001</v>
      </c>
      <c r="C30" s="3">
        <v>23.040504949999999</v>
      </c>
      <c r="D30" s="3">
        <v>4</v>
      </c>
      <c r="E30" s="13">
        <f t="shared" si="0"/>
        <v>3.2092307128655912E-3</v>
      </c>
      <c r="F30" s="13">
        <f t="shared" si="1"/>
        <v>17.652228074668582</v>
      </c>
      <c r="G30" s="14" t="e">
        <f>F30/$F$124*$D$2</f>
        <v>#DIV/0!</v>
      </c>
      <c r="H30" s="14" t="e">
        <f>F30/$F$124*$E$2</f>
        <v>#DIV/0!</v>
      </c>
      <c r="I30" s="25" t="str">
        <f t="shared" si="2"/>
        <v/>
      </c>
    </row>
    <row r="31" spans="1:9" hidden="1" x14ac:dyDescent="0.25">
      <c r="A31" s="3">
        <v>261</v>
      </c>
      <c r="B31" s="3">
        <v>113.3095976</v>
      </c>
      <c r="C31" s="3">
        <v>23.043859269999999</v>
      </c>
      <c r="D31" s="3">
        <v>4</v>
      </c>
      <c r="E31" s="13">
        <f t="shared" si="0"/>
        <v>3.2191914466188592E-3</v>
      </c>
      <c r="F31" s="13">
        <f t="shared" si="1"/>
        <v>17.624897397202233</v>
      </c>
      <c r="G31" s="14" t="e">
        <f>F31/$F$124*$D$2</f>
        <v>#DIV/0!</v>
      </c>
      <c r="H31" s="14" t="e">
        <f>F31/$F$124*$E$2</f>
        <v>#DIV/0!</v>
      </c>
      <c r="I31" s="25" t="str">
        <f t="shared" si="2"/>
        <v/>
      </c>
    </row>
    <row r="32" spans="1:9" x14ac:dyDescent="0.25">
      <c r="A32" s="3">
        <v>505</v>
      </c>
      <c r="B32" s="3">
        <v>113.31132909999999</v>
      </c>
      <c r="C32" s="3">
        <v>23.043332289999999</v>
      </c>
      <c r="D32" s="3">
        <v>4</v>
      </c>
      <c r="E32" s="13">
        <f t="shared" si="0"/>
        <v>3.3115062349847362E-3</v>
      </c>
      <c r="F32" s="13">
        <f t="shared" si="1"/>
        <v>17.377496569925654</v>
      </c>
      <c r="G32" s="14">
        <f>F32/$F$105*$D$2</f>
        <v>52.024615149342829</v>
      </c>
      <c r="H32" s="14">
        <f>F32/$F$105*$E$2</f>
        <v>52.024615149342829</v>
      </c>
      <c r="I32" s="25" t="str">
        <f t="shared" si="2"/>
        <v>选中</v>
      </c>
    </row>
    <row r="33" spans="1:9" hidden="1" x14ac:dyDescent="0.25">
      <c r="A33" s="3">
        <v>514</v>
      </c>
      <c r="B33" s="3">
        <v>113.3126745</v>
      </c>
      <c r="C33" s="3">
        <v>23.04149456</v>
      </c>
      <c r="D33" s="3">
        <v>4</v>
      </c>
      <c r="E33" s="13">
        <f t="shared" si="0"/>
        <v>3.3905299426576644E-3</v>
      </c>
      <c r="F33" s="13">
        <f t="shared" si="1"/>
        <v>17.173792367929739</v>
      </c>
      <c r="G33" s="14" t="e">
        <f>F33/$F$124*$D$2</f>
        <v>#DIV/0!</v>
      </c>
      <c r="H33" s="14" t="e">
        <f>F33/$F$124*$E$2</f>
        <v>#DIV/0!</v>
      </c>
      <c r="I33" s="25" t="str">
        <f t="shared" si="2"/>
        <v/>
      </c>
    </row>
    <row r="34" spans="1:9" hidden="1" x14ac:dyDescent="0.25">
      <c r="A34" s="3">
        <v>527</v>
      </c>
      <c r="B34" s="3">
        <v>113.31256860000001</v>
      </c>
      <c r="C34" s="3">
        <v>23.04252632</v>
      </c>
      <c r="D34" s="3">
        <v>4</v>
      </c>
      <c r="E34" s="13">
        <f t="shared" si="0"/>
        <v>3.6913111129374698E-3</v>
      </c>
      <c r="F34" s="13">
        <f t="shared" si="1"/>
        <v>16.459236095811775</v>
      </c>
      <c r="G34" s="14" t="e">
        <f>F34/$F$124*$D$2</f>
        <v>#DIV/0!</v>
      </c>
      <c r="H34" s="14" t="e">
        <f>F34/$F$124*$E$2</f>
        <v>#DIV/0!</v>
      </c>
      <c r="I34" s="25" t="str">
        <f t="shared" si="2"/>
        <v/>
      </c>
    </row>
    <row r="35" spans="1:9" x14ac:dyDescent="0.25">
      <c r="A35" s="3">
        <v>472</v>
      </c>
      <c r="B35" s="3">
        <v>113.3083355</v>
      </c>
      <c r="C35" s="3">
        <v>23.037065519999999</v>
      </c>
      <c r="D35" s="3">
        <v>4</v>
      </c>
      <c r="E35" s="13">
        <f t="shared" si="0"/>
        <v>3.7336568886994275E-3</v>
      </c>
      <c r="F35" s="13">
        <f t="shared" si="1"/>
        <v>16.365632606066594</v>
      </c>
      <c r="G35" s="14">
        <f>F35/$F$105*$D$2</f>
        <v>48.995304621705571</v>
      </c>
      <c r="H35" s="14">
        <f>F35/$F$105*$E$2</f>
        <v>48.995304621705571</v>
      </c>
      <c r="I35" s="25" t="str">
        <f t="shared" si="2"/>
        <v>选中</v>
      </c>
    </row>
    <row r="36" spans="1:9" hidden="1" x14ac:dyDescent="0.25">
      <c r="A36" s="3">
        <v>526</v>
      </c>
      <c r="B36" s="3">
        <v>113.3130687</v>
      </c>
      <c r="C36" s="3">
        <v>23.041352880000002</v>
      </c>
      <c r="D36" s="3">
        <v>4</v>
      </c>
      <c r="E36" s="13">
        <f t="shared" si="0"/>
        <v>3.7442037289753039E-3</v>
      </c>
      <c r="F36" s="13">
        <f t="shared" si="1"/>
        <v>16.342566628894946</v>
      </c>
      <c r="G36" s="14" t="e">
        <f>F36/$F$124*$D$2</f>
        <v>#DIV/0!</v>
      </c>
      <c r="H36" s="14" t="e">
        <f>F36/$F$124*$E$2</f>
        <v>#DIV/0!</v>
      </c>
      <c r="I36" s="25" t="str">
        <f t="shared" si="2"/>
        <v/>
      </c>
    </row>
    <row r="37" spans="1:9" hidden="1" x14ac:dyDescent="0.25">
      <c r="A37" s="3">
        <v>540</v>
      </c>
      <c r="B37" s="3">
        <v>113.31170229999999</v>
      </c>
      <c r="C37" s="3">
        <v>23.043668449999998</v>
      </c>
      <c r="D37" s="3">
        <v>4</v>
      </c>
      <c r="E37" s="13">
        <f t="shared" ref="E37:E68" si="3">SQRT((B37-$B$2)^2+(C37-$C$2)^2)</f>
        <v>3.8039488335576519E-3</v>
      </c>
      <c r="F37" s="13">
        <f t="shared" ref="F37:F68" si="4">SQRT(1/E37)</f>
        <v>16.213719921402404</v>
      </c>
      <c r="G37" s="14" t="e">
        <f>F37/$F$124*$D$2</f>
        <v>#DIV/0!</v>
      </c>
      <c r="H37" s="14" t="e">
        <f>F37/$F$124*$E$2</f>
        <v>#DIV/0!</v>
      </c>
      <c r="I37" s="25" t="str">
        <f t="shared" si="2"/>
        <v/>
      </c>
    </row>
    <row r="38" spans="1:9" x14ac:dyDescent="0.25">
      <c r="A38" s="3">
        <v>465</v>
      </c>
      <c r="B38" s="3">
        <v>113.3055998</v>
      </c>
      <c r="C38" s="3">
        <v>23.039598399999999</v>
      </c>
      <c r="D38" s="3">
        <v>4</v>
      </c>
      <c r="E38" s="13">
        <f t="shared" si="3"/>
        <v>3.9341295864499725E-3</v>
      </c>
      <c r="F38" s="13">
        <f t="shared" si="4"/>
        <v>15.943206435946117</v>
      </c>
      <c r="G38" s="14">
        <f>F38/$F$105*$D$2</f>
        <v>47.730648412964761</v>
      </c>
      <c r="H38" s="14">
        <f>F38/$F$105*$E$2</f>
        <v>47.730648412964761</v>
      </c>
      <c r="I38" s="25" t="str">
        <f t="shared" si="2"/>
        <v>选中</v>
      </c>
    </row>
    <row r="39" spans="1:9" hidden="1" x14ac:dyDescent="0.25">
      <c r="A39" s="3">
        <v>538</v>
      </c>
      <c r="B39" s="3">
        <v>113.31257890000001</v>
      </c>
      <c r="C39" s="3">
        <v>23.038240139999999</v>
      </c>
      <c r="D39" s="3">
        <v>4</v>
      </c>
      <c r="E39" s="13">
        <f t="shared" si="3"/>
        <v>3.9936988470469382E-3</v>
      </c>
      <c r="F39" s="13">
        <f t="shared" si="4"/>
        <v>15.823856780875172</v>
      </c>
      <c r="G39" s="14" t="e">
        <f>F39/$F$124*$D$2</f>
        <v>#DIV/0!</v>
      </c>
      <c r="H39" s="14" t="e">
        <f>F39/$F$124*$E$2</f>
        <v>#DIV/0!</v>
      </c>
      <c r="I39" s="25" t="str">
        <f t="shared" si="2"/>
        <v/>
      </c>
    </row>
    <row r="40" spans="1:9" hidden="1" x14ac:dyDescent="0.25">
      <c r="A40" s="3">
        <v>515</v>
      </c>
      <c r="B40" s="3">
        <v>113.3131008</v>
      </c>
      <c r="C40" s="3">
        <v>23.038773930000001</v>
      </c>
      <c r="D40" s="3">
        <v>4</v>
      </c>
      <c r="E40" s="13">
        <f t="shared" si="3"/>
        <v>4.1550665358763032E-3</v>
      </c>
      <c r="F40" s="13">
        <f t="shared" si="4"/>
        <v>15.513543532224469</v>
      </c>
      <c r="G40" s="14" t="e">
        <f>F40/$F$124*$D$2</f>
        <v>#DIV/0!</v>
      </c>
      <c r="H40" s="14" t="e">
        <f>F40/$F$124*$E$2</f>
        <v>#DIV/0!</v>
      </c>
      <c r="I40" s="25" t="str">
        <f t="shared" si="2"/>
        <v/>
      </c>
    </row>
    <row r="41" spans="1:9" x14ac:dyDescent="0.25">
      <c r="A41" s="3">
        <v>258</v>
      </c>
      <c r="B41" s="3">
        <v>113.3072921</v>
      </c>
      <c r="C41" s="3">
        <v>23.044430259999999</v>
      </c>
      <c r="D41" s="3">
        <v>4</v>
      </c>
      <c r="E41" s="13">
        <f t="shared" si="3"/>
        <v>4.3271091329103745E-3</v>
      </c>
      <c r="F41" s="13">
        <f t="shared" si="4"/>
        <v>15.202012164568879</v>
      </c>
      <c r="G41" s="14">
        <f>F41/$F$105*$D$2</f>
        <v>45.511666722239944</v>
      </c>
      <c r="H41" s="14">
        <f>F41/$F$105*$E$2</f>
        <v>45.511666722239944</v>
      </c>
      <c r="I41" s="25" t="str">
        <f t="shared" si="2"/>
        <v>选中</v>
      </c>
    </row>
    <row r="42" spans="1:9" hidden="1" x14ac:dyDescent="0.25">
      <c r="A42" s="3">
        <v>535</v>
      </c>
      <c r="B42" s="3">
        <v>113.313408</v>
      </c>
      <c r="C42" s="3">
        <v>23.04229784</v>
      </c>
      <c r="D42" s="3">
        <v>4</v>
      </c>
      <c r="E42" s="13">
        <f t="shared" si="3"/>
        <v>4.3424679686567928E-3</v>
      </c>
      <c r="F42" s="13">
        <f t="shared" si="4"/>
        <v>15.175104421278879</v>
      </c>
      <c r="G42" s="14" t="e">
        <f>F42/$F$124*$D$2</f>
        <v>#DIV/0!</v>
      </c>
      <c r="H42" s="14" t="e">
        <f>F42/$F$124*$E$2</f>
        <v>#DIV/0!</v>
      </c>
      <c r="I42" s="25" t="str">
        <f t="shared" si="2"/>
        <v/>
      </c>
    </row>
    <row r="43" spans="1:9" hidden="1" x14ac:dyDescent="0.25">
      <c r="A43" s="3">
        <v>257</v>
      </c>
      <c r="B43" s="3">
        <v>113.30797269999999</v>
      </c>
      <c r="C43" s="3">
        <v>23.044775860000001</v>
      </c>
      <c r="D43" s="3">
        <v>4</v>
      </c>
      <c r="E43" s="13">
        <f t="shared" si="3"/>
        <v>4.366207857642578E-3</v>
      </c>
      <c r="F43" s="13">
        <f t="shared" si="4"/>
        <v>15.133793249691401</v>
      </c>
      <c r="G43" s="14" t="e">
        <f>F43/$F$124*$D$2</f>
        <v>#DIV/0!</v>
      </c>
      <c r="H43" s="14" t="e">
        <f>F43/$F$124*$E$2</f>
        <v>#DIV/0!</v>
      </c>
      <c r="I43" s="25" t="str">
        <f t="shared" si="2"/>
        <v/>
      </c>
    </row>
    <row r="44" spans="1:9" x14ac:dyDescent="0.25">
      <c r="A44" s="3">
        <v>271</v>
      </c>
      <c r="B44" s="3">
        <v>113.3120945</v>
      </c>
      <c r="C44" s="3">
        <v>23.04407754</v>
      </c>
      <c r="D44" s="3">
        <v>4</v>
      </c>
      <c r="E44" s="13">
        <f t="shared" si="3"/>
        <v>4.3676076743296198E-3</v>
      </c>
      <c r="F44" s="13">
        <f t="shared" si="4"/>
        <v>15.131367867698552</v>
      </c>
      <c r="G44" s="14">
        <f>F44/$F$105*$D$2</f>
        <v>45.300172371348495</v>
      </c>
      <c r="H44" s="14">
        <f>F44/$F$105*$E$2</f>
        <v>45.300172371348495</v>
      </c>
      <c r="I44" s="25" t="str">
        <f t="shared" si="2"/>
        <v>选中</v>
      </c>
    </row>
    <row r="45" spans="1:9" hidden="1" x14ac:dyDescent="0.25">
      <c r="A45" s="3">
        <v>272</v>
      </c>
      <c r="B45" s="3">
        <v>113.3125446</v>
      </c>
      <c r="C45" s="3">
        <v>23.043691859999999</v>
      </c>
      <c r="D45" s="3">
        <v>4</v>
      </c>
      <c r="E45" s="13">
        <f t="shared" si="3"/>
        <v>4.3833731926475154E-3</v>
      </c>
      <c r="F45" s="13">
        <f t="shared" si="4"/>
        <v>15.104132137029852</v>
      </c>
      <c r="G45" s="14" t="e">
        <f>F45/$F$124*$D$2</f>
        <v>#DIV/0!</v>
      </c>
      <c r="H45" s="14" t="e">
        <f>F45/$F$124*$E$2</f>
        <v>#DIV/0!</v>
      </c>
      <c r="I45" s="25" t="str">
        <f t="shared" si="2"/>
        <v/>
      </c>
    </row>
    <row r="46" spans="1:9" hidden="1" x14ac:dyDescent="0.25">
      <c r="A46" s="3">
        <v>269</v>
      </c>
      <c r="B46" s="3">
        <v>113.31169629999999</v>
      </c>
      <c r="C46" s="3">
        <v>23.044384149999999</v>
      </c>
      <c r="D46" s="3">
        <v>4</v>
      </c>
      <c r="E46" s="13">
        <f t="shared" si="3"/>
        <v>4.3908926097469382E-3</v>
      </c>
      <c r="F46" s="13">
        <f t="shared" si="4"/>
        <v>15.091193658989944</v>
      </c>
      <c r="G46" s="14" t="e">
        <f>F46/$F$124*$D$2</f>
        <v>#DIV/0!</v>
      </c>
      <c r="H46" s="14" t="e">
        <f>F46/$F$124*$E$2</f>
        <v>#DIV/0!</v>
      </c>
      <c r="I46" s="25" t="str">
        <f t="shared" si="2"/>
        <v/>
      </c>
    </row>
    <row r="47" spans="1:9" x14ac:dyDescent="0.25">
      <c r="A47" s="3">
        <v>517</v>
      </c>
      <c r="B47" s="3">
        <v>113.3138132</v>
      </c>
      <c r="C47" s="3">
        <v>23.041241530000001</v>
      </c>
      <c r="D47" s="3">
        <v>4</v>
      </c>
      <c r="E47" s="13">
        <f t="shared" si="3"/>
        <v>4.4613361977698497E-3</v>
      </c>
      <c r="F47" s="13">
        <f t="shared" si="4"/>
        <v>14.971576162327514</v>
      </c>
      <c r="G47" s="14">
        <f>F47/$F$105*$D$2</f>
        <v>44.821789196733313</v>
      </c>
      <c r="H47" s="14">
        <f>F47/$F$105*$E$2</f>
        <v>44.821789196733313</v>
      </c>
      <c r="I47" s="25" t="str">
        <f t="shared" si="2"/>
        <v>选中</v>
      </c>
    </row>
    <row r="48" spans="1:9" hidden="1" x14ac:dyDescent="0.25">
      <c r="A48" s="3">
        <v>254</v>
      </c>
      <c r="B48" s="3">
        <v>113.30696880000001</v>
      </c>
      <c r="C48" s="3">
        <v>23.044407849999999</v>
      </c>
      <c r="D48" s="3">
        <v>4</v>
      </c>
      <c r="E48" s="13">
        <f t="shared" si="3"/>
        <v>4.4740272017925959E-3</v>
      </c>
      <c r="F48" s="13">
        <f t="shared" si="4"/>
        <v>14.950326932325753</v>
      </c>
      <c r="G48" s="14" t="e">
        <f>F48/$F$124*$D$2</f>
        <v>#DIV/0!</v>
      </c>
      <c r="H48" s="14" t="e">
        <f>F48/$F$124*$E$2</f>
        <v>#DIV/0!</v>
      </c>
      <c r="I48" s="25" t="str">
        <f t="shared" si="2"/>
        <v/>
      </c>
    </row>
    <row r="49" spans="1:9" hidden="1" x14ac:dyDescent="0.25">
      <c r="A49" s="3">
        <v>460</v>
      </c>
      <c r="B49" s="3">
        <v>113.30907910000001</v>
      </c>
      <c r="C49" s="3">
        <v>23.036127560000001</v>
      </c>
      <c r="D49" s="3">
        <v>4</v>
      </c>
      <c r="E49" s="13">
        <f t="shared" si="3"/>
        <v>4.5299088238179809E-3</v>
      </c>
      <c r="F49" s="13">
        <f t="shared" si="4"/>
        <v>14.857826054125827</v>
      </c>
      <c r="G49" s="14" t="e">
        <f>F49/$F$124*$D$2</f>
        <v>#DIV/0!</v>
      </c>
      <c r="H49" s="14" t="e">
        <f>F49/$F$124*$E$2</f>
        <v>#DIV/0!</v>
      </c>
      <c r="I49" s="25" t="str">
        <f t="shared" si="2"/>
        <v/>
      </c>
    </row>
    <row r="50" spans="1:9" x14ac:dyDescent="0.25">
      <c r="A50" s="3">
        <v>523</v>
      </c>
      <c r="B50" s="3">
        <v>113.3136255</v>
      </c>
      <c r="C50" s="3">
        <v>23.042316419999999</v>
      </c>
      <c r="D50" s="3">
        <v>4</v>
      </c>
      <c r="E50" s="13">
        <f t="shared" si="3"/>
        <v>4.5511677075719013E-3</v>
      </c>
      <c r="F50" s="13">
        <f t="shared" si="4"/>
        <v>14.823084364271413</v>
      </c>
      <c r="G50" s="14">
        <f>F50/$F$105*$D$2</f>
        <v>44.377235597449506</v>
      </c>
      <c r="H50" s="14">
        <f>F50/$F$105*$E$2</f>
        <v>44.377235597449506</v>
      </c>
      <c r="I50" s="25" t="str">
        <f t="shared" si="2"/>
        <v>选中</v>
      </c>
    </row>
    <row r="51" spans="1:9" hidden="1" x14ac:dyDescent="0.25">
      <c r="A51" s="3">
        <v>475</v>
      </c>
      <c r="B51" s="3">
        <v>113.3047523</v>
      </c>
      <c r="C51" s="3">
        <v>23.041126259999999</v>
      </c>
      <c r="D51" s="3">
        <v>4</v>
      </c>
      <c r="E51" s="13">
        <f t="shared" si="3"/>
        <v>4.6641225249897693E-3</v>
      </c>
      <c r="F51" s="13">
        <f t="shared" si="4"/>
        <v>14.642492985869454</v>
      </c>
      <c r="G51" s="14" t="e">
        <f>F51/$F$124*$D$2</f>
        <v>#DIV/0!</v>
      </c>
      <c r="H51" s="14" t="e">
        <f>F51/$F$124*$E$2</f>
        <v>#DIV/0!</v>
      </c>
      <c r="I51" s="25" t="str">
        <f t="shared" si="2"/>
        <v/>
      </c>
    </row>
    <row r="52" spans="1:9" hidden="1" x14ac:dyDescent="0.25">
      <c r="A52" s="3">
        <v>522</v>
      </c>
      <c r="B52" s="3">
        <v>113.3140018</v>
      </c>
      <c r="C52" s="3">
        <v>23.041494069999999</v>
      </c>
      <c r="D52" s="3">
        <v>4</v>
      </c>
      <c r="E52" s="13">
        <f t="shared" si="3"/>
        <v>4.6873349325536277E-3</v>
      </c>
      <c r="F52" s="13">
        <f t="shared" si="4"/>
        <v>14.606192043129516</v>
      </c>
      <c r="G52" s="14" t="e">
        <f>F52/$F$124*$D$2</f>
        <v>#DIV/0!</v>
      </c>
      <c r="H52" s="14" t="e">
        <f>F52/$F$124*$E$2</f>
        <v>#DIV/0!</v>
      </c>
      <c r="I52" s="25" t="str">
        <f t="shared" si="2"/>
        <v/>
      </c>
    </row>
    <row r="53" spans="1:9" x14ac:dyDescent="0.25">
      <c r="A53" s="3">
        <v>484</v>
      </c>
      <c r="B53" s="3">
        <v>113.3115761</v>
      </c>
      <c r="C53" s="3">
        <v>23.03649777</v>
      </c>
      <c r="D53" s="3">
        <v>4</v>
      </c>
      <c r="E53" s="13">
        <f t="shared" si="3"/>
        <v>4.6888137700234912E-3</v>
      </c>
      <c r="F53" s="13">
        <f t="shared" si="4"/>
        <v>14.603888487414627</v>
      </c>
      <c r="G53" s="14">
        <f>F53/$F$105*$D$2</f>
        <v>43.721008672592411</v>
      </c>
      <c r="H53" s="14">
        <f>F53/$F$105*$E$2</f>
        <v>43.721008672592411</v>
      </c>
      <c r="I53" s="25" t="str">
        <f t="shared" si="2"/>
        <v>选中</v>
      </c>
    </row>
    <row r="54" spans="1:9" hidden="1" x14ac:dyDescent="0.25">
      <c r="A54" s="3">
        <v>270</v>
      </c>
      <c r="B54" s="3">
        <v>113.31184399999999</v>
      </c>
      <c r="C54" s="3">
        <v>23.044682739999999</v>
      </c>
      <c r="D54" s="3">
        <v>4</v>
      </c>
      <c r="E54" s="13">
        <f t="shared" si="3"/>
        <v>4.7226725839106956E-3</v>
      </c>
      <c r="F54" s="13">
        <f t="shared" si="4"/>
        <v>14.551443627964602</v>
      </c>
      <c r="G54" s="14" t="e">
        <f>F54/$F$124*$D$2</f>
        <v>#DIV/0!</v>
      </c>
      <c r="H54" s="14" t="e">
        <f>F54/$F$124*$E$2</f>
        <v>#DIV/0!</v>
      </c>
      <c r="I54" s="25" t="str">
        <f t="shared" si="2"/>
        <v/>
      </c>
    </row>
    <row r="55" spans="1:9" hidden="1" x14ac:dyDescent="0.25">
      <c r="A55" s="3">
        <v>471</v>
      </c>
      <c r="B55" s="3">
        <v>113.30461459999999</v>
      </c>
      <c r="C55" s="3">
        <v>23.040604729999998</v>
      </c>
      <c r="D55" s="3">
        <v>4</v>
      </c>
      <c r="E55" s="13">
        <f t="shared" si="3"/>
        <v>4.777284100168199E-3</v>
      </c>
      <c r="F55" s="13">
        <f t="shared" si="4"/>
        <v>14.468032159908033</v>
      </c>
      <c r="G55" s="14" t="e">
        <f>F55/$F$124*$D$2</f>
        <v>#DIV/0!</v>
      </c>
      <c r="H55" s="14" t="e">
        <f>F55/$F$124*$E$2</f>
        <v>#DIV/0!</v>
      </c>
      <c r="I55" s="25" t="str">
        <f t="shared" si="2"/>
        <v/>
      </c>
    </row>
    <row r="56" spans="1:9" x14ac:dyDescent="0.25">
      <c r="A56" s="3">
        <v>539</v>
      </c>
      <c r="B56" s="3">
        <v>113.31380540000001</v>
      </c>
      <c r="C56" s="3">
        <v>23.03873463</v>
      </c>
      <c r="D56" s="3">
        <v>4</v>
      </c>
      <c r="E56" s="13">
        <f t="shared" si="3"/>
        <v>4.810056616258036E-3</v>
      </c>
      <c r="F56" s="13">
        <f t="shared" si="4"/>
        <v>14.418660160812429</v>
      </c>
      <c r="G56" s="14">
        <f>F56/$F$105*$D$2</f>
        <v>43.16647353759987</v>
      </c>
      <c r="H56" s="14">
        <f>F56/$F$105*$E$2</f>
        <v>43.16647353759987</v>
      </c>
      <c r="I56" s="25" t="str">
        <f t="shared" si="2"/>
        <v>选中</v>
      </c>
    </row>
    <row r="57" spans="1:9" hidden="1" x14ac:dyDescent="0.25">
      <c r="A57" s="3">
        <v>501</v>
      </c>
      <c r="B57" s="3">
        <v>113.3045188</v>
      </c>
      <c r="C57" s="3">
        <v>23.040678870000001</v>
      </c>
      <c r="D57" s="3">
        <v>4</v>
      </c>
      <c r="E57" s="13">
        <f t="shared" si="3"/>
        <v>4.8730063872409954E-3</v>
      </c>
      <c r="F57" s="13">
        <f t="shared" si="4"/>
        <v>14.325226903916612</v>
      </c>
      <c r="G57" s="14" t="e">
        <f>F57/$F$124*$D$2</f>
        <v>#DIV/0!</v>
      </c>
      <c r="H57" s="14" t="e">
        <f>F57/$F$124*$E$2</f>
        <v>#DIV/0!</v>
      </c>
      <c r="I57" s="25" t="str">
        <f t="shared" si="2"/>
        <v/>
      </c>
    </row>
    <row r="58" spans="1:9" hidden="1" x14ac:dyDescent="0.25">
      <c r="A58" s="3">
        <v>474</v>
      </c>
      <c r="B58" s="3">
        <v>113.3045278</v>
      </c>
      <c r="C58" s="3">
        <v>23.040347000000001</v>
      </c>
      <c r="D58" s="3">
        <v>4</v>
      </c>
      <c r="E58" s="13">
        <f t="shared" si="3"/>
        <v>4.8731227481909585E-3</v>
      </c>
      <c r="F58" s="13">
        <f t="shared" si="4"/>
        <v>14.325055873239998</v>
      </c>
      <c r="G58" s="14" t="e">
        <f>F58/$F$124*$D$2</f>
        <v>#DIV/0!</v>
      </c>
      <c r="H58" s="14" t="e">
        <f>F58/$F$124*$E$2</f>
        <v>#DIV/0!</v>
      </c>
      <c r="I58" s="25" t="str">
        <f t="shared" si="2"/>
        <v/>
      </c>
    </row>
    <row r="59" spans="1:9" x14ac:dyDescent="0.25">
      <c r="A59" s="3">
        <v>476</v>
      </c>
      <c r="B59" s="3">
        <v>113.3043981</v>
      </c>
      <c r="C59" s="3">
        <v>23.040093339999999</v>
      </c>
      <c r="D59" s="3">
        <v>4</v>
      </c>
      <c r="E59" s="13">
        <f t="shared" si="3"/>
        <v>5.0241631192629397E-3</v>
      </c>
      <c r="F59" s="13">
        <f t="shared" si="4"/>
        <v>14.10808717070595</v>
      </c>
      <c r="G59" s="14">
        <f>F59/$F$105*$D$2</f>
        <v>42.236682516145542</v>
      </c>
      <c r="H59" s="14">
        <f>F59/$F$105*$E$2</f>
        <v>42.236682516145542</v>
      </c>
      <c r="I59" s="25" t="str">
        <f t="shared" si="2"/>
        <v>选中</v>
      </c>
    </row>
    <row r="60" spans="1:9" hidden="1" x14ac:dyDescent="0.25">
      <c r="A60" s="3">
        <v>468</v>
      </c>
      <c r="B60" s="3">
        <v>113.30427330000001</v>
      </c>
      <c r="C60" s="3">
        <v>23.040554360000002</v>
      </c>
      <c r="D60" s="3">
        <v>4</v>
      </c>
      <c r="E60" s="13">
        <f t="shared" si="3"/>
        <v>5.1192323346480753E-3</v>
      </c>
      <c r="F60" s="13">
        <f t="shared" si="4"/>
        <v>13.97647267734423</v>
      </c>
      <c r="G60" s="14" t="e">
        <f>F60/$F$124*$D$2</f>
        <v>#DIV/0!</v>
      </c>
      <c r="H60" s="14" t="e">
        <f>F60/$F$124*$E$2</f>
        <v>#DIV/0!</v>
      </c>
      <c r="I60" s="25" t="str">
        <f t="shared" si="2"/>
        <v/>
      </c>
    </row>
    <row r="61" spans="1:9" hidden="1" x14ac:dyDescent="0.25">
      <c r="A61" s="3">
        <v>502</v>
      </c>
      <c r="B61" s="3">
        <v>113.3042483</v>
      </c>
      <c r="C61" s="3">
        <v>23.040643370000002</v>
      </c>
      <c r="D61" s="3">
        <v>4</v>
      </c>
      <c r="E61" s="13">
        <f t="shared" si="3"/>
        <v>5.1434010586467148E-3</v>
      </c>
      <c r="F61" s="13">
        <f t="shared" si="4"/>
        <v>13.943596447897335</v>
      </c>
      <c r="G61" s="14" t="e">
        <f>F61/$F$124*$D$2</f>
        <v>#DIV/0!</v>
      </c>
      <c r="H61" s="14" t="e">
        <f>F61/$F$124*$E$2</f>
        <v>#DIV/0!</v>
      </c>
      <c r="I61" s="25" t="str">
        <f t="shared" si="2"/>
        <v/>
      </c>
    </row>
    <row r="62" spans="1:9" x14ac:dyDescent="0.25">
      <c r="A62" s="3">
        <v>516</v>
      </c>
      <c r="B62" s="3">
        <v>113.31450580000001</v>
      </c>
      <c r="C62" s="3">
        <v>23.041471130000001</v>
      </c>
      <c r="D62" s="3">
        <v>4</v>
      </c>
      <c r="E62" s="13">
        <f t="shared" si="3"/>
        <v>5.1801306066162093E-3</v>
      </c>
      <c r="F62" s="13">
        <f t="shared" si="4"/>
        <v>13.894075200469473</v>
      </c>
      <c r="G62" s="14">
        <f>F62/$F$105*$D$2</f>
        <v>41.595975130930221</v>
      </c>
      <c r="H62" s="14">
        <f>F62/$F$105*$E$2</f>
        <v>41.595975130930221</v>
      </c>
      <c r="I62" s="25" t="str">
        <f t="shared" si="2"/>
        <v>选中</v>
      </c>
    </row>
    <row r="63" spans="1:9" hidden="1" x14ac:dyDescent="0.25">
      <c r="A63" s="3">
        <v>509</v>
      </c>
      <c r="B63" s="3">
        <v>113.31431430000001</v>
      </c>
      <c r="C63" s="3">
        <v>23.03894657</v>
      </c>
      <c r="D63" s="3">
        <v>4</v>
      </c>
      <c r="E63" s="13">
        <f t="shared" si="3"/>
        <v>5.2079104034158412E-3</v>
      </c>
      <c r="F63" s="13">
        <f t="shared" si="4"/>
        <v>13.856969082544749</v>
      </c>
      <c r="G63" s="14" t="e">
        <f>F63/$F$124*$D$2</f>
        <v>#DIV/0!</v>
      </c>
      <c r="H63" s="14" t="e">
        <f>F63/$F$124*$E$2</f>
        <v>#DIV/0!</v>
      </c>
      <c r="I63" s="25" t="str">
        <f t="shared" si="2"/>
        <v/>
      </c>
    </row>
    <row r="64" spans="1:9" hidden="1" x14ac:dyDescent="0.25">
      <c r="A64" s="3">
        <v>478</v>
      </c>
      <c r="B64" s="3">
        <v>113.3042363</v>
      </c>
      <c r="C64" s="3">
        <v>23.041603980000001</v>
      </c>
      <c r="D64" s="3">
        <v>4</v>
      </c>
      <c r="E64" s="13">
        <f t="shared" si="3"/>
        <v>5.2435285444221479E-3</v>
      </c>
      <c r="F64" s="13">
        <f t="shared" si="4"/>
        <v>13.809825208554377</v>
      </c>
      <c r="G64" s="14" t="e">
        <f>F64/$F$124*$D$2</f>
        <v>#DIV/0!</v>
      </c>
      <c r="H64" s="14" t="e">
        <f>F64/$F$124*$E$2</f>
        <v>#DIV/0!</v>
      </c>
      <c r="I64" s="25" t="str">
        <f t="shared" si="2"/>
        <v/>
      </c>
    </row>
    <row r="65" spans="1:9" x14ac:dyDescent="0.25">
      <c r="A65" s="3">
        <v>536</v>
      </c>
      <c r="B65" s="3">
        <v>113.3143331</v>
      </c>
      <c r="C65" s="3">
        <v>23.042462029999999</v>
      </c>
      <c r="D65" s="3">
        <v>4</v>
      </c>
      <c r="E65" s="13">
        <f t="shared" si="3"/>
        <v>5.2643105806480153E-3</v>
      </c>
      <c r="F65" s="13">
        <f t="shared" si="4"/>
        <v>13.78253957549407</v>
      </c>
      <c r="G65" s="14">
        <f>F65/$F$105*$D$2</f>
        <v>41.262060637468075</v>
      </c>
      <c r="H65" s="14">
        <f>F65/$F$105*$E$2</f>
        <v>41.262060637468075</v>
      </c>
      <c r="I65" s="25" t="str">
        <f t="shared" si="2"/>
        <v>选中</v>
      </c>
    </row>
    <row r="66" spans="1:9" hidden="1" x14ac:dyDescent="0.25">
      <c r="A66" s="3">
        <v>483</v>
      </c>
      <c r="B66" s="3">
        <v>113.30411359999999</v>
      </c>
      <c r="C66" s="3">
        <v>23.04096547</v>
      </c>
      <c r="D66" s="3">
        <v>4</v>
      </c>
      <c r="E66" s="13">
        <f t="shared" si="3"/>
        <v>5.2877190782160462E-3</v>
      </c>
      <c r="F66" s="13">
        <f t="shared" si="4"/>
        <v>13.751998391529236</v>
      </c>
      <c r="G66" s="14" t="e">
        <f>F66/$F$124*$D$2</f>
        <v>#DIV/0!</v>
      </c>
      <c r="H66" s="14" t="e">
        <f>F66/$F$124*$E$2</f>
        <v>#DIV/0!</v>
      </c>
      <c r="I66" s="25" t="str">
        <f t="shared" si="2"/>
        <v/>
      </c>
    </row>
    <row r="67" spans="1:9" hidden="1" x14ac:dyDescent="0.25">
      <c r="A67" s="3">
        <v>504</v>
      </c>
      <c r="B67" s="3">
        <v>113.3040757</v>
      </c>
      <c r="C67" s="3">
        <v>23.040264839999999</v>
      </c>
      <c r="D67" s="3">
        <v>4</v>
      </c>
      <c r="E67" s="13">
        <f t="shared" si="3"/>
        <v>5.3296951272078274E-3</v>
      </c>
      <c r="F67" s="13">
        <f t="shared" si="4"/>
        <v>13.697736783727052</v>
      </c>
      <c r="G67" s="14" t="e">
        <f>F67/$F$124*$D$2</f>
        <v>#DIV/0!</v>
      </c>
      <c r="H67" s="14" t="e">
        <f>F67/$F$124*$E$2</f>
        <v>#DIV/0!</v>
      </c>
      <c r="I67" s="25" t="str">
        <f t="shared" si="2"/>
        <v/>
      </c>
    </row>
    <row r="68" spans="1:9" x14ac:dyDescent="0.25">
      <c r="A68" s="3">
        <v>534</v>
      </c>
      <c r="B68" s="3">
        <v>113.3118825</v>
      </c>
      <c r="C68" s="3">
        <v>23.035915450000001</v>
      </c>
      <c r="D68" s="3">
        <v>4</v>
      </c>
      <c r="E68" s="13">
        <f t="shared" si="3"/>
        <v>5.3468240412743138E-3</v>
      </c>
      <c r="F68" s="13">
        <f t="shared" si="4"/>
        <v>13.675778368111798</v>
      </c>
      <c r="G68" s="14">
        <f>F68/$F$105*$D$2</f>
        <v>40.942439758557697</v>
      </c>
      <c r="H68" s="14">
        <f>F68/$F$105*$E$2</f>
        <v>40.942439758557697</v>
      </c>
      <c r="I68" s="25" t="str">
        <f t="shared" si="2"/>
        <v>选中</v>
      </c>
    </row>
    <row r="69" spans="1:9" hidden="1" x14ac:dyDescent="0.25">
      <c r="A69" s="3">
        <v>506</v>
      </c>
      <c r="B69" s="3">
        <v>113.3040378</v>
      </c>
      <c r="C69" s="3">
        <v>23.040520799999999</v>
      </c>
      <c r="D69" s="3">
        <v>4</v>
      </c>
      <c r="E69" s="13">
        <f t="shared" ref="E69:E103" si="5">SQRT((B69-$B$2)^2+(C69-$C$2)^2)</f>
        <v>5.3553793952372348E-3</v>
      </c>
      <c r="F69" s="13">
        <f t="shared" ref="F69:F100" si="6">SQRT(1/E69)</f>
        <v>13.664850301074448</v>
      </c>
      <c r="G69" s="14" t="e">
        <f>F69/$F$124*$D$2</f>
        <v>#DIV/0!</v>
      </c>
      <c r="H69" s="14" t="e">
        <f>F69/$F$124*$E$2</f>
        <v>#DIV/0!</v>
      </c>
      <c r="I69" s="25" t="str">
        <f t="shared" si="2"/>
        <v/>
      </c>
    </row>
    <row r="70" spans="1:9" hidden="1" x14ac:dyDescent="0.25">
      <c r="A70" s="3">
        <v>494</v>
      </c>
      <c r="B70" s="3">
        <v>113.31098830000001</v>
      </c>
      <c r="C70" s="3">
        <v>23.035468309999999</v>
      </c>
      <c r="D70" s="3">
        <v>4</v>
      </c>
      <c r="E70" s="13">
        <f t="shared" si="5"/>
        <v>5.4189061488108189E-3</v>
      </c>
      <c r="F70" s="13">
        <f t="shared" si="6"/>
        <v>13.584516489277082</v>
      </c>
      <c r="G70" s="14" t="e">
        <f>F70/$F$124*$D$2</f>
        <v>#DIV/0!</v>
      </c>
      <c r="H70" s="14" t="e">
        <f>F70/$F$124*$E$2</f>
        <v>#DIV/0!</v>
      </c>
      <c r="I70" s="25" t="str">
        <f t="shared" ref="I70:I103" si="7">IF(MOD(ROW()-1,3)=1,"选中","")</f>
        <v/>
      </c>
    </row>
    <row r="71" spans="1:9" x14ac:dyDescent="0.25">
      <c r="A71" s="3">
        <v>260</v>
      </c>
      <c r="B71" s="3">
        <v>113.30728499999999</v>
      </c>
      <c r="C71" s="3">
        <v>23.045712720000001</v>
      </c>
      <c r="D71" s="3">
        <v>4</v>
      </c>
      <c r="E71" s="13">
        <f t="shared" si="5"/>
        <v>5.4866244169392642E-3</v>
      </c>
      <c r="F71" s="13">
        <f t="shared" si="6"/>
        <v>13.500423244989733</v>
      </c>
      <c r="G71" s="14">
        <f>F71/$F$105*$D$2</f>
        <v>40.417462943964075</v>
      </c>
      <c r="H71" s="14">
        <f>F71/$F$105*$E$2</f>
        <v>40.417462943964075</v>
      </c>
      <c r="I71" s="25" t="str">
        <f t="shared" si="7"/>
        <v>选中</v>
      </c>
    </row>
    <row r="72" spans="1:9" hidden="1" x14ac:dyDescent="0.25">
      <c r="A72" s="3">
        <v>482</v>
      </c>
      <c r="B72" s="3">
        <v>113.30385510000001</v>
      </c>
      <c r="C72" s="3">
        <v>23.040983919999999</v>
      </c>
      <c r="D72" s="3">
        <v>4</v>
      </c>
      <c r="E72" s="13">
        <f t="shared" si="5"/>
        <v>5.5468619166597092E-3</v>
      </c>
      <c r="F72" s="13">
        <f t="shared" si="6"/>
        <v>13.42691756770231</v>
      </c>
      <c r="G72" s="14" t="e">
        <f>F72/$F$124*$D$2</f>
        <v>#DIV/0!</v>
      </c>
      <c r="H72" s="14" t="e">
        <f>F72/$F$124*$E$2</f>
        <v>#DIV/0!</v>
      </c>
      <c r="I72" s="25" t="str">
        <f t="shared" si="7"/>
        <v/>
      </c>
    </row>
    <row r="73" spans="1:9" hidden="1" x14ac:dyDescent="0.25">
      <c r="A73" s="3">
        <v>268</v>
      </c>
      <c r="B73" s="3">
        <v>113.3138988</v>
      </c>
      <c r="C73" s="3">
        <v>23.043954200000002</v>
      </c>
      <c r="D73" s="3">
        <v>4</v>
      </c>
      <c r="E73" s="13">
        <f t="shared" si="5"/>
        <v>5.5905013291193892E-3</v>
      </c>
      <c r="F73" s="13">
        <f t="shared" si="6"/>
        <v>13.374409687785612</v>
      </c>
      <c r="G73" s="14" t="e">
        <f>F73/$F$124*$D$2</f>
        <v>#DIV/0!</v>
      </c>
      <c r="H73" s="14" t="e">
        <f>F73/$F$124*$E$2</f>
        <v>#DIV/0!</v>
      </c>
      <c r="I73" s="25" t="str">
        <f t="shared" si="7"/>
        <v/>
      </c>
    </row>
    <row r="74" spans="1:9" x14ac:dyDescent="0.25">
      <c r="A74" s="3">
        <v>262</v>
      </c>
      <c r="B74" s="3">
        <v>113.30665329999999</v>
      </c>
      <c r="C74" s="3">
        <v>23.04560991</v>
      </c>
      <c r="D74" s="3">
        <v>4</v>
      </c>
      <c r="E74" s="13">
        <f t="shared" si="5"/>
        <v>5.6685611805514548E-3</v>
      </c>
      <c r="F74" s="13">
        <f t="shared" si="6"/>
        <v>13.282003209275562</v>
      </c>
      <c r="G74" s="14">
        <f>F74/$F$105*$D$2</f>
        <v>39.763558726333486</v>
      </c>
      <c r="H74" s="14">
        <f>F74/$F$105*$E$2</f>
        <v>39.763558726333486</v>
      </c>
      <c r="I74" s="25" t="str">
        <f t="shared" si="7"/>
        <v>选中</v>
      </c>
    </row>
    <row r="75" spans="1:9" hidden="1" x14ac:dyDescent="0.25">
      <c r="A75" s="3">
        <v>508</v>
      </c>
      <c r="B75" s="3">
        <v>113.31507070000001</v>
      </c>
      <c r="C75" s="3">
        <v>23.040108650000001</v>
      </c>
      <c r="D75" s="3">
        <v>4</v>
      </c>
      <c r="E75" s="13">
        <f t="shared" si="5"/>
        <v>5.7044286760733502E-3</v>
      </c>
      <c r="F75" s="13">
        <f t="shared" si="6"/>
        <v>13.240181019093457</v>
      </c>
      <c r="G75" s="14" t="e">
        <f>F75/$F$124*$D$2</f>
        <v>#DIV/0!</v>
      </c>
      <c r="H75" s="14" t="e">
        <f>F75/$F$124*$E$2</f>
        <v>#DIV/0!</v>
      </c>
      <c r="I75" s="25" t="str">
        <f t="shared" si="7"/>
        <v/>
      </c>
    </row>
    <row r="76" spans="1:9" hidden="1" x14ac:dyDescent="0.25">
      <c r="A76" s="3">
        <v>533</v>
      </c>
      <c r="B76" s="3">
        <v>113.3122278</v>
      </c>
      <c r="C76" s="3">
        <v>23.03563492</v>
      </c>
      <c r="D76" s="3">
        <v>4</v>
      </c>
      <c r="E76" s="13">
        <f t="shared" si="5"/>
        <v>5.7585676406977431E-3</v>
      </c>
      <c r="F76" s="13">
        <f t="shared" si="6"/>
        <v>13.177795503441819</v>
      </c>
      <c r="G76" s="14" t="e">
        <f>F76/$F$124*$D$2</f>
        <v>#DIV/0!</v>
      </c>
      <c r="H76" s="14" t="e">
        <f>F76/$F$124*$E$2</f>
        <v>#DIV/0!</v>
      </c>
      <c r="I76" s="25" t="str">
        <f t="shared" si="7"/>
        <v/>
      </c>
    </row>
    <row r="77" spans="1:9" x14ac:dyDescent="0.25">
      <c r="A77" s="3">
        <v>253</v>
      </c>
      <c r="B77" s="3">
        <v>113.30632989999999</v>
      </c>
      <c r="C77" s="3">
        <v>23.045633479999999</v>
      </c>
      <c r="D77" s="3">
        <v>4</v>
      </c>
      <c r="E77" s="13">
        <f t="shared" si="5"/>
        <v>5.8517427503398979E-3</v>
      </c>
      <c r="F77" s="13">
        <f t="shared" si="6"/>
        <v>13.072461971513961</v>
      </c>
      <c r="G77" s="14">
        <f>F77/$F$105*$D$2</f>
        <v>39.136235785506067</v>
      </c>
      <c r="H77" s="14">
        <f>F77/$F$105*$E$2</f>
        <v>39.136235785506067</v>
      </c>
      <c r="I77" s="25" t="str">
        <f t="shared" si="7"/>
        <v>选中</v>
      </c>
    </row>
    <row r="78" spans="1:9" hidden="1" x14ac:dyDescent="0.25">
      <c r="A78" s="3">
        <v>256</v>
      </c>
      <c r="B78" s="3">
        <v>113.3050475</v>
      </c>
      <c r="C78" s="3">
        <v>23.044629230000002</v>
      </c>
      <c r="D78" s="3">
        <v>4</v>
      </c>
      <c r="E78" s="13">
        <f t="shared" si="5"/>
        <v>5.8934588989535122E-3</v>
      </c>
      <c r="F78" s="13">
        <f t="shared" si="6"/>
        <v>13.026113874022863</v>
      </c>
      <c r="G78" s="14" t="e">
        <f>F78/$F$124*$D$2</f>
        <v>#DIV/0!</v>
      </c>
      <c r="H78" s="14" t="e">
        <f>F78/$F$124*$E$2</f>
        <v>#DIV/0!</v>
      </c>
      <c r="I78" s="25" t="str">
        <f t="shared" si="7"/>
        <v/>
      </c>
    </row>
    <row r="79" spans="1:9" hidden="1" x14ac:dyDescent="0.25">
      <c r="A79" s="3">
        <v>492</v>
      </c>
      <c r="B79" s="3">
        <v>113.303854</v>
      </c>
      <c r="C79" s="3">
        <v>23.043019050000002</v>
      </c>
      <c r="D79" s="3">
        <v>4</v>
      </c>
      <c r="E79" s="13">
        <f t="shared" si="5"/>
        <v>6.0244757576454755E-3</v>
      </c>
      <c r="F79" s="13">
        <f t="shared" si="6"/>
        <v>12.883693052872189</v>
      </c>
      <c r="G79" s="14" t="e">
        <f>F79/$F$124*$D$2</f>
        <v>#DIV/0!</v>
      </c>
      <c r="H79" s="14" t="e">
        <f>F79/$F$124*$E$2</f>
        <v>#DIV/0!</v>
      </c>
      <c r="I79" s="25" t="str">
        <f t="shared" si="7"/>
        <v/>
      </c>
    </row>
    <row r="80" spans="1:9" x14ac:dyDescent="0.25">
      <c r="A80" s="3">
        <v>267</v>
      </c>
      <c r="B80" s="3">
        <v>113.3143579</v>
      </c>
      <c r="C80" s="3">
        <v>23.044151249999999</v>
      </c>
      <c r="D80" s="3">
        <v>4</v>
      </c>
      <c r="E80" s="13">
        <f t="shared" si="5"/>
        <v>6.0782582551556713E-3</v>
      </c>
      <c r="F80" s="13">
        <f t="shared" si="6"/>
        <v>12.826566753591381</v>
      </c>
      <c r="G80" s="14">
        <f>F80/$F$105*$D$2</f>
        <v>38.400076579373604</v>
      </c>
      <c r="H80" s="14">
        <f>F80/$F$105*$E$2</f>
        <v>38.400076579373604</v>
      </c>
      <c r="I80" s="25" t="str">
        <f t="shared" si="7"/>
        <v>选中</v>
      </c>
    </row>
    <row r="81" spans="1:9" hidden="1" x14ac:dyDescent="0.25">
      <c r="A81" s="3">
        <v>503</v>
      </c>
      <c r="B81" s="3">
        <v>113.3037461</v>
      </c>
      <c r="C81" s="3">
        <v>23.043487039999999</v>
      </c>
      <c r="D81" s="3">
        <v>4</v>
      </c>
      <c r="E81" s="13">
        <f t="shared" si="5"/>
        <v>6.3198497685451396E-3</v>
      </c>
      <c r="F81" s="13">
        <f t="shared" si="6"/>
        <v>12.579014643173679</v>
      </c>
      <c r="G81" s="14" t="e">
        <f>F81/$F$124*$D$2</f>
        <v>#DIV/0!</v>
      </c>
      <c r="H81" s="14" t="e">
        <f>F81/$F$124*$E$2</f>
        <v>#DIV/0!</v>
      </c>
      <c r="I81" s="25" t="str">
        <f t="shared" si="7"/>
        <v/>
      </c>
    </row>
    <row r="82" spans="1:9" hidden="1" x14ac:dyDescent="0.25">
      <c r="A82" s="3">
        <v>507</v>
      </c>
      <c r="B82" s="3">
        <v>113.3151567</v>
      </c>
      <c r="C82" s="3">
        <v>23.03792442</v>
      </c>
      <c r="D82" s="3">
        <v>4</v>
      </c>
      <c r="E82" s="13">
        <f t="shared" si="5"/>
        <v>6.3754113641764235E-3</v>
      </c>
      <c r="F82" s="13">
        <f t="shared" si="6"/>
        <v>12.524081753038875</v>
      </c>
      <c r="G82" s="14" t="e">
        <f>F82/$F$124*$D$2</f>
        <v>#DIV/0!</v>
      </c>
      <c r="H82" s="14" t="e">
        <f>F82/$F$124*$E$2</f>
        <v>#DIV/0!</v>
      </c>
      <c r="I82" s="25" t="str">
        <f t="shared" si="7"/>
        <v/>
      </c>
    </row>
    <row r="83" spans="1:9" x14ac:dyDescent="0.25">
      <c r="A83" s="3">
        <v>528</v>
      </c>
      <c r="B83" s="3">
        <v>113.31338649999999</v>
      </c>
      <c r="C83" s="3">
        <v>23.03560976</v>
      </c>
      <c r="D83" s="3">
        <v>4</v>
      </c>
      <c r="E83" s="13">
        <f t="shared" si="5"/>
        <v>6.4287548862906538E-3</v>
      </c>
      <c r="F83" s="13">
        <f t="shared" si="6"/>
        <v>12.472013328184616</v>
      </c>
      <c r="G83" s="14">
        <f>F83/$F$105*$D$2</f>
        <v>37.338617270062564</v>
      </c>
      <c r="H83" s="14">
        <f>F83/$F$105*$E$2</f>
        <v>37.338617270062564</v>
      </c>
      <c r="I83" s="25" t="str">
        <f t="shared" si="7"/>
        <v>选中</v>
      </c>
    </row>
    <row r="84" spans="1:9" hidden="1" x14ac:dyDescent="0.25">
      <c r="A84" s="3">
        <v>491</v>
      </c>
      <c r="B84" s="3">
        <v>113.3028779</v>
      </c>
      <c r="C84" s="3">
        <v>23.042391049999999</v>
      </c>
      <c r="D84" s="3">
        <v>4</v>
      </c>
      <c r="E84" s="13">
        <f t="shared" si="5"/>
        <v>6.7433264806393521E-3</v>
      </c>
      <c r="F84" s="13">
        <f t="shared" si="6"/>
        <v>12.17763370537064</v>
      </c>
      <c r="G84" s="14" t="e">
        <f>F84/$F$124*$D$2</f>
        <v>#DIV/0!</v>
      </c>
      <c r="H84" s="14" t="e">
        <f>F84/$F$124*$E$2</f>
        <v>#DIV/0!</v>
      </c>
      <c r="I84" s="25" t="str">
        <f t="shared" si="7"/>
        <v/>
      </c>
    </row>
    <row r="85" spans="1:9" hidden="1" x14ac:dyDescent="0.25">
      <c r="A85" s="3">
        <v>521</v>
      </c>
      <c r="B85" s="3">
        <v>113.31401820000001</v>
      </c>
      <c r="C85" s="3">
        <v>23.035609569999998</v>
      </c>
      <c r="D85" s="3">
        <v>4</v>
      </c>
      <c r="E85" s="13">
        <f t="shared" si="5"/>
        <v>6.839362445435389E-3</v>
      </c>
      <c r="F85" s="13">
        <f t="shared" si="6"/>
        <v>12.091834386618563</v>
      </c>
      <c r="G85" s="14" t="e">
        <f>F85/$F$124*$D$2</f>
        <v>#DIV/0!</v>
      </c>
      <c r="H85" s="14" t="e">
        <f>F85/$F$124*$E$2</f>
        <v>#DIV/0!</v>
      </c>
      <c r="I85" s="25" t="str">
        <f t="shared" si="7"/>
        <v/>
      </c>
    </row>
    <row r="86" spans="1:9" x14ac:dyDescent="0.25">
      <c r="A86" s="3">
        <v>252</v>
      </c>
      <c r="B86" s="3">
        <v>113.306265</v>
      </c>
      <c r="C86" s="3">
        <v>23.046764119999999</v>
      </c>
      <c r="D86" s="3">
        <v>4</v>
      </c>
      <c r="E86" s="13">
        <f t="shared" si="5"/>
        <v>6.8701853972462663E-3</v>
      </c>
      <c r="F86" s="13">
        <f t="shared" si="6"/>
        <v>12.064679005650833</v>
      </c>
      <c r="G86" s="14">
        <f>F86/$F$105*$D$2</f>
        <v>36.119142918180764</v>
      </c>
      <c r="H86" s="14">
        <f>F86/$F$105*$E$2</f>
        <v>36.119142918180764</v>
      </c>
      <c r="I86" s="25" t="str">
        <f t="shared" si="7"/>
        <v>选中</v>
      </c>
    </row>
    <row r="87" spans="1:9" hidden="1" x14ac:dyDescent="0.25">
      <c r="A87" s="3">
        <v>496</v>
      </c>
      <c r="B87" s="3">
        <v>113.30288880000001</v>
      </c>
      <c r="C87" s="3">
        <v>23.043043749999999</v>
      </c>
      <c r="D87" s="3">
        <v>4</v>
      </c>
      <c r="E87" s="13">
        <f t="shared" si="5"/>
        <v>6.9306349591074868E-3</v>
      </c>
      <c r="F87" s="13">
        <f t="shared" si="6"/>
        <v>12.011949219645253</v>
      </c>
      <c r="G87" s="14" t="e">
        <f>F87/$F$124*$D$2</f>
        <v>#DIV/0!</v>
      </c>
      <c r="H87" s="14" t="e">
        <f>F87/$F$124*$E$2</f>
        <v>#DIV/0!</v>
      </c>
      <c r="I87" s="25" t="str">
        <f t="shared" si="7"/>
        <v/>
      </c>
    </row>
    <row r="88" spans="1:9" hidden="1" x14ac:dyDescent="0.25">
      <c r="A88" s="3">
        <v>512</v>
      </c>
      <c r="B88" s="3">
        <v>113.3153274</v>
      </c>
      <c r="C88" s="3">
        <v>23.036692630000001</v>
      </c>
      <c r="D88" s="3">
        <v>4</v>
      </c>
      <c r="E88" s="13">
        <f t="shared" si="5"/>
        <v>7.1321081603926313E-3</v>
      </c>
      <c r="F88" s="13">
        <f t="shared" si="6"/>
        <v>11.841072484264297</v>
      </c>
      <c r="G88" s="14" t="e">
        <f>F88/$F$124*$D$2</f>
        <v>#DIV/0!</v>
      </c>
      <c r="H88" s="14" t="e">
        <f>F88/$F$124*$E$2</f>
        <v>#DIV/0!</v>
      </c>
      <c r="I88" s="25" t="str">
        <f t="shared" si="7"/>
        <v/>
      </c>
    </row>
    <row r="89" spans="1:9" x14ac:dyDescent="0.25">
      <c r="A89" s="3">
        <v>530</v>
      </c>
      <c r="B89" s="3">
        <v>113.3144722</v>
      </c>
      <c r="C89" s="3">
        <v>23.035578730000001</v>
      </c>
      <c r="D89" s="3">
        <v>4</v>
      </c>
      <c r="E89" s="13">
        <f t="shared" si="5"/>
        <v>7.1760362383080341E-3</v>
      </c>
      <c r="F89" s="13">
        <f t="shared" si="6"/>
        <v>11.80477430963429</v>
      </c>
      <c r="G89" s="14">
        <f>F89/$F$105*$D$2</f>
        <v>35.341042244625264</v>
      </c>
      <c r="H89" s="14">
        <f>F89/$F$105*$E$2</f>
        <v>35.341042244625264</v>
      </c>
      <c r="I89" s="25" t="str">
        <f t="shared" si="7"/>
        <v>选中</v>
      </c>
    </row>
    <row r="90" spans="1:9" hidden="1" x14ac:dyDescent="0.25">
      <c r="A90" s="3">
        <v>486</v>
      </c>
      <c r="B90" s="3">
        <v>113.3027175</v>
      </c>
      <c r="C90" s="3">
        <v>23.037349500000001</v>
      </c>
      <c r="D90" s="3">
        <v>4</v>
      </c>
      <c r="E90" s="13">
        <f t="shared" si="5"/>
        <v>7.4442108815495527E-3</v>
      </c>
      <c r="F90" s="13">
        <f t="shared" si="6"/>
        <v>11.590192956773476</v>
      </c>
      <c r="G90" s="14" t="e">
        <f>F90/$F$124*$D$2</f>
        <v>#DIV/0!</v>
      </c>
      <c r="H90" s="14" t="e">
        <f>F90/$F$124*$E$2</f>
        <v>#DIV/0!</v>
      </c>
      <c r="I90" s="25" t="str">
        <f t="shared" si="7"/>
        <v/>
      </c>
    </row>
    <row r="91" spans="1:9" hidden="1" x14ac:dyDescent="0.25">
      <c r="A91" s="3">
        <v>495</v>
      </c>
      <c r="B91" s="3">
        <v>113.3019687</v>
      </c>
      <c r="C91" s="3">
        <v>23.04196782</v>
      </c>
      <c r="D91" s="3">
        <v>4</v>
      </c>
      <c r="E91" s="13">
        <f t="shared" si="5"/>
        <v>7.5396529311725991E-3</v>
      </c>
      <c r="F91" s="13">
        <f t="shared" si="6"/>
        <v>11.516601052251964</v>
      </c>
      <c r="G91" s="14" t="e">
        <f>F91/$F$124*$D$2</f>
        <v>#DIV/0!</v>
      </c>
      <c r="H91" s="14" t="e">
        <f>F91/$F$124*$E$2</f>
        <v>#DIV/0!</v>
      </c>
      <c r="I91" s="25" t="str">
        <f t="shared" si="7"/>
        <v/>
      </c>
    </row>
    <row r="92" spans="1:9" x14ac:dyDescent="0.25">
      <c r="A92" s="3">
        <v>510</v>
      </c>
      <c r="B92" s="3">
        <v>113.31576149999999</v>
      </c>
      <c r="C92" s="3">
        <v>23.036330970000002</v>
      </c>
      <c r="D92" s="3">
        <v>4</v>
      </c>
      <c r="E92" s="13">
        <f t="shared" si="5"/>
        <v>7.6941288350166372E-3</v>
      </c>
      <c r="F92" s="13">
        <f t="shared" si="6"/>
        <v>11.400404816188686</v>
      </c>
      <c r="G92" s="14">
        <f>F92/$F$105*$D$2</f>
        <v>34.130443975191554</v>
      </c>
      <c r="H92" s="14">
        <f>F92/$F$105*$E$2</f>
        <v>34.130443975191554</v>
      </c>
      <c r="I92" s="25" t="str">
        <f t="shared" si="7"/>
        <v>选中</v>
      </c>
    </row>
    <row r="93" spans="1:9" hidden="1" x14ac:dyDescent="0.25">
      <c r="A93" s="3">
        <v>497</v>
      </c>
      <c r="B93" s="3">
        <v>113.3017621</v>
      </c>
      <c r="C93" s="3">
        <v>23.04183124</v>
      </c>
      <c r="D93" s="3">
        <v>4</v>
      </c>
      <c r="E93" s="13">
        <f t="shared" si="5"/>
        <v>7.7210104419641445E-3</v>
      </c>
      <c r="F93" s="13">
        <f t="shared" si="6"/>
        <v>11.380541586228624</v>
      </c>
      <c r="G93" s="14" t="e">
        <f>F93/$F$124*$D$2</f>
        <v>#DIV/0!</v>
      </c>
      <c r="H93" s="14" t="e">
        <f>F93/$F$124*$E$2</f>
        <v>#DIV/0!</v>
      </c>
      <c r="I93" s="25" t="str">
        <f t="shared" si="7"/>
        <v/>
      </c>
    </row>
    <row r="94" spans="1:9" hidden="1" x14ac:dyDescent="0.25">
      <c r="A94" s="3">
        <v>520</v>
      </c>
      <c r="B94" s="3">
        <v>113.3151668</v>
      </c>
      <c r="C94" s="3">
        <v>23.035515440000001</v>
      </c>
      <c r="D94" s="3">
        <v>4</v>
      </c>
      <c r="E94" s="13">
        <f t="shared" si="5"/>
        <v>7.7253673907995563E-3</v>
      </c>
      <c r="F94" s="13">
        <f t="shared" si="6"/>
        <v>11.377331937546206</v>
      </c>
      <c r="G94" s="14" t="e">
        <f>F94/$F$124*$D$2</f>
        <v>#DIV/0!</v>
      </c>
      <c r="H94" s="14" t="e">
        <f>F94/$F$124*$E$2</f>
        <v>#DIV/0!</v>
      </c>
      <c r="I94" s="25" t="str">
        <f t="shared" si="7"/>
        <v/>
      </c>
    </row>
    <row r="95" spans="1:9" x14ac:dyDescent="0.25">
      <c r="A95" s="3">
        <v>500</v>
      </c>
      <c r="B95" s="3">
        <v>113.3017251</v>
      </c>
      <c r="C95" s="3">
        <v>23.041847300000001</v>
      </c>
      <c r="D95" s="3">
        <v>4</v>
      </c>
      <c r="E95" s="13">
        <f t="shared" si="5"/>
        <v>7.7600430383479571E-3</v>
      </c>
      <c r="F95" s="13">
        <f t="shared" si="6"/>
        <v>11.351883749917304</v>
      </c>
      <c r="G95" s="14">
        <f>F95/$F$105*$D$2</f>
        <v>33.985181981368285</v>
      </c>
      <c r="H95" s="14">
        <f>F95/$F$105*$E$2</f>
        <v>33.985181981368285</v>
      </c>
      <c r="I95" s="25" t="str">
        <f t="shared" si="7"/>
        <v>选中</v>
      </c>
    </row>
    <row r="96" spans="1:9" hidden="1" x14ac:dyDescent="0.25">
      <c r="A96" s="3">
        <v>446</v>
      </c>
      <c r="B96" s="3">
        <v>113.3016105</v>
      </c>
      <c r="C96" s="3">
        <v>23.0388278</v>
      </c>
      <c r="D96" s="3">
        <v>4</v>
      </c>
      <c r="E96" s="13">
        <f t="shared" si="5"/>
        <v>7.9909549815445711E-3</v>
      </c>
      <c r="F96" s="13">
        <f t="shared" si="6"/>
        <v>11.186665650853994</v>
      </c>
      <c r="G96" s="14" t="e">
        <f>F96/$F$124*$D$2</f>
        <v>#DIV/0!</v>
      </c>
      <c r="H96" s="14" t="e">
        <f>F96/$F$124*$E$2</f>
        <v>#DIV/0!</v>
      </c>
      <c r="I96" s="25" t="str">
        <f t="shared" si="7"/>
        <v/>
      </c>
    </row>
    <row r="97" spans="1:9" hidden="1" x14ac:dyDescent="0.25">
      <c r="A97" s="3">
        <v>511</v>
      </c>
      <c r="B97" s="3">
        <v>113.3173559</v>
      </c>
      <c r="C97" s="3">
        <v>23.041496710000001</v>
      </c>
      <c r="D97" s="3">
        <v>4</v>
      </c>
      <c r="E97" s="13">
        <f t="shared" si="5"/>
        <v>8.0094350388419475E-3</v>
      </c>
      <c r="F97" s="13">
        <f t="shared" si="6"/>
        <v>11.17375277963434</v>
      </c>
      <c r="G97" s="14" t="e">
        <f>F97/$F$124*$D$2</f>
        <v>#DIV/0!</v>
      </c>
      <c r="H97" s="14" t="e">
        <f>F97/$F$124*$E$2</f>
        <v>#DIV/0!</v>
      </c>
      <c r="I97" s="25" t="str">
        <f t="shared" si="7"/>
        <v/>
      </c>
    </row>
    <row r="98" spans="1:9" x14ac:dyDescent="0.25">
      <c r="A98" s="3">
        <v>433</v>
      </c>
      <c r="B98" s="3">
        <v>113.30090490000001</v>
      </c>
      <c r="C98" s="3">
        <v>23.039021940000001</v>
      </c>
      <c r="D98" s="3">
        <v>4</v>
      </c>
      <c r="E98" s="13">
        <f t="shared" si="5"/>
        <v>8.6409213520838787E-3</v>
      </c>
      <c r="F98" s="13">
        <f t="shared" si="6"/>
        <v>10.757713497710208</v>
      </c>
      <c r="G98" s="14">
        <f>F98/$F$105*$D$2</f>
        <v>32.206359664823616</v>
      </c>
      <c r="H98" s="14">
        <f>F98/$F$105*$E$2</f>
        <v>32.206359664823616</v>
      </c>
      <c r="I98" s="25" t="str">
        <f t="shared" si="7"/>
        <v>选中</v>
      </c>
    </row>
    <row r="99" spans="1:9" hidden="1" x14ac:dyDescent="0.25">
      <c r="A99" s="3">
        <v>880</v>
      </c>
      <c r="B99" s="3">
        <v>113.3130902</v>
      </c>
      <c r="C99" s="3">
        <v>23.032796529999999</v>
      </c>
      <c r="D99" s="3">
        <v>4</v>
      </c>
      <c r="E99" s="13">
        <f t="shared" si="5"/>
        <v>8.6777647046704723E-3</v>
      </c>
      <c r="F99" s="13">
        <f t="shared" si="6"/>
        <v>10.73485209051978</v>
      </c>
      <c r="G99" s="14" t="e">
        <f>F99/$F$124*$D$2</f>
        <v>#DIV/0!</v>
      </c>
      <c r="H99" s="14" t="e">
        <f>F99/$F$124*$E$2</f>
        <v>#DIV/0!</v>
      </c>
      <c r="I99" s="25" t="str">
        <f t="shared" si="7"/>
        <v/>
      </c>
    </row>
    <row r="100" spans="1:9" hidden="1" x14ac:dyDescent="0.25">
      <c r="A100" s="3">
        <v>266</v>
      </c>
      <c r="B100" s="3">
        <v>113.3119325</v>
      </c>
      <c r="C100" s="3">
        <v>23.049121670000002</v>
      </c>
      <c r="D100" s="3">
        <v>4</v>
      </c>
      <c r="E100" s="13">
        <f t="shared" si="5"/>
        <v>8.8476714247290797E-3</v>
      </c>
      <c r="F100" s="13">
        <f t="shared" si="6"/>
        <v>10.631278790043911</v>
      </c>
      <c r="G100" s="14" t="e">
        <f>F100/$F$124*$D$2</f>
        <v>#DIV/0!</v>
      </c>
      <c r="H100" s="14" t="e">
        <f>F100/$F$124*$E$2</f>
        <v>#DIV/0!</v>
      </c>
      <c r="I100" s="25" t="str">
        <f t="shared" si="7"/>
        <v/>
      </c>
    </row>
    <row r="101" spans="1:9" x14ac:dyDescent="0.25">
      <c r="A101" s="3">
        <v>251</v>
      </c>
      <c r="B101" s="3">
        <v>113.30524490000001</v>
      </c>
      <c r="C101" s="3">
        <v>23.048566180000002</v>
      </c>
      <c r="D101" s="3">
        <v>4</v>
      </c>
      <c r="E101" s="13">
        <f t="shared" si="5"/>
        <v>8.9394960081717271E-3</v>
      </c>
      <c r="F101" s="13">
        <f t="shared" ref="F101:F103" si="8">SQRT(1/E101)</f>
        <v>10.576536746106548</v>
      </c>
      <c r="G101" s="14">
        <f>F101/$F$105*$D$2</f>
        <v>31.66395410380046</v>
      </c>
      <c r="H101" s="14">
        <f>F101/$F$105*$E$2</f>
        <v>31.66395410380046</v>
      </c>
      <c r="I101" s="25" t="str">
        <f t="shared" si="7"/>
        <v>选中</v>
      </c>
    </row>
    <row r="102" spans="1:9" hidden="1" x14ac:dyDescent="0.25">
      <c r="A102" s="3">
        <v>889</v>
      </c>
      <c r="B102" s="3">
        <v>113.3148367</v>
      </c>
      <c r="C102" s="3">
        <v>23.032235480000001</v>
      </c>
      <c r="D102" s="3">
        <v>4</v>
      </c>
      <c r="E102" s="13">
        <f t="shared" si="5"/>
        <v>1.001978753347829E-2</v>
      </c>
      <c r="F102" s="13">
        <f t="shared" si="8"/>
        <v>9.9901208920840592</v>
      </c>
      <c r="G102" s="14" t="e">
        <f>F102/$F$124*$D$2</f>
        <v>#DIV/0!</v>
      </c>
      <c r="H102" s="14" t="e">
        <f>F102/$F$124*$E$2</f>
        <v>#DIV/0!</v>
      </c>
      <c r="I102" s="25" t="str">
        <f t="shared" si="7"/>
        <v/>
      </c>
    </row>
    <row r="103" spans="1:9" hidden="1" x14ac:dyDescent="0.25">
      <c r="A103" s="3">
        <v>886</v>
      </c>
      <c r="B103" s="3">
        <v>113.31532869999999</v>
      </c>
      <c r="C103" s="3">
        <v>23.032201570000002</v>
      </c>
      <c r="D103" s="3">
        <v>4</v>
      </c>
      <c r="E103" s="13">
        <f t="shared" si="5"/>
        <v>1.0323162451974533E-2</v>
      </c>
      <c r="F103" s="13">
        <f t="shared" si="8"/>
        <v>9.8422324798364507</v>
      </c>
      <c r="G103" s="14" t="e">
        <f>F103/$F$124*$D$2</f>
        <v>#DIV/0!</v>
      </c>
      <c r="H103" s="14" t="e">
        <f>F103/$F$124*$E$2</f>
        <v>#DIV/0!</v>
      </c>
      <c r="I103" s="25" t="str">
        <f t="shared" si="7"/>
        <v/>
      </c>
    </row>
    <row r="104" spans="1:9" x14ac:dyDescent="0.25">
      <c r="A104" s="3"/>
      <c r="B104" s="3"/>
      <c r="C104" s="3"/>
      <c r="D104" s="3"/>
      <c r="G104" s="14"/>
      <c r="H104" s="14"/>
    </row>
    <row r="105" spans="1:9" x14ac:dyDescent="0.25">
      <c r="A105" s="3"/>
      <c r="B105" s="3"/>
      <c r="C105" s="3"/>
      <c r="D105" s="3"/>
      <c r="F105" s="13">
        <f>SUBTOTAL(9,F5:F103)</f>
        <v>596.23374989462309</v>
      </c>
      <c r="G105" s="13">
        <f>SUBTOTAL(9,G5:G103)</f>
        <v>1784.9999999999998</v>
      </c>
      <c r="H105" s="13">
        <f>SUBTOTAL(9,H5:H103)</f>
        <v>1784.9999999999998</v>
      </c>
    </row>
    <row r="106" spans="1:9" x14ac:dyDescent="0.25">
      <c r="A106" s="3"/>
      <c r="B106" s="3"/>
      <c r="C106" s="3"/>
      <c r="D106" s="3"/>
      <c r="G106" s="14"/>
      <c r="H106" s="14"/>
    </row>
    <row r="107" spans="1:9" x14ac:dyDescent="0.25">
      <c r="A107" s="3"/>
      <c r="B107" s="3"/>
      <c r="C107" s="3"/>
      <c r="D107" s="3"/>
      <c r="G107" s="14"/>
      <c r="H107" s="14"/>
    </row>
    <row r="108" spans="1:9" x14ac:dyDescent="0.25">
      <c r="A108" s="3"/>
      <c r="B108" s="3"/>
      <c r="C108" s="3"/>
      <c r="D108" s="3"/>
      <c r="G108" s="14"/>
      <c r="H108" s="14"/>
    </row>
    <row r="109" spans="1:9" x14ac:dyDescent="0.25">
      <c r="A109" s="3"/>
      <c r="B109" s="3"/>
      <c r="C109" s="3"/>
      <c r="D109" s="3"/>
      <c r="G109" s="14"/>
      <c r="H109" s="14"/>
    </row>
    <row r="110" spans="1:9" x14ac:dyDescent="0.25">
      <c r="A110" s="3"/>
      <c r="B110" s="3"/>
      <c r="C110" s="3"/>
      <c r="D110" s="3"/>
      <c r="G110" s="14"/>
      <c r="H110" s="14"/>
    </row>
    <row r="111" spans="1:9" x14ac:dyDescent="0.25">
      <c r="A111" s="3"/>
      <c r="B111" s="3"/>
      <c r="C111" s="3"/>
      <c r="D111" s="3"/>
      <c r="G111" s="14"/>
      <c r="H111" s="14"/>
    </row>
    <row r="112" spans="1:9" x14ac:dyDescent="0.25">
      <c r="A112" s="3"/>
      <c r="B112" s="3"/>
      <c r="C112" s="3"/>
      <c r="D112" s="3"/>
      <c r="G112" s="14"/>
      <c r="H112" s="14"/>
    </row>
    <row r="113" spans="1:8" x14ac:dyDescent="0.25">
      <c r="A113" s="3"/>
      <c r="B113" s="3"/>
      <c r="C113" s="3"/>
      <c r="D113" s="3"/>
      <c r="G113" s="14"/>
      <c r="H113" s="14"/>
    </row>
    <row r="114" spans="1:8" x14ac:dyDescent="0.25">
      <c r="A114" s="3"/>
      <c r="B114" s="3"/>
      <c r="C114" s="3"/>
      <c r="D114" s="3"/>
      <c r="G114" s="14"/>
      <c r="H114" s="14"/>
    </row>
    <row r="115" spans="1:8" x14ac:dyDescent="0.25">
      <c r="A115" s="3"/>
      <c r="B115" s="3"/>
      <c r="C115" s="3"/>
      <c r="D115" s="3"/>
      <c r="G115" s="14"/>
      <c r="H115" s="14"/>
    </row>
    <row r="116" spans="1:8" x14ac:dyDescent="0.25">
      <c r="A116" s="3"/>
      <c r="B116" s="3"/>
      <c r="C116" s="3"/>
      <c r="D116" s="3"/>
      <c r="G116" s="14"/>
      <c r="H116" s="14"/>
    </row>
    <row r="117" spans="1:8" x14ac:dyDescent="0.25">
      <c r="A117" s="3"/>
      <c r="B117" s="3"/>
      <c r="C117" s="3"/>
      <c r="D117" s="3"/>
      <c r="G117" s="14"/>
      <c r="H117" s="14"/>
    </row>
    <row r="118" spans="1:8" x14ac:dyDescent="0.25">
      <c r="A118" s="3"/>
      <c r="B118" s="3"/>
      <c r="C118" s="3"/>
      <c r="D118" s="3"/>
      <c r="G118" s="14"/>
      <c r="H118" s="14"/>
    </row>
    <row r="119" spans="1:8" x14ac:dyDescent="0.25">
      <c r="A119" s="3"/>
      <c r="B119" s="3"/>
      <c r="C119" s="3"/>
      <c r="D119" s="3"/>
      <c r="G119" s="14"/>
      <c r="H119" s="14"/>
    </row>
    <row r="120" spans="1:8" x14ac:dyDescent="0.25">
      <c r="A120" s="3"/>
      <c r="B120" s="3"/>
      <c r="C120" s="3"/>
      <c r="D120" s="3"/>
      <c r="G120" s="14"/>
      <c r="H120" s="14"/>
    </row>
    <row r="121" spans="1:8" x14ac:dyDescent="0.25">
      <c r="A121" s="3"/>
      <c r="B121" s="3"/>
      <c r="C121" s="3"/>
      <c r="D121" s="3"/>
      <c r="G121" s="14"/>
      <c r="H121" s="14"/>
    </row>
    <row r="122" spans="1:8" x14ac:dyDescent="0.25">
      <c r="A122" s="3"/>
      <c r="B122" s="3"/>
      <c r="C122" s="3"/>
      <c r="D122" s="3"/>
      <c r="G122" s="14"/>
      <c r="H122" s="14"/>
    </row>
    <row r="123" spans="1:8" x14ac:dyDescent="0.25">
      <c r="A123" s="3"/>
      <c r="B123" s="3"/>
      <c r="C123" s="3"/>
      <c r="D123" s="3"/>
      <c r="G123" s="14"/>
      <c r="H123" s="14"/>
    </row>
    <row r="124" spans="1:8" x14ac:dyDescent="0.25">
      <c r="A124" s="3"/>
      <c r="B124" s="3"/>
      <c r="C124" s="3"/>
      <c r="D124" s="3"/>
      <c r="G124" s="14"/>
      <c r="H124" s="14"/>
    </row>
    <row r="125" spans="1:8" x14ac:dyDescent="0.25">
      <c r="A125" s="3"/>
      <c r="B125" s="3"/>
      <c r="C125" s="3"/>
      <c r="D125" s="3"/>
      <c r="G125" s="14"/>
      <c r="H125" s="14"/>
    </row>
    <row r="126" spans="1:8" x14ac:dyDescent="0.25">
      <c r="A126" s="18"/>
      <c r="B126" s="3"/>
      <c r="C126" s="3"/>
      <c r="D126" s="3"/>
      <c r="G126" s="14"/>
      <c r="H126" s="14"/>
    </row>
    <row r="127" spans="1:8" x14ac:dyDescent="0.25">
      <c r="A127" s="3"/>
      <c r="B127" s="3"/>
      <c r="C127" s="3"/>
      <c r="D127" s="3"/>
      <c r="G127" s="14"/>
      <c r="H127" s="14"/>
    </row>
    <row r="128" spans="1:8" x14ac:dyDescent="0.25">
      <c r="A128" s="3"/>
      <c r="B128" s="3"/>
      <c r="C128" s="3"/>
      <c r="D128" s="3"/>
      <c r="G128" s="14"/>
      <c r="H128" s="14"/>
    </row>
    <row r="129" spans="1:8" x14ac:dyDescent="0.25">
      <c r="A129" s="3"/>
      <c r="B129" s="3"/>
      <c r="C129" s="3"/>
      <c r="D129" s="3"/>
      <c r="G129" s="14"/>
      <c r="H129" s="14"/>
    </row>
    <row r="130" spans="1:8" x14ac:dyDescent="0.25">
      <c r="A130" s="3"/>
      <c r="B130" s="3"/>
      <c r="C130" s="3"/>
      <c r="D130" s="3"/>
      <c r="G130" s="14"/>
      <c r="H130" s="14"/>
    </row>
    <row r="131" spans="1:8" x14ac:dyDescent="0.25">
      <c r="A131" s="3"/>
      <c r="B131" s="3"/>
      <c r="C131" s="3"/>
      <c r="D131" s="3"/>
      <c r="G131" s="14"/>
      <c r="H131" s="14"/>
    </row>
    <row r="132" spans="1:8" x14ac:dyDescent="0.25">
      <c r="A132" s="3"/>
      <c r="B132" s="3"/>
      <c r="C132" s="3"/>
      <c r="D132" s="3"/>
      <c r="G132" s="14"/>
      <c r="H132" s="14"/>
    </row>
    <row r="133" spans="1:8" x14ac:dyDescent="0.25">
      <c r="A133" s="3"/>
      <c r="B133" s="3"/>
      <c r="C133" s="3"/>
      <c r="D133" s="3"/>
      <c r="G133" s="14"/>
      <c r="H133" s="14"/>
    </row>
    <row r="134" spans="1:8" x14ac:dyDescent="0.25">
      <c r="A134" s="3"/>
      <c r="B134" s="3"/>
      <c r="C134" s="3"/>
      <c r="D134" s="3"/>
      <c r="G134" s="14"/>
      <c r="H134" s="14"/>
    </row>
    <row r="135" spans="1:8" x14ac:dyDescent="0.25">
      <c r="A135" s="3"/>
      <c r="B135" s="3"/>
      <c r="C135" s="3"/>
      <c r="D135" s="3"/>
      <c r="G135" s="14"/>
      <c r="H135" s="14"/>
    </row>
    <row r="136" spans="1:8" x14ac:dyDescent="0.25">
      <c r="A136" s="3"/>
      <c r="B136" s="3"/>
      <c r="C136" s="3"/>
      <c r="D136" s="3"/>
      <c r="G136" s="14"/>
      <c r="H136" s="14"/>
    </row>
    <row r="137" spans="1:8" x14ac:dyDescent="0.25">
      <c r="A137" s="3"/>
      <c r="B137" s="3"/>
      <c r="C137" s="3"/>
      <c r="D137" s="3"/>
      <c r="G137" s="14"/>
      <c r="H137" s="14"/>
    </row>
    <row r="138" spans="1:8" x14ac:dyDescent="0.25">
      <c r="A138" s="3"/>
      <c r="B138" s="3"/>
      <c r="C138" s="3"/>
      <c r="D138" s="3"/>
      <c r="G138" s="14"/>
      <c r="H138" s="14"/>
    </row>
    <row r="139" spans="1:8" x14ac:dyDescent="0.25">
      <c r="A139" s="3"/>
      <c r="B139" s="3"/>
      <c r="C139" s="3"/>
      <c r="D139" s="3"/>
      <c r="G139" s="14"/>
      <c r="H139" s="14"/>
    </row>
    <row r="140" spans="1:8" x14ac:dyDescent="0.25">
      <c r="A140" s="3"/>
      <c r="B140" s="3"/>
      <c r="C140" s="3"/>
      <c r="D140" s="3"/>
      <c r="G140" s="14"/>
      <c r="H140" s="14"/>
    </row>
    <row r="141" spans="1:8" x14ac:dyDescent="0.25">
      <c r="A141" s="3"/>
      <c r="B141" s="3"/>
      <c r="C141" s="3"/>
      <c r="D141" s="3"/>
      <c r="G141" s="14"/>
      <c r="H141" s="14"/>
    </row>
    <row r="142" spans="1:8" x14ac:dyDescent="0.25">
      <c r="A142" s="3"/>
      <c r="B142" s="3"/>
      <c r="C142" s="3"/>
      <c r="D142" s="3"/>
      <c r="G142" s="14"/>
      <c r="H142" s="14"/>
    </row>
    <row r="143" spans="1:8" x14ac:dyDescent="0.25">
      <c r="A143" s="3"/>
      <c r="B143" s="3"/>
      <c r="C143" s="3"/>
      <c r="D143" s="3"/>
      <c r="G143" s="14"/>
      <c r="H143" s="14"/>
    </row>
    <row r="144" spans="1:8" x14ac:dyDescent="0.25">
      <c r="A144" s="3"/>
      <c r="B144" s="3"/>
      <c r="C144" s="3"/>
      <c r="D144" s="3"/>
      <c r="G144" s="14"/>
      <c r="H144" s="14"/>
    </row>
    <row r="145" spans="1:8" x14ac:dyDescent="0.25">
      <c r="A145" s="3"/>
      <c r="B145" s="3"/>
      <c r="C145" s="3"/>
      <c r="D145" s="3"/>
      <c r="G145" s="14"/>
      <c r="H145" s="14"/>
    </row>
    <row r="146" spans="1:8" x14ac:dyDescent="0.25">
      <c r="A146" s="3"/>
      <c r="B146" s="3"/>
      <c r="C146" s="3"/>
      <c r="D146" s="3"/>
      <c r="G146" s="14"/>
      <c r="H146" s="14"/>
    </row>
    <row r="147" spans="1:8" x14ac:dyDescent="0.25">
      <c r="A147" s="3"/>
      <c r="B147" s="3"/>
      <c r="C147" s="3"/>
      <c r="D147" s="3"/>
      <c r="G147" s="14"/>
      <c r="H147" s="14"/>
    </row>
    <row r="148" spans="1:8" x14ac:dyDescent="0.25">
      <c r="A148" s="3"/>
      <c r="B148" s="3"/>
      <c r="C148" s="3"/>
      <c r="D148" s="3"/>
      <c r="G148" s="14"/>
      <c r="H148" s="14"/>
    </row>
    <row r="149" spans="1:8" x14ac:dyDescent="0.25">
      <c r="A149" s="3"/>
      <c r="B149" s="3"/>
      <c r="C149" s="3"/>
      <c r="D149" s="3"/>
      <c r="G149" s="14"/>
      <c r="H149" s="14"/>
    </row>
    <row r="150" spans="1:8" x14ac:dyDescent="0.25">
      <c r="A150" s="3"/>
      <c r="B150" s="3"/>
      <c r="C150" s="3"/>
      <c r="D150" s="3"/>
      <c r="G150" s="14"/>
      <c r="H150" s="14"/>
    </row>
    <row r="151" spans="1:8" x14ac:dyDescent="0.25">
      <c r="A151" s="3"/>
      <c r="B151" s="3"/>
      <c r="C151" s="3"/>
      <c r="D151" s="3"/>
      <c r="G151" s="14"/>
      <c r="H151" s="14"/>
    </row>
    <row r="152" spans="1:8" x14ac:dyDescent="0.25">
      <c r="A152" s="3"/>
      <c r="B152" s="3"/>
      <c r="C152" s="3"/>
      <c r="D152" s="3"/>
      <c r="G152" s="14"/>
      <c r="H152" s="14"/>
    </row>
    <row r="153" spans="1:8" x14ac:dyDescent="0.25">
      <c r="A153" s="3"/>
      <c r="B153" s="3"/>
      <c r="C153" s="3"/>
      <c r="D153" s="3"/>
      <c r="G153" s="14"/>
      <c r="H153" s="14"/>
    </row>
    <row r="154" spans="1:8" x14ac:dyDescent="0.25">
      <c r="A154" s="3"/>
      <c r="B154" s="3"/>
      <c r="C154" s="3"/>
      <c r="D154" s="3"/>
      <c r="G154" s="14"/>
      <c r="H154" s="14"/>
    </row>
    <row r="155" spans="1:8" x14ac:dyDescent="0.25">
      <c r="A155" s="3"/>
      <c r="B155" s="3"/>
      <c r="C155" s="3"/>
      <c r="D155" s="3"/>
      <c r="G155" s="14"/>
      <c r="H155" s="14"/>
    </row>
    <row r="156" spans="1:8" x14ac:dyDescent="0.25">
      <c r="A156" s="3"/>
      <c r="B156" s="3"/>
      <c r="C156" s="3"/>
      <c r="D156" s="3"/>
      <c r="G156" s="14"/>
      <c r="H156" s="14"/>
    </row>
    <row r="157" spans="1:8" x14ac:dyDescent="0.25">
      <c r="A157" s="3"/>
      <c r="B157" s="3"/>
      <c r="C157" s="3"/>
      <c r="D157" s="3"/>
      <c r="G157" s="14"/>
      <c r="H157" s="14"/>
    </row>
    <row r="158" spans="1:8" x14ac:dyDescent="0.25">
      <c r="A158" s="3"/>
      <c r="B158" s="3"/>
      <c r="C158" s="3"/>
      <c r="D158" s="3"/>
      <c r="G158" s="14"/>
      <c r="H158" s="14"/>
    </row>
    <row r="159" spans="1:8" x14ac:dyDescent="0.25">
      <c r="A159" s="3"/>
      <c r="B159" s="3"/>
      <c r="C159" s="3"/>
      <c r="D159" s="3"/>
      <c r="G159" s="14"/>
      <c r="H159" s="14"/>
    </row>
    <row r="160" spans="1:8" x14ac:dyDescent="0.25">
      <c r="A160" s="3"/>
      <c r="B160" s="3"/>
      <c r="C160" s="3"/>
      <c r="D160" s="3"/>
      <c r="G160" s="14"/>
      <c r="H160" s="14"/>
    </row>
    <row r="161" spans="1:8" x14ac:dyDescent="0.25">
      <c r="A161" s="3"/>
      <c r="B161" s="3"/>
      <c r="C161" s="3"/>
      <c r="D161" s="3"/>
      <c r="G161" s="14"/>
      <c r="H161" s="14"/>
    </row>
    <row r="162" spans="1:8" x14ac:dyDescent="0.25">
      <c r="A162" s="3"/>
      <c r="B162" s="3"/>
      <c r="C162" s="3"/>
      <c r="D162" s="3"/>
      <c r="G162" s="14"/>
      <c r="H162" s="14"/>
    </row>
    <row r="163" spans="1:8" x14ac:dyDescent="0.25">
      <c r="A163" s="3"/>
      <c r="B163" s="3"/>
      <c r="C163" s="3"/>
      <c r="D163" s="3"/>
      <c r="G163" s="14"/>
      <c r="H163" s="14"/>
    </row>
    <row r="164" spans="1:8" x14ac:dyDescent="0.25">
      <c r="A164" s="3"/>
      <c r="B164" s="3"/>
      <c r="C164" s="3"/>
      <c r="D164" s="3"/>
      <c r="G164" s="14"/>
      <c r="H164" s="14"/>
    </row>
    <row r="165" spans="1:8" x14ac:dyDescent="0.25">
      <c r="A165" s="3"/>
      <c r="B165" s="3"/>
      <c r="C165" s="3"/>
      <c r="D165" s="3"/>
      <c r="G165" s="14"/>
      <c r="H165" s="14"/>
    </row>
    <row r="166" spans="1:8" x14ac:dyDescent="0.25">
      <c r="A166" s="3"/>
      <c r="B166" s="3"/>
      <c r="C166" s="3"/>
      <c r="D166" s="3"/>
      <c r="G166" s="14"/>
      <c r="H166" s="14"/>
    </row>
    <row r="167" spans="1:8" x14ac:dyDescent="0.25">
      <c r="A167" s="3"/>
      <c r="B167" s="3"/>
      <c r="C167" s="3"/>
      <c r="D167" s="3"/>
      <c r="G167" s="14"/>
      <c r="H167" s="14"/>
    </row>
    <row r="168" spans="1:8" x14ac:dyDescent="0.25">
      <c r="A168" s="3"/>
      <c r="B168" s="3"/>
      <c r="C168" s="3"/>
      <c r="D168" s="3"/>
      <c r="G168" s="14"/>
      <c r="H168" s="14"/>
    </row>
    <row r="169" spans="1:8" x14ac:dyDescent="0.25">
      <c r="A169" s="3"/>
      <c r="B169" s="3"/>
      <c r="C169" s="3"/>
      <c r="D169" s="3"/>
      <c r="G169" s="14"/>
      <c r="H169" s="14"/>
    </row>
    <row r="170" spans="1:8" x14ac:dyDescent="0.25">
      <c r="A170" s="3"/>
      <c r="B170" s="3"/>
      <c r="C170" s="3"/>
      <c r="D170" s="3"/>
      <c r="G170" s="14"/>
      <c r="H170" s="14"/>
    </row>
    <row r="171" spans="1:8" x14ac:dyDescent="0.25">
      <c r="A171" s="3"/>
      <c r="B171" s="3"/>
      <c r="C171" s="3"/>
      <c r="D171" s="3"/>
      <c r="G171" s="14"/>
      <c r="H171" s="14"/>
    </row>
    <row r="172" spans="1:8" x14ac:dyDescent="0.25">
      <c r="A172" s="3"/>
      <c r="B172" s="3"/>
      <c r="C172" s="3"/>
      <c r="D172" s="3"/>
      <c r="G172" s="14"/>
      <c r="H172" s="14"/>
    </row>
    <row r="173" spans="1:8" x14ac:dyDescent="0.25">
      <c r="A173" s="3"/>
      <c r="B173" s="3"/>
      <c r="C173" s="3"/>
      <c r="D173" s="3"/>
      <c r="G173" s="14"/>
      <c r="H173" s="14"/>
    </row>
    <row r="174" spans="1:8" x14ac:dyDescent="0.25">
      <c r="A174" s="3"/>
      <c r="B174" s="3"/>
      <c r="C174" s="3"/>
      <c r="D174" s="3"/>
      <c r="G174" s="14"/>
      <c r="H174" s="14"/>
    </row>
    <row r="175" spans="1:8" x14ac:dyDescent="0.25">
      <c r="A175" s="3"/>
      <c r="B175" s="3"/>
      <c r="C175" s="3"/>
      <c r="D175" s="3"/>
      <c r="G175" s="14"/>
      <c r="H175" s="14"/>
    </row>
    <row r="176" spans="1:8" x14ac:dyDescent="0.25">
      <c r="A176" s="3"/>
      <c r="B176" s="3"/>
      <c r="C176" s="3"/>
      <c r="D176" s="3"/>
      <c r="G176" s="14"/>
      <c r="H176" s="14"/>
    </row>
    <row r="177" spans="1:8" x14ac:dyDescent="0.25">
      <c r="A177" s="3"/>
      <c r="B177" s="3"/>
      <c r="C177" s="3"/>
      <c r="D177" s="3"/>
      <c r="G177" s="14"/>
      <c r="H177" s="14"/>
    </row>
    <row r="178" spans="1:8" x14ac:dyDescent="0.25">
      <c r="A178" s="3"/>
      <c r="B178" s="3"/>
      <c r="C178" s="3"/>
      <c r="D178" s="3"/>
      <c r="G178" s="14"/>
      <c r="H178" s="14"/>
    </row>
    <row r="179" spans="1:8" x14ac:dyDescent="0.25">
      <c r="A179" s="3"/>
      <c r="B179" s="3"/>
      <c r="C179" s="3"/>
      <c r="D179" s="3"/>
      <c r="G179" s="14"/>
      <c r="H179" s="14"/>
    </row>
    <row r="180" spans="1:8" x14ac:dyDescent="0.25">
      <c r="A180" s="3"/>
      <c r="B180" s="3"/>
      <c r="C180" s="3"/>
      <c r="D180" s="3"/>
      <c r="G180" s="14"/>
      <c r="H180" s="14"/>
    </row>
    <row r="181" spans="1:8" x14ac:dyDescent="0.25">
      <c r="A181" s="3"/>
      <c r="B181" s="3"/>
      <c r="C181" s="3"/>
      <c r="D181" s="3"/>
      <c r="G181" s="14"/>
      <c r="H181" s="14"/>
    </row>
    <row r="182" spans="1:8" x14ac:dyDescent="0.25">
      <c r="A182" s="3"/>
      <c r="B182" s="3"/>
      <c r="C182" s="3"/>
      <c r="D182" s="3"/>
      <c r="G182" s="14"/>
      <c r="H182" s="14"/>
    </row>
    <row r="183" spans="1:8" x14ac:dyDescent="0.25">
      <c r="A183" s="3"/>
      <c r="B183" s="3"/>
      <c r="C183" s="3"/>
      <c r="D183" s="3"/>
      <c r="G183" s="14"/>
      <c r="H183" s="14"/>
    </row>
    <row r="184" spans="1:8" x14ac:dyDescent="0.25">
      <c r="A184" s="3"/>
      <c r="B184" s="3"/>
      <c r="C184" s="3"/>
      <c r="D184" s="3"/>
      <c r="G184" s="14"/>
      <c r="H184" s="14"/>
    </row>
    <row r="185" spans="1:8" x14ac:dyDescent="0.25">
      <c r="A185" s="3"/>
      <c r="B185" s="3"/>
      <c r="C185" s="3"/>
      <c r="D185" s="3"/>
      <c r="G185" s="14"/>
      <c r="H185" s="14"/>
    </row>
    <row r="186" spans="1:8" x14ac:dyDescent="0.25">
      <c r="A186" s="3"/>
      <c r="B186" s="3"/>
      <c r="C186" s="3"/>
      <c r="D186" s="3"/>
      <c r="G186" s="14"/>
      <c r="H186" s="14"/>
    </row>
    <row r="187" spans="1:8" x14ac:dyDescent="0.25">
      <c r="A187" s="3"/>
      <c r="B187" s="3"/>
      <c r="C187" s="3"/>
      <c r="D187" s="3"/>
      <c r="G187" s="14"/>
      <c r="H187" s="14"/>
    </row>
    <row r="188" spans="1:8" x14ac:dyDescent="0.25">
      <c r="A188" s="3"/>
      <c r="B188" s="3"/>
      <c r="C188" s="3"/>
      <c r="D188" s="3"/>
      <c r="G188" s="14"/>
      <c r="H188" s="14"/>
    </row>
    <row r="189" spans="1:8" x14ac:dyDescent="0.25">
      <c r="A189" s="3"/>
      <c r="B189" s="3"/>
      <c r="C189" s="3"/>
      <c r="D189" s="3"/>
      <c r="G189" s="14"/>
      <c r="H189" s="14"/>
    </row>
    <row r="190" spans="1:8" x14ac:dyDescent="0.25">
      <c r="A190" s="3"/>
      <c r="B190" s="3"/>
      <c r="C190" s="3"/>
      <c r="D190" s="3"/>
      <c r="G190" s="14"/>
      <c r="H190" s="14"/>
    </row>
    <row r="191" spans="1:8" x14ac:dyDescent="0.25">
      <c r="A191" s="3"/>
      <c r="B191" s="3"/>
      <c r="C191" s="3"/>
      <c r="D191" s="3"/>
      <c r="G191" s="14"/>
      <c r="H191" s="14"/>
    </row>
    <row r="192" spans="1:8" x14ac:dyDescent="0.25">
      <c r="A192" s="3"/>
      <c r="B192" s="3"/>
      <c r="C192" s="3"/>
      <c r="D192" s="3"/>
      <c r="G192" s="14"/>
      <c r="H192" s="14"/>
    </row>
    <row r="193" spans="1:8" x14ac:dyDescent="0.25">
      <c r="A193" s="3"/>
      <c r="B193" s="3"/>
      <c r="C193" s="3"/>
      <c r="D193" s="3"/>
      <c r="G193" s="14"/>
      <c r="H193" s="14"/>
    </row>
    <row r="194" spans="1:8" x14ac:dyDescent="0.25">
      <c r="A194" s="3"/>
      <c r="B194" s="3"/>
      <c r="C194" s="3"/>
      <c r="D194" s="3"/>
      <c r="G194" s="14"/>
      <c r="H194" s="14"/>
    </row>
    <row r="195" spans="1:8" x14ac:dyDescent="0.25">
      <c r="A195" s="3"/>
      <c r="B195" s="3"/>
      <c r="C195" s="3"/>
      <c r="D195" s="3"/>
      <c r="G195" s="14"/>
      <c r="H195" s="14"/>
    </row>
    <row r="196" spans="1:8" x14ac:dyDescent="0.25">
      <c r="A196" s="3"/>
      <c r="B196" s="3"/>
      <c r="C196" s="3"/>
      <c r="D196" s="3"/>
      <c r="G196" s="14"/>
      <c r="H196" s="14"/>
    </row>
    <row r="197" spans="1:8" x14ac:dyDescent="0.25">
      <c r="A197" s="3"/>
      <c r="B197" s="3"/>
      <c r="C197" s="3"/>
      <c r="D197" s="3"/>
      <c r="G197" s="14"/>
      <c r="H197" s="14"/>
    </row>
    <row r="198" spans="1:8" x14ac:dyDescent="0.25">
      <c r="A198" s="3"/>
      <c r="B198" s="3"/>
      <c r="C198" s="3"/>
      <c r="D198" s="3"/>
      <c r="G198" s="14"/>
      <c r="H198" s="14"/>
    </row>
    <row r="199" spans="1:8" x14ac:dyDescent="0.25">
      <c r="A199" s="3"/>
      <c r="B199" s="3"/>
      <c r="C199" s="3"/>
      <c r="D199" s="3"/>
      <c r="G199" s="14"/>
      <c r="H199" s="14"/>
    </row>
    <row r="200" spans="1:8" x14ac:dyDescent="0.25">
      <c r="A200" s="3"/>
      <c r="B200" s="3"/>
      <c r="C200" s="3"/>
      <c r="D200" s="3"/>
      <c r="G200" s="14"/>
      <c r="H200" s="14"/>
    </row>
    <row r="201" spans="1:8" x14ac:dyDescent="0.25">
      <c r="A201" s="3"/>
      <c r="B201" s="3"/>
      <c r="C201" s="3"/>
      <c r="D201" s="3"/>
      <c r="G201" s="14"/>
      <c r="H201" s="14"/>
    </row>
    <row r="202" spans="1:8" x14ac:dyDescent="0.25">
      <c r="A202" s="3"/>
      <c r="B202" s="3"/>
      <c r="C202" s="3"/>
      <c r="D202" s="3"/>
      <c r="G202" s="14"/>
      <c r="H202" s="14"/>
    </row>
    <row r="203" spans="1:8" x14ac:dyDescent="0.25">
      <c r="A203" s="3"/>
      <c r="B203" s="3"/>
      <c r="C203" s="3"/>
      <c r="D203" s="3"/>
      <c r="G203" s="14"/>
      <c r="H203" s="14"/>
    </row>
    <row r="204" spans="1:8" x14ac:dyDescent="0.25">
      <c r="A204" s="3"/>
      <c r="B204" s="3"/>
      <c r="C204" s="3"/>
      <c r="D204" s="3"/>
      <c r="G204" s="14"/>
      <c r="H204" s="14"/>
    </row>
    <row r="205" spans="1:8" x14ac:dyDescent="0.25">
      <c r="A205" s="3"/>
      <c r="B205" s="3"/>
      <c r="C205" s="3"/>
      <c r="D205" s="3"/>
      <c r="G205" s="14"/>
      <c r="H205" s="14"/>
    </row>
    <row r="206" spans="1:8" x14ac:dyDescent="0.25">
      <c r="A206" s="3"/>
      <c r="B206" s="3"/>
      <c r="C206" s="3"/>
      <c r="D206" s="3"/>
      <c r="G206" s="14"/>
      <c r="H206" s="14"/>
    </row>
    <row r="207" spans="1:8" x14ac:dyDescent="0.25">
      <c r="A207" s="3"/>
      <c r="B207" s="3"/>
      <c r="C207" s="3"/>
      <c r="D207" s="3"/>
      <c r="G207" s="14"/>
      <c r="H207" s="14"/>
    </row>
    <row r="208" spans="1:8" x14ac:dyDescent="0.25">
      <c r="A208" s="3"/>
      <c r="B208" s="3"/>
      <c r="C208" s="3"/>
      <c r="D208" s="3"/>
      <c r="G208" s="14"/>
      <c r="H208" s="14"/>
    </row>
    <row r="209" spans="1:8" x14ac:dyDescent="0.25">
      <c r="A209" s="3"/>
      <c r="B209" s="3"/>
      <c r="C209" s="3"/>
      <c r="D209" s="3"/>
      <c r="G209" s="14"/>
      <c r="H209" s="14"/>
    </row>
    <row r="210" spans="1:8" x14ac:dyDescent="0.25">
      <c r="A210" s="3"/>
      <c r="B210" s="3"/>
      <c r="C210" s="3"/>
      <c r="D210" s="3"/>
      <c r="G210" s="14"/>
      <c r="H210" s="14"/>
    </row>
    <row r="211" spans="1:8" x14ac:dyDescent="0.25">
      <c r="A211" s="3"/>
      <c r="B211" s="3"/>
      <c r="C211" s="3"/>
      <c r="D211" s="3"/>
      <c r="G211" s="14"/>
      <c r="H211" s="14"/>
    </row>
    <row r="212" spans="1:8" x14ac:dyDescent="0.25">
      <c r="A212" s="3"/>
      <c r="B212" s="3"/>
      <c r="C212" s="3"/>
      <c r="D212" s="3"/>
      <c r="G212" s="14"/>
      <c r="H212" s="14"/>
    </row>
    <row r="213" spans="1:8" x14ac:dyDescent="0.25">
      <c r="A213" s="3"/>
      <c r="B213" s="3"/>
      <c r="C213" s="3"/>
      <c r="D213" s="3"/>
      <c r="G213" s="14"/>
      <c r="H213" s="14"/>
    </row>
    <row r="214" spans="1:8" x14ac:dyDescent="0.25">
      <c r="A214" s="3"/>
      <c r="B214" s="3"/>
      <c r="C214" s="3"/>
      <c r="D214" s="3"/>
      <c r="G214" s="14"/>
      <c r="H214" s="14"/>
    </row>
    <row r="215" spans="1:8" x14ac:dyDescent="0.25">
      <c r="A215" s="3"/>
      <c r="B215" s="3"/>
      <c r="C215" s="3"/>
      <c r="D215" s="3"/>
      <c r="G215" s="14"/>
      <c r="H215" s="14"/>
    </row>
    <row r="216" spans="1:8" x14ac:dyDescent="0.25">
      <c r="A216" s="3"/>
      <c r="B216" s="3"/>
      <c r="C216" s="3"/>
      <c r="D216" s="3"/>
      <c r="G216" s="14"/>
      <c r="H216" s="14"/>
    </row>
    <row r="217" spans="1:8" x14ac:dyDescent="0.25">
      <c r="A217" s="3"/>
      <c r="B217" s="3"/>
      <c r="C217" s="3"/>
      <c r="D217" s="3"/>
      <c r="G217" s="14"/>
      <c r="H217" s="14"/>
    </row>
    <row r="218" spans="1:8" x14ac:dyDescent="0.25">
      <c r="A218" s="3"/>
      <c r="B218" s="3"/>
      <c r="C218" s="3"/>
      <c r="D218" s="3"/>
      <c r="G218" s="14"/>
      <c r="H218" s="14"/>
    </row>
    <row r="219" spans="1:8" x14ac:dyDescent="0.25">
      <c r="A219" s="3"/>
      <c r="B219" s="3"/>
      <c r="C219" s="3"/>
      <c r="D219" s="3"/>
      <c r="G219" s="14"/>
      <c r="H219" s="14"/>
    </row>
    <row r="220" spans="1:8" x14ac:dyDescent="0.25">
      <c r="A220" s="3"/>
      <c r="B220" s="3"/>
      <c r="C220" s="3"/>
      <c r="D220" s="3"/>
      <c r="G220" s="14"/>
      <c r="H220" s="14"/>
    </row>
    <row r="221" spans="1:8" x14ac:dyDescent="0.25">
      <c r="A221" s="3"/>
      <c r="B221" s="3"/>
      <c r="C221" s="3"/>
      <c r="D221" s="3"/>
      <c r="G221" s="14"/>
      <c r="H221" s="14"/>
    </row>
    <row r="222" spans="1:8" x14ac:dyDescent="0.25">
      <c r="A222" s="3"/>
      <c r="B222" s="3"/>
      <c r="C222" s="3"/>
      <c r="D222" s="3"/>
      <c r="G222" s="14"/>
      <c r="H222" s="14"/>
    </row>
    <row r="223" spans="1:8" x14ac:dyDescent="0.25">
      <c r="A223" s="3"/>
      <c r="B223" s="3"/>
      <c r="C223" s="3"/>
      <c r="D223" s="3"/>
      <c r="G223" s="14"/>
      <c r="H223" s="14"/>
    </row>
    <row r="224" spans="1:8" x14ac:dyDescent="0.25">
      <c r="A224" s="3"/>
      <c r="B224" s="3"/>
      <c r="C224" s="3"/>
      <c r="D224" s="3"/>
      <c r="G224" s="14"/>
      <c r="H224" s="14"/>
    </row>
    <row r="225" spans="1:8" x14ac:dyDescent="0.25">
      <c r="A225" s="3"/>
      <c r="B225" s="3"/>
      <c r="C225" s="3"/>
      <c r="D225" s="3"/>
      <c r="G225" s="14"/>
      <c r="H225" s="14"/>
    </row>
    <row r="226" spans="1:8" x14ac:dyDescent="0.25">
      <c r="A226" s="3"/>
      <c r="B226" s="3"/>
      <c r="C226" s="3"/>
      <c r="D226" s="3"/>
      <c r="G226" s="14"/>
      <c r="H226" s="14"/>
    </row>
    <row r="227" spans="1:8" x14ac:dyDescent="0.25">
      <c r="A227" s="3"/>
      <c r="B227" s="3"/>
      <c r="C227" s="3"/>
      <c r="D227" s="3"/>
      <c r="G227" s="14"/>
      <c r="H227" s="14"/>
    </row>
    <row r="228" spans="1:8" x14ac:dyDescent="0.25">
      <c r="A228" s="3"/>
      <c r="B228" s="3"/>
      <c r="C228" s="3"/>
      <c r="D228" s="3"/>
      <c r="G228" s="14"/>
      <c r="H228" s="14"/>
    </row>
    <row r="229" spans="1:8" x14ac:dyDescent="0.25">
      <c r="A229" s="3"/>
      <c r="B229" s="3"/>
      <c r="C229" s="3"/>
      <c r="D229" s="3"/>
      <c r="G229" s="14"/>
      <c r="H229" s="14"/>
    </row>
    <row r="230" spans="1:8" x14ac:dyDescent="0.25">
      <c r="A230" s="3"/>
      <c r="B230" s="3"/>
      <c r="C230" s="3"/>
      <c r="D230" s="3"/>
      <c r="G230" s="14"/>
      <c r="H230" s="14"/>
    </row>
    <row r="231" spans="1:8" x14ac:dyDescent="0.25">
      <c r="A231" s="3"/>
      <c r="B231" s="3"/>
      <c r="C231" s="3"/>
      <c r="D231" s="3"/>
      <c r="G231" s="14"/>
      <c r="H231" s="14"/>
    </row>
    <row r="232" spans="1:8" x14ac:dyDescent="0.25">
      <c r="A232" s="3"/>
      <c r="B232" s="3"/>
      <c r="C232" s="3"/>
      <c r="D232" s="3"/>
      <c r="G232" s="14"/>
      <c r="H232" s="14"/>
    </row>
    <row r="233" spans="1:8" x14ac:dyDescent="0.25">
      <c r="A233" s="3"/>
      <c r="B233" s="3"/>
      <c r="C233" s="3"/>
      <c r="D233" s="3"/>
      <c r="G233" s="14"/>
      <c r="H233" s="14"/>
    </row>
    <row r="234" spans="1:8" x14ac:dyDescent="0.25">
      <c r="A234" s="3"/>
      <c r="B234" s="3"/>
      <c r="C234" s="3"/>
      <c r="D234" s="3"/>
      <c r="G234" s="14"/>
      <c r="H234" s="14"/>
    </row>
    <row r="235" spans="1:8" x14ac:dyDescent="0.25">
      <c r="A235" s="3"/>
      <c r="B235" s="3"/>
      <c r="C235" s="3"/>
      <c r="D235" s="3"/>
      <c r="G235" s="14"/>
      <c r="H235" s="14"/>
    </row>
    <row r="236" spans="1:8" x14ac:dyDescent="0.25">
      <c r="A236" s="3"/>
      <c r="B236" s="3"/>
      <c r="C236" s="3"/>
      <c r="D236" s="3"/>
      <c r="G236" s="14"/>
      <c r="H236" s="14"/>
    </row>
    <row r="237" spans="1:8" x14ac:dyDescent="0.25">
      <c r="A237" s="3"/>
      <c r="B237" s="3"/>
      <c r="C237" s="3"/>
      <c r="D237" s="3"/>
      <c r="G237" s="14"/>
      <c r="H237" s="14"/>
    </row>
    <row r="238" spans="1:8" x14ac:dyDescent="0.25">
      <c r="A238" s="3"/>
      <c r="B238" s="3"/>
      <c r="C238" s="3"/>
      <c r="D238" s="3"/>
      <c r="G238" s="14"/>
      <c r="H238" s="14"/>
    </row>
    <row r="239" spans="1:8" x14ac:dyDescent="0.25">
      <c r="A239" s="3"/>
      <c r="B239" s="3"/>
      <c r="C239" s="3"/>
      <c r="D239" s="3"/>
      <c r="G239" s="14"/>
      <c r="H239" s="14"/>
    </row>
    <row r="240" spans="1:8" x14ac:dyDescent="0.25">
      <c r="A240" s="3"/>
      <c r="B240" s="3"/>
      <c r="C240" s="3"/>
      <c r="D240" s="3"/>
      <c r="G240" s="14"/>
      <c r="H240" s="14"/>
    </row>
    <row r="241" spans="1:8" x14ac:dyDescent="0.25">
      <c r="A241" s="3"/>
      <c r="B241" s="3"/>
      <c r="C241" s="3"/>
      <c r="D241" s="3"/>
      <c r="G241" s="14"/>
      <c r="H241" s="14"/>
    </row>
    <row r="242" spans="1:8" x14ac:dyDescent="0.25">
      <c r="A242" s="3"/>
      <c r="B242" s="3"/>
      <c r="C242" s="3"/>
      <c r="D242" s="3"/>
      <c r="G242" s="14"/>
      <c r="H242" s="14"/>
    </row>
    <row r="243" spans="1:8" x14ac:dyDescent="0.25">
      <c r="A243" s="3"/>
      <c r="B243" s="3"/>
      <c r="C243" s="3"/>
      <c r="D243" s="3"/>
      <c r="G243" s="14"/>
      <c r="H243" s="14"/>
    </row>
    <row r="244" spans="1:8" x14ac:dyDescent="0.25">
      <c r="A244" s="3"/>
      <c r="B244" s="3"/>
      <c r="C244" s="3"/>
      <c r="D244" s="3"/>
      <c r="G244" s="14"/>
      <c r="H244" s="14"/>
    </row>
    <row r="245" spans="1:8" x14ac:dyDescent="0.25">
      <c r="A245" s="3"/>
      <c r="B245" s="3"/>
      <c r="C245" s="3"/>
      <c r="D245" s="3"/>
      <c r="G245" s="14"/>
      <c r="H245" s="14"/>
    </row>
    <row r="247" spans="1:8" x14ac:dyDescent="0.25">
      <c r="A247" s="3"/>
      <c r="G247" s="14"/>
      <c r="H247" s="14"/>
    </row>
  </sheetData>
  <phoneticPr fontId="1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329BF2-7BA5-4B39-931A-6B4C8895F458}">
  <sheetPr/>
  <dimension ref="A1:I247"/>
  <sheetViews>
    <sheetView zoomScale="115" zoomScaleNormal="115" workbookViewId="0">
      <selection activeCell="A5" sqref="A5:H44"/>
    </sheetView>
  </sheetViews>
  <sheetFormatPr defaultRowHeight="15" x14ac:dyDescent="0.25"/>
  <cols>
    <col min="1" max="1" width="8.875" style="4" customWidth="1"/>
    <col min="2" max="3" width="15.125" style="4" customWidth="1"/>
    <col min="4" max="4" width="10.25" style="4" customWidth="1"/>
    <col min="5" max="5" width="12" style="13" customWidth="1"/>
    <col min="6" max="6" width="15" style="13" customWidth="1"/>
    <col min="7" max="7" width="13.875" customWidth="1"/>
    <col min="8" max="8" width="11.125" customWidth="1"/>
    <col min="11" max="12" width="15.125" customWidth="1"/>
    <col min="13" max="13" width="11.125" customWidth="1"/>
  </cols>
  <sheetData>
    <row r="1" spans="1:9" ht="14.25" x14ac:dyDescent="0.2">
      <c r="A1" s="2" t="s">
        <v>12</v>
      </c>
      <c r="B1" s="2" t="s">
        <v>4</v>
      </c>
      <c r="C1" s="2" t="s">
        <v>5</v>
      </c>
      <c r="D1" s="2" t="s">
        <v>13</v>
      </c>
      <c r="E1" s="2" t="s">
        <v>14</v>
      </c>
      <c r="F1" s="2" t="s">
        <v>15</v>
      </c>
      <c r="G1" s="2" t="s">
        <v>16</v>
      </c>
    </row>
    <row r="2" spans="1:9" x14ac:dyDescent="0.25">
      <c r="A2" s="11">
        <v>5</v>
      </c>
      <c r="B2" s="3">
        <v>113.3937543</v>
      </c>
      <c r="C2" s="8">
        <v>22.91931988</v>
      </c>
      <c r="D2" s="3">
        <v>1785</v>
      </c>
      <c r="E2" s="13">
        <v>1785</v>
      </c>
      <c r="F2" s="13">
        <v>6</v>
      </c>
      <c r="G2" s="19">
        <f>SUBTOTAL(2,A5:A250)</f>
        <v>14</v>
      </c>
    </row>
    <row r="3" spans="1:9" x14ac:dyDescent="0.25">
      <c r="A3" s="3"/>
      <c r="B3" s="3"/>
      <c r="C3" s="3"/>
      <c r="D3" s="3"/>
    </row>
    <row r="4" spans="1:9" ht="14.25" x14ac:dyDescent="0.2">
      <c r="A4" s="2" t="s">
        <v>0</v>
      </c>
      <c r="B4" s="2" t="s">
        <v>1</v>
      </c>
      <c r="C4" s="2" t="s">
        <v>2</v>
      </c>
      <c r="D4" s="2" t="s">
        <v>3</v>
      </c>
      <c r="E4" s="2" t="s">
        <v>7</v>
      </c>
      <c r="F4" s="2" t="s">
        <v>8</v>
      </c>
      <c r="G4" s="2" t="s">
        <v>13</v>
      </c>
      <c r="H4" s="2" t="s">
        <v>14</v>
      </c>
      <c r="I4" s="24" t="s">
        <v>20</v>
      </c>
    </row>
    <row r="5" spans="1:9" x14ac:dyDescent="0.25">
      <c r="A5" s="3">
        <v>4345</v>
      </c>
      <c r="B5" s="3">
        <v>113.3945646</v>
      </c>
      <c r="C5" s="3">
        <v>22.918421739999999</v>
      </c>
      <c r="D5" s="3">
        <v>5</v>
      </c>
      <c r="E5" s="13">
        <f t="shared" ref="E5:E45" si="0">SQRT((B5-$B$2)^2+(C5-$C$2)^2)</f>
        <v>1.2096452164154878E-3</v>
      </c>
      <c r="F5" s="13">
        <f t="shared" ref="F5:F45" si="1">SQRT(1/E5)</f>
        <v>28.752194247146743</v>
      </c>
      <c r="G5" s="14">
        <f>F5/$F$47*$D$2</f>
        <v>305.17651859882096</v>
      </c>
      <c r="H5" s="14">
        <f>F5/$F$47*$E$2</f>
        <v>305.17651859882096</v>
      </c>
      <c r="I5" s="25" t="str">
        <f>IF(MOD(ROW()-1,3)=1,"选中","")</f>
        <v>选中</v>
      </c>
    </row>
    <row r="6" spans="1:9" hidden="1" x14ac:dyDescent="0.25">
      <c r="A6" s="3">
        <v>4348</v>
      </c>
      <c r="B6" s="3">
        <v>113.3930766</v>
      </c>
      <c r="C6" s="3">
        <v>22.917758200000002</v>
      </c>
      <c r="D6" s="3">
        <v>5</v>
      </c>
      <c r="E6" s="13">
        <f t="shared" si="0"/>
        <v>1.7023870630354819E-3</v>
      </c>
      <c r="F6" s="13">
        <f t="shared" si="1"/>
        <v>24.236552537791564</v>
      </c>
      <c r="G6" s="14" t="e">
        <f>F6/$F$124*$D$2</f>
        <v>#DIV/0!</v>
      </c>
      <c r="H6" s="14" t="e">
        <f>F6/$F$124*$E$2</f>
        <v>#DIV/0!</v>
      </c>
      <c r="I6" s="25" t="str">
        <f t="shared" ref="I6:I45" si="2">IF(MOD(ROW()-1,3)=1,"选中","")</f>
        <v/>
      </c>
    </row>
    <row r="7" spans="1:9" hidden="1" x14ac:dyDescent="0.25">
      <c r="A7" s="3">
        <v>4336</v>
      </c>
      <c r="B7" s="3">
        <v>113.3901269</v>
      </c>
      <c r="C7" s="3">
        <v>22.919416160000001</v>
      </c>
      <c r="D7" s="3">
        <v>5</v>
      </c>
      <c r="E7" s="13">
        <f t="shared" si="0"/>
        <v>3.6286775274739121E-3</v>
      </c>
      <c r="F7" s="13">
        <f t="shared" si="1"/>
        <v>16.60067749186631</v>
      </c>
      <c r="G7" s="14" t="e">
        <f>F7/$F$124*$D$2</f>
        <v>#DIV/0!</v>
      </c>
      <c r="H7" s="14" t="e">
        <f>F7/$F$124*$E$2</f>
        <v>#DIV/0!</v>
      </c>
      <c r="I7" s="25" t="str">
        <f t="shared" si="2"/>
        <v/>
      </c>
    </row>
    <row r="8" spans="1:9" x14ac:dyDescent="0.25">
      <c r="A8" s="3">
        <v>4350</v>
      </c>
      <c r="B8" s="3">
        <v>113.3916019</v>
      </c>
      <c r="C8" s="3">
        <v>22.91638605</v>
      </c>
      <c r="D8" s="3">
        <v>5</v>
      </c>
      <c r="E8" s="13">
        <f t="shared" si="0"/>
        <v>3.6387063949842474E-3</v>
      </c>
      <c r="F8" s="13">
        <f t="shared" si="1"/>
        <v>16.577784621289034</v>
      </c>
      <c r="G8" s="14">
        <f>F8/$F$47*$D$2</f>
        <v>175.95702621229029</v>
      </c>
      <c r="H8" s="14">
        <f>F8/$F$47*$E$2</f>
        <v>175.95702621229029</v>
      </c>
      <c r="I8" s="25" t="str">
        <f t="shared" si="2"/>
        <v>选中</v>
      </c>
    </row>
    <row r="9" spans="1:9" hidden="1" x14ac:dyDescent="0.25">
      <c r="A9" s="3">
        <v>4349</v>
      </c>
      <c r="B9" s="3">
        <v>113.3918539</v>
      </c>
      <c r="C9" s="3">
        <v>22.91546438</v>
      </c>
      <c r="D9" s="3">
        <v>5</v>
      </c>
      <c r="E9" s="13">
        <f t="shared" si="0"/>
        <v>4.2984183614428731E-3</v>
      </c>
      <c r="F9" s="13">
        <f t="shared" si="1"/>
        <v>15.252662430675072</v>
      </c>
      <c r="G9" s="14" t="e">
        <f>F9/$F$124*$D$2</f>
        <v>#DIV/0!</v>
      </c>
      <c r="H9" s="14" t="e">
        <f>F9/$F$124*$E$2</f>
        <v>#DIV/0!</v>
      </c>
      <c r="I9" s="25" t="str">
        <f t="shared" si="2"/>
        <v/>
      </c>
    </row>
    <row r="10" spans="1:9" hidden="1" x14ac:dyDescent="0.25">
      <c r="A10" s="3">
        <v>4346</v>
      </c>
      <c r="B10" s="3">
        <v>113.3980787</v>
      </c>
      <c r="C10" s="3">
        <v>22.920474819999999</v>
      </c>
      <c r="D10" s="3">
        <v>5</v>
      </c>
      <c r="E10" s="13">
        <f t="shared" si="0"/>
        <v>4.475971599955904E-3</v>
      </c>
      <c r="F10" s="13">
        <f t="shared" si="1"/>
        <v>14.947079308289394</v>
      </c>
      <c r="G10" s="14" t="e">
        <f>F10/$F$124*$D$2</f>
        <v>#DIV/0!</v>
      </c>
      <c r="H10" s="14" t="e">
        <f>F10/$F$124*$E$2</f>
        <v>#DIV/0!</v>
      </c>
      <c r="I10" s="25" t="str">
        <f t="shared" si="2"/>
        <v/>
      </c>
    </row>
    <row r="11" spans="1:9" x14ac:dyDescent="0.25">
      <c r="A11" s="3">
        <v>4347</v>
      </c>
      <c r="B11" s="3">
        <v>113.3972119</v>
      </c>
      <c r="C11" s="3">
        <v>22.916009649999999</v>
      </c>
      <c r="D11" s="3">
        <v>5</v>
      </c>
      <c r="E11" s="13">
        <f t="shared" si="0"/>
        <v>4.7867129027060274E-3</v>
      </c>
      <c r="F11" s="13">
        <f t="shared" si="1"/>
        <v>14.453775668546193</v>
      </c>
      <c r="G11" s="14">
        <f>F11/$F$47*$D$2</f>
        <v>153.41274134488012</v>
      </c>
      <c r="H11" s="14">
        <f>F11/$F$47*$E$2</f>
        <v>153.41274134488012</v>
      </c>
      <c r="I11" s="25" t="str">
        <f t="shared" si="2"/>
        <v>选中</v>
      </c>
    </row>
    <row r="12" spans="1:9" hidden="1" x14ac:dyDescent="0.25">
      <c r="A12" s="3">
        <v>4331</v>
      </c>
      <c r="B12" s="3">
        <v>113.3886955</v>
      </c>
      <c r="C12" s="3">
        <v>22.916549809999999</v>
      </c>
      <c r="D12" s="3">
        <v>5</v>
      </c>
      <c r="E12" s="13">
        <f t="shared" si="0"/>
        <v>5.7675597305018892E-3</v>
      </c>
      <c r="F12" s="13">
        <f t="shared" si="1"/>
        <v>13.16751887447437</v>
      </c>
      <c r="G12" s="14" t="e">
        <f>F12/$F$124*$D$2</f>
        <v>#DIV/0!</v>
      </c>
      <c r="H12" s="14" t="e">
        <f>F12/$F$124*$E$2</f>
        <v>#DIV/0!</v>
      </c>
      <c r="I12" s="25" t="str">
        <f t="shared" si="2"/>
        <v/>
      </c>
    </row>
    <row r="13" spans="1:9" hidden="1" x14ac:dyDescent="0.25">
      <c r="A13" s="3">
        <v>4329</v>
      </c>
      <c r="B13" s="3">
        <v>113.38841050000001</v>
      </c>
      <c r="C13" s="3">
        <v>22.916759819999999</v>
      </c>
      <c r="D13" s="3">
        <v>5</v>
      </c>
      <c r="E13" s="13">
        <f t="shared" si="0"/>
        <v>5.92537810131226E-3</v>
      </c>
      <c r="F13" s="13">
        <f t="shared" si="1"/>
        <v>12.990981548911025</v>
      </c>
      <c r="G13" s="14" t="e">
        <f>F13/$F$124*$D$2</f>
        <v>#DIV/0!</v>
      </c>
      <c r="H13" s="14" t="e">
        <f>F13/$F$124*$E$2</f>
        <v>#DIV/0!</v>
      </c>
      <c r="I13" s="25" t="str">
        <f t="shared" si="2"/>
        <v/>
      </c>
    </row>
    <row r="14" spans="1:9" x14ac:dyDescent="0.25">
      <c r="A14" s="3">
        <v>4333</v>
      </c>
      <c r="B14" s="3">
        <v>113.3883447</v>
      </c>
      <c r="C14" s="3">
        <v>22.915111530000001</v>
      </c>
      <c r="D14" s="3">
        <v>5</v>
      </c>
      <c r="E14" s="13">
        <f t="shared" si="0"/>
        <v>6.8537567714659848E-3</v>
      </c>
      <c r="F14" s="13">
        <f t="shared" si="1"/>
        <v>12.079130019091478</v>
      </c>
      <c r="G14" s="14">
        <f>F14/$F$47*$D$2</f>
        <v>128.2081922250041</v>
      </c>
      <c r="H14" s="14">
        <f>F14/$F$47*$E$2</f>
        <v>128.2081922250041</v>
      </c>
      <c r="I14" s="25" t="str">
        <f t="shared" si="2"/>
        <v>选中</v>
      </c>
    </row>
    <row r="15" spans="1:9" hidden="1" x14ac:dyDescent="0.25">
      <c r="A15" s="3">
        <v>4159</v>
      </c>
      <c r="B15" s="3">
        <v>113.3905024</v>
      </c>
      <c r="C15" s="3">
        <v>22.925411560000001</v>
      </c>
      <c r="D15" s="3">
        <v>5</v>
      </c>
      <c r="E15" s="13">
        <f t="shared" si="0"/>
        <v>6.9053181557679191E-3</v>
      </c>
      <c r="F15" s="13">
        <f t="shared" si="1"/>
        <v>12.033948635645917</v>
      </c>
      <c r="G15" s="14" t="e">
        <f>F15/$F$124*$D$2</f>
        <v>#DIV/0!</v>
      </c>
      <c r="H15" s="14" t="e">
        <f>F15/$F$124*$E$2</f>
        <v>#DIV/0!</v>
      </c>
      <c r="I15" s="25" t="str">
        <f t="shared" si="2"/>
        <v/>
      </c>
    </row>
    <row r="16" spans="1:9" hidden="1" x14ac:dyDescent="0.25">
      <c r="A16" s="3">
        <v>4342</v>
      </c>
      <c r="B16" s="3">
        <v>113.3880582</v>
      </c>
      <c r="C16" s="3">
        <v>22.923250240000002</v>
      </c>
      <c r="D16" s="3">
        <v>5</v>
      </c>
      <c r="E16" s="13">
        <f t="shared" si="0"/>
        <v>6.9204974488508179E-3</v>
      </c>
      <c r="F16" s="13">
        <f t="shared" si="1"/>
        <v>12.020743868997087</v>
      </c>
      <c r="G16" s="14" t="e">
        <f>F16/$F$124*$D$2</f>
        <v>#DIV/0!</v>
      </c>
      <c r="H16" s="14" t="e">
        <f>F16/$F$124*$E$2</f>
        <v>#DIV/0!</v>
      </c>
      <c r="I16" s="25" t="str">
        <f t="shared" si="2"/>
        <v/>
      </c>
    </row>
    <row r="17" spans="1:9" x14ac:dyDescent="0.25">
      <c r="A17" s="3">
        <v>4337</v>
      </c>
      <c r="B17" s="3">
        <v>113.3883467</v>
      </c>
      <c r="C17" s="3">
        <v>22.914990580000001</v>
      </c>
      <c r="D17" s="3">
        <v>5</v>
      </c>
      <c r="E17" s="13">
        <f t="shared" si="0"/>
        <v>6.9271188996555769E-3</v>
      </c>
      <c r="F17" s="13">
        <f t="shared" si="1"/>
        <v>12.014997338942525</v>
      </c>
      <c r="G17" s="14">
        <f>F17/$F$47*$D$2</f>
        <v>127.52748633215869</v>
      </c>
      <c r="H17" s="14">
        <f>F17/$F$47*$E$2</f>
        <v>127.52748633215869</v>
      </c>
      <c r="I17" s="25" t="str">
        <f t="shared" si="2"/>
        <v>选中</v>
      </c>
    </row>
    <row r="18" spans="1:9" hidden="1" x14ac:dyDescent="0.25">
      <c r="A18" s="3">
        <v>4165</v>
      </c>
      <c r="B18" s="3">
        <v>113.39034650000001</v>
      </c>
      <c r="C18" s="3">
        <v>22.925373610000001</v>
      </c>
      <c r="D18" s="3">
        <v>5</v>
      </c>
      <c r="E18" s="13">
        <f t="shared" si="0"/>
        <v>6.9469955918263623E-3</v>
      </c>
      <c r="F18" s="13">
        <f t="shared" si="1"/>
        <v>11.997796415783595</v>
      </c>
      <c r="G18" s="14" t="e">
        <f>F18/$F$124*$D$2</f>
        <v>#DIV/0!</v>
      </c>
      <c r="H18" s="14" t="e">
        <f>F18/$F$124*$E$2</f>
        <v>#DIV/0!</v>
      </c>
      <c r="I18" s="25" t="str">
        <f t="shared" si="2"/>
        <v/>
      </c>
    </row>
    <row r="19" spans="1:9" hidden="1" x14ac:dyDescent="0.25">
      <c r="A19" s="3">
        <v>4162</v>
      </c>
      <c r="B19" s="3">
        <v>113.38813810000001</v>
      </c>
      <c r="C19" s="3">
        <v>22.923661039999999</v>
      </c>
      <c r="D19" s="3">
        <v>5</v>
      </c>
      <c r="E19" s="13">
        <f t="shared" si="0"/>
        <v>7.0984063412499595E-3</v>
      </c>
      <c r="F19" s="13">
        <f t="shared" si="1"/>
        <v>11.869148725197117</v>
      </c>
      <c r="G19" s="14" t="e">
        <f>F19/$F$124*$D$2</f>
        <v>#DIV/0!</v>
      </c>
      <c r="H19" s="14" t="e">
        <f>F19/$F$124*$E$2</f>
        <v>#DIV/0!</v>
      </c>
      <c r="I19" s="25" t="str">
        <f t="shared" si="2"/>
        <v/>
      </c>
    </row>
    <row r="20" spans="1:9" x14ac:dyDescent="0.25">
      <c r="A20" s="3">
        <v>4157</v>
      </c>
      <c r="B20" s="3">
        <v>113.3891988</v>
      </c>
      <c r="C20" s="3">
        <v>22.925093069999999</v>
      </c>
      <c r="D20" s="3">
        <v>5</v>
      </c>
      <c r="E20" s="13">
        <f t="shared" si="0"/>
        <v>7.3540671078014385E-3</v>
      </c>
      <c r="F20" s="13">
        <f t="shared" si="1"/>
        <v>11.661011018025567</v>
      </c>
      <c r="G20" s="14">
        <f>F20/$F$47*$D$2</f>
        <v>123.77026654849773</v>
      </c>
      <c r="H20" s="14">
        <f>F20/$F$47*$E$2</f>
        <v>123.77026654849773</v>
      </c>
      <c r="I20" s="25" t="str">
        <f t="shared" si="2"/>
        <v>选中</v>
      </c>
    </row>
    <row r="21" spans="1:9" hidden="1" x14ac:dyDescent="0.25">
      <c r="A21" s="3">
        <v>4328</v>
      </c>
      <c r="B21" s="3">
        <v>113.38629830000001</v>
      </c>
      <c r="C21" s="3">
        <v>22.916580740000001</v>
      </c>
      <c r="D21" s="3">
        <v>5</v>
      </c>
      <c r="E21" s="13">
        <f t="shared" si="0"/>
        <v>7.9432250339175926E-3</v>
      </c>
      <c r="F21" s="13">
        <f t="shared" si="1"/>
        <v>11.220225021850528</v>
      </c>
      <c r="G21" s="14" t="e">
        <f>F21/$F$124*$D$2</f>
        <v>#DIV/0!</v>
      </c>
      <c r="H21" s="14" t="e">
        <f>F21/$F$124*$E$2</f>
        <v>#DIV/0!</v>
      </c>
      <c r="I21" s="25" t="str">
        <f t="shared" si="2"/>
        <v/>
      </c>
    </row>
    <row r="22" spans="1:9" hidden="1" x14ac:dyDescent="0.25">
      <c r="A22" s="3">
        <v>4334</v>
      </c>
      <c r="B22" s="3">
        <v>113.3861879</v>
      </c>
      <c r="C22" s="3">
        <v>22.922017520000001</v>
      </c>
      <c r="D22" s="3">
        <v>5</v>
      </c>
      <c r="E22" s="13">
        <f t="shared" si="0"/>
        <v>8.0329117093138509E-3</v>
      </c>
      <c r="F22" s="13">
        <f t="shared" si="1"/>
        <v>11.157412848026656</v>
      </c>
      <c r="G22" s="14" t="e">
        <f>F22/$F$124*$D$2</f>
        <v>#DIV/0!</v>
      </c>
      <c r="H22" s="14" t="e">
        <f>F22/$F$124*$E$2</f>
        <v>#DIV/0!</v>
      </c>
      <c r="I22" s="25" t="str">
        <f t="shared" si="2"/>
        <v/>
      </c>
    </row>
    <row r="23" spans="1:9" x14ac:dyDescent="0.25">
      <c r="A23" s="3">
        <v>4335</v>
      </c>
      <c r="B23" s="3">
        <v>113.38691009999999</v>
      </c>
      <c r="C23" s="3">
        <v>22.914995130000001</v>
      </c>
      <c r="D23" s="3">
        <v>5</v>
      </c>
      <c r="E23" s="13">
        <f t="shared" si="0"/>
        <v>8.0960815338367575E-3</v>
      </c>
      <c r="F23" s="13">
        <f t="shared" si="1"/>
        <v>11.11379964913457</v>
      </c>
      <c r="G23" s="14">
        <f>F23/$F$47*$D$2</f>
        <v>117.96215120744263</v>
      </c>
      <c r="H23" s="14">
        <f>F23/$F$47*$E$2</f>
        <v>117.96215120744263</v>
      </c>
      <c r="I23" s="25" t="str">
        <f t="shared" si="2"/>
        <v>选中</v>
      </c>
    </row>
    <row r="24" spans="1:9" hidden="1" x14ac:dyDescent="0.25">
      <c r="A24" s="3">
        <v>4341</v>
      </c>
      <c r="B24" s="3">
        <v>113.38759899999999</v>
      </c>
      <c r="C24" s="3">
        <v>22.913990269999999</v>
      </c>
      <c r="D24" s="3">
        <v>5</v>
      </c>
      <c r="E24" s="13">
        <f t="shared" si="0"/>
        <v>8.142018229047629E-3</v>
      </c>
      <c r="F24" s="13">
        <f t="shared" si="1"/>
        <v>11.08240366434157</v>
      </c>
      <c r="G24" s="14" t="e">
        <f>F24/$F$124*$D$2</f>
        <v>#DIV/0!</v>
      </c>
      <c r="H24" s="14" t="e">
        <f>F24/$F$124*$E$2</f>
        <v>#DIV/0!</v>
      </c>
      <c r="I24" s="25" t="str">
        <f t="shared" si="2"/>
        <v/>
      </c>
    </row>
    <row r="25" spans="1:9" hidden="1" x14ac:dyDescent="0.25">
      <c r="A25" s="3">
        <v>4332</v>
      </c>
      <c r="B25" s="3">
        <v>113.38616740000001</v>
      </c>
      <c r="C25" s="3">
        <v>22.91569617</v>
      </c>
      <c r="D25" s="3">
        <v>5</v>
      </c>
      <c r="E25" s="13">
        <f t="shared" si="0"/>
        <v>8.4078728447796874E-3</v>
      </c>
      <c r="F25" s="13">
        <f t="shared" si="1"/>
        <v>10.905785021069361</v>
      </c>
      <c r="G25" s="14" t="e">
        <f>F25/$F$124*$D$2</f>
        <v>#DIV/0!</v>
      </c>
      <c r="H25" s="14" t="e">
        <f>F25/$F$124*$E$2</f>
        <v>#DIV/0!</v>
      </c>
      <c r="I25" s="25" t="str">
        <f t="shared" si="2"/>
        <v/>
      </c>
    </row>
    <row r="26" spans="1:9" x14ac:dyDescent="0.25">
      <c r="A26" s="3">
        <v>4158</v>
      </c>
      <c r="B26" s="3">
        <v>113.3861668</v>
      </c>
      <c r="C26" s="3">
        <v>22.92414265</v>
      </c>
      <c r="D26" s="3">
        <v>5</v>
      </c>
      <c r="E26" s="13">
        <f t="shared" si="0"/>
        <v>8.9905098144042756E-3</v>
      </c>
      <c r="F26" s="13">
        <f t="shared" si="1"/>
        <v>10.546487451787819</v>
      </c>
      <c r="G26" s="14">
        <f>F26/$F$47*$D$2</f>
        <v>111.94068516360808</v>
      </c>
      <c r="H26" s="14">
        <f>F26/$F$47*$E$2</f>
        <v>111.94068516360808</v>
      </c>
      <c r="I26" s="25" t="str">
        <f t="shared" si="2"/>
        <v>选中</v>
      </c>
    </row>
    <row r="27" spans="1:9" hidden="1" x14ac:dyDescent="0.25">
      <c r="A27" s="3">
        <v>4340</v>
      </c>
      <c r="B27" s="3">
        <v>113.3863164</v>
      </c>
      <c r="C27" s="3">
        <v>22.913990810000001</v>
      </c>
      <c r="D27" s="3">
        <v>5</v>
      </c>
      <c r="E27" s="13">
        <f t="shared" si="0"/>
        <v>9.1499368016873649E-3</v>
      </c>
      <c r="F27" s="13">
        <f t="shared" si="1"/>
        <v>10.45420357301948</v>
      </c>
      <c r="G27" s="14" t="e">
        <f>F27/$F$124*$D$2</f>
        <v>#DIV/0!</v>
      </c>
      <c r="H27" s="14" t="e">
        <f>F27/$F$124*$E$2</f>
        <v>#DIV/0!</v>
      </c>
      <c r="I27" s="25" t="str">
        <f t="shared" si="2"/>
        <v/>
      </c>
    </row>
    <row r="28" spans="1:9" hidden="1" x14ac:dyDescent="0.25">
      <c r="A28" s="3">
        <v>4155</v>
      </c>
      <c r="B28" s="3">
        <v>113.3890076</v>
      </c>
      <c r="C28" s="3">
        <v>22.92850971</v>
      </c>
      <c r="D28" s="3">
        <v>5</v>
      </c>
      <c r="E28" s="13">
        <f t="shared" si="0"/>
        <v>1.034331360439639E-2</v>
      </c>
      <c r="F28" s="13">
        <f t="shared" si="1"/>
        <v>9.8326403400292381</v>
      </c>
      <c r="G28" s="14" t="e">
        <f>F28/$F$124*$D$2</f>
        <v>#DIV/0!</v>
      </c>
      <c r="H28" s="14" t="e">
        <f>F28/$F$124*$E$2</f>
        <v>#DIV/0!</v>
      </c>
      <c r="I28" s="25" t="str">
        <f t="shared" si="2"/>
        <v/>
      </c>
    </row>
    <row r="29" spans="1:9" x14ac:dyDescent="0.25">
      <c r="A29" s="3">
        <v>4330</v>
      </c>
      <c r="B29" s="3">
        <v>113.3835064</v>
      </c>
      <c r="C29" s="3">
        <v>22.91789459</v>
      </c>
      <c r="D29" s="3">
        <v>5</v>
      </c>
      <c r="E29" s="13">
        <f t="shared" si="0"/>
        <v>1.0346540774288685E-2</v>
      </c>
      <c r="F29" s="13">
        <f t="shared" si="1"/>
        <v>9.8311067803458059</v>
      </c>
      <c r="G29" s="14">
        <f>F29/$F$47*$D$2</f>
        <v>104.34761658223449</v>
      </c>
      <c r="H29" s="14">
        <f>F29/$F$47*$E$2</f>
        <v>104.34761658223449</v>
      </c>
      <c r="I29" s="25" t="str">
        <f t="shared" si="2"/>
        <v>选中</v>
      </c>
    </row>
    <row r="30" spans="1:9" hidden="1" x14ac:dyDescent="0.25">
      <c r="A30" s="3">
        <v>4343</v>
      </c>
      <c r="B30" s="3">
        <v>113.3839868</v>
      </c>
      <c r="C30" s="3">
        <v>22.923623939999999</v>
      </c>
      <c r="D30" s="3">
        <v>5</v>
      </c>
      <c r="E30" s="13">
        <f t="shared" si="0"/>
        <v>1.0673752326782714E-2</v>
      </c>
      <c r="F30" s="13">
        <f t="shared" si="1"/>
        <v>9.6792440320445738</v>
      </c>
      <c r="G30" s="14" t="e">
        <f>F30/$F$124*$D$2</f>
        <v>#DIV/0!</v>
      </c>
      <c r="H30" s="14" t="e">
        <f>F30/$F$124*$E$2</f>
        <v>#DIV/0!</v>
      </c>
      <c r="I30" s="25" t="str">
        <f t="shared" si="2"/>
        <v/>
      </c>
    </row>
    <row r="31" spans="1:9" hidden="1" x14ac:dyDescent="0.25">
      <c r="A31" s="3">
        <v>4339</v>
      </c>
      <c r="B31" s="3">
        <v>113.3830304</v>
      </c>
      <c r="C31" s="3">
        <v>22.921994160000001</v>
      </c>
      <c r="D31" s="3">
        <v>5</v>
      </c>
      <c r="E31" s="13">
        <f t="shared" si="0"/>
        <v>1.1052321237118008E-2</v>
      </c>
      <c r="F31" s="13">
        <f t="shared" si="1"/>
        <v>9.5120308550510231</v>
      </c>
      <c r="G31" s="14" t="e">
        <f>F31/$F$124*$D$2</f>
        <v>#DIV/0!</v>
      </c>
      <c r="H31" s="14" t="e">
        <f>F31/$F$124*$E$2</f>
        <v>#DIV/0!</v>
      </c>
      <c r="I31" s="25" t="str">
        <f t="shared" si="2"/>
        <v/>
      </c>
    </row>
    <row r="32" spans="1:9" x14ac:dyDescent="0.25">
      <c r="A32" s="3">
        <v>4338</v>
      </c>
      <c r="B32" s="3">
        <v>113.3825597</v>
      </c>
      <c r="C32" s="3">
        <v>22.920960860000001</v>
      </c>
      <c r="D32" s="3">
        <v>5</v>
      </c>
      <c r="E32" s="13">
        <f t="shared" si="0"/>
        <v>1.1314233713350445E-2</v>
      </c>
      <c r="F32" s="13">
        <f t="shared" si="1"/>
        <v>9.4012895180162168</v>
      </c>
      <c r="G32" s="14">
        <f>F32/$F$47*$D$2</f>
        <v>99.785525264127983</v>
      </c>
      <c r="H32" s="14">
        <f>F32/$F$47*$E$2</f>
        <v>99.785525264127983</v>
      </c>
      <c r="I32" s="25" t="str">
        <f t="shared" si="2"/>
        <v>选中</v>
      </c>
    </row>
    <row r="33" spans="1:9" hidden="1" x14ac:dyDescent="0.25">
      <c r="A33" s="3">
        <v>4499</v>
      </c>
      <c r="B33" s="3">
        <v>113.39273129999999</v>
      </c>
      <c r="C33" s="3">
        <v>22.908032290000001</v>
      </c>
      <c r="D33" s="3">
        <v>5</v>
      </c>
      <c r="E33" s="13">
        <f t="shared" si="0"/>
        <v>1.1333852699240116E-2</v>
      </c>
      <c r="F33" s="13">
        <f t="shared" si="1"/>
        <v>9.3931491416214214</v>
      </c>
      <c r="G33" s="14" t="e">
        <f>F33/$F$124*$D$2</f>
        <v>#DIV/0!</v>
      </c>
      <c r="H33" s="14" t="e">
        <f>F33/$F$124*$E$2</f>
        <v>#DIV/0!</v>
      </c>
      <c r="I33" s="25" t="str">
        <f t="shared" si="2"/>
        <v/>
      </c>
    </row>
    <row r="34" spans="1:9" hidden="1" x14ac:dyDescent="0.25">
      <c r="A34" s="3">
        <v>4351</v>
      </c>
      <c r="B34" s="3">
        <v>113.40623890000001</v>
      </c>
      <c r="C34" s="3">
        <v>22.920336859999999</v>
      </c>
      <c r="D34" s="3">
        <v>5</v>
      </c>
      <c r="E34" s="13">
        <f t="shared" si="0"/>
        <v>1.2525952477979019E-2</v>
      </c>
      <c r="F34" s="13">
        <f t="shared" si="1"/>
        <v>8.9350013024271586</v>
      </c>
      <c r="G34" s="14" t="e">
        <f>F34/$F$124*$D$2</f>
        <v>#DIV/0!</v>
      </c>
      <c r="H34" s="14" t="e">
        <f>F34/$F$124*$E$2</f>
        <v>#DIV/0!</v>
      </c>
      <c r="I34" s="25" t="str">
        <f t="shared" si="2"/>
        <v/>
      </c>
    </row>
    <row r="35" spans="1:9" x14ac:dyDescent="0.25">
      <c r="A35" s="3">
        <v>4502</v>
      </c>
      <c r="B35" s="3">
        <v>113.3925744</v>
      </c>
      <c r="C35" s="3">
        <v>22.90655293</v>
      </c>
      <c r="D35" s="3">
        <v>5</v>
      </c>
      <c r="E35" s="13">
        <f t="shared" si="0"/>
        <v>1.2821356258699096E-2</v>
      </c>
      <c r="F35" s="13">
        <f t="shared" si="1"/>
        <v>8.8314703679309865</v>
      </c>
      <c r="G35" s="14">
        <f>F35/$F$47*$D$2</f>
        <v>93.737450360376727</v>
      </c>
      <c r="H35" s="14">
        <f>F35/$F$47*$E$2</f>
        <v>93.737450360376727</v>
      </c>
      <c r="I35" s="25" t="str">
        <f t="shared" si="2"/>
        <v>选中</v>
      </c>
    </row>
    <row r="36" spans="1:9" hidden="1" x14ac:dyDescent="0.25">
      <c r="A36" s="3">
        <v>4498</v>
      </c>
      <c r="B36" s="3">
        <v>113.3964244</v>
      </c>
      <c r="C36" s="3">
        <v>22.906718489999999</v>
      </c>
      <c r="D36" s="3">
        <v>5</v>
      </c>
      <c r="E36" s="13">
        <f t="shared" si="0"/>
        <v>1.2881167025628004E-2</v>
      </c>
      <c r="F36" s="13">
        <f t="shared" si="1"/>
        <v>8.8109430505567001</v>
      </c>
      <c r="G36" s="14" t="e">
        <f>F36/$F$124*$D$2</f>
        <v>#DIV/0!</v>
      </c>
      <c r="H36" s="14" t="e">
        <f>F36/$F$124*$E$2</f>
        <v>#DIV/0!</v>
      </c>
      <c r="I36" s="25" t="str">
        <f t="shared" si="2"/>
        <v/>
      </c>
    </row>
    <row r="37" spans="1:9" hidden="1" x14ac:dyDescent="0.25">
      <c r="A37" s="3">
        <v>4172</v>
      </c>
      <c r="B37" s="3">
        <v>113.4017901</v>
      </c>
      <c r="C37" s="3">
        <v>22.92972048</v>
      </c>
      <c r="D37" s="3">
        <v>5</v>
      </c>
      <c r="E37" s="13">
        <f t="shared" si="0"/>
        <v>1.314330863976192E-2</v>
      </c>
      <c r="F37" s="13">
        <f t="shared" si="1"/>
        <v>8.7226339367407455</v>
      </c>
      <c r="G37" s="14" t="e">
        <f>F37/$F$124*$D$2</f>
        <v>#DIV/0!</v>
      </c>
      <c r="H37" s="14" t="e">
        <f>F37/$F$124*$E$2</f>
        <v>#DIV/0!</v>
      </c>
      <c r="I37" s="25" t="str">
        <f t="shared" si="2"/>
        <v/>
      </c>
    </row>
    <row r="38" spans="1:9" x14ac:dyDescent="0.25">
      <c r="A38" s="3">
        <v>4500</v>
      </c>
      <c r="B38" s="3">
        <v>113.4008023</v>
      </c>
      <c r="C38" s="3">
        <v>22.90747554</v>
      </c>
      <c r="D38" s="3">
        <v>5</v>
      </c>
      <c r="E38" s="13">
        <f t="shared" si="0"/>
        <v>1.3782695456098457E-2</v>
      </c>
      <c r="F38" s="13">
        <f t="shared" si="1"/>
        <v>8.5179075083519997</v>
      </c>
      <c r="G38" s="14">
        <f>F38/$F$47*$D$2</f>
        <v>90.409286220079764</v>
      </c>
      <c r="H38" s="14">
        <f>F38/$F$47*$E$2</f>
        <v>90.409286220079764</v>
      </c>
      <c r="I38" s="25" t="str">
        <f t="shared" si="2"/>
        <v>选中</v>
      </c>
    </row>
    <row r="39" spans="1:9" hidden="1" x14ac:dyDescent="0.25">
      <c r="A39" s="3">
        <v>4501</v>
      </c>
      <c r="B39" s="3">
        <v>113.4012214</v>
      </c>
      <c r="C39" s="3">
        <v>22.907191739999998</v>
      </c>
      <c r="D39" s="3">
        <v>5</v>
      </c>
      <c r="E39" s="13">
        <f t="shared" si="0"/>
        <v>1.4242519519720841E-2</v>
      </c>
      <c r="F39" s="13">
        <f t="shared" si="1"/>
        <v>8.3792777886566885</v>
      </c>
      <c r="G39" s="14" t="e">
        <f>F39/$F$124*$D$2</f>
        <v>#DIV/0!</v>
      </c>
      <c r="H39" s="14" t="e">
        <f>F39/$F$124*$E$2</f>
        <v>#DIV/0!</v>
      </c>
      <c r="I39" s="25" t="str">
        <f t="shared" si="2"/>
        <v/>
      </c>
    </row>
    <row r="40" spans="1:9" hidden="1" x14ac:dyDescent="0.25">
      <c r="A40" s="3">
        <v>4171</v>
      </c>
      <c r="B40" s="3">
        <v>113.41007500000001</v>
      </c>
      <c r="C40" s="3">
        <v>22.92716497</v>
      </c>
      <c r="D40" s="3">
        <v>5</v>
      </c>
      <c r="E40" s="13">
        <f t="shared" si="0"/>
        <v>1.8108304326976004E-2</v>
      </c>
      <c r="F40" s="13">
        <f t="shared" si="1"/>
        <v>7.431236922567674</v>
      </c>
      <c r="G40" s="14" t="e">
        <f>F40/$F$124*$D$2</f>
        <v>#DIV/0!</v>
      </c>
      <c r="H40" s="14" t="e">
        <f>F40/$F$124*$E$2</f>
        <v>#DIV/0!</v>
      </c>
      <c r="I40" s="25" t="str">
        <f t="shared" si="2"/>
        <v/>
      </c>
    </row>
    <row r="41" spans="1:9" x14ac:dyDescent="0.25">
      <c r="A41" s="3">
        <v>4170</v>
      </c>
      <c r="B41" s="3">
        <v>113.41143719999999</v>
      </c>
      <c r="C41" s="3">
        <v>22.926223220000001</v>
      </c>
      <c r="D41" s="3">
        <v>5</v>
      </c>
      <c r="E41" s="13">
        <f t="shared" si="0"/>
        <v>1.898265143665407E-2</v>
      </c>
      <c r="F41" s="13">
        <f t="shared" si="1"/>
        <v>7.2580768685381667</v>
      </c>
      <c r="G41" s="14">
        <f>F41/$F$47*$D$2</f>
        <v>77.037411872762291</v>
      </c>
      <c r="H41" s="14">
        <f>F41/$F$47*$E$2</f>
        <v>77.037411872762291</v>
      </c>
      <c r="I41" s="25" t="str">
        <f t="shared" si="2"/>
        <v>选中</v>
      </c>
    </row>
    <row r="42" spans="1:9" hidden="1" x14ac:dyDescent="0.25">
      <c r="A42" s="3">
        <v>4174</v>
      </c>
      <c r="B42" s="3">
        <v>113.4119146</v>
      </c>
      <c r="C42" s="3">
        <v>22.925396889999998</v>
      </c>
      <c r="D42" s="3">
        <v>5</v>
      </c>
      <c r="E42" s="13">
        <f t="shared" si="0"/>
        <v>1.9150105655851405E-2</v>
      </c>
      <c r="F42" s="13">
        <f t="shared" si="1"/>
        <v>7.2262738006502127</v>
      </c>
      <c r="G42" s="14" t="e">
        <f>F42/$F$124*$D$2</f>
        <v>#DIV/0!</v>
      </c>
      <c r="H42" s="14" t="e">
        <f>F42/$F$124*$E$2</f>
        <v>#DIV/0!</v>
      </c>
      <c r="I42" s="25" t="str">
        <f t="shared" si="2"/>
        <v/>
      </c>
    </row>
    <row r="43" spans="1:9" hidden="1" x14ac:dyDescent="0.25">
      <c r="A43" s="3">
        <v>4173</v>
      </c>
      <c r="B43" s="3">
        <v>113.412284</v>
      </c>
      <c r="C43" s="3">
        <v>22.92512026</v>
      </c>
      <c r="D43" s="3">
        <v>5</v>
      </c>
      <c r="E43" s="13">
        <f t="shared" si="0"/>
        <v>1.9416338229297388E-2</v>
      </c>
      <c r="F43" s="13">
        <f t="shared" si="1"/>
        <v>7.1765602560064794</v>
      </c>
      <c r="G43" s="14" t="e">
        <f>F43/$F$124*$D$2</f>
        <v>#DIV/0!</v>
      </c>
      <c r="H43" s="14" t="e">
        <f>F43/$F$124*$E$2</f>
        <v>#DIV/0!</v>
      </c>
      <c r="I43" s="25" t="str">
        <f t="shared" si="2"/>
        <v/>
      </c>
    </row>
    <row r="44" spans="1:9" x14ac:dyDescent="0.25">
      <c r="A44" s="3">
        <v>4169</v>
      </c>
      <c r="B44" s="3">
        <v>113.411434</v>
      </c>
      <c r="C44" s="3">
        <v>22.927884519999999</v>
      </c>
      <c r="D44" s="3">
        <v>5</v>
      </c>
      <c r="E44" s="13">
        <f t="shared" si="0"/>
        <v>1.964497010483009E-2</v>
      </c>
      <c r="F44" s="13">
        <f t="shared" si="1"/>
        <v>7.1346769555087004</v>
      </c>
      <c r="G44" s="14">
        <f>F44/$F$47*$D$2</f>
        <v>75.727642067716303</v>
      </c>
      <c r="H44" s="14">
        <f>F44/$F$47*$E$2</f>
        <v>75.727642067716303</v>
      </c>
      <c r="I44" s="25" t="str">
        <f t="shared" si="2"/>
        <v>选中</v>
      </c>
    </row>
    <row r="45" spans="1:9" hidden="1" x14ac:dyDescent="0.25">
      <c r="A45" s="3">
        <v>4167</v>
      </c>
      <c r="B45" s="3">
        <v>113.4107073</v>
      </c>
      <c r="C45" s="3">
        <v>22.929768259999999</v>
      </c>
      <c r="D45" s="3">
        <v>5</v>
      </c>
      <c r="E45" s="13">
        <f t="shared" si="0"/>
        <v>1.9914137029367448E-2</v>
      </c>
      <c r="F45" s="13">
        <f t="shared" si="1"/>
        <v>7.0862954324691669</v>
      </c>
      <c r="G45" s="14" t="e">
        <f>F45/$F$124*$D$2</f>
        <v>#DIV/0!</v>
      </c>
      <c r="H45" s="14" t="e">
        <f>F45/$F$124*$E$2</f>
        <v>#DIV/0!</v>
      </c>
      <c r="I45" s="25" t="str">
        <f t="shared" si="2"/>
        <v/>
      </c>
    </row>
    <row r="46" spans="1:9" x14ac:dyDescent="0.25">
      <c r="A46" s="3"/>
      <c r="B46" s="3"/>
      <c r="C46" s="3"/>
      <c r="D46" s="3"/>
      <c r="G46" s="14"/>
      <c r="H46" s="14"/>
    </row>
    <row r="47" spans="1:9" x14ac:dyDescent="0.25">
      <c r="A47" s="3"/>
      <c r="B47" s="3"/>
      <c r="C47" s="3"/>
      <c r="D47" s="3"/>
      <c r="F47" s="13">
        <f>SUBTOTAL(9,F5:F44)</f>
        <v>168.17370801265579</v>
      </c>
      <c r="G47" s="13">
        <f>SUBTOTAL(9,G5:G44)</f>
        <v>1785.0000000000002</v>
      </c>
      <c r="H47" s="13">
        <f>SUBTOTAL(9,H5:H44)</f>
        <v>1785.0000000000002</v>
      </c>
    </row>
    <row r="48" spans="1:9" x14ac:dyDescent="0.25">
      <c r="A48" s="3"/>
      <c r="B48" s="3"/>
      <c r="C48" s="3"/>
      <c r="D48" s="3"/>
      <c r="G48" s="14"/>
      <c r="H48" s="14"/>
    </row>
    <row r="49" spans="1:8" x14ac:dyDescent="0.25">
      <c r="A49" s="3"/>
      <c r="B49" s="3"/>
      <c r="C49" s="3"/>
      <c r="D49" s="3"/>
      <c r="G49" s="14"/>
      <c r="H49" s="14"/>
    </row>
    <row r="50" spans="1:8" x14ac:dyDescent="0.25">
      <c r="A50" s="3"/>
      <c r="B50" s="3"/>
      <c r="C50" s="3"/>
      <c r="D50" s="3"/>
      <c r="G50" s="14"/>
      <c r="H50" s="14"/>
    </row>
    <row r="51" spans="1:8" x14ac:dyDescent="0.25">
      <c r="A51" s="3"/>
      <c r="B51" s="3"/>
      <c r="C51" s="3"/>
      <c r="D51" s="3"/>
      <c r="G51" s="14"/>
      <c r="H51" s="14"/>
    </row>
    <row r="52" spans="1:8" x14ac:dyDescent="0.25">
      <c r="A52" s="3"/>
      <c r="B52" s="3"/>
      <c r="C52" s="3"/>
      <c r="D52" s="3"/>
      <c r="G52" s="14"/>
      <c r="H52" s="14"/>
    </row>
    <row r="53" spans="1:8" x14ac:dyDescent="0.25">
      <c r="A53" s="3"/>
      <c r="B53" s="3"/>
      <c r="C53" s="3"/>
      <c r="D53" s="3"/>
      <c r="G53" s="14"/>
      <c r="H53" s="14"/>
    </row>
    <row r="54" spans="1:8" x14ac:dyDescent="0.25">
      <c r="A54" s="3"/>
      <c r="B54" s="3"/>
      <c r="C54" s="3"/>
      <c r="D54" s="3"/>
      <c r="G54" s="14"/>
      <c r="H54" s="14"/>
    </row>
    <row r="55" spans="1:8" x14ac:dyDescent="0.25">
      <c r="A55" s="3"/>
      <c r="B55" s="3"/>
      <c r="C55" s="3"/>
      <c r="D55" s="3"/>
      <c r="G55" s="14"/>
      <c r="H55" s="14"/>
    </row>
    <row r="56" spans="1:8" x14ac:dyDescent="0.25">
      <c r="A56" s="3"/>
      <c r="B56" s="3"/>
      <c r="C56" s="3"/>
      <c r="D56" s="3"/>
      <c r="G56" s="14"/>
      <c r="H56" s="14"/>
    </row>
    <row r="57" spans="1:8" x14ac:dyDescent="0.25">
      <c r="A57" s="3"/>
      <c r="B57" s="3"/>
      <c r="C57" s="3"/>
      <c r="D57" s="3"/>
      <c r="G57" s="14"/>
      <c r="H57" s="14"/>
    </row>
    <row r="58" spans="1:8" x14ac:dyDescent="0.25">
      <c r="A58" s="3"/>
      <c r="B58" s="3"/>
      <c r="C58" s="3"/>
      <c r="D58" s="3"/>
      <c r="G58" s="14"/>
      <c r="H58" s="14"/>
    </row>
    <row r="59" spans="1:8" x14ac:dyDescent="0.25">
      <c r="A59" s="3"/>
      <c r="B59" s="3"/>
      <c r="C59" s="3"/>
      <c r="D59" s="3"/>
      <c r="G59" s="14"/>
      <c r="H59" s="14"/>
    </row>
    <row r="60" spans="1:8" x14ac:dyDescent="0.25">
      <c r="A60" s="3"/>
      <c r="B60" s="3"/>
      <c r="C60" s="3"/>
      <c r="D60" s="3"/>
      <c r="G60" s="14"/>
      <c r="H60" s="14"/>
    </row>
    <row r="61" spans="1:8" x14ac:dyDescent="0.25">
      <c r="A61" s="3"/>
      <c r="B61" s="3"/>
      <c r="C61" s="3"/>
      <c r="D61" s="3"/>
      <c r="G61" s="14"/>
      <c r="H61" s="14"/>
    </row>
    <row r="62" spans="1:8" x14ac:dyDescent="0.25">
      <c r="A62" s="3"/>
      <c r="B62" s="3"/>
      <c r="C62" s="3"/>
      <c r="D62" s="3"/>
      <c r="G62" s="14"/>
      <c r="H62" s="14"/>
    </row>
    <row r="63" spans="1:8" x14ac:dyDescent="0.25">
      <c r="A63" s="3"/>
      <c r="B63" s="3"/>
      <c r="C63" s="3"/>
      <c r="D63" s="3"/>
      <c r="G63" s="14"/>
      <c r="H63" s="14"/>
    </row>
    <row r="64" spans="1:8" x14ac:dyDescent="0.25">
      <c r="A64" s="3"/>
      <c r="B64" s="3"/>
      <c r="C64" s="3"/>
      <c r="D64" s="3"/>
      <c r="G64" s="14"/>
      <c r="H64" s="14"/>
    </row>
    <row r="65" spans="1:8" x14ac:dyDescent="0.25">
      <c r="A65" s="3"/>
      <c r="B65" s="3"/>
      <c r="C65" s="3"/>
      <c r="D65" s="3"/>
      <c r="G65" s="14"/>
      <c r="H65" s="14"/>
    </row>
    <row r="66" spans="1:8" x14ac:dyDescent="0.25">
      <c r="A66" s="3"/>
      <c r="B66" s="3"/>
      <c r="C66" s="3"/>
      <c r="D66" s="3"/>
      <c r="G66" s="14"/>
      <c r="H66" s="14"/>
    </row>
    <row r="67" spans="1:8" x14ac:dyDescent="0.25">
      <c r="A67" s="3"/>
      <c r="B67" s="3"/>
      <c r="C67" s="3"/>
      <c r="D67" s="3"/>
      <c r="G67" s="14"/>
      <c r="H67" s="14"/>
    </row>
    <row r="68" spans="1:8" x14ac:dyDescent="0.25">
      <c r="A68" s="3"/>
      <c r="B68" s="3"/>
      <c r="C68" s="3"/>
      <c r="D68" s="3"/>
      <c r="G68" s="14"/>
      <c r="H68" s="14"/>
    </row>
    <row r="69" spans="1:8" x14ac:dyDescent="0.25">
      <c r="A69" s="3"/>
      <c r="B69" s="3"/>
      <c r="C69" s="3"/>
      <c r="D69" s="3"/>
      <c r="G69" s="14"/>
      <c r="H69" s="14"/>
    </row>
    <row r="70" spans="1:8" x14ac:dyDescent="0.25">
      <c r="A70" s="3"/>
      <c r="B70" s="3"/>
      <c r="C70" s="3"/>
      <c r="D70" s="3"/>
      <c r="G70" s="14"/>
      <c r="H70" s="14"/>
    </row>
    <row r="71" spans="1:8" x14ac:dyDescent="0.25">
      <c r="A71" s="3"/>
      <c r="B71" s="3"/>
      <c r="C71" s="3"/>
      <c r="D71" s="3"/>
      <c r="G71" s="14"/>
      <c r="H71" s="14"/>
    </row>
    <row r="72" spans="1:8" x14ac:dyDescent="0.25">
      <c r="A72" s="3"/>
      <c r="B72" s="3"/>
      <c r="C72" s="3"/>
      <c r="D72" s="3"/>
      <c r="G72" s="14"/>
      <c r="H72" s="14"/>
    </row>
    <row r="73" spans="1:8" x14ac:dyDescent="0.25">
      <c r="A73" s="3"/>
      <c r="B73" s="3"/>
      <c r="C73" s="3"/>
      <c r="D73" s="3"/>
      <c r="G73" s="14"/>
      <c r="H73" s="14"/>
    </row>
    <row r="74" spans="1:8" x14ac:dyDescent="0.25">
      <c r="A74" s="3"/>
      <c r="B74" s="3"/>
      <c r="C74" s="3"/>
      <c r="D74" s="3"/>
      <c r="G74" s="14"/>
      <c r="H74" s="14"/>
    </row>
    <row r="75" spans="1:8" x14ac:dyDescent="0.25">
      <c r="A75" s="3"/>
      <c r="B75" s="3"/>
      <c r="C75" s="3"/>
      <c r="D75" s="3"/>
      <c r="G75" s="14"/>
      <c r="H75" s="14"/>
    </row>
    <row r="76" spans="1:8" x14ac:dyDescent="0.25">
      <c r="A76" s="3"/>
      <c r="B76" s="3"/>
      <c r="C76" s="3"/>
      <c r="D76" s="3"/>
      <c r="G76" s="14"/>
      <c r="H76" s="14"/>
    </row>
    <row r="77" spans="1:8" x14ac:dyDescent="0.25">
      <c r="A77" s="3"/>
      <c r="B77" s="3"/>
      <c r="C77" s="3"/>
      <c r="D77" s="3"/>
      <c r="G77" s="14"/>
      <c r="H77" s="14"/>
    </row>
    <row r="78" spans="1:8" x14ac:dyDescent="0.25">
      <c r="A78" s="3"/>
      <c r="B78" s="3"/>
      <c r="C78" s="3"/>
      <c r="D78" s="3"/>
      <c r="G78" s="14"/>
      <c r="H78" s="14"/>
    </row>
    <row r="79" spans="1:8" x14ac:dyDescent="0.25">
      <c r="A79" s="3"/>
      <c r="B79" s="3"/>
      <c r="C79" s="3"/>
      <c r="D79" s="3"/>
      <c r="G79" s="14"/>
      <c r="H79" s="14"/>
    </row>
    <row r="80" spans="1:8" x14ac:dyDescent="0.25">
      <c r="A80" s="3"/>
      <c r="B80" s="3"/>
      <c r="C80" s="3"/>
      <c r="D80" s="3"/>
      <c r="G80" s="14"/>
      <c r="H80" s="14"/>
    </row>
    <row r="81" spans="1:8" x14ac:dyDescent="0.25">
      <c r="A81" s="3"/>
      <c r="B81" s="3"/>
      <c r="C81" s="3"/>
      <c r="D81" s="3"/>
      <c r="G81" s="14"/>
      <c r="H81" s="14"/>
    </row>
    <row r="82" spans="1:8" x14ac:dyDescent="0.25">
      <c r="A82" s="3"/>
      <c r="B82" s="3"/>
      <c r="C82" s="3"/>
      <c r="D82" s="3"/>
      <c r="G82" s="14"/>
      <c r="H82" s="14"/>
    </row>
    <row r="83" spans="1:8" x14ac:dyDescent="0.25">
      <c r="A83" s="3"/>
      <c r="B83" s="3"/>
      <c r="C83" s="3"/>
      <c r="D83" s="3"/>
      <c r="G83" s="14"/>
      <c r="H83" s="14"/>
    </row>
    <row r="84" spans="1:8" x14ac:dyDescent="0.25">
      <c r="A84" s="3"/>
      <c r="B84" s="3"/>
      <c r="C84" s="3"/>
      <c r="D84" s="3"/>
      <c r="G84" s="14"/>
      <c r="H84" s="14"/>
    </row>
    <row r="85" spans="1:8" x14ac:dyDescent="0.25">
      <c r="A85" s="3"/>
      <c r="B85" s="3"/>
      <c r="C85" s="3"/>
      <c r="D85" s="3"/>
      <c r="G85" s="14"/>
      <c r="H85" s="14"/>
    </row>
    <row r="86" spans="1:8" x14ac:dyDescent="0.25">
      <c r="A86" s="3"/>
      <c r="B86" s="3"/>
      <c r="C86" s="3"/>
      <c r="D86" s="3"/>
      <c r="G86" s="14"/>
      <c r="H86" s="14"/>
    </row>
    <row r="87" spans="1:8" x14ac:dyDescent="0.25">
      <c r="A87" s="3"/>
      <c r="B87" s="3"/>
      <c r="C87" s="3"/>
      <c r="D87" s="3"/>
      <c r="G87" s="14"/>
      <c r="H87" s="14"/>
    </row>
    <row r="88" spans="1:8" x14ac:dyDescent="0.25">
      <c r="A88" s="3"/>
      <c r="B88" s="3"/>
      <c r="C88" s="3"/>
      <c r="D88" s="3"/>
      <c r="G88" s="14"/>
      <c r="H88" s="14"/>
    </row>
    <row r="89" spans="1:8" x14ac:dyDescent="0.25">
      <c r="A89" s="3"/>
      <c r="B89" s="3"/>
      <c r="C89" s="3"/>
      <c r="D89" s="3"/>
      <c r="G89" s="14"/>
      <c r="H89" s="14"/>
    </row>
    <row r="90" spans="1:8" x14ac:dyDescent="0.25">
      <c r="A90" s="3"/>
      <c r="B90" s="3"/>
      <c r="C90" s="3"/>
      <c r="D90" s="3"/>
      <c r="G90" s="14"/>
      <c r="H90" s="14"/>
    </row>
    <row r="91" spans="1:8" x14ac:dyDescent="0.25">
      <c r="A91" s="3"/>
      <c r="B91" s="3"/>
      <c r="C91" s="3"/>
      <c r="D91" s="3"/>
      <c r="G91" s="14"/>
      <c r="H91" s="14"/>
    </row>
    <row r="92" spans="1:8" x14ac:dyDescent="0.25">
      <c r="A92" s="3"/>
      <c r="B92" s="3"/>
      <c r="C92" s="3"/>
      <c r="D92" s="3"/>
      <c r="G92" s="14"/>
      <c r="H92" s="14"/>
    </row>
    <row r="93" spans="1:8" x14ac:dyDescent="0.25">
      <c r="A93" s="3"/>
      <c r="B93" s="3"/>
      <c r="C93" s="3"/>
      <c r="D93" s="3"/>
      <c r="G93" s="14"/>
      <c r="H93" s="14"/>
    </row>
    <row r="94" spans="1:8" x14ac:dyDescent="0.25">
      <c r="A94" s="3"/>
      <c r="B94" s="3"/>
      <c r="C94" s="3"/>
      <c r="D94" s="3"/>
      <c r="G94" s="14"/>
      <c r="H94" s="14"/>
    </row>
    <row r="95" spans="1:8" x14ac:dyDescent="0.25">
      <c r="A95" s="3"/>
      <c r="B95" s="3"/>
      <c r="C95" s="3"/>
      <c r="D95" s="3"/>
      <c r="G95" s="14"/>
      <c r="H95" s="14"/>
    </row>
    <row r="96" spans="1:8" x14ac:dyDescent="0.25">
      <c r="A96" s="3"/>
      <c r="B96" s="3"/>
      <c r="C96" s="3"/>
      <c r="D96" s="3"/>
      <c r="G96" s="14"/>
      <c r="H96" s="14"/>
    </row>
    <row r="97" spans="1:8" x14ac:dyDescent="0.25">
      <c r="A97" s="3"/>
      <c r="B97" s="3"/>
      <c r="C97" s="3"/>
      <c r="D97" s="3"/>
      <c r="G97" s="14"/>
      <c r="H97" s="14"/>
    </row>
    <row r="98" spans="1:8" x14ac:dyDescent="0.25">
      <c r="A98" s="3"/>
      <c r="B98" s="3"/>
      <c r="C98" s="3"/>
      <c r="D98" s="3"/>
      <c r="G98" s="14"/>
      <c r="H98" s="14"/>
    </row>
    <row r="99" spans="1:8" x14ac:dyDescent="0.25">
      <c r="A99" s="3"/>
      <c r="B99" s="3"/>
      <c r="C99" s="3"/>
      <c r="D99" s="3"/>
      <c r="G99" s="14"/>
      <c r="H99" s="14"/>
    </row>
    <row r="100" spans="1:8" x14ac:dyDescent="0.25">
      <c r="A100" s="3"/>
      <c r="B100" s="3"/>
      <c r="C100" s="3"/>
      <c r="D100" s="3"/>
      <c r="G100" s="14"/>
      <c r="H100" s="14"/>
    </row>
    <row r="101" spans="1:8" x14ac:dyDescent="0.25">
      <c r="A101" s="3"/>
      <c r="B101" s="3"/>
      <c r="C101" s="3"/>
      <c r="D101" s="3"/>
      <c r="G101" s="14"/>
      <c r="H101" s="14"/>
    </row>
    <row r="102" spans="1:8" x14ac:dyDescent="0.25">
      <c r="A102" s="3"/>
      <c r="B102" s="3"/>
      <c r="C102" s="3"/>
      <c r="D102" s="3"/>
      <c r="G102" s="14"/>
      <c r="H102" s="14"/>
    </row>
    <row r="103" spans="1:8" x14ac:dyDescent="0.25">
      <c r="A103" s="3"/>
      <c r="B103" s="3"/>
      <c r="C103" s="3"/>
      <c r="D103" s="3"/>
      <c r="G103" s="14"/>
      <c r="H103" s="14"/>
    </row>
    <row r="104" spans="1:8" x14ac:dyDescent="0.25">
      <c r="A104" s="3"/>
      <c r="B104" s="3"/>
      <c r="C104" s="3"/>
      <c r="D104" s="3"/>
      <c r="G104" s="14"/>
      <c r="H104" s="14"/>
    </row>
    <row r="105" spans="1:8" x14ac:dyDescent="0.25">
      <c r="A105" s="3"/>
      <c r="B105" s="3"/>
      <c r="C105" s="3"/>
      <c r="D105" s="3"/>
      <c r="G105" s="14"/>
      <c r="H105" s="14"/>
    </row>
    <row r="106" spans="1:8" x14ac:dyDescent="0.25">
      <c r="A106" s="3"/>
      <c r="B106" s="3"/>
      <c r="C106" s="3"/>
      <c r="D106" s="3"/>
      <c r="G106" s="14"/>
      <c r="H106" s="14"/>
    </row>
    <row r="107" spans="1:8" x14ac:dyDescent="0.25">
      <c r="A107" s="3"/>
      <c r="B107" s="3"/>
      <c r="C107" s="3"/>
      <c r="D107" s="3"/>
      <c r="G107" s="14"/>
      <c r="H107" s="14"/>
    </row>
    <row r="108" spans="1:8" x14ac:dyDescent="0.25">
      <c r="A108" s="3"/>
      <c r="B108" s="3"/>
      <c r="C108" s="3"/>
      <c r="D108" s="3"/>
      <c r="G108" s="14"/>
      <c r="H108" s="14"/>
    </row>
    <row r="109" spans="1:8" x14ac:dyDescent="0.25">
      <c r="A109" s="3"/>
      <c r="B109" s="3"/>
      <c r="C109" s="3"/>
      <c r="D109" s="3"/>
      <c r="G109" s="14"/>
      <c r="H109" s="14"/>
    </row>
    <row r="110" spans="1:8" x14ac:dyDescent="0.25">
      <c r="A110" s="3"/>
      <c r="B110" s="3"/>
      <c r="C110" s="3"/>
      <c r="D110" s="3"/>
      <c r="G110" s="14"/>
      <c r="H110" s="14"/>
    </row>
    <row r="111" spans="1:8" x14ac:dyDescent="0.25">
      <c r="A111" s="3"/>
      <c r="B111" s="3"/>
      <c r="C111" s="3"/>
      <c r="D111" s="3"/>
      <c r="G111" s="14"/>
      <c r="H111" s="14"/>
    </row>
    <row r="112" spans="1:8" x14ac:dyDescent="0.25">
      <c r="A112" s="3"/>
      <c r="B112" s="3"/>
      <c r="C112" s="3"/>
      <c r="D112" s="3"/>
      <c r="G112" s="14"/>
      <c r="H112" s="14"/>
    </row>
    <row r="113" spans="1:8" x14ac:dyDescent="0.25">
      <c r="A113" s="3"/>
      <c r="B113" s="3"/>
      <c r="C113" s="3"/>
      <c r="D113" s="3"/>
      <c r="G113" s="14"/>
      <c r="H113" s="14"/>
    </row>
    <row r="114" spans="1:8" x14ac:dyDescent="0.25">
      <c r="A114" s="3"/>
      <c r="B114" s="3"/>
      <c r="C114" s="3"/>
      <c r="D114" s="3"/>
      <c r="G114" s="14"/>
      <c r="H114" s="14"/>
    </row>
    <row r="115" spans="1:8" x14ac:dyDescent="0.25">
      <c r="A115" s="3"/>
      <c r="B115" s="3"/>
      <c r="C115" s="3"/>
      <c r="D115" s="3"/>
      <c r="G115" s="14"/>
      <c r="H115" s="14"/>
    </row>
    <row r="116" spans="1:8" x14ac:dyDescent="0.25">
      <c r="A116" s="3"/>
      <c r="B116" s="3"/>
      <c r="C116" s="3"/>
      <c r="D116" s="3"/>
      <c r="G116" s="14"/>
      <c r="H116" s="14"/>
    </row>
    <row r="117" spans="1:8" x14ac:dyDescent="0.25">
      <c r="A117" s="3"/>
      <c r="B117" s="3"/>
      <c r="C117" s="3"/>
      <c r="D117" s="3"/>
      <c r="G117" s="14"/>
      <c r="H117" s="14"/>
    </row>
    <row r="118" spans="1:8" x14ac:dyDescent="0.25">
      <c r="A118" s="3"/>
      <c r="B118" s="3"/>
      <c r="C118" s="3"/>
      <c r="D118" s="3"/>
      <c r="G118" s="14"/>
      <c r="H118" s="14"/>
    </row>
    <row r="119" spans="1:8" x14ac:dyDescent="0.25">
      <c r="A119" s="3"/>
      <c r="B119" s="3"/>
      <c r="C119" s="3"/>
      <c r="D119" s="3"/>
      <c r="G119" s="14"/>
      <c r="H119" s="14"/>
    </row>
    <row r="120" spans="1:8" x14ac:dyDescent="0.25">
      <c r="A120" s="3"/>
      <c r="B120" s="3"/>
      <c r="C120" s="3"/>
      <c r="D120" s="3"/>
      <c r="G120" s="14"/>
      <c r="H120" s="14"/>
    </row>
    <row r="121" spans="1:8" x14ac:dyDescent="0.25">
      <c r="A121" s="3"/>
      <c r="B121" s="3"/>
      <c r="C121" s="3"/>
      <c r="D121" s="3"/>
      <c r="G121" s="14"/>
      <c r="H121" s="14"/>
    </row>
    <row r="122" spans="1:8" x14ac:dyDescent="0.25">
      <c r="A122" s="3"/>
      <c r="B122" s="3"/>
      <c r="C122" s="3"/>
      <c r="D122" s="3"/>
      <c r="G122" s="14"/>
      <c r="H122" s="14"/>
    </row>
    <row r="123" spans="1:8" x14ac:dyDescent="0.25">
      <c r="A123" s="3"/>
      <c r="B123" s="3"/>
      <c r="C123" s="3"/>
      <c r="D123" s="3"/>
      <c r="G123" s="14"/>
      <c r="H123" s="14"/>
    </row>
    <row r="124" spans="1:8" x14ac:dyDescent="0.25">
      <c r="A124" s="3"/>
      <c r="B124" s="3"/>
      <c r="C124" s="3"/>
      <c r="D124" s="3"/>
      <c r="G124" s="14"/>
      <c r="H124" s="14"/>
    </row>
    <row r="125" spans="1:8" x14ac:dyDescent="0.25">
      <c r="A125" s="3"/>
      <c r="B125" s="3"/>
      <c r="C125" s="3"/>
      <c r="D125" s="3"/>
      <c r="G125" s="14"/>
      <c r="H125" s="14"/>
    </row>
    <row r="126" spans="1:8" x14ac:dyDescent="0.25">
      <c r="A126" s="18"/>
      <c r="B126" s="3"/>
      <c r="C126" s="3"/>
      <c r="D126" s="3"/>
      <c r="G126" s="14"/>
      <c r="H126" s="14"/>
    </row>
    <row r="127" spans="1:8" x14ac:dyDescent="0.25">
      <c r="A127" s="3"/>
      <c r="B127" s="3"/>
      <c r="C127" s="3"/>
      <c r="D127" s="3"/>
      <c r="G127" s="14"/>
      <c r="H127" s="14"/>
    </row>
    <row r="128" spans="1:8" x14ac:dyDescent="0.25">
      <c r="A128" s="3"/>
      <c r="B128" s="3"/>
      <c r="C128" s="3"/>
      <c r="D128" s="3"/>
      <c r="G128" s="14"/>
      <c r="H128" s="14"/>
    </row>
    <row r="129" spans="1:8" x14ac:dyDescent="0.25">
      <c r="A129" s="3"/>
      <c r="B129" s="3"/>
      <c r="C129" s="3"/>
      <c r="D129" s="3"/>
      <c r="G129" s="14"/>
      <c r="H129" s="14"/>
    </row>
    <row r="130" spans="1:8" x14ac:dyDescent="0.25">
      <c r="A130" s="3"/>
      <c r="B130" s="3"/>
      <c r="C130" s="3"/>
      <c r="D130" s="3"/>
      <c r="G130" s="14"/>
      <c r="H130" s="14"/>
    </row>
    <row r="131" spans="1:8" x14ac:dyDescent="0.25">
      <c r="A131" s="3"/>
      <c r="B131" s="3"/>
      <c r="C131" s="3"/>
      <c r="D131" s="3"/>
      <c r="G131" s="14"/>
      <c r="H131" s="14"/>
    </row>
    <row r="132" spans="1:8" x14ac:dyDescent="0.25">
      <c r="A132" s="3"/>
      <c r="B132" s="3"/>
      <c r="C132" s="3"/>
      <c r="D132" s="3"/>
      <c r="G132" s="14"/>
      <c r="H132" s="14"/>
    </row>
    <row r="133" spans="1:8" x14ac:dyDescent="0.25">
      <c r="A133" s="3"/>
      <c r="B133" s="3"/>
      <c r="C133" s="3"/>
      <c r="D133" s="3"/>
      <c r="G133" s="14"/>
      <c r="H133" s="14"/>
    </row>
    <row r="134" spans="1:8" x14ac:dyDescent="0.25">
      <c r="A134" s="3"/>
      <c r="B134" s="3"/>
      <c r="C134" s="3"/>
      <c r="D134" s="3"/>
      <c r="G134" s="14"/>
      <c r="H134" s="14"/>
    </row>
    <row r="135" spans="1:8" x14ac:dyDescent="0.25">
      <c r="A135" s="3"/>
      <c r="B135" s="3"/>
      <c r="C135" s="3"/>
      <c r="D135" s="3"/>
      <c r="G135" s="14"/>
      <c r="H135" s="14"/>
    </row>
    <row r="136" spans="1:8" x14ac:dyDescent="0.25">
      <c r="A136" s="3"/>
      <c r="B136" s="3"/>
      <c r="C136" s="3"/>
      <c r="D136" s="3"/>
      <c r="G136" s="14"/>
      <c r="H136" s="14"/>
    </row>
    <row r="137" spans="1:8" x14ac:dyDescent="0.25">
      <c r="A137" s="3"/>
      <c r="B137" s="3"/>
      <c r="C137" s="3"/>
      <c r="D137" s="3"/>
      <c r="G137" s="14"/>
      <c r="H137" s="14"/>
    </row>
    <row r="138" spans="1:8" x14ac:dyDescent="0.25">
      <c r="A138" s="3"/>
      <c r="B138" s="3"/>
      <c r="C138" s="3"/>
      <c r="D138" s="3"/>
      <c r="G138" s="14"/>
      <c r="H138" s="14"/>
    </row>
    <row r="139" spans="1:8" x14ac:dyDescent="0.25">
      <c r="A139" s="3"/>
      <c r="B139" s="3"/>
      <c r="C139" s="3"/>
      <c r="D139" s="3"/>
      <c r="G139" s="14"/>
      <c r="H139" s="14"/>
    </row>
    <row r="140" spans="1:8" x14ac:dyDescent="0.25">
      <c r="A140" s="3"/>
      <c r="B140" s="3"/>
      <c r="C140" s="3"/>
      <c r="D140" s="3"/>
      <c r="G140" s="14"/>
      <c r="H140" s="14"/>
    </row>
    <row r="141" spans="1:8" x14ac:dyDescent="0.25">
      <c r="A141" s="3"/>
      <c r="B141" s="3"/>
      <c r="C141" s="3"/>
      <c r="D141" s="3"/>
      <c r="G141" s="14"/>
      <c r="H141" s="14"/>
    </row>
    <row r="142" spans="1:8" x14ac:dyDescent="0.25">
      <c r="A142" s="3"/>
      <c r="B142" s="3"/>
      <c r="C142" s="3"/>
      <c r="D142" s="3"/>
      <c r="G142" s="14"/>
      <c r="H142" s="14"/>
    </row>
    <row r="143" spans="1:8" x14ac:dyDescent="0.25">
      <c r="A143" s="3"/>
      <c r="B143" s="3"/>
      <c r="C143" s="3"/>
      <c r="D143" s="3"/>
      <c r="G143" s="14"/>
      <c r="H143" s="14"/>
    </row>
    <row r="144" spans="1:8" x14ac:dyDescent="0.25">
      <c r="A144" s="3"/>
      <c r="B144" s="3"/>
      <c r="C144" s="3"/>
      <c r="D144" s="3"/>
      <c r="G144" s="14"/>
      <c r="H144" s="14"/>
    </row>
    <row r="145" spans="1:8" x14ac:dyDescent="0.25">
      <c r="A145" s="3"/>
      <c r="B145" s="3"/>
      <c r="C145" s="3"/>
      <c r="D145" s="3"/>
      <c r="G145" s="14"/>
      <c r="H145" s="14"/>
    </row>
    <row r="146" spans="1:8" x14ac:dyDescent="0.25">
      <c r="A146" s="3"/>
      <c r="B146" s="3"/>
      <c r="C146" s="3"/>
      <c r="D146" s="3"/>
      <c r="G146" s="14"/>
      <c r="H146" s="14"/>
    </row>
    <row r="147" spans="1:8" x14ac:dyDescent="0.25">
      <c r="A147" s="3"/>
      <c r="B147" s="3"/>
      <c r="C147" s="3"/>
      <c r="D147" s="3"/>
      <c r="G147" s="14"/>
      <c r="H147" s="14"/>
    </row>
    <row r="148" spans="1:8" x14ac:dyDescent="0.25">
      <c r="A148" s="3"/>
      <c r="B148" s="3"/>
      <c r="C148" s="3"/>
      <c r="D148" s="3"/>
      <c r="G148" s="14"/>
      <c r="H148" s="14"/>
    </row>
    <row r="149" spans="1:8" x14ac:dyDescent="0.25">
      <c r="A149" s="3"/>
      <c r="B149" s="3"/>
      <c r="C149" s="3"/>
      <c r="D149" s="3"/>
      <c r="G149" s="14"/>
      <c r="H149" s="14"/>
    </row>
    <row r="150" spans="1:8" x14ac:dyDescent="0.25">
      <c r="A150" s="3"/>
      <c r="B150" s="3"/>
      <c r="C150" s="3"/>
      <c r="D150" s="3"/>
      <c r="G150" s="14"/>
      <c r="H150" s="14"/>
    </row>
    <row r="151" spans="1:8" x14ac:dyDescent="0.25">
      <c r="A151" s="3"/>
      <c r="B151" s="3"/>
      <c r="C151" s="3"/>
      <c r="D151" s="3"/>
      <c r="G151" s="14"/>
      <c r="H151" s="14"/>
    </row>
    <row r="152" spans="1:8" x14ac:dyDescent="0.25">
      <c r="A152" s="3"/>
      <c r="B152" s="3"/>
      <c r="C152" s="3"/>
      <c r="D152" s="3"/>
      <c r="G152" s="14"/>
      <c r="H152" s="14"/>
    </row>
    <row r="153" spans="1:8" x14ac:dyDescent="0.25">
      <c r="A153" s="3"/>
      <c r="B153" s="3"/>
      <c r="C153" s="3"/>
      <c r="D153" s="3"/>
      <c r="G153" s="14"/>
      <c r="H153" s="14"/>
    </row>
    <row r="154" spans="1:8" x14ac:dyDescent="0.25">
      <c r="A154" s="3"/>
      <c r="B154" s="3"/>
      <c r="C154" s="3"/>
      <c r="D154" s="3"/>
      <c r="G154" s="14"/>
      <c r="H154" s="14"/>
    </row>
    <row r="155" spans="1:8" x14ac:dyDescent="0.25">
      <c r="A155" s="3"/>
      <c r="B155" s="3"/>
      <c r="C155" s="3"/>
      <c r="D155" s="3"/>
      <c r="G155" s="14"/>
      <c r="H155" s="14"/>
    </row>
    <row r="156" spans="1:8" x14ac:dyDescent="0.25">
      <c r="A156" s="3"/>
      <c r="B156" s="3"/>
      <c r="C156" s="3"/>
      <c r="D156" s="3"/>
      <c r="G156" s="14"/>
      <c r="H156" s="14"/>
    </row>
    <row r="157" spans="1:8" x14ac:dyDescent="0.25">
      <c r="A157" s="3"/>
      <c r="B157" s="3"/>
      <c r="C157" s="3"/>
      <c r="D157" s="3"/>
      <c r="G157" s="14"/>
      <c r="H157" s="14"/>
    </row>
    <row r="158" spans="1:8" x14ac:dyDescent="0.25">
      <c r="A158" s="3"/>
      <c r="B158" s="3"/>
      <c r="C158" s="3"/>
      <c r="D158" s="3"/>
      <c r="G158" s="14"/>
      <c r="H158" s="14"/>
    </row>
    <row r="159" spans="1:8" x14ac:dyDescent="0.25">
      <c r="A159" s="3"/>
      <c r="B159" s="3"/>
      <c r="C159" s="3"/>
      <c r="D159" s="3"/>
      <c r="G159" s="14"/>
      <c r="H159" s="14"/>
    </row>
    <row r="160" spans="1:8" x14ac:dyDescent="0.25">
      <c r="A160" s="3"/>
      <c r="B160" s="3"/>
      <c r="C160" s="3"/>
      <c r="D160" s="3"/>
      <c r="G160" s="14"/>
      <c r="H160" s="14"/>
    </row>
    <row r="161" spans="1:8" x14ac:dyDescent="0.25">
      <c r="A161" s="3"/>
      <c r="B161" s="3"/>
      <c r="C161" s="3"/>
      <c r="D161" s="3"/>
      <c r="G161" s="14"/>
      <c r="H161" s="14"/>
    </row>
    <row r="162" spans="1:8" x14ac:dyDescent="0.25">
      <c r="A162" s="3"/>
      <c r="B162" s="3"/>
      <c r="C162" s="3"/>
      <c r="D162" s="3"/>
      <c r="G162" s="14"/>
      <c r="H162" s="14"/>
    </row>
    <row r="163" spans="1:8" x14ac:dyDescent="0.25">
      <c r="A163" s="3"/>
      <c r="B163" s="3"/>
      <c r="C163" s="3"/>
      <c r="D163" s="3"/>
      <c r="G163" s="14"/>
      <c r="H163" s="14"/>
    </row>
    <row r="164" spans="1:8" x14ac:dyDescent="0.25">
      <c r="A164" s="3"/>
      <c r="B164" s="3"/>
      <c r="C164" s="3"/>
      <c r="D164" s="3"/>
      <c r="G164" s="14"/>
      <c r="H164" s="14"/>
    </row>
    <row r="165" spans="1:8" x14ac:dyDescent="0.25">
      <c r="A165" s="3"/>
      <c r="B165" s="3"/>
      <c r="C165" s="3"/>
      <c r="D165" s="3"/>
      <c r="G165" s="14"/>
      <c r="H165" s="14"/>
    </row>
    <row r="166" spans="1:8" x14ac:dyDescent="0.25">
      <c r="A166" s="3"/>
      <c r="B166" s="3"/>
      <c r="C166" s="3"/>
      <c r="D166" s="3"/>
      <c r="G166" s="14"/>
      <c r="H166" s="14"/>
    </row>
    <row r="167" spans="1:8" x14ac:dyDescent="0.25">
      <c r="A167" s="3"/>
      <c r="B167" s="3"/>
      <c r="C167" s="3"/>
      <c r="D167" s="3"/>
      <c r="G167" s="14"/>
      <c r="H167" s="14"/>
    </row>
    <row r="168" spans="1:8" x14ac:dyDescent="0.25">
      <c r="A168" s="3"/>
      <c r="B168" s="3"/>
      <c r="C168" s="3"/>
      <c r="D168" s="3"/>
      <c r="G168" s="14"/>
      <c r="H168" s="14"/>
    </row>
    <row r="169" spans="1:8" x14ac:dyDescent="0.25">
      <c r="A169" s="3"/>
      <c r="B169" s="3"/>
      <c r="C169" s="3"/>
      <c r="D169" s="3"/>
      <c r="G169" s="14"/>
      <c r="H169" s="14"/>
    </row>
    <row r="170" spans="1:8" x14ac:dyDescent="0.25">
      <c r="A170" s="3"/>
      <c r="B170" s="3"/>
      <c r="C170" s="3"/>
      <c r="D170" s="3"/>
      <c r="G170" s="14"/>
      <c r="H170" s="14"/>
    </row>
    <row r="171" spans="1:8" x14ac:dyDescent="0.25">
      <c r="A171" s="3"/>
      <c r="B171" s="3"/>
      <c r="C171" s="3"/>
      <c r="D171" s="3"/>
      <c r="G171" s="14"/>
      <c r="H171" s="14"/>
    </row>
    <row r="172" spans="1:8" x14ac:dyDescent="0.25">
      <c r="A172" s="3"/>
      <c r="B172" s="3"/>
      <c r="C172" s="3"/>
      <c r="D172" s="3"/>
      <c r="G172" s="14"/>
      <c r="H172" s="14"/>
    </row>
    <row r="173" spans="1:8" x14ac:dyDescent="0.25">
      <c r="A173" s="3"/>
      <c r="B173" s="3"/>
      <c r="C173" s="3"/>
      <c r="D173" s="3"/>
      <c r="G173" s="14"/>
      <c r="H173" s="14"/>
    </row>
    <row r="174" spans="1:8" x14ac:dyDescent="0.25">
      <c r="A174" s="3"/>
      <c r="B174" s="3"/>
      <c r="C174" s="3"/>
      <c r="D174" s="3"/>
      <c r="G174" s="14"/>
      <c r="H174" s="14"/>
    </row>
    <row r="175" spans="1:8" x14ac:dyDescent="0.25">
      <c r="A175" s="3"/>
      <c r="B175" s="3"/>
      <c r="C175" s="3"/>
      <c r="D175" s="3"/>
      <c r="G175" s="14"/>
      <c r="H175" s="14"/>
    </row>
    <row r="176" spans="1:8" x14ac:dyDescent="0.25">
      <c r="A176" s="3"/>
      <c r="B176" s="3"/>
      <c r="C176" s="3"/>
      <c r="D176" s="3"/>
      <c r="G176" s="14"/>
      <c r="H176" s="14"/>
    </row>
    <row r="177" spans="1:8" x14ac:dyDescent="0.25">
      <c r="A177" s="3"/>
      <c r="B177" s="3"/>
      <c r="C177" s="3"/>
      <c r="D177" s="3"/>
      <c r="G177" s="14"/>
      <c r="H177" s="14"/>
    </row>
    <row r="178" spans="1:8" x14ac:dyDescent="0.25">
      <c r="A178" s="3"/>
      <c r="B178" s="3"/>
      <c r="C178" s="3"/>
      <c r="D178" s="3"/>
      <c r="G178" s="14"/>
      <c r="H178" s="14"/>
    </row>
    <row r="179" spans="1:8" x14ac:dyDescent="0.25">
      <c r="A179" s="3"/>
      <c r="B179" s="3"/>
      <c r="C179" s="3"/>
      <c r="D179" s="3"/>
      <c r="G179" s="14"/>
      <c r="H179" s="14"/>
    </row>
    <row r="180" spans="1:8" x14ac:dyDescent="0.25">
      <c r="A180" s="3"/>
      <c r="B180" s="3"/>
      <c r="C180" s="3"/>
      <c r="D180" s="3"/>
      <c r="G180" s="14"/>
      <c r="H180" s="14"/>
    </row>
    <row r="181" spans="1:8" x14ac:dyDescent="0.25">
      <c r="A181" s="3"/>
      <c r="B181" s="3"/>
      <c r="C181" s="3"/>
      <c r="D181" s="3"/>
      <c r="G181" s="14"/>
      <c r="H181" s="14"/>
    </row>
    <row r="182" spans="1:8" x14ac:dyDescent="0.25">
      <c r="A182" s="3"/>
      <c r="B182" s="3"/>
      <c r="C182" s="3"/>
      <c r="D182" s="3"/>
      <c r="G182" s="14"/>
      <c r="H182" s="14"/>
    </row>
    <row r="183" spans="1:8" x14ac:dyDescent="0.25">
      <c r="A183" s="3"/>
      <c r="B183" s="3"/>
      <c r="C183" s="3"/>
      <c r="D183" s="3"/>
      <c r="G183" s="14"/>
      <c r="H183" s="14"/>
    </row>
    <row r="184" spans="1:8" x14ac:dyDescent="0.25">
      <c r="A184" s="3"/>
      <c r="B184" s="3"/>
      <c r="C184" s="3"/>
      <c r="D184" s="3"/>
      <c r="G184" s="14"/>
      <c r="H184" s="14"/>
    </row>
    <row r="185" spans="1:8" x14ac:dyDescent="0.25">
      <c r="A185" s="3"/>
      <c r="B185" s="3"/>
      <c r="C185" s="3"/>
      <c r="D185" s="3"/>
      <c r="G185" s="14"/>
      <c r="H185" s="14"/>
    </row>
    <row r="186" spans="1:8" x14ac:dyDescent="0.25">
      <c r="A186" s="3"/>
      <c r="B186" s="3"/>
      <c r="C186" s="3"/>
      <c r="D186" s="3"/>
      <c r="G186" s="14"/>
      <c r="H186" s="14"/>
    </row>
    <row r="187" spans="1:8" x14ac:dyDescent="0.25">
      <c r="A187" s="3"/>
      <c r="B187" s="3"/>
      <c r="C187" s="3"/>
      <c r="D187" s="3"/>
      <c r="G187" s="14"/>
      <c r="H187" s="14"/>
    </row>
    <row r="188" spans="1:8" x14ac:dyDescent="0.25">
      <c r="A188" s="3"/>
      <c r="B188" s="3"/>
      <c r="C188" s="3"/>
      <c r="D188" s="3"/>
      <c r="G188" s="14"/>
      <c r="H188" s="14"/>
    </row>
    <row r="189" spans="1:8" x14ac:dyDescent="0.25">
      <c r="A189" s="3"/>
      <c r="B189" s="3"/>
      <c r="C189" s="3"/>
      <c r="D189" s="3"/>
      <c r="G189" s="14"/>
      <c r="H189" s="14"/>
    </row>
    <row r="190" spans="1:8" x14ac:dyDescent="0.25">
      <c r="A190" s="3"/>
      <c r="B190" s="3"/>
      <c r="C190" s="3"/>
      <c r="D190" s="3"/>
      <c r="G190" s="14"/>
      <c r="H190" s="14"/>
    </row>
    <row r="191" spans="1:8" x14ac:dyDescent="0.25">
      <c r="A191" s="3"/>
      <c r="B191" s="3"/>
      <c r="C191" s="3"/>
      <c r="D191" s="3"/>
      <c r="G191" s="14"/>
      <c r="H191" s="14"/>
    </row>
    <row r="192" spans="1:8" x14ac:dyDescent="0.25">
      <c r="A192" s="3"/>
      <c r="B192" s="3"/>
      <c r="C192" s="3"/>
      <c r="D192" s="3"/>
      <c r="G192" s="14"/>
      <c r="H192" s="14"/>
    </row>
    <row r="193" spans="1:8" x14ac:dyDescent="0.25">
      <c r="A193" s="3"/>
      <c r="B193" s="3"/>
      <c r="C193" s="3"/>
      <c r="D193" s="3"/>
      <c r="G193" s="14"/>
      <c r="H193" s="14"/>
    </row>
    <row r="194" spans="1:8" x14ac:dyDescent="0.25">
      <c r="A194" s="3"/>
      <c r="B194" s="3"/>
      <c r="C194" s="3"/>
      <c r="D194" s="3"/>
      <c r="G194" s="14"/>
      <c r="H194" s="14"/>
    </row>
    <row r="195" spans="1:8" x14ac:dyDescent="0.25">
      <c r="A195" s="3"/>
      <c r="B195" s="3"/>
      <c r="C195" s="3"/>
      <c r="D195" s="3"/>
      <c r="G195" s="14"/>
      <c r="H195" s="14"/>
    </row>
    <row r="196" spans="1:8" x14ac:dyDescent="0.25">
      <c r="A196" s="3"/>
      <c r="B196" s="3"/>
      <c r="C196" s="3"/>
      <c r="D196" s="3"/>
      <c r="G196" s="14"/>
      <c r="H196" s="14"/>
    </row>
    <row r="197" spans="1:8" x14ac:dyDescent="0.25">
      <c r="A197" s="3"/>
      <c r="B197" s="3"/>
      <c r="C197" s="3"/>
      <c r="D197" s="3"/>
      <c r="G197" s="14"/>
      <c r="H197" s="14"/>
    </row>
    <row r="198" spans="1:8" x14ac:dyDescent="0.25">
      <c r="A198" s="3"/>
      <c r="B198" s="3"/>
      <c r="C198" s="3"/>
      <c r="D198" s="3"/>
      <c r="G198" s="14"/>
      <c r="H198" s="14"/>
    </row>
    <row r="199" spans="1:8" x14ac:dyDescent="0.25">
      <c r="A199" s="3"/>
      <c r="B199" s="3"/>
      <c r="C199" s="3"/>
      <c r="D199" s="3"/>
      <c r="G199" s="14"/>
      <c r="H199" s="14"/>
    </row>
    <row r="200" spans="1:8" x14ac:dyDescent="0.25">
      <c r="A200" s="3"/>
      <c r="B200" s="3"/>
      <c r="C200" s="3"/>
      <c r="D200" s="3"/>
      <c r="G200" s="14"/>
      <c r="H200" s="14"/>
    </row>
    <row r="201" spans="1:8" x14ac:dyDescent="0.25">
      <c r="A201" s="3"/>
      <c r="B201" s="3"/>
      <c r="C201" s="3"/>
      <c r="D201" s="3"/>
      <c r="G201" s="14"/>
      <c r="H201" s="14"/>
    </row>
    <row r="202" spans="1:8" x14ac:dyDescent="0.25">
      <c r="A202" s="3"/>
      <c r="B202" s="3"/>
      <c r="C202" s="3"/>
      <c r="D202" s="3"/>
      <c r="G202" s="14"/>
      <c r="H202" s="14"/>
    </row>
    <row r="203" spans="1:8" x14ac:dyDescent="0.25">
      <c r="A203" s="3"/>
      <c r="B203" s="3"/>
      <c r="C203" s="3"/>
      <c r="D203" s="3"/>
      <c r="G203" s="14"/>
      <c r="H203" s="14"/>
    </row>
    <row r="204" spans="1:8" x14ac:dyDescent="0.25">
      <c r="A204" s="3"/>
      <c r="B204" s="3"/>
      <c r="C204" s="3"/>
      <c r="D204" s="3"/>
      <c r="G204" s="14"/>
      <c r="H204" s="14"/>
    </row>
    <row r="205" spans="1:8" x14ac:dyDescent="0.25">
      <c r="A205" s="3"/>
      <c r="B205" s="3"/>
      <c r="C205" s="3"/>
      <c r="D205" s="3"/>
      <c r="G205" s="14"/>
      <c r="H205" s="14"/>
    </row>
    <row r="206" spans="1:8" x14ac:dyDescent="0.25">
      <c r="A206" s="3"/>
      <c r="B206" s="3"/>
      <c r="C206" s="3"/>
      <c r="D206" s="3"/>
      <c r="G206" s="14"/>
      <c r="H206" s="14"/>
    </row>
    <row r="207" spans="1:8" x14ac:dyDescent="0.25">
      <c r="A207" s="3"/>
      <c r="B207" s="3"/>
      <c r="C207" s="3"/>
      <c r="D207" s="3"/>
      <c r="G207" s="14"/>
      <c r="H207" s="14"/>
    </row>
    <row r="208" spans="1:8" x14ac:dyDescent="0.25">
      <c r="A208" s="3"/>
      <c r="B208" s="3"/>
      <c r="C208" s="3"/>
      <c r="D208" s="3"/>
      <c r="G208" s="14"/>
      <c r="H208" s="14"/>
    </row>
    <row r="209" spans="1:8" x14ac:dyDescent="0.25">
      <c r="A209" s="3"/>
      <c r="B209" s="3"/>
      <c r="C209" s="3"/>
      <c r="D209" s="3"/>
      <c r="G209" s="14"/>
      <c r="H209" s="14"/>
    </row>
    <row r="210" spans="1:8" x14ac:dyDescent="0.25">
      <c r="A210" s="3"/>
      <c r="B210" s="3"/>
      <c r="C210" s="3"/>
      <c r="D210" s="3"/>
      <c r="G210" s="14"/>
      <c r="H210" s="14"/>
    </row>
    <row r="211" spans="1:8" x14ac:dyDescent="0.25">
      <c r="A211" s="3"/>
      <c r="B211" s="3"/>
      <c r="C211" s="3"/>
      <c r="D211" s="3"/>
      <c r="G211" s="14"/>
      <c r="H211" s="14"/>
    </row>
    <row r="212" spans="1:8" x14ac:dyDescent="0.25">
      <c r="A212" s="3"/>
      <c r="B212" s="3"/>
      <c r="C212" s="3"/>
      <c r="D212" s="3"/>
      <c r="G212" s="14"/>
      <c r="H212" s="14"/>
    </row>
    <row r="213" spans="1:8" x14ac:dyDescent="0.25">
      <c r="A213" s="3"/>
      <c r="B213" s="3"/>
      <c r="C213" s="3"/>
      <c r="D213" s="3"/>
      <c r="G213" s="14"/>
      <c r="H213" s="14"/>
    </row>
    <row r="214" spans="1:8" x14ac:dyDescent="0.25">
      <c r="A214" s="3"/>
      <c r="B214" s="3"/>
      <c r="C214" s="3"/>
      <c r="D214" s="3"/>
      <c r="G214" s="14"/>
      <c r="H214" s="14"/>
    </row>
    <row r="215" spans="1:8" x14ac:dyDescent="0.25">
      <c r="A215" s="3"/>
      <c r="B215" s="3"/>
      <c r="C215" s="3"/>
      <c r="D215" s="3"/>
      <c r="G215" s="14"/>
      <c r="H215" s="14"/>
    </row>
    <row r="216" spans="1:8" x14ac:dyDescent="0.25">
      <c r="A216" s="3"/>
      <c r="B216" s="3"/>
      <c r="C216" s="3"/>
      <c r="D216" s="3"/>
      <c r="G216" s="14"/>
      <c r="H216" s="14"/>
    </row>
    <row r="217" spans="1:8" x14ac:dyDescent="0.25">
      <c r="A217" s="3"/>
      <c r="B217" s="3"/>
      <c r="C217" s="3"/>
      <c r="D217" s="3"/>
      <c r="G217" s="14"/>
      <c r="H217" s="14"/>
    </row>
    <row r="218" spans="1:8" x14ac:dyDescent="0.25">
      <c r="A218" s="3"/>
      <c r="B218" s="3"/>
      <c r="C218" s="3"/>
      <c r="D218" s="3"/>
      <c r="G218" s="14"/>
      <c r="H218" s="14"/>
    </row>
    <row r="219" spans="1:8" x14ac:dyDescent="0.25">
      <c r="A219" s="3"/>
      <c r="B219" s="3"/>
      <c r="C219" s="3"/>
      <c r="D219" s="3"/>
      <c r="G219" s="14"/>
      <c r="H219" s="14"/>
    </row>
    <row r="220" spans="1:8" x14ac:dyDescent="0.25">
      <c r="A220" s="3"/>
      <c r="B220" s="3"/>
      <c r="C220" s="3"/>
      <c r="D220" s="3"/>
      <c r="G220" s="14"/>
      <c r="H220" s="14"/>
    </row>
    <row r="221" spans="1:8" x14ac:dyDescent="0.25">
      <c r="A221" s="3"/>
      <c r="B221" s="3"/>
      <c r="C221" s="3"/>
      <c r="D221" s="3"/>
      <c r="G221" s="14"/>
      <c r="H221" s="14"/>
    </row>
    <row r="222" spans="1:8" x14ac:dyDescent="0.25">
      <c r="A222" s="3"/>
      <c r="B222" s="3"/>
      <c r="C222" s="3"/>
      <c r="D222" s="3"/>
      <c r="G222" s="14"/>
      <c r="H222" s="14"/>
    </row>
    <row r="223" spans="1:8" x14ac:dyDescent="0.25">
      <c r="A223" s="3"/>
      <c r="B223" s="3"/>
      <c r="C223" s="3"/>
      <c r="D223" s="3"/>
      <c r="G223" s="14"/>
      <c r="H223" s="14"/>
    </row>
    <row r="224" spans="1:8" x14ac:dyDescent="0.25">
      <c r="A224" s="3"/>
      <c r="B224" s="3"/>
      <c r="C224" s="3"/>
      <c r="D224" s="3"/>
      <c r="G224" s="14"/>
      <c r="H224" s="14"/>
    </row>
    <row r="225" spans="1:8" x14ac:dyDescent="0.25">
      <c r="A225" s="3"/>
      <c r="B225" s="3"/>
      <c r="C225" s="3"/>
      <c r="D225" s="3"/>
      <c r="G225" s="14"/>
      <c r="H225" s="14"/>
    </row>
    <row r="226" spans="1:8" x14ac:dyDescent="0.25">
      <c r="A226" s="3"/>
      <c r="B226" s="3"/>
      <c r="C226" s="3"/>
      <c r="D226" s="3"/>
      <c r="G226" s="14"/>
      <c r="H226" s="14"/>
    </row>
    <row r="227" spans="1:8" x14ac:dyDescent="0.25">
      <c r="A227" s="3"/>
      <c r="B227" s="3"/>
      <c r="C227" s="3"/>
      <c r="D227" s="3"/>
      <c r="G227" s="14"/>
      <c r="H227" s="14"/>
    </row>
    <row r="228" spans="1:8" x14ac:dyDescent="0.25">
      <c r="A228" s="3"/>
      <c r="B228" s="3"/>
      <c r="C228" s="3"/>
      <c r="D228" s="3"/>
      <c r="G228" s="14"/>
      <c r="H228" s="14"/>
    </row>
    <row r="229" spans="1:8" x14ac:dyDescent="0.25">
      <c r="A229" s="3"/>
      <c r="B229" s="3"/>
      <c r="C229" s="3"/>
      <c r="D229" s="3"/>
      <c r="G229" s="14"/>
      <c r="H229" s="14"/>
    </row>
    <row r="230" spans="1:8" x14ac:dyDescent="0.25">
      <c r="A230" s="3"/>
      <c r="B230" s="3"/>
      <c r="C230" s="3"/>
      <c r="D230" s="3"/>
      <c r="G230" s="14"/>
      <c r="H230" s="14"/>
    </row>
    <row r="231" spans="1:8" x14ac:dyDescent="0.25">
      <c r="A231" s="3"/>
      <c r="B231" s="3"/>
      <c r="C231" s="3"/>
      <c r="D231" s="3"/>
      <c r="G231" s="14"/>
      <c r="H231" s="14"/>
    </row>
    <row r="232" spans="1:8" x14ac:dyDescent="0.25">
      <c r="A232" s="3"/>
      <c r="B232" s="3"/>
      <c r="C232" s="3"/>
      <c r="D232" s="3"/>
      <c r="G232" s="14"/>
      <c r="H232" s="14"/>
    </row>
    <row r="233" spans="1:8" x14ac:dyDescent="0.25">
      <c r="A233" s="3"/>
      <c r="B233" s="3"/>
      <c r="C233" s="3"/>
      <c r="D233" s="3"/>
      <c r="G233" s="14"/>
      <c r="H233" s="14"/>
    </row>
    <row r="234" spans="1:8" x14ac:dyDescent="0.25">
      <c r="A234" s="3"/>
      <c r="B234" s="3"/>
      <c r="C234" s="3"/>
      <c r="D234" s="3"/>
      <c r="G234" s="14"/>
      <c r="H234" s="14"/>
    </row>
    <row r="235" spans="1:8" x14ac:dyDescent="0.25">
      <c r="A235" s="3"/>
      <c r="B235" s="3"/>
      <c r="C235" s="3"/>
      <c r="D235" s="3"/>
      <c r="G235" s="14"/>
      <c r="H235" s="14"/>
    </row>
    <row r="236" spans="1:8" x14ac:dyDescent="0.25">
      <c r="A236" s="3"/>
      <c r="B236" s="3"/>
      <c r="C236" s="3"/>
      <c r="D236" s="3"/>
      <c r="G236" s="14"/>
      <c r="H236" s="14"/>
    </row>
    <row r="237" spans="1:8" x14ac:dyDescent="0.25">
      <c r="A237" s="3"/>
      <c r="B237" s="3"/>
      <c r="C237" s="3"/>
      <c r="D237" s="3"/>
      <c r="G237" s="14"/>
      <c r="H237" s="14"/>
    </row>
    <row r="238" spans="1:8" x14ac:dyDescent="0.25">
      <c r="A238" s="3"/>
      <c r="B238" s="3"/>
      <c r="C238" s="3"/>
      <c r="D238" s="3"/>
      <c r="G238" s="14"/>
      <c r="H238" s="14"/>
    </row>
    <row r="239" spans="1:8" x14ac:dyDescent="0.25">
      <c r="A239" s="3"/>
      <c r="B239" s="3"/>
      <c r="C239" s="3"/>
      <c r="D239" s="3"/>
      <c r="G239" s="14"/>
      <c r="H239" s="14"/>
    </row>
    <row r="240" spans="1:8" x14ac:dyDescent="0.25">
      <c r="A240" s="3"/>
      <c r="B240" s="3"/>
      <c r="C240" s="3"/>
      <c r="D240" s="3"/>
      <c r="G240" s="14"/>
      <c r="H240" s="14"/>
    </row>
    <row r="241" spans="1:8" x14ac:dyDescent="0.25">
      <c r="A241" s="3"/>
      <c r="B241" s="3"/>
      <c r="C241" s="3"/>
      <c r="D241" s="3"/>
      <c r="G241" s="14"/>
      <c r="H241" s="14"/>
    </row>
    <row r="242" spans="1:8" x14ac:dyDescent="0.25">
      <c r="A242" s="3"/>
      <c r="B242" s="3"/>
      <c r="C242" s="3"/>
      <c r="D242" s="3"/>
      <c r="G242" s="14"/>
      <c r="H242" s="14"/>
    </row>
    <row r="243" spans="1:8" x14ac:dyDescent="0.25">
      <c r="A243" s="3"/>
      <c r="B243" s="3"/>
      <c r="C243" s="3"/>
      <c r="D243" s="3"/>
      <c r="G243" s="14"/>
      <c r="H243" s="14"/>
    </row>
    <row r="244" spans="1:8" x14ac:dyDescent="0.25">
      <c r="A244" s="3"/>
      <c r="B244" s="3"/>
      <c r="C244" s="3"/>
      <c r="D244" s="3"/>
      <c r="G244" s="14"/>
      <c r="H244" s="14"/>
    </row>
    <row r="245" spans="1:8" x14ac:dyDescent="0.25">
      <c r="A245" s="3"/>
      <c r="B245" s="3"/>
      <c r="C245" s="3"/>
      <c r="D245" s="3"/>
      <c r="G245" s="14"/>
      <c r="H245" s="14"/>
    </row>
    <row r="247" spans="1:8" x14ac:dyDescent="0.25">
      <c r="A247" s="3"/>
      <c r="G247" s="14"/>
      <c r="H247" s="14"/>
    </row>
  </sheetData>
  <phoneticPr fontId="1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BF233A-0EC2-4178-B2E4-50ED4F0E32E1}">
  <sheetPr/>
  <dimension ref="A1:I247"/>
  <sheetViews>
    <sheetView zoomScale="115" zoomScaleNormal="115" workbookViewId="0">
      <selection activeCell="A5" sqref="A5:H83"/>
    </sheetView>
  </sheetViews>
  <sheetFormatPr defaultRowHeight="15" x14ac:dyDescent="0.25"/>
  <cols>
    <col min="1" max="1" width="8.875" style="4" customWidth="1"/>
    <col min="2" max="3" width="15.125" style="4" customWidth="1"/>
    <col min="4" max="4" width="10.25" style="4" customWidth="1"/>
    <col min="5" max="5" width="12" style="13" customWidth="1"/>
    <col min="6" max="6" width="15" style="13" customWidth="1"/>
    <col min="7" max="7" width="13.875" customWidth="1"/>
    <col min="8" max="8" width="11.125" customWidth="1"/>
    <col min="11" max="12" width="15.125" customWidth="1"/>
    <col min="13" max="13" width="11.125" customWidth="1"/>
  </cols>
  <sheetData>
    <row r="1" spans="1:9" ht="14.25" x14ac:dyDescent="0.2">
      <c r="A1" s="2" t="s">
        <v>12</v>
      </c>
      <c r="B1" s="2" t="s">
        <v>4</v>
      </c>
      <c r="C1" s="2" t="s">
        <v>5</v>
      </c>
      <c r="D1" s="2" t="s">
        <v>13</v>
      </c>
      <c r="E1" s="2" t="s">
        <v>14</v>
      </c>
      <c r="F1" s="2" t="s">
        <v>15</v>
      </c>
      <c r="G1" s="2" t="s">
        <v>16</v>
      </c>
    </row>
    <row r="2" spans="1:9" x14ac:dyDescent="0.25">
      <c r="A2" s="11">
        <v>6</v>
      </c>
      <c r="B2" s="3">
        <v>113.37898010000001</v>
      </c>
      <c r="C2" s="8">
        <v>22.94733222</v>
      </c>
      <c r="D2" s="3">
        <v>1785</v>
      </c>
      <c r="E2" s="13">
        <v>1785</v>
      </c>
      <c r="F2" s="13">
        <v>28</v>
      </c>
      <c r="G2" s="19">
        <f>SUBTOTAL(2,A5:A250)</f>
        <v>27</v>
      </c>
    </row>
    <row r="3" spans="1:9" x14ac:dyDescent="0.25">
      <c r="A3" s="3"/>
      <c r="B3" s="3"/>
      <c r="C3" s="3"/>
      <c r="D3" s="3"/>
    </row>
    <row r="4" spans="1:9" ht="14.25" x14ac:dyDescent="0.2">
      <c r="A4" s="2" t="s">
        <v>0</v>
      </c>
      <c r="B4" s="2" t="s">
        <v>1</v>
      </c>
      <c r="C4" s="2" t="s">
        <v>2</v>
      </c>
      <c r="D4" s="2" t="s">
        <v>3</v>
      </c>
      <c r="E4" s="2" t="s">
        <v>7</v>
      </c>
      <c r="F4" s="2" t="s">
        <v>8</v>
      </c>
      <c r="G4" s="2" t="s">
        <v>13</v>
      </c>
      <c r="H4" s="2" t="s">
        <v>14</v>
      </c>
      <c r="I4" s="24" t="s">
        <v>20</v>
      </c>
    </row>
    <row r="5" spans="1:9" x14ac:dyDescent="0.25">
      <c r="A5" s="3">
        <v>3157</v>
      </c>
      <c r="B5" s="3">
        <v>113.3785385</v>
      </c>
      <c r="C5" s="3">
        <v>22.947878230000001</v>
      </c>
      <c r="D5" s="3">
        <v>6</v>
      </c>
      <c r="E5" s="13">
        <f t="shared" ref="E5:E36" si="0">SQRT((B5-$B$2)^2+(C5-$C$2)^2)</f>
        <v>7.022374812715675E-4</v>
      </c>
      <c r="F5" s="13">
        <f t="shared" ref="F5:F36" si="1">SQRT(1/E5)</f>
        <v>37.736185412006144</v>
      </c>
      <c r="G5" s="14">
        <f>F5/$F$85*$D$2</f>
        <v>160.62277905409849</v>
      </c>
      <c r="H5" s="14">
        <f>F5/$F$85*$E$2</f>
        <v>160.62277905409849</v>
      </c>
      <c r="I5" s="25" t="str">
        <f>IF(MOD(ROW()-1,3)=1,"选中","")</f>
        <v>选中</v>
      </c>
    </row>
    <row r="6" spans="1:9" hidden="1" x14ac:dyDescent="0.25">
      <c r="A6" s="3">
        <v>3164</v>
      </c>
      <c r="B6" s="3">
        <v>113.379126</v>
      </c>
      <c r="C6" s="3">
        <v>22.948103700000001</v>
      </c>
      <c r="D6" s="3">
        <v>6</v>
      </c>
      <c r="E6" s="13">
        <f t="shared" si="0"/>
        <v>7.8515488943219417E-4</v>
      </c>
      <c r="F6" s="13">
        <f t="shared" si="1"/>
        <v>35.688009860857655</v>
      </c>
      <c r="G6" s="14" t="e">
        <f>F6/$F$124*$D$2</f>
        <v>#DIV/0!</v>
      </c>
      <c r="H6" s="14" t="e">
        <f>F6/$F$124*$E$2</f>
        <v>#DIV/0!</v>
      </c>
      <c r="I6" s="25" t="str">
        <f t="shared" ref="I6:I69" si="2">IF(MOD(ROW()-1,3)=1,"选中","")</f>
        <v/>
      </c>
    </row>
    <row r="7" spans="1:9" hidden="1" x14ac:dyDescent="0.25">
      <c r="A7" s="3">
        <v>3160</v>
      </c>
      <c r="B7" s="3">
        <v>113.37895810000001</v>
      </c>
      <c r="C7" s="3">
        <v>22.948327729999999</v>
      </c>
      <c r="D7" s="3">
        <v>6</v>
      </c>
      <c r="E7" s="13">
        <f t="shared" si="0"/>
        <v>9.9575306180722562E-4</v>
      </c>
      <c r="F7" s="13">
        <f t="shared" si="1"/>
        <v>31.690141236720969</v>
      </c>
      <c r="G7" s="14" t="e">
        <f>F7/$F$124*$D$2</f>
        <v>#DIV/0!</v>
      </c>
      <c r="H7" s="14" t="e">
        <f>F7/$F$124*$E$2</f>
        <v>#DIV/0!</v>
      </c>
      <c r="I7" s="25" t="str">
        <f t="shared" si="2"/>
        <v/>
      </c>
    </row>
    <row r="8" spans="1:9" x14ac:dyDescent="0.25">
      <c r="A8" s="3">
        <v>3195</v>
      </c>
      <c r="B8" s="3">
        <v>113.37785</v>
      </c>
      <c r="C8" s="3">
        <v>22.946972150000001</v>
      </c>
      <c r="D8" s="3">
        <v>6</v>
      </c>
      <c r="E8" s="13">
        <f t="shared" si="0"/>
        <v>1.1860760578166446E-3</v>
      </c>
      <c r="F8" s="13">
        <f t="shared" si="1"/>
        <v>29.036464172102832</v>
      </c>
      <c r="G8" s="14">
        <f>F8/$F$85*$D$2</f>
        <v>123.59271395099853</v>
      </c>
      <c r="H8" s="14">
        <f>F8/$F$85*$E$2</f>
        <v>123.59271395099853</v>
      </c>
      <c r="I8" s="25" t="str">
        <f t="shared" si="2"/>
        <v>选中</v>
      </c>
    </row>
    <row r="9" spans="1:9" hidden="1" x14ac:dyDescent="0.25">
      <c r="A9" s="3">
        <v>3158</v>
      </c>
      <c r="B9" s="3">
        <v>113.377883</v>
      </c>
      <c r="C9" s="3">
        <v>22.946861169999998</v>
      </c>
      <c r="D9" s="3">
        <v>6</v>
      </c>
      <c r="E9" s="13">
        <f t="shared" si="0"/>
        <v>1.1939499623195458E-3</v>
      </c>
      <c r="F9" s="13">
        <f t="shared" si="1"/>
        <v>28.940560429803622</v>
      </c>
      <c r="G9" s="14" t="e">
        <f>F9/$F$124*$D$2</f>
        <v>#DIV/0!</v>
      </c>
      <c r="H9" s="14" t="e">
        <f>F9/$F$124*$E$2</f>
        <v>#DIV/0!</v>
      </c>
      <c r="I9" s="25" t="str">
        <f t="shared" si="2"/>
        <v/>
      </c>
    </row>
    <row r="10" spans="1:9" hidden="1" x14ac:dyDescent="0.25">
      <c r="A10" s="3">
        <v>3154</v>
      </c>
      <c r="B10" s="3">
        <v>113.3780458</v>
      </c>
      <c r="C10" s="3">
        <v>22.948814209999998</v>
      </c>
      <c r="D10" s="3">
        <v>6</v>
      </c>
      <c r="E10" s="13">
        <f t="shared" si="0"/>
        <v>1.751916336506111E-3</v>
      </c>
      <c r="F10" s="13">
        <f t="shared" si="1"/>
        <v>23.891494582077549</v>
      </c>
      <c r="G10" s="14" t="e">
        <f>F10/$F$124*$D$2</f>
        <v>#DIV/0!</v>
      </c>
      <c r="H10" s="14" t="e">
        <f>F10/$F$124*$E$2</f>
        <v>#DIV/0!</v>
      </c>
      <c r="I10" s="25" t="str">
        <f t="shared" si="2"/>
        <v/>
      </c>
    </row>
    <row r="11" spans="1:9" x14ac:dyDescent="0.25">
      <c r="A11" s="3">
        <v>3184</v>
      </c>
      <c r="B11" s="3">
        <v>113.3800925</v>
      </c>
      <c r="C11" s="3">
        <v>22.945964920000002</v>
      </c>
      <c r="D11" s="3">
        <v>6</v>
      </c>
      <c r="E11" s="13">
        <f t="shared" si="0"/>
        <v>1.7626522771062808E-3</v>
      </c>
      <c r="F11" s="13">
        <f t="shared" si="1"/>
        <v>23.818624444217409</v>
      </c>
      <c r="G11" s="14">
        <f>F11/$F$85*$D$2</f>
        <v>101.38315809363341</v>
      </c>
      <c r="H11" s="14">
        <f>F11/$F$85*$E$2</f>
        <v>101.38315809363341</v>
      </c>
      <c r="I11" s="25" t="str">
        <f t="shared" si="2"/>
        <v>选中</v>
      </c>
    </row>
    <row r="12" spans="1:9" hidden="1" x14ac:dyDescent="0.25">
      <c r="A12" s="3">
        <v>3181</v>
      </c>
      <c r="B12" s="3">
        <v>113.3779019</v>
      </c>
      <c r="C12" s="3">
        <v>22.948909279999999</v>
      </c>
      <c r="D12" s="3">
        <v>6</v>
      </c>
      <c r="E12" s="13">
        <f t="shared" si="0"/>
        <v>1.9104013933245161E-3</v>
      </c>
      <c r="F12" s="13">
        <f t="shared" si="1"/>
        <v>22.879034168716526</v>
      </c>
      <c r="G12" s="14" t="e">
        <f>F12/$F$124*$D$2</f>
        <v>#DIV/0!</v>
      </c>
      <c r="H12" s="14" t="e">
        <f>F12/$F$124*$E$2</f>
        <v>#DIV/0!</v>
      </c>
      <c r="I12" s="25" t="str">
        <f t="shared" si="2"/>
        <v/>
      </c>
    </row>
    <row r="13" spans="1:9" hidden="1" x14ac:dyDescent="0.25">
      <c r="A13" s="3">
        <v>3169</v>
      </c>
      <c r="B13" s="3">
        <v>113.3804461</v>
      </c>
      <c r="C13" s="3">
        <v>22.949047369999999</v>
      </c>
      <c r="D13" s="3">
        <v>6</v>
      </c>
      <c r="E13" s="13">
        <f t="shared" si="0"/>
        <v>2.256301292486797E-3</v>
      </c>
      <c r="F13" s="13">
        <f t="shared" si="1"/>
        <v>21.052392282899458</v>
      </c>
      <c r="G13" s="14" t="e">
        <f>F13/$F$124*$D$2</f>
        <v>#DIV/0!</v>
      </c>
      <c r="H13" s="14" t="e">
        <f>F13/$F$124*$E$2</f>
        <v>#DIV/0!</v>
      </c>
      <c r="I13" s="25" t="str">
        <f t="shared" si="2"/>
        <v/>
      </c>
    </row>
    <row r="14" spans="1:9" x14ac:dyDescent="0.25">
      <c r="A14" s="3">
        <v>3180</v>
      </c>
      <c r="B14" s="3">
        <v>113.38098170000001</v>
      </c>
      <c r="C14" s="3">
        <v>22.948650180000001</v>
      </c>
      <c r="D14" s="3">
        <v>6</v>
      </c>
      <c r="E14" s="13">
        <f t="shared" si="0"/>
        <v>2.3965435780730696E-3</v>
      </c>
      <c r="F14" s="13">
        <f t="shared" si="1"/>
        <v>20.427129151578228</v>
      </c>
      <c r="G14" s="14">
        <f>F14/$F$85*$D$2</f>
        <v>86.947374690913549</v>
      </c>
      <c r="H14" s="14">
        <f>F14/$F$85*$E$2</f>
        <v>86.947374690913549</v>
      </c>
      <c r="I14" s="25" t="str">
        <f t="shared" si="2"/>
        <v>选中</v>
      </c>
    </row>
    <row r="15" spans="1:9" hidden="1" x14ac:dyDescent="0.25">
      <c r="A15" s="3">
        <v>3197</v>
      </c>
      <c r="B15" s="3">
        <v>113.3773005</v>
      </c>
      <c r="C15" s="3">
        <v>22.945603160000001</v>
      </c>
      <c r="D15" s="3">
        <v>6</v>
      </c>
      <c r="E15" s="13">
        <f t="shared" si="0"/>
        <v>2.4105403219206517E-3</v>
      </c>
      <c r="F15" s="13">
        <f t="shared" si="1"/>
        <v>20.367737998033775</v>
      </c>
      <c r="G15" s="14" t="e">
        <f>F15/$F$124*$D$2</f>
        <v>#DIV/0!</v>
      </c>
      <c r="H15" s="14" t="e">
        <f>F15/$F$124*$E$2</f>
        <v>#DIV/0!</v>
      </c>
      <c r="I15" s="25" t="str">
        <f t="shared" si="2"/>
        <v/>
      </c>
    </row>
    <row r="16" spans="1:9" hidden="1" x14ac:dyDescent="0.25">
      <c r="A16" s="3">
        <v>3189</v>
      </c>
      <c r="B16" s="3">
        <v>113.3810527</v>
      </c>
      <c r="C16" s="3">
        <v>22.948664130000001</v>
      </c>
      <c r="D16" s="3">
        <v>6</v>
      </c>
      <c r="E16" s="13">
        <f t="shared" si="0"/>
        <v>2.4636669840029184E-3</v>
      </c>
      <c r="F16" s="13">
        <f t="shared" si="1"/>
        <v>20.146935601964895</v>
      </c>
      <c r="G16" s="14" t="e">
        <f>F16/$F$124*$D$2</f>
        <v>#DIV/0!</v>
      </c>
      <c r="H16" s="14" t="e">
        <f>F16/$F$124*$E$2</f>
        <v>#DIV/0!</v>
      </c>
      <c r="I16" s="25" t="str">
        <f t="shared" si="2"/>
        <v/>
      </c>
    </row>
    <row r="17" spans="1:9" x14ac:dyDescent="0.25">
      <c r="A17" s="3">
        <v>3199</v>
      </c>
      <c r="B17" s="3">
        <v>113.3808698</v>
      </c>
      <c r="C17" s="3">
        <v>22.94912205</v>
      </c>
      <c r="D17" s="3">
        <v>6</v>
      </c>
      <c r="E17" s="13">
        <f t="shared" si="0"/>
        <v>2.6027788071349861E-3</v>
      </c>
      <c r="F17" s="13">
        <f t="shared" si="1"/>
        <v>19.60114173557454</v>
      </c>
      <c r="G17" s="14">
        <f>F17/$F$85*$D$2</f>
        <v>83.43158758170523</v>
      </c>
      <c r="H17" s="14">
        <f>F17/$F$85*$E$2</f>
        <v>83.43158758170523</v>
      </c>
      <c r="I17" s="25" t="str">
        <f t="shared" si="2"/>
        <v>选中</v>
      </c>
    </row>
    <row r="18" spans="1:9" hidden="1" x14ac:dyDescent="0.25">
      <c r="A18" s="3">
        <v>3166</v>
      </c>
      <c r="B18" s="3">
        <v>113.3769059</v>
      </c>
      <c r="C18" s="3">
        <v>22.945405560000001</v>
      </c>
      <c r="D18" s="3">
        <v>6</v>
      </c>
      <c r="E18" s="13">
        <f t="shared" si="0"/>
        <v>2.8309582115665028E-3</v>
      </c>
      <c r="F18" s="13">
        <f t="shared" si="1"/>
        <v>18.794607939863397</v>
      </c>
      <c r="G18" s="14" t="e">
        <f>F18/$F$124*$D$2</f>
        <v>#DIV/0!</v>
      </c>
      <c r="H18" s="14" t="e">
        <f>F18/$F$124*$E$2</f>
        <v>#DIV/0!</v>
      </c>
      <c r="I18" s="25" t="str">
        <f t="shared" si="2"/>
        <v/>
      </c>
    </row>
    <row r="19" spans="1:9" hidden="1" x14ac:dyDescent="0.25">
      <c r="A19" s="3">
        <v>3161</v>
      </c>
      <c r="B19" s="3">
        <v>113.37867420000001</v>
      </c>
      <c r="C19" s="3">
        <v>22.950308100000001</v>
      </c>
      <c r="D19" s="3">
        <v>6</v>
      </c>
      <c r="E19" s="13">
        <f t="shared" si="0"/>
        <v>2.9915608943169871E-3</v>
      </c>
      <c r="F19" s="13">
        <f t="shared" si="1"/>
        <v>18.283152269395231</v>
      </c>
      <c r="G19" s="14" t="e">
        <f>F19/$F$124*$D$2</f>
        <v>#DIV/0!</v>
      </c>
      <c r="H19" s="14" t="e">
        <f>F19/$F$124*$E$2</f>
        <v>#DIV/0!</v>
      </c>
      <c r="I19" s="25" t="str">
        <f t="shared" si="2"/>
        <v/>
      </c>
    </row>
    <row r="20" spans="1:9" x14ac:dyDescent="0.25">
      <c r="A20" s="3">
        <v>3196</v>
      </c>
      <c r="B20" s="3">
        <v>113.37736959999999</v>
      </c>
      <c r="C20" s="3">
        <v>22.944592539999999</v>
      </c>
      <c r="D20" s="3">
        <v>6</v>
      </c>
      <c r="E20" s="13">
        <f t="shared" si="0"/>
        <v>3.1779799798687738E-3</v>
      </c>
      <c r="F20" s="13">
        <f t="shared" si="1"/>
        <v>17.738807528234272</v>
      </c>
      <c r="G20" s="14">
        <f>F20/$F$85*$D$2</f>
        <v>75.504625896401095</v>
      </c>
      <c r="H20" s="14">
        <f>F20/$F$85*$E$2</f>
        <v>75.504625896401095</v>
      </c>
      <c r="I20" s="25" t="str">
        <f t="shared" si="2"/>
        <v>选中</v>
      </c>
    </row>
    <row r="21" spans="1:9" hidden="1" x14ac:dyDescent="0.25">
      <c r="A21" s="3">
        <v>3173</v>
      </c>
      <c r="B21" s="3">
        <v>113.3786072</v>
      </c>
      <c r="C21" s="3">
        <v>22.950881899999999</v>
      </c>
      <c r="D21" s="3">
        <v>6</v>
      </c>
      <c r="E21" s="13">
        <f t="shared" si="0"/>
        <v>3.5692131503168149E-3</v>
      </c>
      <c r="F21" s="13">
        <f t="shared" si="1"/>
        <v>16.738392898496702</v>
      </c>
      <c r="G21" s="14" t="e">
        <f>F21/$F$124*$D$2</f>
        <v>#DIV/0!</v>
      </c>
      <c r="H21" s="14" t="e">
        <f>F21/$F$124*$E$2</f>
        <v>#DIV/0!</v>
      </c>
      <c r="I21" s="25" t="str">
        <f t="shared" si="2"/>
        <v/>
      </c>
    </row>
    <row r="22" spans="1:9" hidden="1" x14ac:dyDescent="0.25">
      <c r="A22" s="3">
        <v>3175</v>
      </c>
      <c r="B22" s="3">
        <v>113.3759477</v>
      </c>
      <c r="C22" s="3">
        <v>22.944724650000001</v>
      </c>
      <c r="D22" s="3">
        <v>6</v>
      </c>
      <c r="E22" s="13">
        <f t="shared" si="0"/>
        <v>3.9993588317314881E-3</v>
      </c>
      <c r="F22" s="13">
        <f t="shared" si="1"/>
        <v>15.812655673263693</v>
      </c>
      <c r="G22" s="14" t="e">
        <f>F22/$F$124*$D$2</f>
        <v>#DIV/0!</v>
      </c>
      <c r="H22" s="14" t="e">
        <f>F22/$F$124*$E$2</f>
        <v>#DIV/0!</v>
      </c>
      <c r="I22" s="25" t="str">
        <f t="shared" si="2"/>
        <v/>
      </c>
    </row>
    <row r="23" spans="1:9" x14ac:dyDescent="0.25">
      <c r="A23" s="3">
        <v>3215</v>
      </c>
      <c r="B23" s="3">
        <v>113.3818735</v>
      </c>
      <c r="C23" s="3">
        <v>22.944512370000002</v>
      </c>
      <c r="D23" s="3">
        <v>6</v>
      </c>
      <c r="E23" s="13">
        <f t="shared" si="0"/>
        <v>4.040212566491448E-3</v>
      </c>
      <c r="F23" s="13">
        <f t="shared" si="1"/>
        <v>15.732505507061431</v>
      </c>
      <c r="G23" s="14">
        <f>F23/$F$85*$D$2</f>
        <v>66.964870148855212</v>
      </c>
      <c r="H23" s="14">
        <f>F23/$F$85*$E$2</f>
        <v>66.964870148855212</v>
      </c>
      <c r="I23" s="25" t="str">
        <f t="shared" si="2"/>
        <v>选中</v>
      </c>
    </row>
    <row r="24" spans="1:9" hidden="1" x14ac:dyDescent="0.25">
      <c r="A24" s="3">
        <v>3187</v>
      </c>
      <c r="B24" s="3">
        <v>113.38139080000001</v>
      </c>
      <c r="C24" s="3">
        <v>22.943985900000001</v>
      </c>
      <c r="D24" s="3">
        <v>6</v>
      </c>
      <c r="E24" s="13">
        <f t="shared" si="0"/>
        <v>4.1242371455075116E-3</v>
      </c>
      <c r="F24" s="13">
        <f t="shared" si="1"/>
        <v>15.571418795476484</v>
      </c>
      <c r="G24" s="14" t="e">
        <f>F24/$F$124*$D$2</f>
        <v>#DIV/0!</v>
      </c>
      <c r="H24" s="14" t="e">
        <f>F24/$F$124*$E$2</f>
        <v>#DIV/0!</v>
      </c>
      <c r="I24" s="25" t="str">
        <f t="shared" si="2"/>
        <v/>
      </c>
    </row>
    <row r="25" spans="1:9" hidden="1" x14ac:dyDescent="0.25">
      <c r="A25" s="3">
        <v>3156</v>
      </c>
      <c r="B25" s="3">
        <v>113.3747346</v>
      </c>
      <c r="C25" s="3">
        <v>22.946396</v>
      </c>
      <c r="D25" s="3">
        <v>6</v>
      </c>
      <c r="E25" s="13">
        <f t="shared" si="0"/>
        <v>4.3475025173641303E-3</v>
      </c>
      <c r="F25" s="13">
        <f t="shared" si="1"/>
        <v>15.166315244824107</v>
      </c>
      <c r="G25" s="14" t="e">
        <f>F25/$F$124*$D$2</f>
        <v>#DIV/0!</v>
      </c>
      <c r="H25" s="14" t="e">
        <f>F25/$F$124*$E$2</f>
        <v>#DIV/0!</v>
      </c>
      <c r="I25" s="25" t="str">
        <f t="shared" si="2"/>
        <v/>
      </c>
    </row>
    <row r="26" spans="1:9" x14ac:dyDescent="0.25">
      <c r="A26" s="3">
        <v>3700</v>
      </c>
      <c r="B26" s="3">
        <v>113.378186</v>
      </c>
      <c r="C26" s="3">
        <v>22.943039559999999</v>
      </c>
      <c r="D26" s="3">
        <v>6</v>
      </c>
      <c r="E26" s="13">
        <f t="shared" si="0"/>
        <v>4.3654924906153317E-3</v>
      </c>
      <c r="F26" s="13">
        <f t="shared" si="1"/>
        <v>15.135033175453319</v>
      </c>
      <c r="G26" s="14">
        <f>F26/$F$85*$D$2</f>
        <v>64.42174965951466</v>
      </c>
      <c r="H26" s="14">
        <f>F26/$F$85*$E$2</f>
        <v>64.42174965951466</v>
      </c>
      <c r="I26" s="25" t="str">
        <f t="shared" si="2"/>
        <v>选中</v>
      </c>
    </row>
    <row r="27" spans="1:9" hidden="1" x14ac:dyDescent="0.25">
      <c r="A27" s="3">
        <v>3216</v>
      </c>
      <c r="B27" s="3">
        <v>113.3816447</v>
      </c>
      <c r="C27" s="3">
        <v>22.943873780000001</v>
      </c>
      <c r="D27" s="3">
        <v>6</v>
      </c>
      <c r="E27" s="13">
        <f t="shared" si="0"/>
        <v>4.3658791089005436E-3</v>
      </c>
      <c r="F27" s="13">
        <f t="shared" si="1"/>
        <v>15.134363022893384</v>
      </c>
      <c r="G27" s="14" t="e">
        <f>F27/$F$124*$D$2</f>
        <v>#DIV/0!</v>
      </c>
      <c r="H27" s="14" t="e">
        <f>F27/$F$124*$E$2</f>
        <v>#DIV/0!</v>
      </c>
      <c r="I27" s="25" t="str">
        <f t="shared" si="2"/>
        <v/>
      </c>
    </row>
    <row r="28" spans="1:9" hidden="1" x14ac:dyDescent="0.25">
      <c r="A28" s="3">
        <v>3764</v>
      </c>
      <c r="B28" s="3">
        <v>113.37723769999999</v>
      </c>
      <c r="C28" s="3">
        <v>22.943311179999998</v>
      </c>
      <c r="D28" s="3">
        <v>6</v>
      </c>
      <c r="E28" s="13">
        <f t="shared" si="0"/>
        <v>4.3823190711828001E-3</v>
      </c>
      <c r="F28" s="13">
        <f t="shared" si="1"/>
        <v>15.105948599079362</v>
      </c>
      <c r="G28" s="14" t="e">
        <f>F28/$F$124*$D$2</f>
        <v>#DIV/0!</v>
      </c>
      <c r="H28" s="14" t="e">
        <f>F28/$F$124*$E$2</f>
        <v>#DIV/0!</v>
      </c>
      <c r="I28" s="25" t="str">
        <f t="shared" si="2"/>
        <v/>
      </c>
    </row>
    <row r="29" spans="1:9" x14ac:dyDescent="0.25">
      <c r="A29" s="3">
        <v>3194</v>
      </c>
      <c r="B29" s="3">
        <v>113.3759228</v>
      </c>
      <c r="C29" s="3">
        <v>22.94412393</v>
      </c>
      <c r="D29" s="3">
        <v>6</v>
      </c>
      <c r="E29" s="13">
        <f t="shared" si="0"/>
        <v>4.4317274300382983E-3</v>
      </c>
      <c r="F29" s="13">
        <f t="shared" si="1"/>
        <v>15.021506124892715</v>
      </c>
      <c r="G29" s="14">
        <f>F29/$F$85*$D$2</f>
        <v>63.938525662182435</v>
      </c>
      <c r="H29" s="14">
        <f>F29/$F$85*$E$2</f>
        <v>63.938525662182435</v>
      </c>
      <c r="I29" s="25" t="str">
        <f t="shared" si="2"/>
        <v>选中</v>
      </c>
    </row>
    <row r="30" spans="1:9" hidden="1" x14ac:dyDescent="0.25">
      <c r="A30" s="3">
        <v>3209</v>
      </c>
      <c r="B30" s="3">
        <v>113.3832874</v>
      </c>
      <c r="C30" s="3">
        <v>22.94870075</v>
      </c>
      <c r="D30" s="3">
        <v>6</v>
      </c>
      <c r="E30" s="13">
        <f t="shared" si="0"/>
        <v>4.5194809050206489E-3</v>
      </c>
      <c r="F30" s="13">
        <f t="shared" si="1"/>
        <v>14.874957107193639</v>
      </c>
      <c r="G30" s="14" t="e">
        <f>F30/$F$124*$D$2</f>
        <v>#DIV/0!</v>
      </c>
      <c r="H30" s="14" t="e">
        <f>F30/$F$124*$E$2</f>
        <v>#DIV/0!</v>
      </c>
      <c r="I30" s="25" t="str">
        <f t="shared" si="2"/>
        <v/>
      </c>
    </row>
    <row r="31" spans="1:9" hidden="1" x14ac:dyDescent="0.25">
      <c r="A31" s="3">
        <v>3155</v>
      </c>
      <c r="B31" s="3">
        <v>113.37443279999999</v>
      </c>
      <c r="C31" s="3">
        <v>22.948089549999999</v>
      </c>
      <c r="D31" s="3">
        <v>6</v>
      </c>
      <c r="E31" s="13">
        <f t="shared" si="0"/>
        <v>4.6099334072213999E-3</v>
      </c>
      <c r="F31" s="13">
        <f t="shared" si="1"/>
        <v>14.72830177616323</v>
      </c>
      <c r="G31" s="14" t="e">
        <f>F31/$F$124*$D$2</f>
        <v>#DIV/0!</v>
      </c>
      <c r="H31" s="14" t="e">
        <f>F31/$F$124*$E$2</f>
        <v>#DIV/0!</v>
      </c>
      <c r="I31" s="25" t="str">
        <f t="shared" si="2"/>
        <v/>
      </c>
    </row>
    <row r="32" spans="1:9" x14ac:dyDescent="0.25">
      <c r="A32" s="3">
        <v>3208</v>
      </c>
      <c r="B32" s="3">
        <v>113.38335240000001</v>
      </c>
      <c r="C32" s="3">
        <v>22.949023570000001</v>
      </c>
      <c r="D32" s="3">
        <v>6</v>
      </c>
      <c r="E32" s="13">
        <f t="shared" si="0"/>
        <v>4.6880349948038094E-3</v>
      </c>
      <c r="F32" s="13">
        <f t="shared" si="1"/>
        <v>14.605101434223979</v>
      </c>
      <c r="G32" s="14">
        <f>F32/$F$85*$D$2</f>
        <v>62.166113376835369</v>
      </c>
      <c r="H32" s="14">
        <f>F32/$F$85*$E$2</f>
        <v>62.166113376835369</v>
      </c>
      <c r="I32" s="25" t="str">
        <f t="shared" si="2"/>
        <v>选中</v>
      </c>
    </row>
    <row r="33" spans="1:9" hidden="1" x14ac:dyDescent="0.25">
      <c r="A33" s="3">
        <v>3183</v>
      </c>
      <c r="B33" s="3">
        <v>113.37546810000001</v>
      </c>
      <c r="C33" s="3">
        <v>22.944157300000001</v>
      </c>
      <c r="D33" s="3">
        <v>6</v>
      </c>
      <c r="E33" s="13">
        <f t="shared" si="0"/>
        <v>4.7343701805414393E-3</v>
      </c>
      <c r="F33" s="13">
        <f t="shared" si="1"/>
        <v>14.533455787578569</v>
      </c>
      <c r="G33" s="14" t="e">
        <f>F33/$F$124*$D$2</f>
        <v>#DIV/0!</v>
      </c>
      <c r="H33" s="14" t="e">
        <f>F33/$F$124*$E$2</f>
        <v>#DIV/0!</v>
      </c>
      <c r="I33" s="25" t="str">
        <f t="shared" si="2"/>
        <v/>
      </c>
    </row>
    <row r="34" spans="1:9" hidden="1" x14ac:dyDescent="0.25">
      <c r="A34" s="3">
        <v>3207</v>
      </c>
      <c r="B34" s="3">
        <v>113.38329640000001</v>
      </c>
      <c r="C34" s="3">
        <v>22.94945542</v>
      </c>
      <c r="D34" s="3">
        <v>6</v>
      </c>
      <c r="E34" s="13">
        <f t="shared" si="0"/>
        <v>4.810241566698366E-3</v>
      </c>
      <c r="F34" s="13">
        <f t="shared" si="1"/>
        <v>14.418382964423975</v>
      </c>
      <c r="G34" s="14" t="e">
        <f>F34/$F$124*$D$2</f>
        <v>#DIV/0!</v>
      </c>
      <c r="H34" s="14" t="e">
        <f>F34/$F$124*$E$2</f>
        <v>#DIV/0!</v>
      </c>
      <c r="I34" s="25" t="str">
        <f t="shared" si="2"/>
        <v/>
      </c>
    </row>
    <row r="35" spans="1:9" x14ac:dyDescent="0.25">
      <c r="A35" s="3">
        <v>3682</v>
      </c>
      <c r="B35" s="3">
        <v>113.3781371</v>
      </c>
      <c r="C35" s="3">
        <v>22.94257979</v>
      </c>
      <c r="D35" s="3">
        <v>6</v>
      </c>
      <c r="E35" s="13">
        <f t="shared" si="0"/>
        <v>4.8266178536222155E-3</v>
      </c>
      <c r="F35" s="13">
        <f t="shared" si="1"/>
        <v>14.393902033131404</v>
      </c>
      <c r="G35" s="14">
        <f>F35/$F$85*$D$2</f>
        <v>61.267150369110226</v>
      </c>
      <c r="H35" s="14">
        <f>F35/$F$85*$E$2</f>
        <v>61.267150369110226</v>
      </c>
      <c r="I35" s="25" t="str">
        <f t="shared" si="2"/>
        <v>选中</v>
      </c>
    </row>
    <row r="36" spans="1:9" hidden="1" x14ac:dyDescent="0.25">
      <c r="A36" s="3">
        <v>3703</v>
      </c>
      <c r="B36" s="3">
        <v>113.3759658</v>
      </c>
      <c r="C36" s="3">
        <v>22.943449180000002</v>
      </c>
      <c r="D36" s="3">
        <v>6</v>
      </c>
      <c r="E36" s="13">
        <f t="shared" si="0"/>
        <v>4.915689588613977E-3</v>
      </c>
      <c r="F36" s="13">
        <f t="shared" si="1"/>
        <v>14.262897943396638</v>
      </c>
      <c r="G36" s="14" t="e">
        <f>F36/$F$124*$D$2</f>
        <v>#DIV/0!</v>
      </c>
      <c r="H36" s="14" t="e">
        <f>F36/$F$124*$E$2</f>
        <v>#DIV/0!</v>
      </c>
      <c r="I36" s="25" t="str">
        <f t="shared" si="2"/>
        <v/>
      </c>
    </row>
    <row r="37" spans="1:9" hidden="1" x14ac:dyDescent="0.25">
      <c r="A37" s="3">
        <v>3724</v>
      </c>
      <c r="B37" s="3">
        <v>113.38135490000001</v>
      </c>
      <c r="C37" s="3">
        <v>22.942991339999999</v>
      </c>
      <c r="D37" s="3">
        <v>6</v>
      </c>
      <c r="E37" s="13">
        <f t="shared" ref="E37:E68" si="3">SQRT((B37-$B$2)^2+(C37-$C$2)^2)</f>
        <v>4.9480212423149298E-3</v>
      </c>
      <c r="F37" s="13">
        <f t="shared" ref="F37:F68" si="4">SQRT(1/E37)</f>
        <v>14.216222835023579</v>
      </c>
      <c r="G37" s="14" t="e">
        <f>F37/$F$124*$D$2</f>
        <v>#DIV/0!</v>
      </c>
      <c r="H37" s="14" t="e">
        <f>F37/$F$124*$E$2</f>
        <v>#DIV/0!</v>
      </c>
      <c r="I37" s="25" t="str">
        <f t="shared" si="2"/>
        <v/>
      </c>
    </row>
    <row r="38" spans="1:9" x14ac:dyDescent="0.25">
      <c r="A38" s="3">
        <v>3749</v>
      </c>
      <c r="B38" s="3">
        <v>113.3761926</v>
      </c>
      <c r="C38" s="3">
        <v>22.94319209</v>
      </c>
      <c r="D38" s="3">
        <v>6</v>
      </c>
      <c r="E38" s="13">
        <f t="shared" si="3"/>
        <v>4.9910753016717494E-3</v>
      </c>
      <c r="F38" s="13">
        <f t="shared" si="4"/>
        <v>14.154773974686165</v>
      </c>
      <c r="G38" s="14">
        <f>F38/$F$85*$D$2</f>
        <v>60.249309989169106</v>
      </c>
      <c r="H38" s="14">
        <f>F38/$F$85*$E$2</f>
        <v>60.249309989169106</v>
      </c>
      <c r="I38" s="25" t="str">
        <f t="shared" si="2"/>
        <v>选中</v>
      </c>
    </row>
    <row r="39" spans="1:9" hidden="1" x14ac:dyDescent="0.25">
      <c r="A39" s="3">
        <v>3206</v>
      </c>
      <c r="B39" s="3">
        <v>113.3836702</v>
      </c>
      <c r="C39" s="3">
        <v>22.949149340000002</v>
      </c>
      <c r="D39" s="3">
        <v>6</v>
      </c>
      <c r="E39" s="13">
        <f t="shared" si="3"/>
        <v>5.0298074619530564E-3</v>
      </c>
      <c r="F39" s="13">
        <f t="shared" si="4"/>
        <v>14.10016905138845</v>
      </c>
      <c r="G39" s="14" t="e">
        <f>F39/$F$124*$D$2</f>
        <v>#DIV/0!</v>
      </c>
      <c r="H39" s="14" t="e">
        <f>F39/$F$124*$E$2</f>
        <v>#DIV/0!</v>
      </c>
      <c r="I39" s="25" t="str">
        <f t="shared" si="2"/>
        <v/>
      </c>
    </row>
    <row r="40" spans="1:9" hidden="1" x14ac:dyDescent="0.25">
      <c r="A40" s="3">
        <v>3185</v>
      </c>
      <c r="B40" s="3">
        <v>113.3750965</v>
      </c>
      <c r="C40" s="3">
        <v>22.944014689999999</v>
      </c>
      <c r="D40" s="3">
        <v>6</v>
      </c>
      <c r="E40" s="13">
        <f t="shared" si="3"/>
        <v>5.1076760137043912E-3</v>
      </c>
      <c r="F40" s="13">
        <f t="shared" si="4"/>
        <v>13.99227490787448</v>
      </c>
      <c r="G40" s="14" t="e">
        <f>F40/$F$124*$D$2</f>
        <v>#DIV/0!</v>
      </c>
      <c r="H40" s="14" t="e">
        <f>F40/$F$124*$E$2</f>
        <v>#DIV/0!</v>
      </c>
      <c r="I40" s="25" t="str">
        <f t="shared" si="2"/>
        <v/>
      </c>
    </row>
    <row r="41" spans="1:9" x14ac:dyDescent="0.25">
      <c r="A41" s="3">
        <v>3676</v>
      </c>
      <c r="B41" s="3">
        <v>113.37626160000001</v>
      </c>
      <c r="C41" s="3">
        <v>22.942970129999999</v>
      </c>
      <c r="D41" s="3">
        <v>6</v>
      </c>
      <c r="E41" s="13">
        <f t="shared" si="3"/>
        <v>5.139851303112594E-3</v>
      </c>
      <c r="F41" s="13">
        <f t="shared" si="4"/>
        <v>13.948410577015284</v>
      </c>
      <c r="G41" s="14">
        <f>F41/$F$85*$D$2</f>
        <v>59.370931264158997</v>
      </c>
      <c r="H41" s="14">
        <f>F41/$F$85*$E$2</f>
        <v>59.370931264158997</v>
      </c>
      <c r="I41" s="25" t="str">
        <f t="shared" si="2"/>
        <v>选中</v>
      </c>
    </row>
    <row r="42" spans="1:9" hidden="1" x14ac:dyDescent="0.25">
      <c r="A42" s="3">
        <v>3205</v>
      </c>
      <c r="B42" s="3">
        <v>113.3839871</v>
      </c>
      <c r="C42" s="3">
        <v>22.948613399999999</v>
      </c>
      <c r="D42" s="3">
        <v>6</v>
      </c>
      <c r="E42" s="13">
        <f t="shared" si="3"/>
        <v>5.1683141537950603E-3</v>
      </c>
      <c r="F42" s="13">
        <f t="shared" si="4"/>
        <v>13.909949327392436</v>
      </c>
      <c r="G42" s="14" t="e">
        <f>F42/$F$124*$D$2</f>
        <v>#DIV/0!</v>
      </c>
      <c r="H42" s="14" t="e">
        <f>F42/$F$124*$E$2</f>
        <v>#DIV/0!</v>
      </c>
      <c r="I42" s="25" t="str">
        <f t="shared" si="2"/>
        <v/>
      </c>
    </row>
    <row r="43" spans="1:9" hidden="1" x14ac:dyDescent="0.25">
      <c r="A43" s="3">
        <v>3752</v>
      </c>
      <c r="B43" s="3">
        <v>113.3772208</v>
      </c>
      <c r="C43" s="3">
        <v>22.942397580000002</v>
      </c>
      <c r="D43" s="3">
        <v>6</v>
      </c>
      <c r="E43" s="13">
        <f t="shared" si="3"/>
        <v>5.2388747283739524E-3</v>
      </c>
      <c r="F43" s="13">
        <f t="shared" si="4"/>
        <v>13.815957643768492</v>
      </c>
      <c r="G43" s="14" t="e">
        <f>F43/$F$124*$D$2</f>
        <v>#DIV/0!</v>
      </c>
      <c r="H43" s="14" t="e">
        <f>F43/$F$124*$E$2</f>
        <v>#DIV/0!</v>
      </c>
      <c r="I43" s="25" t="str">
        <f t="shared" si="2"/>
        <v/>
      </c>
    </row>
    <row r="44" spans="1:9" x14ac:dyDescent="0.25">
      <c r="A44" s="3">
        <v>3200</v>
      </c>
      <c r="B44" s="3">
        <v>113.3802</v>
      </c>
      <c r="C44" s="3">
        <v>22.952435090000002</v>
      </c>
      <c r="D44" s="3">
        <v>6</v>
      </c>
      <c r="E44" s="13">
        <f t="shared" si="3"/>
        <v>5.2466597228052079E-3</v>
      </c>
      <c r="F44" s="13">
        <f t="shared" si="4"/>
        <v>13.805703778741821</v>
      </c>
      <c r="G44" s="14">
        <f>F44/$F$85*$D$2</f>
        <v>58.763504671398408</v>
      </c>
      <c r="H44" s="14">
        <f>F44/$F$85*$E$2</f>
        <v>58.763504671398408</v>
      </c>
      <c r="I44" s="25" t="str">
        <f t="shared" si="2"/>
        <v>选中</v>
      </c>
    </row>
    <row r="45" spans="1:9" hidden="1" x14ac:dyDescent="0.25">
      <c r="A45" s="3">
        <v>3165</v>
      </c>
      <c r="B45" s="3">
        <v>113.37376140000001</v>
      </c>
      <c r="C45" s="3">
        <v>22.9482611</v>
      </c>
      <c r="D45" s="3">
        <v>6</v>
      </c>
      <c r="E45" s="13">
        <f t="shared" si="3"/>
        <v>5.300721436220142E-3</v>
      </c>
      <c r="F45" s="13">
        <f t="shared" si="4"/>
        <v>13.735121614016119</v>
      </c>
      <c r="G45" s="14" t="e">
        <f>F45/$F$124*$D$2</f>
        <v>#DIV/0!</v>
      </c>
      <c r="H45" s="14" t="e">
        <f>F45/$F$124*$E$2</f>
        <v>#DIV/0!</v>
      </c>
      <c r="I45" s="25" t="str">
        <f t="shared" si="2"/>
        <v/>
      </c>
    </row>
    <row r="46" spans="1:9" hidden="1" x14ac:dyDescent="0.25">
      <c r="A46" s="3">
        <v>3757</v>
      </c>
      <c r="B46" s="3">
        <v>113.3786028</v>
      </c>
      <c r="C46" s="3">
        <v>22.941998680000001</v>
      </c>
      <c r="D46" s="3">
        <v>6</v>
      </c>
      <c r="E46" s="13">
        <f t="shared" si="3"/>
        <v>5.3468686370243736E-3</v>
      </c>
      <c r="F46" s="13">
        <f t="shared" si="4"/>
        <v>13.675721336332352</v>
      </c>
      <c r="G46" s="14" t="e">
        <f>F46/$F$124*$D$2</f>
        <v>#DIV/0!</v>
      </c>
      <c r="H46" s="14" t="e">
        <f>F46/$F$124*$E$2</f>
        <v>#DIV/0!</v>
      </c>
      <c r="I46" s="25" t="str">
        <f t="shared" si="2"/>
        <v/>
      </c>
    </row>
    <row r="47" spans="1:9" x14ac:dyDescent="0.25">
      <c r="A47" s="3">
        <v>3178</v>
      </c>
      <c r="B47" s="3">
        <v>113.37398039999999</v>
      </c>
      <c r="C47" s="3">
        <v>22.945422099999998</v>
      </c>
      <c r="D47" s="3">
        <v>6</v>
      </c>
      <c r="E47" s="13">
        <f t="shared" si="3"/>
        <v>5.3521545665777088E-3</v>
      </c>
      <c r="F47" s="13">
        <f t="shared" si="4"/>
        <v>13.668966415851026</v>
      </c>
      <c r="G47" s="14">
        <f>F47/$F$85*$D$2</f>
        <v>58.181486775624023</v>
      </c>
      <c r="H47" s="14">
        <f>F47/$F$85*$E$2</f>
        <v>58.181486775624023</v>
      </c>
      <c r="I47" s="25" t="str">
        <f t="shared" si="2"/>
        <v>选中</v>
      </c>
    </row>
    <row r="48" spans="1:9" hidden="1" x14ac:dyDescent="0.25">
      <c r="A48" s="3">
        <v>3740</v>
      </c>
      <c r="B48" s="3">
        <v>113.3785299</v>
      </c>
      <c r="C48" s="3">
        <v>22.941918770000001</v>
      </c>
      <c r="D48" s="3">
        <v>6</v>
      </c>
      <c r="E48" s="13">
        <f t="shared" si="3"/>
        <v>5.4321377875097381E-3</v>
      </c>
      <c r="F48" s="13">
        <f t="shared" si="4"/>
        <v>13.567961772615662</v>
      </c>
      <c r="G48" s="14" t="e">
        <f>F48/$F$124*$D$2</f>
        <v>#DIV/0!</v>
      </c>
      <c r="H48" s="14" t="e">
        <f>F48/$F$124*$E$2</f>
        <v>#DIV/0!</v>
      </c>
      <c r="I48" s="25" t="str">
        <f t="shared" si="2"/>
        <v/>
      </c>
    </row>
    <row r="49" spans="1:9" hidden="1" x14ac:dyDescent="0.25">
      <c r="A49" s="3">
        <v>3170</v>
      </c>
      <c r="B49" s="3">
        <v>113.374488</v>
      </c>
      <c r="C49" s="3">
        <v>22.944216149999999</v>
      </c>
      <c r="D49" s="3">
        <v>6</v>
      </c>
      <c r="E49" s="13">
        <f t="shared" si="3"/>
        <v>5.4670700246997779E-3</v>
      </c>
      <c r="F49" s="13">
        <f t="shared" si="4"/>
        <v>13.524545574876402</v>
      </c>
      <c r="G49" s="14" t="e">
        <f>F49/$F$124*$D$2</f>
        <v>#DIV/0!</v>
      </c>
      <c r="H49" s="14" t="e">
        <f>F49/$F$124*$E$2</f>
        <v>#DIV/0!</v>
      </c>
      <c r="I49" s="25" t="str">
        <f t="shared" si="2"/>
        <v/>
      </c>
    </row>
    <row r="50" spans="1:9" x14ac:dyDescent="0.25">
      <c r="A50" s="3">
        <v>3179</v>
      </c>
      <c r="B50" s="3">
        <v>113.37772870000001</v>
      </c>
      <c r="C50" s="3">
        <v>22.952679809999999</v>
      </c>
      <c r="D50" s="3">
        <v>6</v>
      </c>
      <c r="E50" s="13">
        <f t="shared" si="3"/>
        <v>5.4920597928370491E-3</v>
      </c>
      <c r="F50" s="13">
        <f t="shared" si="4"/>
        <v>13.493741049010154</v>
      </c>
      <c r="G50" s="14">
        <f>F50/$F$85*$D$2</f>
        <v>57.435646010971645</v>
      </c>
      <c r="H50" s="14">
        <f>F50/$F$85*$E$2</f>
        <v>57.435646010971645</v>
      </c>
      <c r="I50" s="25" t="str">
        <f t="shared" si="2"/>
        <v>选中</v>
      </c>
    </row>
    <row r="51" spans="1:9" hidden="1" x14ac:dyDescent="0.25">
      <c r="A51" s="3">
        <v>3162</v>
      </c>
      <c r="B51" s="3">
        <v>113.37372240000001</v>
      </c>
      <c r="C51" s="3">
        <v>22.948950839999998</v>
      </c>
      <c r="D51" s="3">
        <v>6</v>
      </c>
      <c r="E51" s="13">
        <f t="shared" si="3"/>
        <v>5.5012125930934287E-3</v>
      </c>
      <c r="F51" s="13">
        <f t="shared" si="4"/>
        <v>13.482511076646482</v>
      </c>
      <c r="G51" s="14" t="e">
        <f>F51/$F$124*$D$2</f>
        <v>#DIV/0!</v>
      </c>
      <c r="H51" s="14" t="e">
        <f>F51/$F$124*$E$2</f>
        <v>#DIV/0!</v>
      </c>
      <c r="I51" s="25" t="str">
        <f t="shared" si="2"/>
        <v/>
      </c>
    </row>
    <row r="52" spans="1:9" hidden="1" x14ac:dyDescent="0.25">
      <c r="A52" s="3">
        <v>3192</v>
      </c>
      <c r="B52" s="3">
        <v>113.37349759999999</v>
      </c>
      <c r="C52" s="3">
        <v>22.948287329999999</v>
      </c>
      <c r="D52" s="3">
        <v>6</v>
      </c>
      <c r="E52" s="13">
        <f t="shared" si="3"/>
        <v>5.5650733474275392E-3</v>
      </c>
      <c r="F52" s="13">
        <f t="shared" si="4"/>
        <v>13.404930098703211</v>
      </c>
      <c r="G52" s="14" t="e">
        <f>F52/$F$124*$D$2</f>
        <v>#DIV/0!</v>
      </c>
      <c r="H52" s="14" t="e">
        <f>F52/$F$124*$E$2</f>
        <v>#DIV/0!</v>
      </c>
      <c r="I52" s="25" t="str">
        <f t="shared" si="2"/>
        <v/>
      </c>
    </row>
    <row r="53" spans="1:9" x14ac:dyDescent="0.25">
      <c r="A53" s="3">
        <v>3153</v>
      </c>
      <c r="B53" s="3">
        <v>113.37346169999999</v>
      </c>
      <c r="C53" s="3">
        <v>22.94812044</v>
      </c>
      <c r="D53" s="3">
        <v>6</v>
      </c>
      <c r="E53" s="13">
        <f t="shared" si="3"/>
        <v>5.5744084285737671E-3</v>
      </c>
      <c r="F53" s="13">
        <f t="shared" si="4"/>
        <v>13.393701235141096</v>
      </c>
      <c r="G53" s="14">
        <f>F53/$F$85*$D$2</f>
        <v>57.009829974075913</v>
      </c>
      <c r="H53" s="14">
        <f>F53/$F$85*$E$2</f>
        <v>57.009829974075913</v>
      </c>
      <c r="I53" s="25" t="str">
        <f t="shared" si="2"/>
        <v>选中</v>
      </c>
    </row>
    <row r="54" spans="1:9" hidden="1" x14ac:dyDescent="0.25">
      <c r="A54" s="3">
        <v>3163</v>
      </c>
      <c r="B54" s="3">
        <v>113.37365440000001</v>
      </c>
      <c r="C54" s="3">
        <v>22.949359730000001</v>
      </c>
      <c r="D54" s="3">
        <v>6</v>
      </c>
      <c r="E54" s="13">
        <f t="shared" si="3"/>
        <v>5.6985855517055891E-3</v>
      </c>
      <c r="F54" s="13">
        <f t="shared" si="4"/>
        <v>13.246967282301602</v>
      </c>
      <c r="G54" s="14" t="e">
        <f>F54/$F$124*$D$2</f>
        <v>#DIV/0!</v>
      </c>
      <c r="H54" s="14" t="e">
        <f>F54/$F$124*$E$2</f>
        <v>#DIV/0!</v>
      </c>
      <c r="I54" s="25" t="str">
        <f t="shared" si="2"/>
        <v/>
      </c>
    </row>
    <row r="55" spans="1:9" hidden="1" x14ac:dyDescent="0.25">
      <c r="A55" s="3">
        <v>3191</v>
      </c>
      <c r="B55" s="3">
        <v>113.3760431</v>
      </c>
      <c r="C55" s="3">
        <v>22.952254369999999</v>
      </c>
      <c r="D55" s="3">
        <v>6</v>
      </c>
      <c r="E55" s="13">
        <f t="shared" si="3"/>
        <v>5.731799858901594E-3</v>
      </c>
      <c r="F55" s="13">
        <f t="shared" si="4"/>
        <v>13.208530132483171</v>
      </c>
      <c r="G55" s="14" t="e">
        <f>F55/$F$124*$D$2</f>
        <v>#DIV/0!</v>
      </c>
      <c r="H55" s="14" t="e">
        <f>F55/$F$124*$E$2</f>
        <v>#DIV/0!</v>
      </c>
      <c r="I55" s="25" t="str">
        <f t="shared" si="2"/>
        <v/>
      </c>
    </row>
    <row r="56" spans="1:9" x14ac:dyDescent="0.25">
      <c r="A56" s="3">
        <v>3687</v>
      </c>
      <c r="B56" s="3">
        <v>113.3747918</v>
      </c>
      <c r="C56" s="3">
        <v>22.943344239999998</v>
      </c>
      <c r="D56" s="3">
        <v>6</v>
      </c>
      <c r="E56" s="13">
        <f t="shared" si="3"/>
        <v>5.783237965923115E-3</v>
      </c>
      <c r="F56" s="13">
        <f t="shared" si="4"/>
        <v>13.149658329224303</v>
      </c>
      <c r="G56" s="14">
        <f>F56/$F$85*$D$2</f>
        <v>55.971069714425461</v>
      </c>
      <c r="H56" s="14">
        <f>F56/$F$85*$E$2</f>
        <v>55.971069714425461</v>
      </c>
      <c r="I56" s="25" t="str">
        <f t="shared" si="2"/>
        <v>选中</v>
      </c>
    </row>
    <row r="57" spans="1:9" hidden="1" x14ac:dyDescent="0.25">
      <c r="A57" s="3">
        <v>3758</v>
      </c>
      <c r="B57" s="3">
        <v>113.3766553</v>
      </c>
      <c r="C57" s="3">
        <v>22.941991219999998</v>
      </c>
      <c r="D57" s="3">
        <v>6</v>
      </c>
      <c r="E57" s="13">
        <f t="shared" si="3"/>
        <v>5.8250301321165132E-3</v>
      </c>
      <c r="F57" s="13">
        <f t="shared" si="4"/>
        <v>13.102401752974405</v>
      </c>
      <c r="G57" s="14" t="e">
        <f>F57/$F$124*$D$2</f>
        <v>#DIV/0!</v>
      </c>
      <c r="H57" s="14" t="e">
        <f>F57/$F$124*$E$2</f>
        <v>#DIV/0!</v>
      </c>
      <c r="I57" s="25" t="str">
        <f t="shared" si="2"/>
        <v/>
      </c>
    </row>
    <row r="58" spans="1:9" hidden="1" x14ac:dyDescent="0.25">
      <c r="A58" s="3">
        <v>3756</v>
      </c>
      <c r="B58" s="3">
        <v>113.3781192</v>
      </c>
      <c r="C58" s="3">
        <v>22.94150926</v>
      </c>
      <c r="D58" s="3">
        <v>6</v>
      </c>
      <c r="E58" s="13">
        <f t="shared" si="3"/>
        <v>5.8862561931679143E-3</v>
      </c>
      <c r="F58" s="13">
        <f t="shared" si="4"/>
        <v>13.034081126769742</v>
      </c>
      <c r="G58" s="14" t="e">
        <f>F58/$F$124*$D$2</f>
        <v>#DIV/0!</v>
      </c>
      <c r="H58" s="14" t="e">
        <f>F58/$F$124*$E$2</f>
        <v>#DIV/0!</v>
      </c>
      <c r="I58" s="25" t="str">
        <f t="shared" si="2"/>
        <v/>
      </c>
    </row>
    <row r="59" spans="1:9" x14ac:dyDescent="0.25">
      <c r="A59" s="3">
        <v>3204</v>
      </c>
      <c r="B59" s="3">
        <v>113.3843708</v>
      </c>
      <c r="C59" s="3">
        <v>22.949842669999999</v>
      </c>
      <c r="D59" s="3">
        <v>6</v>
      </c>
      <c r="E59" s="13">
        <f t="shared" si="3"/>
        <v>5.9465961433759346E-3</v>
      </c>
      <c r="F59" s="13">
        <f t="shared" si="4"/>
        <v>12.967784285596368</v>
      </c>
      <c r="G59" s="14">
        <f>F59/$F$85*$D$2</f>
        <v>55.196929085043486</v>
      </c>
      <c r="H59" s="14">
        <f>F59/$F$85*$E$2</f>
        <v>55.196929085043486</v>
      </c>
      <c r="I59" s="25" t="str">
        <f t="shared" si="2"/>
        <v>选中</v>
      </c>
    </row>
    <row r="60" spans="1:9" hidden="1" x14ac:dyDescent="0.25">
      <c r="A60" s="3">
        <v>3202</v>
      </c>
      <c r="B60" s="3">
        <v>113.38465770000001</v>
      </c>
      <c r="C60" s="3">
        <v>22.949389709999998</v>
      </c>
      <c r="D60" s="3">
        <v>6</v>
      </c>
      <c r="E60" s="13">
        <f t="shared" si="3"/>
        <v>6.0389077538969809E-3</v>
      </c>
      <c r="F60" s="13">
        <f t="shared" si="4"/>
        <v>12.868288890370856</v>
      </c>
      <c r="G60" s="14" t="e">
        <f>F60/$F$124*$D$2</f>
        <v>#DIV/0!</v>
      </c>
      <c r="H60" s="14" t="e">
        <f>F60/$F$124*$E$2</f>
        <v>#DIV/0!</v>
      </c>
      <c r="I60" s="25" t="str">
        <f t="shared" si="2"/>
        <v/>
      </c>
    </row>
    <row r="61" spans="1:9" hidden="1" x14ac:dyDescent="0.25">
      <c r="A61" s="3">
        <v>3713</v>
      </c>
      <c r="B61" s="3">
        <v>113.381416</v>
      </c>
      <c r="C61" s="3">
        <v>22.941649869999999</v>
      </c>
      <c r="D61" s="3">
        <v>6</v>
      </c>
      <c r="E61" s="13">
        <f t="shared" si="3"/>
        <v>6.1824518059166861E-3</v>
      </c>
      <c r="F61" s="13">
        <f t="shared" si="4"/>
        <v>12.718023707331742</v>
      </c>
      <c r="G61" s="14" t="e">
        <f>F61/$F$124*$D$2</f>
        <v>#DIV/0!</v>
      </c>
      <c r="H61" s="14" t="e">
        <f>F61/$F$124*$E$2</f>
        <v>#DIV/0!</v>
      </c>
      <c r="I61" s="25" t="str">
        <f t="shared" si="2"/>
        <v/>
      </c>
    </row>
    <row r="62" spans="1:9" x14ac:dyDescent="0.25">
      <c r="A62" s="3">
        <v>3745</v>
      </c>
      <c r="B62" s="3">
        <v>113.3764485</v>
      </c>
      <c r="C62" s="3">
        <v>22.941657530000001</v>
      </c>
      <c r="D62" s="3">
        <v>6</v>
      </c>
      <c r="E62" s="13">
        <f t="shared" si="3"/>
        <v>6.2137834815957065E-3</v>
      </c>
      <c r="F62" s="13">
        <f t="shared" si="4"/>
        <v>12.685919227473928</v>
      </c>
      <c r="G62" s="14">
        <f>F62/$F$85*$D$2</f>
        <v>53.997180131630003</v>
      </c>
      <c r="H62" s="14">
        <f>F62/$F$85*$E$2</f>
        <v>53.997180131630003</v>
      </c>
      <c r="I62" s="25" t="str">
        <f t="shared" si="2"/>
        <v>选中</v>
      </c>
    </row>
    <row r="63" spans="1:9" hidden="1" x14ac:dyDescent="0.25">
      <c r="A63" s="3">
        <v>3716</v>
      </c>
      <c r="B63" s="3">
        <v>113.37398349999999</v>
      </c>
      <c r="C63" s="3">
        <v>22.943411950000002</v>
      </c>
      <c r="D63" s="3">
        <v>6</v>
      </c>
      <c r="E63" s="13">
        <f t="shared" si="3"/>
        <v>6.3509470500872607E-3</v>
      </c>
      <c r="F63" s="13">
        <f t="shared" si="4"/>
        <v>12.548180408881814</v>
      </c>
      <c r="G63" s="14" t="e">
        <f>F63/$F$124*$D$2</f>
        <v>#DIV/0!</v>
      </c>
      <c r="H63" s="14" t="e">
        <f>F63/$F$124*$E$2</f>
        <v>#DIV/0!</v>
      </c>
      <c r="I63" s="25" t="str">
        <f t="shared" si="2"/>
        <v/>
      </c>
    </row>
    <row r="64" spans="1:9" hidden="1" x14ac:dyDescent="0.25">
      <c r="A64" s="3">
        <v>3670</v>
      </c>
      <c r="B64" s="3">
        <v>113.37584699999999</v>
      </c>
      <c r="C64" s="3">
        <v>22.941728009999999</v>
      </c>
      <c r="D64" s="3">
        <v>6</v>
      </c>
      <c r="E64" s="13">
        <f t="shared" si="3"/>
        <v>6.4205517935922362E-3</v>
      </c>
      <c r="F64" s="13">
        <f t="shared" si="4"/>
        <v>12.479978097203961</v>
      </c>
      <c r="G64" s="14" t="e">
        <f>F64/$F$124*$D$2</f>
        <v>#DIV/0!</v>
      </c>
      <c r="H64" s="14" t="e">
        <f>F64/$F$124*$E$2</f>
        <v>#DIV/0!</v>
      </c>
      <c r="I64" s="25" t="str">
        <f t="shared" si="2"/>
        <v/>
      </c>
    </row>
    <row r="65" spans="1:9" x14ac:dyDescent="0.25">
      <c r="A65" s="3">
        <v>3217</v>
      </c>
      <c r="B65" s="3">
        <v>113.3845287</v>
      </c>
      <c r="C65" s="3">
        <v>22.95062725</v>
      </c>
      <c r="D65" s="3">
        <v>6</v>
      </c>
      <c r="E65" s="13">
        <f t="shared" si="3"/>
        <v>6.4532305600274844E-3</v>
      </c>
      <c r="F65" s="13">
        <f t="shared" si="4"/>
        <v>12.448339067425158</v>
      </c>
      <c r="G65" s="14">
        <f>F65/$F$85*$D$2</f>
        <v>52.985928328128701</v>
      </c>
      <c r="H65" s="14">
        <f>F65/$F$85*$E$2</f>
        <v>52.985928328128701</v>
      </c>
      <c r="I65" s="25" t="str">
        <f t="shared" si="2"/>
        <v>选中</v>
      </c>
    </row>
    <row r="66" spans="1:9" hidden="1" x14ac:dyDescent="0.25">
      <c r="A66" s="3">
        <v>3667</v>
      </c>
      <c r="B66" s="3">
        <v>113.3762107</v>
      </c>
      <c r="C66" s="3">
        <v>22.941280890000002</v>
      </c>
      <c r="D66" s="3">
        <v>6</v>
      </c>
      <c r="E66" s="13">
        <f t="shared" si="3"/>
        <v>6.6549358470918757E-3</v>
      </c>
      <c r="F66" s="13">
        <f t="shared" si="4"/>
        <v>12.258238401175184</v>
      </c>
      <c r="G66" s="14" t="e">
        <f>F66/$F$124*$D$2</f>
        <v>#DIV/0!</v>
      </c>
      <c r="H66" s="14" t="e">
        <f>F66/$F$124*$E$2</f>
        <v>#DIV/0!</v>
      </c>
      <c r="I66" s="25" t="str">
        <f t="shared" si="2"/>
        <v/>
      </c>
    </row>
    <row r="67" spans="1:9" hidden="1" x14ac:dyDescent="0.25">
      <c r="A67" s="3">
        <v>3159</v>
      </c>
      <c r="B67" s="3">
        <v>113.37310530000001</v>
      </c>
      <c r="C67" s="3">
        <v>22.944103479999999</v>
      </c>
      <c r="D67" s="3">
        <v>6</v>
      </c>
      <c r="E67" s="13">
        <f t="shared" si="3"/>
        <v>6.7035838942774012E-3</v>
      </c>
      <c r="F67" s="13">
        <f t="shared" si="4"/>
        <v>12.213678265509623</v>
      </c>
      <c r="G67" s="14" t="e">
        <f>F67/$F$124*$D$2</f>
        <v>#DIV/0!</v>
      </c>
      <c r="H67" s="14" t="e">
        <f>F67/$F$124*$E$2</f>
        <v>#DIV/0!</v>
      </c>
      <c r="I67" s="25" t="str">
        <f t="shared" si="2"/>
        <v/>
      </c>
    </row>
    <row r="68" spans="1:9" x14ac:dyDescent="0.25">
      <c r="A68" s="3">
        <v>3712</v>
      </c>
      <c r="B68" s="3">
        <v>113.3737588</v>
      </c>
      <c r="C68" s="3">
        <v>22.942893380000001</v>
      </c>
      <c r="D68" s="3">
        <v>6</v>
      </c>
      <c r="E68" s="13">
        <f t="shared" si="3"/>
        <v>6.8531214957575229E-3</v>
      </c>
      <c r="F68" s="13">
        <f t="shared" si="4"/>
        <v>12.079689866167058</v>
      </c>
      <c r="G68" s="14">
        <f>F68/$F$85*$D$2</f>
        <v>51.416785645696621</v>
      </c>
      <c r="H68" s="14">
        <f>F68/$F$85*$E$2</f>
        <v>51.416785645696621</v>
      </c>
      <c r="I68" s="25" t="str">
        <f t="shared" si="2"/>
        <v>选中</v>
      </c>
    </row>
    <row r="69" spans="1:9" hidden="1" x14ac:dyDescent="0.25">
      <c r="A69" s="3">
        <v>3751</v>
      </c>
      <c r="B69" s="3">
        <v>113.3737967</v>
      </c>
      <c r="C69" s="3">
        <v>22.942818370000001</v>
      </c>
      <c r="D69" s="3">
        <v>6</v>
      </c>
      <c r="E69" s="13">
        <f t="shared" ref="E69:E83" si="5">SQRT((B69-$B$2)^2+(C69-$C$2)^2)</f>
        <v>6.8733163307504244E-3</v>
      </c>
      <c r="F69" s="13">
        <f t="shared" ref="F69:F83" si="6">SQRT(1/E69)</f>
        <v>12.061930840969602</v>
      </c>
      <c r="G69" s="14" t="e">
        <f>F69/$F$124*$D$2</f>
        <v>#DIV/0!</v>
      </c>
      <c r="H69" s="14" t="e">
        <f>F69/$F$124*$E$2</f>
        <v>#DIV/0!</v>
      </c>
      <c r="I69" s="25" t="str">
        <f t="shared" si="2"/>
        <v/>
      </c>
    </row>
    <row r="70" spans="1:9" hidden="1" x14ac:dyDescent="0.25">
      <c r="A70" s="3">
        <v>2715</v>
      </c>
      <c r="B70" s="3">
        <v>113.3808774</v>
      </c>
      <c r="C70" s="3">
        <v>22.95402696</v>
      </c>
      <c r="D70" s="3">
        <v>6</v>
      </c>
      <c r="E70" s="13">
        <f t="shared" si="5"/>
        <v>6.958397154344504E-3</v>
      </c>
      <c r="F70" s="13">
        <f t="shared" si="6"/>
        <v>11.987962994088392</v>
      </c>
      <c r="G70" s="14" t="e">
        <f>F70/$F$124*$D$2</f>
        <v>#DIV/0!</v>
      </c>
      <c r="H70" s="14" t="e">
        <f>F70/$F$124*$E$2</f>
        <v>#DIV/0!</v>
      </c>
      <c r="I70" s="25" t="str">
        <f t="shared" ref="I70:I83" si="7">IF(MOD(ROW()-1,3)=1,"选中","")</f>
        <v/>
      </c>
    </row>
    <row r="71" spans="1:9" x14ac:dyDescent="0.25">
      <c r="A71" s="3">
        <v>3201</v>
      </c>
      <c r="B71" s="3">
        <v>113.3855533</v>
      </c>
      <c r="C71" s="3">
        <v>22.949690140000001</v>
      </c>
      <c r="D71" s="3">
        <v>6</v>
      </c>
      <c r="E71" s="13">
        <f t="shared" si="5"/>
        <v>6.9833190508733637E-3</v>
      </c>
      <c r="F71" s="13">
        <f t="shared" si="6"/>
        <v>11.966552701779449</v>
      </c>
      <c r="G71" s="14">
        <f>F71/$F$85*$D$2</f>
        <v>50.935221185488714</v>
      </c>
      <c r="H71" s="14">
        <f>F71/$F$85*$E$2</f>
        <v>50.935221185488714</v>
      </c>
      <c r="I71" s="25" t="str">
        <f t="shared" si="7"/>
        <v>选中</v>
      </c>
    </row>
    <row r="72" spans="1:9" hidden="1" x14ac:dyDescent="0.25">
      <c r="A72" s="3">
        <v>3746</v>
      </c>
      <c r="B72" s="3">
        <v>113.3733611</v>
      </c>
      <c r="C72" s="3">
        <v>22.943010699999999</v>
      </c>
      <c r="D72" s="3">
        <v>6</v>
      </c>
      <c r="E72" s="13">
        <f t="shared" si="5"/>
        <v>7.088631469509752E-3</v>
      </c>
      <c r="F72" s="13">
        <f t="shared" si="6"/>
        <v>11.877329390128835</v>
      </c>
      <c r="G72" s="14" t="e">
        <f>F72/$F$124*$D$2</f>
        <v>#DIV/0!</v>
      </c>
      <c r="H72" s="14" t="e">
        <f>F72/$F$124*$E$2</f>
        <v>#DIV/0!</v>
      </c>
      <c r="I72" s="25" t="str">
        <f t="shared" si="7"/>
        <v/>
      </c>
    </row>
    <row r="73" spans="1:9" hidden="1" x14ac:dyDescent="0.25">
      <c r="A73" s="3">
        <v>3696</v>
      </c>
      <c r="B73" s="3">
        <v>113.3731353</v>
      </c>
      <c r="C73" s="3">
        <v>22.943293789999998</v>
      </c>
      <c r="D73" s="3">
        <v>6</v>
      </c>
      <c r="E73" s="13">
        <f t="shared" si="5"/>
        <v>7.1042665986698278E-3</v>
      </c>
      <c r="F73" s="13">
        <f t="shared" si="6"/>
        <v>11.864252328366357</v>
      </c>
      <c r="G73" s="14" t="e">
        <f>F73/$F$124*$D$2</f>
        <v>#DIV/0!</v>
      </c>
      <c r="H73" s="14" t="e">
        <f>F73/$F$124*$E$2</f>
        <v>#DIV/0!</v>
      </c>
      <c r="I73" s="25" t="str">
        <f t="shared" si="7"/>
        <v/>
      </c>
    </row>
    <row r="74" spans="1:9" x14ac:dyDescent="0.25">
      <c r="A74" s="3">
        <v>3805</v>
      </c>
      <c r="B74" s="3">
        <v>113.3840075</v>
      </c>
      <c r="C74" s="3">
        <v>22.941928220000001</v>
      </c>
      <c r="D74" s="3">
        <v>6</v>
      </c>
      <c r="E74" s="13">
        <f t="shared" si="5"/>
        <v>7.3809190999409163E-3</v>
      </c>
      <c r="F74" s="13">
        <f t="shared" si="6"/>
        <v>11.639780147095808</v>
      </c>
      <c r="G74" s="14">
        <f>F74/$F$85*$D$2</f>
        <v>49.544325013052735</v>
      </c>
      <c r="H74" s="14">
        <f>F74/$F$85*$E$2</f>
        <v>49.544325013052735</v>
      </c>
      <c r="I74" s="25" t="str">
        <f t="shared" si="7"/>
        <v>选中</v>
      </c>
    </row>
    <row r="75" spans="1:9" hidden="1" x14ac:dyDescent="0.25">
      <c r="A75" s="3">
        <v>3210</v>
      </c>
      <c r="B75" s="3">
        <v>113.3838308</v>
      </c>
      <c r="C75" s="3">
        <v>22.95339444</v>
      </c>
      <c r="D75" s="3">
        <v>6</v>
      </c>
      <c r="E75" s="13">
        <f t="shared" si="5"/>
        <v>7.7640068146752339E-3</v>
      </c>
      <c r="F75" s="13">
        <f t="shared" si="6"/>
        <v>11.348985628261925</v>
      </c>
      <c r="G75" s="14" t="e">
        <f>F75/$F$124*$D$2</f>
        <v>#DIV/0!</v>
      </c>
      <c r="H75" s="14" t="e">
        <f>F75/$F$124*$E$2</f>
        <v>#DIV/0!</v>
      </c>
      <c r="I75" s="25" t="str">
        <f t="shared" si="7"/>
        <v/>
      </c>
    </row>
    <row r="76" spans="1:9" hidden="1" x14ac:dyDescent="0.25">
      <c r="A76" s="3">
        <v>3211</v>
      </c>
      <c r="B76" s="3">
        <v>113.38623990000001</v>
      </c>
      <c r="C76" s="3">
        <v>22.950783359999999</v>
      </c>
      <c r="D76" s="3">
        <v>6</v>
      </c>
      <c r="E76" s="13">
        <f t="shared" si="5"/>
        <v>8.0383495407697798E-3</v>
      </c>
      <c r="F76" s="13">
        <f t="shared" si="6"/>
        <v>11.153638292399354</v>
      </c>
      <c r="G76" s="14" t="e">
        <f>F76/$F$124*$D$2</f>
        <v>#DIV/0!</v>
      </c>
      <c r="H76" s="14" t="e">
        <f>F76/$F$124*$E$2</f>
        <v>#DIV/0!</v>
      </c>
      <c r="I76" s="25" t="str">
        <f t="shared" si="7"/>
        <v/>
      </c>
    </row>
    <row r="77" spans="1:9" x14ac:dyDescent="0.25">
      <c r="A77" s="3">
        <v>3203</v>
      </c>
      <c r="B77" s="3">
        <v>113.38643190000001</v>
      </c>
      <c r="C77" s="3">
        <v>22.95052639</v>
      </c>
      <c r="D77" s="3">
        <v>6</v>
      </c>
      <c r="E77" s="13">
        <f t="shared" si="5"/>
        <v>8.1075301559030977E-3</v>
      </c>
      <c r="F77" s="13">
        <f t="shared" si="6"/>
        <v>11.105949993370025</v>
      </c>
      <c r="G77" s="14">
        <f>F77/$F$85*$D$2</f>
        <v>47.272095271277323</v>
      </c>
      <c r="H77" s="14">
        <f>F77/$F$85*$E$2</f>
        <v>47.272095271277323</v>
      </c>
      <c r="I77" s="25" t="str">
        <f t="shared" si="7"/>
        <v>选中</v>
      </c>
    </row>
    <row r="78" spans="1:9" hidden="1" x14ac:dyDescent="0.25">
      <c r="A78" s="3">
        <v>3214</v>
      </c>
      <c r="B78" s="3">
        <v>113.3878236</v>
      </c>
      <c r="C78" s="3">
        <v>22.9472682</v>
      </c>
      <c r="D78" s="3">
        <v>6</v>
      </c>
      <c r="E78" s="13">
        <f t="shared" si="5"/>
        <v>8.8437317242415752E-3</v>
      </c>
      <c r="F78" s="13">
        <f t="shared" si="6"/>
        <v>10.633646534337577</v>
      </c>
      <c r="G78" s="14" t="e">
        <f>F78/$F$124*$D$2</f>
        <v>#DIV/0!</v>
      </c>
      <c r="H78" s="14" t="e">
        <f>F78/$F$124*$E$2</f>
        <v>#DIV/0!</v>
      </c>
      <c r="I78" s="25" t="str">
        <f t="shared" si="7"/>
        <v/>
      </c>
    </row>
    <row r="79" spans="1:9" hidden="1" x14ac:dyDescent="0.25">
      <c r="A79" s="3">
        <v>2720</v>
      </c>
      <c r="B79" s="3">
        <v>113.3888687</v>
      </c>
      <c r="C79" s="3">
        <v>22.95612405</v>
      </c>
      <c r="D79" s="3">
        <v>6</v>
      </c>
      <c r="E79" s="13">
        <f t="shared" si="5"/>
        <v>1.3231805799240983E-2</v>
      </c>
      <c r="F79" s="13">
        <f t="shared" si="6"/>
        <v>8.6934155753806017</v>
      </c>
      <c r="G79" s="14" t="e">
        <f>F79/$F$124*$D$2</f>
        <v>#DIV/0!</v>
      </c>
      <c r="H79" s="14" t="e">
        <f>F79/$F$124*$E$2</f>
        <v>#DIV/0!</v>
      </c>
      <c r="I79" s="25" t="str">
        <f t="shared" si="7"/>
        <v/>
      </c>
    </row>
    <row r="80" spans="1:9" x14ac:dyDescent="0.25">
      <c r="A80" s="3">
        <v>2718</v>
      </c>
      <c r="B80" s="3">
        <v>113.38276879999999</v>
      </c>
      <c r="C80" s="3">
        <v>22.961936399999999</v>
      </c>
      <c r="D80" s="3">
        <v>6</v>
      </c>
      <c r="E80" s="13">
        <f t="shared" si="5"/>
        <v>1.5087621454764754E-2</v>
      </c>
      <c r="F80" s="13">
        <f t="shared" si="6"/>
        <v>8.1412222416743223</v>
      </c>
      <c r="G80" s="14">
        <f>F80/$F$85*$D$2</f>
        <v>34.652833270707852</v>
      </c>
      <c r="H80" s="14">
        <f>F80/$F$85*$E$2</f>
        <v>34.652833270707852</v>
      </c>
      <c r="I80" s="25" t="str">
        <f t="shared" si="7"/>
        <v>选中</v>
      </c>
    </row>
    <row r="81" spans="1:9" hidden="1" x14ac:dyDescent="0.25">
      <c r="A81" s="3">
        <v>2716</v>
      </c>
      <c r="B81" s="3">
        <v>113.3869689</v>
      </c>
      <c r="C81" s="3">
        <v>22.962632989999999</v>
      </c>
      <c r="D81" s="3">
        <v>6</v>
      </c>
      <c r="E81" s="13">
        <f t="shared" si="5"/>
        <v>1.7260778894151046E-2</v>
      </c>
      <c r="F81" s="13">
        <f t="shared" si="6"/>
        <v>7.611492176094619</v>
      </c>
      <c r="G81" s="14" t="e">
        <f>F81/$F$124*$D$2</f>
        <v>#DIV/0!</v>
      </c>
      <c r="H81" s="14" t="e">
        <f>F81/$F$124*$E$2</f>
        <v>#DIV/0!</v>
      </c>
      <c r="I81" s="25" t="str">
        <f t="shared" si="7"/>
        <v/>
      </c>
    </row>
    <row r="82" spans="1:9" hidden="1" x14ac:dyDescent="0.25">
      <c r="A82" s="3">
        <v>2362</v>
      </c>
      <c r="B82" s="3">
        <v>113.3815063</v>
      </c>
      <c r="C82" s="3">
        <v>22.964458090000001</v>
      </c>
      <c r="D82" s="3">
        <v>6</v>
      </c>
      <c r="E82" s="13">
        <f t="shared" si="5"/>
        <v>1.7311184526105937E-2</v>
      </c>
      <c r="F82" s="13">
        <f t="shared" si="6"/>
        <v>7.6004027627484758</v>
      </c>
      <c r="G82" s="14" t="e">
        <f>F82/$F$124*$D$2</f>
        <v>#DIV/0!</v>
      </c>
      <c r="H82" s="14" t="e">
        <f>F82/$F$124*$E$2</f>
        <v>#DIV/0!</v>
      </c>
      <c r="I82" s="25" t="str">
        <f t="shared" si="7"/>
        <v/>
      </c>
    </row>
    <row r="83" spans="1:9" x14ac:dyDescent="0.25">
      <c r="A83" s="3">
        <v>2717</v>
      </c>
      <c r="B83" s="3">
        <v>113.3874287</v>
      </c>
      <c r="C83" s="3">
        <v>22.96316157</v>
      </c>
      <c r="D83" s="3">
        <v>6</v>
      </c>
      <c r="E83" s="13">
        <f t="shared" si="5"/>
        <v>1.7942886149736922E-2</v>
      </c>
      <c r="F83" s="13">
        <f t="shared" si="6"/>
        <v>7.4654131820031076</v>
      </c>
      <c r="G83" s="14">
        <f>F83/$F$85*$D$2</f>
        <v>31.776275184903263</v>
      </c>
      <c r="H83" s="14">
        <f>F83/$F$85*$E$2</f>
        <v>31.776275184903263</v>
      </c>
      <c r="I83" s="25" t="str">
        <f t="shared" si="7"/>
        <v>选中</v>
      </c>
    </row>
    <row r="84" spans="1:9" x14ac:dyDescent="0.25">
      <c r="A84" s="3"/>
      <c r="B84" s="3"/>
      <c r="C84" s="3"/>
      <c r="D84" s="3"/>
      <c r="G84" s="14"/>
      <c r="H84" s="14"/>
    </row>
    <row r="85" spans="1:9" x14ac:dyDescent="0.25">
      <c r="A85" s="3"/>
      <c r="B85" s="3"/>
      <c r="C85" s="3"/>
      <c r="D85" s="3"/>
      <c r="F85" s="13">
        <f>SUBTOTAL(9,F5:F83)</f>
        <v>419.36200679073124</v>
      </c>
      <c r="G85" s="13">
        <f>SUBTOTAL(9,G5:G83)</f>
        <v>1785</v>
      </c>
      <c r="H85" s="13">
        <f>SUBTOTAL(9,H5:H83)</f>
        <v>1785</v>
      </c>
    </row>
    <row r="86" spans="1:9" x14ac:dyDescent="0.25">
      <c r="A86" s="3"/>
      <c r="B86" s="3"/>
      <c r="C86" s="3"/>
      <c r="D86" s="3"/>
      <c r="G86" s="14"/>
      <c r="H86" s="14"/>
    </row>
    <row r="87" spans="1:9" x14ac:dyDescent="0.25">
      <c r="A87" s="3"/>
      <c r="B87" s="3"/>
      <c r="C87" s="3"/>
      <c r="D87" s="3"/>
      <c r="G87" s="14"/>
      <c r="H87" s="14"/>
    </row>
    <row r="88" spans="1:9" x14ac:dyDescent="0.25">
      <c r="A88" s="3"/>
      <c r="B88" s="3"/>
      <c r="C88" s="3"/>
      <c r="D88" s="3"/>
      <c r="G88" s="14"/>
      <c r="H88" s="14"/>
    </row>
    <row r="89" spans="1:9" x14ac:dyDescent="0.25">
      <c r="A89" s="3"/>
      <c r="B89" s="3"/>
      <c r="C89" s="3"/>
      <c r="D89" s="3"/>
      <c r="G89" s="14"/>
      <c r="H89" s="14"/>
    </row>
    <row r="90" spans="1:9" x14ac:dyDescent="0.25">
      <c r="A90" s="3"/>
      <c r="B90" s="3"/>
      <c r="C90" s="3"/>
      <c r="D90" s="3"/>
      <c r="G90" s="14"/>
      <c r="H90" s="14"/>
    </row>
    <row r="91" spans="1:9" x14ac:dyDescent="0.25">
      <c r="A91" s="3"/>
      <c r="B91" s="3"/>
      <c r="C91" s="3"/>
      <c r="D91" s="3"/>
      <c r="G91" s="14"/>
      <c r="H91" s="14"/>
    </row>
    <row r="92" spans="1:9" x14ac:dyDescent="0.25">
      <c r="A92" s="3"/>
      <c r="B92" s="3"/>
      <c r="C92" s="3"/>
      <c r="D92" s="3"/>
      <c r="G92" s="14"/>
      <c r="H92" s="14"/>
    </row>
    <row r="93" spans="1:9" x14ac:dyDescent="0.25">
      <c r="A93" s="3"/>
      <c r="B93" s="3"/>
      <c r="C93" s="3"/>
      <c r="D93" s="3"/>
      <c r="G93" s="14"/>
      <c r="H93" s="14"/>
    </row>
    <row r="94" spans="1:9" x14ac:dyDescent="0.25">
      <c r="A94" s="3"/>
      <c r="B94" s="3"/>
      <c r="C94" s="3"/>
      <c r="D94" s="3"/>
      <c r="G94" s="14"/>
      <c r="H94" s="14"/>
    </row>
    <row r="95" spans="1:9" x14ac:dyDescent="0.25">
      <c r="A95" s="3"/>
      <c r="B95" s="3"/>
      <c r="C95" s="3"/>
      <c r="D95" s="3"/>
      <c r="G95" s="14"/>
      <c r="H95" s="14"/>
    </row>
    <row r="96" spans="1:9" x14ac:dyDescent="0.25">
      <c r="A96" s="3"/>
      <c r="B96" s="3"/>
      <c r="C96" s="3"/>
      <c r="D96" s="3"/>
      <c r="G96" s="14"/>
      <c r="H96" s="14"/>
    </row>
    <row r="97" spans="1:8" x14ac:dyDescent="0.25">
      <c r="A97" s="3"/>
      <c r="B97" s="3"/>
      <c r="C97" s="3"/>
      <c r="D97" s="3"/>
      <c r="G97" s="14"/>
      <c r="H97" s="14"/>
    </row>
    <row r="98" spans="1:8" x14ac:dyDescent="0.25">
      <c r="A98" s="3"/>
      <c r="B98" s="3"/>
      <c r="C98" s="3"/>
      <c r="D98" s="3"/>
      <c r="G98" s="14"/>
      <c r="H98" s="14"/>
    </row>
    <row r="99" spans="1:8" x14ac:dyDescent="0.25">
      <c r="A99" s="3"/>
      <c r="B99" s="3"/>
      <c r="C99" s="3"/>
      <c r="D99" s="3"/>
      <c r="G99" s="14"/>
      <c r="H99" s="14"/>
    </row>
    <row r="100" spans="1:8" x14ac:dyDescent="0.25">
      <c r="A100" s="3"/>
      <c r="B100" s="3"/>
      <c r="C100" s="3"/>
      <c r="D100" s="3"/>
      <c r="G100" s="14"/>
      <c r="H100" s="14"/>
    </row>
    <row r="101" spans="1:8" x14ac:dyDescent="0.25">
      <c r="A101" s="3"/>
      <c r="B101" s="3"/>
      <c r="C101" s="3"/>
      <c r="D101" s="3"/>
      <c r="G101" s="14"/>
      <c r="H101" s="14"/>
    </row>
    <row r="102" spans="1:8" x14ac:dyDescent="0.25">
      <c r="A102" s="3"/>
      <c r="B102" s="3"/>
      <c r="C102" s="3"/>
      <c r="D102" s="3"/>
      <c r="G102" s="14"/>
      <c r="H102" s="14"/>
    </row>
    <row r="103" spans="1:8" x14ac:dyDescent="0.25">
      <c r="A103" s="3"/>
      <c r="B103" s="3"/>
      <c r="C103" s="3"/>
      <c r="D103" s="3"/>
      <c r="G103" s="14"/>
      <c r="H103" s="14"/>
    </row>
    <row r="104" spans="1:8" x14ac:dyDescent="0.25">
      <c r="A104" s="3"/>
      <c r="B104" s="3"/>
      <c r="C104" s="3"/>
      <c r="D104" s="3"/>
      <c r="G104" s="14"/>
      <c r="H104" s="14"/>
    </row>
    <row r="105" spans="1:8" x14ac:dyDescent="0.25">
      <c r="A105" s="3"/>
      <c r="B105" s="3"/>
      <c r="C105" s="3"/>
      <c r="D105" s="3"/>
      <c r="G105" s="14"/>
      <c r="H105" s="14"/>
    </row>
    <row r="106" spans="1:8" x14ac:dyDescent="0.25">
      <c r="A106" s="3"/>
      <c r="B106" s="3"/>
      <c r="C106" s="3"/>
      <c r="D106" s="3"/>
      <c r="G106" s="14"/>
      <c r="H106" s="14"/>
    </row>
    <row r="107" spans="1:8" x14ac:dyDescent="0.25">
      <c r="A107" s="3"/>
      <c r="B107" s="3"/>
      <c r="C107" s="3"/>
      <c r="D107" s="3"/>
      <c r="G107" s="14"/>
      <c r="H107" s="14"/>
    </row>
    <row r="108" spans="1:8" x14ac:dyDescent="0.25">
      <c r="A108" s="3"/>
      <c r="B108" s="3"/>
      <c r="C108" s="3"/>
      <c r="D108" s="3"/>
      <c r="G108" s="14"/>
      <c r="H108" s="14"/>
    </row>
    <row r="109" spans="1:8" x14ac:dyDescent="0.25">
      <c r="A109" s="3"/>
      <c r="B109" s="3"/>
      <c r="C109" s="3"/>
      <c r="D109" s="3"/>
      <c r="G109" s="14"/>
      <c r="H109" s="14"/>
    </row>
    <row r="110" spans="1:8" x14ac:dyDescent="0.25">
      <c r="A110" s="3"/>
      <c r="B110" s="3"/>
      <c r="C110" s="3"/>
      <c r="D110" s="3"/>
      <c r="G110" s="14"/>
      <c r="H110" s="14"/>
    </row>
    <row r="111" spans="1:8" x14ac:dyDescent="0.25">
      <c r="A111" s="3"/>
      <c r="B111" s="3"/>
      <c r="C111" s="3"/>
      <c r="D111" s="3"/>
      <c r="G111" s="14"/>
      <c r="H111" s="14"/>
    </row>
    <row r="112" spans="1:8" x14ac:dyDescent="0.25">
      <c r="A112" s="3"/>
      <c r="B112" s="3"/>
      <c r="C112" s="3"/>
      <c r="D112" s="3"/>
      <c r="G112" s="14"/>
      <c r="H112" s="14"/>
    </row>
    <row r="113" spans="1:8" x14ac:dyDescent="0.25">
      <c r="A113" s="3"/>
      <c r="B113" s="3"/>
      <c r="C113" s="3"/>
      <c r="D113" s="3"/>
      <c r="G113" s="14"/>
      <c r="H113" s="14"/>
    </row>
    <row r="114" spans="1:8" x14ac:dyDescent="0.25">
      <c r="A114" s="3"/>
      <c r="B114" s="3"/>
      <c r="C114" s="3"/>
      <c r="D114" s="3"/>
      <c r="G114" s="14"/>
      <c r="H114" s="14"/>
    </row>
    <row r="115" spans="1:8" x14ac:dyDescent="0.25">
      <c r="A115" s="3"/>
      <c r="B115" s="3"/>
      <c r="C115" s="3"/>
      <c r="D115" s="3"/>
      <c r="G115" s="14"/>
      <c r="H115" s="14"/>
    </row>
    <row r="116" spans="1:8" x14ac:dyDescent="0.25">
      <c r="A116" s="3"/>
      <c r="B116" s="3"/>
      <c r="C116" s="3"/>
      <c r="D116" s="3"/>
      <c r="G116" s="14"/>
      <c r="H116" s="14"/>
    </row>
    <row r="117" spans="1:8" x14ac:dyDescent="0.25">
      <c r="A117" s="3"/>
      <c r="B117" s="3"/>
      <c r="C117" s="3"/>
      <c r="D117" s="3"/>
      <c r="G117" s="14"/>
      <c r="H117" s="14"/>
    </row>
    <row r="118" spans="1:8" x14ac:dyDescent="0.25">
      <c r="A118" s="3"/>
      <c r="B118" s="3"/>
      <c r="C118" s="3"/>
      <c r="D118" s="3"/>
      <c r="G118" s="14"/>
      <c r="H118" s="14"/>
    </row>
    <row r="119" spans="1:8" x14ac:dyDescent="0.25">
      <c r="A119" s="3"/>
      <c r="B119" s="3"/>
      <c r="C119" s="3"/>
      <c r="D119" s="3"/>
      <c r="G119" s="14"/>
      <c r="H119" s="14"/>
    </row>
    <row r="120" spans="1:8" x14ac:dyDescent="0.25">
      <c r="A120" s="3"/>
      <c r="B120" s="3"/>
      <c r="C120" s="3"/>
      <c r="D120" s="3"/>
      <c r="G120" s="14"/>
      <c r="H120" s="14"/>
    </row>
    <row r="121" spans="1:8" x14ac:dyDescent="0.25">
      <c r="A121" s="3"/>
      <c r="B121" s="3"/>
      <c r="C121" s="3"/>
      <c r="D121" s="3"/>
      <c r="G121" s="14"/>
      <c r="H121" s="14"/>
    </row>
    <row r="122" spans="1:8" x14ac:dyDescent="0.25">
      <c r="A122" s="3"/>
      <c r="B122" s="3"/>
      <c r="C122" s="3"/>
      <c r="D122" s="3"/>
      <c r="G122" s="14"/>
      <c r="H122" s="14"/>
    </row>
    <row r="123" spans="1:8" x14ac:dyDescent="0.25">
      <c r="A123" s="3"/>
      <c r="B123" s="3"/>
      <c r="C123" s="3"/>
      <c r="D123" s="3"/>
      <c r="G123" s="14"/>
      <c r="H123" s="14"/>
    </row>
    <row r="124" spans="1:8" x14ac:dyDescent="0.25">
      <c r="A124" s="3"/>
      <c r="B124" s="3"/>
      <c r="C124" s="3"/>
      <c r="D124" s="3"/>
      <c r="G124" s="14"/>
      <c r="H124" s="14"/>
    </row>
    <row r="125" spans="1:8" x14ac:dyDescent="0.25">
      <c r="A125" s="3"/>
      <c r="B125" s="3"/>
      <c r="C125" s="3"/>
      <c r="D125" s="3"/>
      <c r="G125" s="14"/>
      <c r="H125" s="14"/>
    </row>
    <row r="126" spans="1:8" x14ac:dyDescent="0.25">
      <c r="A126" s="18"/>
      <c r="B126" s="3"/>
      <c r="C126" s="3"/>
      <c r="D126" s="3"/>
      <c r="G126" s="14"/>
      <c r="H126" s="14"/>
    </row>
    <row r="127" spans="1:8" x14ac:dyDescent="0.25">
      <c r="A127" s="3"/>
      <c r="B127" s="3"/>
      <c r="C127" s="3"/>
      <c r="D127" s="3"/>
      <c r="G127" s="14"/>
      <c r="H127" s="14"/>
    </row>
    <row r="128" spans="1:8" x14ac:dyDescent="0.25">
      <c r="A128" s="3"/>
      <c r="B128" s="3"/>
      <c r="C128" s="3"/>
      <c r="D128" s="3"/>
      <c r="G128" s="14"/>
      <c r="H128" s="14"/>
    </row>
    <row r="129" spans="1:8" x14ac:dyDescent="0.25">
      <c r="A129" s="3"/>
      <c r="B129" s="3"/>
      <c r="C129" s="3"/>
      <c r="D129" s="3"/>
      <c r="G129" s="14"/>
      <c r="H129" s="14"/>
    </row>
    <row r="130" spans="1:8" x14ac:dyDescent="0.25">
      <c r="A130" s="3"/>
      <c r="B130" s="3"/>
      <c r="C130" s="3"/>
      <c r="D130" s="3"/>
      <c r="G130" s="14"/>
      <c r="H130" s="14"/>
    </row>
    <row r="131" spans="1:8" x14ac:dyDescent="0.25">
      <c r="A131" s="3"/>
      <c r="B131" s="3"/>
      <c r="C131" s="3"/>
      <c r="D131" s="3"/>
      <c r="G131" s="14"/>
      <c r="H131" s="14"/>
    </row>
    <row r="132" spans="1:8" x14ac:dyDescent="0.25">
      <c r="A132" s="3"/>
      <c r="B132" s="3"/>
      <c r="C132" s="3"/>
      <c r="D132" s="3"/>
      <c r="G132" s="14"/>
      <c r="H132" s="14"/>
    </row>
    <row r="133" spans="1:8" x14ac:dyDescent="0.25">
      <c r="A133" s="3"/>
      <c r="B133" s="3"/>
      <c r="C133" s="3"/>
      <c r="D133" s="3"/>
      <c r="G133" s="14"/>
      <c r="H133" s="14"/>
    </row>
    <row r="134" spans="1:8" x14ac:dyDescent="0.25">
      <c r="A134" s="3"/>
      <c r="B134" s="3"/>
      <c r="C134" s="3"/>
      <c r="D134" s="3"/>
      <c r="G134" s="14"/>
      <c r="H134" s="14"/>
    </row>
    <row r="135" spans="1:8" x14ac:dyDescent="0.25">
      <c r="A135" s="3"/>
      <c r="B135" s="3"/>
      <c r="C135" s="3"/>
      <c r="D135" s="3"/>
      <c r="G135" s="14"/>
      <c r="H135" s="14"/>
    </row>
    <row r="136" spans="1:8" x14ac:dyDescent="0.25">
      <c r="A136" s="3"/>
      <c r="B136" s="3"/>
      <c r="C136" s="3"/>
      <c r="D136" s="3"/>
      <c r="G136" s="14"/>
      <c r="H136" s="14"/>
    </row>
    <row r="137" spans="1:8" x14ac:dyDescent="0.25">
      <c r="A137" s="3"/>
      <c r="B137" s="3"/>
      <c r="C137" s="3"/>
      <c r="D137" s="3"/>
      <c r="G137" s="14"/>
      <c r="H137" s="14"/>
    </row>
    <row r="138" spans="1:8" x14ac:dyDescent="0.25">
      <c r="A138" s="3"/>
      <c r="B138" s="3"/>
      <c r="C138" s="3"/>
      <c r="D138" s="3"/>
      <c r="G138" s="14"/>
      <c r="H138" s="14"/>
    </row>
    <row r="139" spans="1:8" x14ac:dyDescent="0.25">
      <c r="A139" s="3"/>
      <c r="B139" s="3"/>
      <c r="C139" s="3"/>
      <c r="D139" s="3"/>
      <c r="G139" s="14"/>
      <c r="H139" s="14"/>
    </row>
    <row r="140" spans="1:8" x14ac:dyDescent="0.25">
      <c r="A140" s="3"/>
      <c r="B140" s="3"/>
      <c r="C140" s="3"/>
      <c r="D140" s="3"/>
      <c r="G140" s="14"/>
      <c r="H140" s="14"/>
    </row>
    <row r="141" spans="1:8" x14ac:dyDescent="0.25">
      <c r="A141" s="3"/>
      <c r="B141" s="3"/>
      <c r="C141" s="3"/>
      <c r="D141" s="3"/>
      <c r="G141" s="14"/>
      <c r="H141" s="14"/>
    </row>
    <row r="142" spans="1:8" x14ac:dyDescent="0.25">
      <c r="A142" s="3"/>
      <c r="B142" s="3"/>
      <c r="C142" s="3"/>
      <c r="D142" s="3"/>
      <c r="G142" s="14"/>
      <c r="H142" s="14"/>
    </row>
    <row r="143" spans="1:8" x14ac:dyDescent="0.25">
      <c r="A143" s="3"/>
      <c r="B143" s="3"/>
      <c r="C143" s="3"/>
      <c r="D143" s="3"/>
      <c r="G143" s="14"/>
      <c r="H143" s="14"/>
    </row>
    <row r="144" spans="1:8" x14ac:dyDescent="0.25">
      <c r="A144" s="3"/>
      <c r="B144" s="3"/>
      <c r="C144" s="3"/>
      <c r="D144" s="3"/>
      <c r="G144" s="14"/>
      <c r="H144" s="14"/>
    </row>
    <row r="145" spans="1:8" x14ac:dyDescent="0.25">
      <c r="A145" s="3"/>
      <c r="B145" s="3"/>
      <c r="C145" s="3"/>
      <c r="D145" s="3"/>
      <c r="G145" s="14"/>
      <c r="H145" s="14"/>
    </row>
    <row r="146" spans="1:8" x14ac:dyDescent="0.25">
      <c r="A146" s="3"/>
      <c r="B146" s="3"/>
      <c r="C146" s="3"/>
      <c r="D146" s="3"/>
      <c r="G146" s="14"/>
      <c r="H146" s="14"/>
    </row>
    <row r="147" spans="1:8" x14ac:dyDescent="0.25">
      <c r="A147" s="3"/>
      <c r="B147" s="3"/>
      <c r="C147" s="3"/>
      <c r="D147" s="3"/>
      <c r="G147" s="14"/>
      <c r="H147" s="14"/>
    </row>
    <row r="148" spans="1:8" x14ac:dyDescent="0.25">
      <c r="A148" s="3"/>
      <c r="B148" s="3"/>
      <c r="C148" s="3"/>
      <c r="D148" s="3"/>
      <c r="G148" s="14"/>
      <c r="H148" s="14"/>
    </row>
    <row r="149" spans="1:8" x14ac:dyDescent="0.25">
      <c r="A149" s="3"/>
      <c r="B149" s="3"/>
      <c r="C149" s="3"/>
      <c r="D149" s="3"/>
      <c r="G149" s="14"/>
      <c r="H149" s="14"/>
    </row>
    <row r="150" spans="1:8" x14ac:dyDescent="0.25">
      <c r="A150" s="3"/>
      <c r="B150" s="3"/>
      <c r="C150" s="3"/>
      <c r="D150" s="3"/>
      <c r="G150" s="14"/>
      <c r="H150" s="14"/>
    </row>
    <row r="151" spans="1:8" x14ac:dyDescent="0.25">
      <c r="A151" s="3"/>
      <c r="B151" s="3"/>
      <c r="C151" s="3"/>
      <c r="D151" s="3"/>
      <c r="G151" s="14"/>
      <c r="H151" s="14"/>
    </row>
    <row r="152" spans="1:8" x14ac:dyDescent="0.25">
      <c r="A152" s="3"/>
      <c r="B152" s="3"/>
      <c r="C152" s="3"/>
      <c r="D152" s="3"/>
      <c r="G152" s="14"/>
      <c r="H152" s="14"/>
    </row>
    <row r="153" spans="1:8" x14ac:dyDescent="0.25">
      <c r="A153" s="3"/>
      <c r="B153" s="3"/>
      <c r="C153" s="3"/>
      <c r="D153" s="3"/>
      <c r="G153" s="14"/>
      <c r="H153" s="14"/>
    </row>
    <row r="154" spans="1:8" x14ac:dyDescent="0.25">
      <c r="A154" s="3"/>
      <c r="B154" s="3"/>
      <c r="C154" s="3"/>
      <c r="D154" s="3"/>
      <c r="G154" s="14"/>
      <c r="H154" s="14"/>
    </row>
    <row r="155" spans="1:8" x14ac:dyDescent="0.25">
      <c r="A155" s="3"/>
      <c r="B155" s="3"/>
      <c r="C155" s="3"/>
      <c r="D155" s="3"/>
      <c r="G155" s="14"/>
      <c r="H155" s="14"/>
    </row>
    <row r="156" spans="1:8" x14ac:dyDescent="0.25">
      <c r="A156" s="3"/>
      <c r="B156" s="3"/>
      <c r="C156" s="3"/>
      <c r="D156" s="3"/>
      <c r="G156" s="14"/>
      <c r="H156" s="14"/>
    </row>
    <row r="157" spans="1:8" x14ac:dyDescent="0.25">
      <c r="A157" s="3"/>
      <c r="B157" s="3"/>
      <c r="C157" s="3"/>
      <c r="D157" s="3"/>
      <c r="G157" s="14"/>
      <c r="H157" s="14"/>
    </row>
    <row r="158" spans="1:8" x14ac:dyDescent="0.25">
      <c r="A158" s="3"/>
      <c r="B158" s="3"/>
      <c r="C158" s="3"/>
      <c r="D158" s="3"/>
      <c r="G158" s="14"/>
      <c r="H158" s="14"/>
    </row>
    <row r="159" spans="1:8" x14ac:dyDescent="0.25">
      <c r="A159" s="3"/>
      <c r="B159" s="3"/>
      <c r="C159" s="3"/>
      <c r="D159" s="3"/>
      <c r="G159" s="14"/>
      <c r="H159" s="14"/>
    </row>
    <row r="160" spans="1:8" x14ac:dyDescent="0.25">
      <c r="A160" s="3"/>
      <c r="B160" s="3"/>
      <c r="C160" s="3"/>
      <c r="D160" s="3"/>
      <c r="G160" s="14"/>
      <c r="H160" s="14"/>
    </row>
    <row r="161" spans="1:8" x14ac:dyDescent="0.25">
      <c r="A161" s="3"/>
      <c r="B161" s="3"/>
      <c r="C161" s="3"/>
      <c r="D161" s="3"/>
      <c r="G161" s="14"/>
      <c r="H161" s="14"/>
    </row>
    <row r="162" spans="1:8" x14ac:dyDescent="0.25">
      <c r="A162" s="3"/>
      <c r="B162" s="3"/>
      <c r="C162" s="3"/>
      <c r="D162" s="3"/>
      <c r="G162" s="14"/>
      <c r="H162" s="14"/>
    </row>
    <row r="163" spans="1:8" x14ac:dyDescent="0.25">
      <c r="A163" s="3"/>
      <c r="B163" s="3"/>
      <c r="C163" s="3"/>
      <c r="D163" s="3"/>
      <c r="G163" s="14"/>
      <c r="H163" s="14"/>
    </row>
    <row r="164" spans="1:8" x14ac:dyDescent="0.25">
      <c r="A164" s="3"/>
      <c r="B164" s="3"/>
      <c r="C164" s="3"/>
      <c r="D164" s="3"/>
      <c r="G164" s="14"/>
      <c r="H164" s="14"/>
    </row>
    <row r="165" spans="1:8" x14ac:dyDescent="0.25">
      <c r="A165" s="3"/>
      <c r="B165" s="3"/>
      <c r="C165" s="3"/>
      <c r="D165" s="3"/>
      <c r="G165" s="14"/>
      <c r="H165" s="14"/>
    </row>
    <row r="166" spans="1:8" x14ac:dyDescent="0.25">
      <c r="A166" s="3"/>
      <c r="B166" s="3"/>
      <c r="C166" s="3"/>
      <c r="D166" s="3"/>
      <c r="G166" s="14"/>
      <c r="H166" s="14"/>
    </row>
    <row r="167" spans="1:8" x14ac:dyDescent="0.25">
      <c r="A167" s="3"/>
      <c r="B167" s="3"/>
      <c r="C167" s="3"/>
      <c r="D167" s="3"/>
      <c r="G167" s="14"/>
      <c r="H167" s="14"/>
    </row>
    <row r="168" spans="1:8" x14ac:dyDescent="0.25">
      <c r="A168" s="3"/>
      <c r="B168" s="3"/>
      <c r="C168" s="3"/>
      <c r="D168" s="3"/>
      <c r="G168" s="14"/>
      <c r="H168" s="14"/>
    </row>
    <row r="169" spans="1:8" x14ac:dyDescent="0.25">
      <c r="A169" s="3"/>
      <c r="B169" s="3"/>
      <c r="C169" s="3"/>
      <c r="D169" s="3"/>
      <c r="G169" s="14"/>
      <c r="H169" s="14"/>
    </row>
    <row r="170" spans="1:8" x14ac:dyDescent="0.25">
      <c r="A170" s="3"/>
      <c r="B170" s="3"/>
      <c r="C170" s="3"/>
      <c r="D170" s="3"/>
      <c r="G170" s="14"/>
      <c r="H170" s="14"/>
    </row>
    <row r="171" spans="1:8" x14ac:dyDescent="0.25">
      <c r="A171" s="3"/>
      <c r="B171" s="3"/>
      <c r="C171" s="3"/>
      <c r="D171" s="3"/>
      <c r="G171" s="14"/>
      <c r="H171" s="14"/>
    </row>
    <row r="172" spans="1:8" x14ac:dyDescent="0.25">
      <c r="A172" s="3"/>
      <c r="B172" s="3"/>
      <c r="C172" s="3"/>
      <c r="D172" s="3"/>
      <c r="G172" s="14"/>
      <c r="H172" s="14"/>
    </row>
    <row r="173" spans="1:8" x14ac:dyDescent="0.25">
      <c r="A173" s="3"/>
      <c r="B173" s="3"/>
      <c r="C173" s="3"/>
      <c r="D173" s="3"/>
      <c r="G173" s="14"/>
      <c r="H173" s="14"/>
    </row>
    <row r="174" spans="1:8" x14ac:dyDescent="0.25">
      <c r="A174" s="3"/>
      <c r="B174" s="3"/>
      <c r="C174" s="3"/>
      <c r="D174" s="3"/>
      <c r="G174" s="14"/>
      <c r="H174" s="14"/>
    </row>
    <row r="175" spans="1:8" x14ac:dyDescent="0.25">
      <c r="A175" s="3"/>
      <c r="B175" s="3"/>
      <c r="C175" s="3"/>
      <c r="D175" s="3"/>
      <c r="G175" s="14"/>
      <c r="H175" s="14"/>
    </row>
    <row r="176" spans="1:8" x14ac:dyDescent="0.25">
      <c r="A176" s="3"/>
      <c r="B176" s="3"/>
      <c r="C176" s="3"/>
      <c r="D176" s="3"/>
      <c r="G176" s="14"/>
      <c r="H176" s="14"/>
    </row>
    <row r="177" spans="1:8" x14ac:dyDescent="0.25">
      <c r="A177" s="3"/>
      <c r="B177" s="3"/>
      <c r="C177" s="3"/>
      <c r="D177" s="3"/>
      <c r="G177" s="14"/>
      <c r="H177" s="14"/>
    </row>
    <row r="178" spans="1:8" x14ac:dyDescent="0.25">
      <c r="A178" s="3"/>
      <c r="B178" s="3"/>
      <c r="C178" s="3"/>
      <c r="D178" s="3"/>
      <c r="G178" s="14"/>
      <c r="H178" s="14"/>
    </row>
    <row r="179" spans="1:8" x14ac:dyDescent="0.25">
      <c r="A179" s="3"/>
      <c r="B179" s="3"/>
      <c r="C179" s="3"/>
      <c r="D179" s="3"/>
      <c r="G179" s="14"/>
      <c r="H179" s="14"/>
    </row>
    <row r="180" spans="1:8" x14ac:dyDescent="0.25">
      <c r="A180" s="3"/>
      <c r="B180" s="3"/>
      <c r="C180" s="3"/>
      <c r="D180" s="3"/>
      <c r="G180" s="14"/>
      <c r="H180" s="14"/>
    </row>
    <row r="181" spans="1:8" x14ac:dyDescent="0.25">
      <c r="A181" s="3"/>
      <c r="B181" s="3"/>
      <c r="C181" s="3"/>
      <c r="D181" s="3"/>
      <c r="G181" s="14"/>
      <c r="H181" s="14"/>
    </row>
    <row r="182" spans="1:8" x14ac:dyDescent="0.25">
      <c r="A182" s="3"/>
      <c r="B182" s="3"/>
      <c r="C182" s="3"/>
      <c r="D182" s="3"/>
      <c r="G182" s="14"/>
      <c r="H182" s="14"/>
    </row>
    <row r="183" spans="1:8" x14ac:dyDescent="0.25">
      <c r="A183" s="3"/>
      <c r="B183" s="3"/>
      <c r="C183" s="3"/>
      <c r="D183" s="3"/>
      <c r="G183" s="14"/>
      <c r="H183" s="14"/>
    </row>
    <row r="184" spans="1:8" x14ac:dyDescent="0.25">
      <c r="A184" s="3"/>
      <c r="B184" s="3"/>
      <c r="C184" s="3"/>
      <c r="D184" s="3"/>
      <c r="G184" s="14"/>
      <c r="H184" s="14"/>
    </row>
    <row r="185" spans="1:8" x14ac:dyDescent="0.25">
      <c r="A185" s="3"/>
      <c r="B185" s="3"/>
      <c r="C185" s="3"/>
      <c r="D185" s="3"/>
      <c r="G185" s="14"/>
      <c r="H185" s="14"/>
    </row>
    <row r="186" spans="1:8" x14ac:dyDescent="0.25">
      <c r="A186" s="3"/>
      <c r="B186" s="3"/>
      <c r="C186" s="3"/>
      <c r="D186" s="3"/>
      <c r="G186" s="14"/>
      <c r="H186" s="14"/>
    </row>
    <row r="187" spans="1:8" x14ac:dyDescent="0.25">
      <c r="A187" s="3"/>
      <c r="B187" s="3"/>
      <c r="C187" s="3"/>
      <c r="D187" s="3"/>
      <c r="G187" s="14"/>
      <c r="H187" s="14"/>
    </row>
    <row r="188" spans="1:8" x14ac:dyDescent="0.25">
      <c r="A188" s="3"/>
      <c r="B188" s="3"/>
      <c r="C188" s="3"/>
      <c r="D188" s="3"/>
      <c r="G188" s="14"/>
      <c r="H188" s="14"/>
    </row>
    <row r="189" spans="1:8" x14ac:dyDescent="0.25">
      <c r="A189" s="3"/>
      <c r="B189" s="3"/>
      <c r="C189" s="3"/>
      <c r="D189" s="3"/>
      <c r="G189" s="14"/>
      <c r="H189" s="14"/>
    </row>
    <row r="190" spans="1:8" x14ac:dyDescent="0.25">
      <c r="A190" s="3"/>
      <c r="B190" s="3"/>
      <c r="C190" s="3"/>
      <c r="D190" s="3"/>
      <c r="G190" s="14"/>
      <c r="H190" s="14"/>
    </row>
    <row r="191" spans="1:8" x14ac:dyDescent="0.25">
      <c r="A191" s="3"/>
      <c r="B191" s="3"/>
      <c r="C191" s="3"/>
      <c r="D191" s="3"/>
      <c r="G191" s="14"/>
      <c r="H191" s="14"/>
    </row>
    <row r="192" spans="1:8" x14ac:dyDescent="0.25">
      <c r="A192" s="3"/>
      <c r="B192" s="3"/>
      <c r="C192" s="3"/>
      <c r="D192" s="3"/>
      <c r="G192" s="14"/>
      <c r="H192" s="14"/>
    </row>
    <row r="193" spans="1:8" x14ac:dyDescent="0.25">
      <c r="A193" s="3"/>
      <c r="B193" s="3"/>
      <c r="C193" s="3"/>
      <c r="D193" s="3"/>
      <c r="G193" s="14"/>
      <c r="H193" s="14"/>
    </row>
    <row r="194" spans="1:8" x14ac:dyDescent="0.25">
      <c r="A194" s="3"/>
      <c r="B194" s="3"/>
      <c r="C194" s="3"/>
      <c r="D194" s="3"/>
      <c r="G194" s="14"/>
      <c r="H194" s="14"/>
    </row>
    <row r="195" spans="1:8" x14ac:dyDescent="0.25">
      <c r="A195" s="3"/>
      <c r="B195" s="3"/>
      <c r="C195" s="3"/>
      <c r="D195" s="3"/>
      <c r="G195" s="14"/>
      <c r="H195" s="14"/>
    </row>
    <row r="196" spans="1:8" x14ac:dyDescent="0.25">
      <c r="A196" s="3"/>
      <c r="B196" s="3"/>
      <c r="C196" s="3"/>
      <c r="D196" s="3"/>
      <c r="G196" s="14"/>
      <c r="H196" s="14"/>
    </row>
    <row r="197" spans="1:8" x14ac:dyDescent="0.25">
      <c r="A197" s="3"/>
      <c r="B197" s="3"/>
      <c r="C197" s="3"/>
      <c r="D197" s="3"/>
      <c r="G197" s="14"/>
      <c r="H197" s="14"/>
    </row>
    <row r="198" spans="1:8" x14ac:dyDescent="0.25">
      <c r="A198" s="3"/>
      <c r="B198" s="3"/>
      <c r="C198" s="3"/>
      <c r="D198" s="3"/>
      <c r="G198" s="14"/>
      <c r="H198" s="14"/>
    </row>
    <row r="199" spans="1:8" x14ac:dyDescent="0.25">
      <c r="A199" s="3"/>
      <c r="B199" s="3"/>
      <c r="C199" s="3"/>
      <c r="D199" s="3"/>
      <c r="G199" s="14"/>
      <c r="H199" s="14"/>
    </row>
    <row r="200" spans="1:8" x14ac:dyDescent="0.25">
      <c r="A200" s="3"/>
      <c r="B200" s="3"/>
      <c r="C200" s="3"/>
      <c r="D200" s="3"/>
      <c r="G200" s="14"/>
      <c r="H200" s="14"/>
    </row>
    <row r="201" spans="1:8" x14ac:dyDescent="0.25">
      <c r="A201" s="3"/>
      <c r="B201" s="3"/>
      <c r="C201" s="3"/>
      <c r="D201" s="3"/>
      <c r="G201" s="14"/>
      <c r="H201" s="14"/>
    </row>
    <row r="202" spans="1:8" x14ac:dyDescent="0.25">
      <c r="A202" s="3"/>
      <c r="B202" s="3"/>
      <c r="C202" s="3"/>
      <c r="D202" s="3"/>
      <c r="G202" s="14"/>
      <c r="H202" s="14"/>
    </row>
    <row r="203" spans="1:8" x14ac:dyDescent="0.25">
      <c r="A203" s="3"/>
      <c r="B203" s="3"/>
      <c r="C203" s="3"/>
      <c r="D203" s="3"/>
      <c r="G203" s="14"/>
      <c r="H203" s="14"/>
    </row>
    <row r="204" spans="1:8" x14ac:dyDescent="0.25">
      <c r="A204" s="3"/>
      <c r="B204" s="3"/>
      <c r="C204" s="3"/>
      <c r="D204" s="3"/>
      <c r="G204" s="14"/>
      <c r="H204" s="14"/>
    </row>
    <row r="205" spans="1:8" x14ac:dyDescent="0.25">
      <c r="A205" s="3"/>
      <c r="B205" s="3"/>
      <c r="C205" s="3"/>
      <c r="D205" s="3"/>
      <c r="G205" s="14"/>
      <c r="H205" s="14"/>
    </row>
    <row r="206" spans="1:8" x14ac:dyDescent="0.25">
      <c r="A206" s="3"/>
      <c r="B206" s="3"/>
      <c r="C206" s="3"/>
      <c r="D206" s="3"/>
      <c r="G206" s="14"/>
      <c r="H206" s="14"/>
    </row>
    <row r="207" spans="1:8" x14ac:dyDescent="0.25">
      <c r="A207" s="3"/>
      <c r="B207" s="3"/>
      <c r="C207" s="3"/>
      <c r="D207" s="3"/>
      <c r="G207" s="14"/>
      <c r="H207" s="14"/>
    </row>
    <row r="208" spans="1:8" x14ac:dyDescent="0.25">
      <c r="A208" s="3"/>
      <c r="B208" s="3"/>
      <c r="C208" s="3"/>
      <c r="D208" s="3"/>
      <c r="G208" s="14"/>
      <c r="H208" s="14"/>
    </row>
    <row r="209" spans="1:8" x14ac:dyDescent="0.25">
      <c r="A209" s="3"/>
      <c r="B209" s="3"/>
      <c r="C209" s="3"/>
      <c r="D209" s="3"/>
      <c r="G209" s="14"/>
      <c r="H209" s="14"/>
    </row>
    <row r="210" spans="1:8" x14ac:dyDescent="0.25">
      <c r="A210" s="3"/>
      <c r="B210" s="3"/>
      <c r="C210" s="3"/>
      <c r="D210" s="3"/>
      <c r="G210" s="14"/>
      <c r="H210" s="14"/>
    </row>
    <row r="211" spans="1:8" x14ac:dyDescent="0.25">
      <c r="A211" s="3"/>
      <c r="B211" s="3"/>
      <c r="C211" s="3"/>
      <c r="D211" s="3"/>
      <c r="G211" s="14"/>
      <c r="H211" s="14"/>
    </row>
    <row r="212" spans="1:8" x14ac:dyDescent="0.25">
      <c r="A212" s="3"/>
      <c r="B212" s="3"/>
      <c r="C212" s="3"/>
      <c r="D212" s="3"/>
      <c r="G212" s="14"/>
      <c r="H212" s="14"/>
    </row>
    <row r="213" spans="1:8" x14ac:dyDescent="0.25">
      <c r="A213" s="3"/>
      <c r="B213" s="3"/>
      <c r="C213" s="3"/>
      <c r="D213" s="3"/>
      <c r="G213" s="14"/>
      <c r="H213" s="14"/>
    </row>
    <row r="214" spans="1:8" x14ac:dyDescent="0.25">
      <c r="A214" s="3"/>
      <c r="B214" s="3"/>
      <c r="C214" s="3"/>
      <c r="D214" s="3"/>
      <c r="G214" s="14"/>
      <c r="H214" s="14"/>
    </row>
    <row r="215" spans="1:8" x14ac:dyDescent="0.25">
      <c r="A215" s="3"/>
      <c r="B215" s="3"/>
      <c r="C215" s="3"/>
      <c r="D215" s="3"/>
      <c r="G215" s="14"/>
      <c r="H215" s="14"/>
    </row>
    <row r="216" spans="1:8" x14ac:dyDescent="0.25">
      <c r="A216" s="3"/>
      <c r="B216" s="3"/>
      <c r="C216" s="3"/>
      <c r="D216" s="3"/>
      <c r="G216" s="14"/>
      <c r="H216" s="14"/>
    </row>
    <row r="217" spans="1:8" x14ac:dyDescent="0.25">
      <c r="A217" s="3"/>
      <c r="B217" s="3"/>
      <c r="C217" s="3"/>
      <c r="D217" s="3"/>
      <c r="G217" s="14"/>
      <c r="H217" s="14"/>
    </row>
    <row r="218" spans="1:8" x14ac:dyDescent="0.25">
      <c r="A218" s="3"/>
      <c r="B218" s="3"/>
      <c r="C218" s="3"/>
      <c r="D218" s="3"/>
      <c r="G218" s="14"/>
      <c r="H218" s="14"/>
    </row>
    <row r="219" spans="1:8" x14ac:dyDescent="0.25">
      <c r="A219" s="3"/>
      <c r="B219" s="3"/>
      <c r="C219" s="3"/>
      <c r="D219" s="3"/>
      <c r="G219" s="14"/>
      <c r="H219" s="14"/>
    </row>
    <row r="220" spans="1:8" x14ac:dyDescent="0.25">
      <c r="A220" s="3"/>
      <c r="B220" s="3"/>
      <c r="C220" s="3"/>
      <c r="D220" s="3"/>
      <c r="G220" s="14"/>
      <c r="H220" s="14"/>
    </row>
    <row r="221" spans="1:8" x14ac:dyDescent="0.25">
      <c r="A221" s="3"/>
      <c r="B221" s="3"/>
      <c r="C221" s="3"/>
      <c r="D221" s="3"/>
      <c r="G221" s="14"/>
      <c r="H221" s="14"/>
    </row>
    <row r="222" spans="1:8" x14ac:dyDescent="0.25">
      <c r="A222" s="3"/>
      <c r="B222" s="3"/>
      <c r="C222" s="3"/>
      <c r="D222" s="3"/>
      <c r="G222" s="14"/>
      <c r="H222" s="14"/>
    </row>
    <row r="223" spans="1:8" x14ac:dyDescent="0.25">
      <c r="A223" s="3"/>
      <c r="B223" s="3"/>
      <c r="C223" s="3"/>
      <c r="D223" s="3"/>
      <c r="G223" s="14"/>
      <c r="H223" s="14"/>
    </row>
    <row r="224" spans="1:8" x14ac:dyDescent="0.25">
      <c r="A224" s="3"/>
      <c r="B224" s="3"/>
      <c r="C224" s="3"/>
      <c r="D224" s="3"/>
      <c r="G224" s="14"/>
      <c r="H224" s="14"/>
    </row>
    <row r="225" spans="1:8" x14ac:dyDescent="0.25">
      <c r="A225" s="3"/>
      <c r="B225" s="3"/>
      <c r="C225" s="3"/>
      <c r="D225" s="3"/>
      <c r="G225" s="14"/>
      <c r="H225" s="14"/>
    </row>
    <row r="226" spans="1:8" x14ac:dyDescent="0.25">
      <c r="A226" s="3"/>
      <c r="B226" s="3"/>
      <c r="C226" s="3"/>
      <c r="D226" s="3"/>
      <c r="G226" s="14"/>
      <c r="H226" s="14"/>
    </row>
    <row r="227" spans="1:8" x14ac:dyDescent="0.25">
      <c r="A227" s="3"/>
      <c r="B227" s="3"/>
      <c r="C227" s="3"/>
      <c r="D227" s="3"/>
      <c r="G227" s="14"/>
      <c r="H227" s="14"/>
    </row>
    <row r="228" spans="1:8" x14ac:dyDescent="0.25">
      <c r="A228" s="3"/>
      <c r="B228" s="3"/>
      <c r="C228" s="3"/>
      <c r="D228" s="3"/>
      <c r="G228" s="14"/>
      <c r="H228" s="14"/>
    </row>
    <row r="229" spans="1:8" x14ac:dyDescent="0.25">
      <c r="A229" s="3"/>
      <c r="B229" s="3"/>
      <c r="C229" s="3"/>
      <c r="D229" s="3"/>
      <c r="G229" s="14"/>
      <c r="H229" s="14"/>
    </row>
    <row r="230" spans="1:8" x14ac:dyDescent="0.25">
      <c r="A230" s="3"/>
      <c r="B230" s="3"/>
      <c r="C230" s="3"/>
      <c r="D230" s="3"/>
      <c r="G230" s="14"/>
      <c r="H230" s="14"/>
    </row>
    <row r="231" spans="1:8" x14ac:dyDescent="0.25">
      <c r="A231" s="3"/>
      <c r="B231" s="3"/>
      <c r="C231" s="3"/>
      <c r="D231" s="3"/>
      <c r="G231" s="14"/>
      <c r="H231" s="14"/>
    </row>
    <row r="232" spans="1:8" x14ac:dyDescent="0.25">
      <c r="A232" s="3"/>
      <c r="B232" s="3"/>
      <c r="C232" s="3"/>
      <c r="D232" s="3"/>
      <c r="G232" s="14"/>
      <c r="H232" s="14"/>
    </row>
    <row r="233" spans="1:8" x14ac:dyDescent="0.25">
      <c r="A233" s="3"/>
      <c r="B233" s="3"/>
      <c r="C233" s="3"/>
      <c r="D233" s="3"/>
      <c r="G233" s="14"/>
      <c r="H233" s="14"/>
    </row>
    <row r="234" spans="1:8" x14ac:dyDescent="0.25">
      <c r="A234" s="3"/>
      <c r="B234" s="3"/>
      <c r="C234" s="3"/>
      <c r="D234" s="3"/>
      <c r="G234" s="14"/>
      <c r="H234" s="14"/>
    </row>
    <row r="235" spans="1:8" x14ac:dyDescent="0.25">
      <c r="A235" s="3"/>
      <c r="B235" s="3"/>
      <c r="C235" s="3"/>
      <c r="D235" s="3"/>
      <c r="G235" s="14"/>
      <c r="H235" s="14"/>
    </row>
    <row r="236" spans="1:8" x14ac:dyDescent="0.25">
      <c r="A236" s="3"/>
      <c r="B236" s="3"/>
      <c r="C236" s="3"/>
      <c r="D236" s="3"/>
      <c r="G236" s="14"/>
      <c r="H236" s="14"/>
    </row>
    <row r="237" spans="1:8" x14ac:dyDescent="0.25">
      <c r="A237" s="3"/>
      <c r="B237" s="3"/>
      <c r="C237" s="3"/>
      <c r="D237" s="3"/>
      <c r="G237" s="14"/>
      <c r="H237" s="14"/>
    </row>
    <row r="238" spans="1:8" x14ac:dyDescent="0.25">
      <c r="A238" s="3"/>
      <c r="B238" s="3"/>
      <c r="C238" s="3"/>
      <c r="D238" s="3"/>
      <c r="G238" s="14"/>
      <c r="H238" s="14"/>
    </row>
    <row r="239" spans="1:8" x14ac:dyDescent="0.25">
      <c r="A239" s="3"/>
      <c r="B239" s="3"/>
      <c r="C239" s="3"/>
      <c r="D239" s="3"/>
      <c r="G239" s="14"/>
      <c r="H239" s="14"/>
    </row>
    <row r="240" spans="1:8" x14ac:dyDescent="0.25">
      <c r="A240" s="3"/>
      <c r="B240" s="3"/>
      <c r="C240" s="3"/>
      <c r="D240" s="3"/>
      <c r="G240" s="14"/>
      <c r="H240" s="14"/>
    </row>
    <row r="241" spans="1:8" x14ac:dyDescent="0.25">
      <c r="A241" s="3"/>
      <c r="B241" s="3"/>
      <c r="C241" s="3"/>
      <c r="D241" s="3"/>
      <c r="G241" s="14"/>
      <c r="H241" s="14"/>
    </row>
    <row r="242" spans="1:8" x14ac:dyDescent="0.25">
      <c r="A242" s="3"/>
      <c r="B242" s="3"/>
      <c r="C242" s="3"/>
      <c r="D242" s="3"/>
      <c r="G242" s="14"/>
      <c r="H242" s="14"/>
    </row>
    <row r="243" spans="1:8" x14ac:dyDescent="0.25">
      <c r="A243" s="3"/>
      <c r="B243" s="3"/>
      <c r="C243" s="3"/>
      <c r="D243" s="3"/>
      <c r="G243" s="14"/>
      <c r="H243" s="14"/>
    </row>
    <row r="244" spans="1:8" x14ac:dyDescent="0.25">
      <c r="A244" s="3"/>
      <c r="B244" s="3"/>
      <c r="C244" s="3"/>
      <c r="D244" s="3"/>
      <c r="G244" s="14"/>
      <c r="H244" s="14"/>
    </row>
    <row r="245" spans="1:8" x14ac:dyDescent="0.25">
      <c r="A245" s="3"/>
      <c r="B245" s="3"/>
      <c r="C245" s="3"/>
      <c r="D245" s="3"/>
      <c r="G245" s="14"/>
      <c r="H245" s="14"/>
    </row>
    <row r="247" spans="1:8" x14ac:dyDescent="0.25">
      <c r="A247" s="3"/>
      <c r="G247" s="14"/>
      <c r="H247" s="14"/>
    </row>
  </sheetData>
  <phoneticPr fontId="1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95ADD4-2C53-4250-947F-41B6812D9D2F}">
  <sheetPr/>
  <dimension ref="A1:I247"/>
  <sheetViews>
    <sheetView zoomScale="115" zoomScaleNormal="115" workbookViewId="0">
      <selection activeCell="A5" sqref="A5:H101"/>
    </sheetView>
  </sheetViews>
  <sheetFormatPr defaultRowHeight="15" x14ac:dyDescent="0.25"/>
  <cols>
    <col min="1" max="1" width="8.875" style="4" customWidth="1"/>
    <col min="2" max="3" width="15.125" style="4" customWidth="1"/>
    <col min="4" max="4" width="10.25" style="4" customWidth="1"/>
    <col min="5" max="5" width="12" style="13" customWidth="1"/>
    <col min="6" max="6" width="15" style="13" customWidth="1"/>
    <col min="7" max="7" width="13.875" customWidth="1"/>
    <col min="8" max="8" width="11.125" customWidth="1"/>
    <col min="11" max="12" width="15.125" customWidth="1"/>
    <col min="13" max="13" width="11.125" customWidth="1"/>
  </cols>
  <sheetData>
    <row r="1" spans="1:9" ht="14.25" x14ac:dyDescent="0.2">
      <c r="A1" s="2" t="s">
        <v>12</v>
      </c>
      <c r="B1" s="2" t="s">
        <v>4</v>
      </c>
      <c r="C1" s="2" t="s">
        <v>5</v>
      </c>
      <c r="D1" s="2" t="s">
        <v>13</v>
      </c>
      <c r="E1" s="2" t="s">
        <v>14</v>
      </c>
      <c r="F1" s="2" t="s">
        <v>15</v>
      </c>
      <c r="G1" s="2" t="s">
        <v>16</v>
      </c>
    </row>
    <row r="2" spans="1:9" x14ac:dyDescent="0.25">
      <c r="A2" s="11">
        <v>7</v>
      </c>
      <c r="B2" s="3">
        <v>113.34259299999999</v>
      </c>
      <c r="C2" s="8">
        <v>22.99638363</v>
      </c>
      <c r="D2" s="3">
        <v>1785</v>
      </c>
      <c r="E2" s="13">
        <v>1785</v>
      </c>
      <c r="F2" s="13">
        <v>27</v>
      </c>
      <c r="G2" s="19">
        <f>SUBTOTAL(2,A5:A250)</f>
        <v>33</v>
      </c>
    </row>
    <row r="3" spans="1:9" x14ac:dyDescent="0.25">
      <c r="A3" s="3"/>
      <c r="B3" s="3"/>
      <c r="C3" s="3"/>
      <c r="D3" s="3"/>
    </row>
    <row r="4" spans="1:9" ht="14.25" x14ac:dyDescent="0.2">
      <c r="A4" s="2" t="s">
        <v>0</v>
      </c>
      <c r="B4" s="2" t="s">
        <v>1</v>
      </c>
      <c r="C4" s="2" t="s">
        <v>2</v>
      </c>
      <c r="D4" s="2" t="s">
        <v>3</v>
      </c>
      <c r="E4" s="2" t="s">
        <v>7</v>
      </c>
      <c r="F4" s="2" t="s">
        <v>8</v>
      </c>
      <c r="G4" s="2" t="s">
        <v>13</v>
      </c>
      <c r="H4" s="2" t="s">
        <v>14</v>
      </c>
      <c r="I4" s="24" t="s">
        <v>20</v>
      </c>
    </row>
    <row r="5" spans="1:9" x14ac:dyDescent="0.25">
      <c r="A5" s="3">
        <v>1687</v>
      </c>
      <c r="B5" s="3">
        <v>113.3424725</v>
      </c>
      <c r="C5" s="3">
        <v>22.997327760000001</v>
      </c>
      <c r="D5" s="3">
        <v>7</v>
      </c>
      <c r="E5" s="13">
        <f t="shared" ref="E5:E36" si="0">SQRT((B5-$B$2)^2+(C5-$C$2)^2)</f>
        <v>9.5178868815495507E-4</v>
      </c>
      <c r="F5" s="13">
        <f t="shared" ref="F5:F36" si="1">SQRT(1/E5)</f>
        <v>32.413783759844641</v>
      </c>
      <c r="G5" s="14">
        <f>F5/$F$103*$D$2</f>
        <v>117.12540994158776</v>
      </c>
      <c r="H5" s="14">
        <f>F5/$F$103*$E$2</f>
        <v>117.12540994158776</v>
      </c>
      <c r="I5" s="25" t="str">
        <f>IF(MOD(ROW()-1,3)=1,"选中","")</f>
        <v>选中</v>
      </c>
    </row>
    <row r="6" spans="1:9" hidden="1" x14ac:dyDescent="0.25">
      <c r="A6" s="3">
        <v>1695</v>
      </c>
      <c r="B6" s="3">
        <v>113.34320510000001</v>
      </c>
      <c r="C6" s="3">
        <v>22.997735299999999</v>
      </c>
      <c r="D6" s="3">
        <v>7</v>
      </c>
      <c r="E6" s="13">
        <f t="shared" si="0"/>
        <v>1.483805310312E-3</v>
      </c>
      <c r="F6" s="13">
        <f t="shared" si="1"/>
        <v>25.960409544086033</v>
      </c>
      <c r="G6" s="14" t="e">
        <f>F6/$F$124*$D$2</f>
        <v>#DIV/0!</v>
      </c>
      <c r="H6" s="14" t="e">
        <f>F6/$F$124*$E$2</f>
        <v>#DIV/0!</v>
      </c>
      <c r="I6" s="25" t="str">
        <f t="shared" ref="I6:I69" si="2">IF(MOD(ROW()-1,3)=1,"选中","")</f>
        <v/>
      </c>
    </row>
    <row r="7" spans="1:9" hidden="1" x14ac:dyDescent="0.25">
      <c r="A7" s="3">
        <v>1675</v>
      </c>
      <c r="B7" s="3">
        <v>113.3408756</v>
      </c>
      <c r="C7" s="3">
        <v>22.996961750000001</v>
      </c>
      <c r="D7" s="3">
        <v>7</v>
      </c>
      <c r="E7" s="13">
        <f t="shared" si="0"/>
        <v>1.8120942288868409E-3</v>
      </c>
      <c r="F7" s="13">
        <f t="shared" si="1"/>
        <v>23.491438485609667</v>
      </c>
      <c r="G7" s="14" t="e">
        <f>F7/$F$124*$D$2</f>
        <v>#DIV/0!</v>
      </c>
      <c r="H7" s="14" t="e">
        <f>F7/$F$124*$E$2</f>
        <v>#DIV/0!</v>
      </c>
      <c r="I7" s="25" t="str">
        <f t="shared" si="2"/>
        <v/>
      </c>
    </row>
    <row r="8" spans="1:9" x14ac:dyDescent="0.25">
      <c r="A8" s="3">
        <v>1697</v>
      </c>
      <c r="B8" s="3">
        <v>113.3422419</v>
      </c>
      <c r="C8" s="3">
        <v>22.9981738</v>
      </c>
      <c r="D8" s="3">
        <v>7</v>
      </c>
      <c r="E8" s="13">
        <f t="shared" si="0"/>
        <v>1.8242751543807133E-3</v>
      </c>
      <c r="F8" s="13">
        <f t="shared" si="1"/>
        <v>23.412879414158329</v>
      </c>
      <c r="G8" s="14">
        <f>F8/$F$103*$D$2</f>
        <v>84.601141280316824</v>
      </c>
      <c r="H8" s="14">
        <f>F8/$F$103*$E$2</f>
        <v>84.601141280316824</v>
      </c>
      <c r="I8" s="25" t="str">
        <f t="shared" si="2"/>
        <v>选中</v>
      </c>
    </row>
    <row r="9" spans="1:9" hidden="1" x14ac:dyDescent="0.25">
      <c r="A9" s="3">
        <v>1717</v>
      </c>
      <c r="B9" s="3">
        <v>113.3436882</v>
      </c>
      <c r="C9" s="3">
        <v>22.997856410000001</v>
      </c>
      <c r="D9" s="3">
        <v>7</v>
      </c>
      <c r="E9" s="13">
        <f t="shared" si="0"/>
        <v>1.8353593567528434E-3</v>
      </c>
      <c r="F9" s="13">
        <f t="shared" si="1"/>
        <v>23.342074180126783</v>
      </c>
      <c r="G9" s="14" t="e">
        <f>F9/$F$124*$D$2</f>
        <v>#DIV/0!</v>
      </c>
      <c r="H9" s="14" t="e">
        <f>F9/$F$124*$E$2</f>
        <v>#DIV/0!</v>
      </c>
      <c r="I9" s="25" t="str">
        <f t="shared" si="2"/>
        <v/>
      </c>
    </row>
    <row r="10" spans="1:9" hidden="1" x14ac:dyDescent="0.25">
      <c r="A10" s="3">
        <v>1693</v>
      </c>
      <c r="B10" s="3">
        <v>113.34251740000001</v>
      </c>
      <c r="C10" s="3">
        <v>22.998452199999999</v>
      </c>
      <c r="D10" s="3">
        <v>7</v>
      </c>
      <c r="E10" s="13">
        <f t="shared" si="0"/>
        <v>2.0699510150950185E-3</v>
      </c>
      <c r="F10" s="13">
        <f t="shared" si="1"/>
        <v>21.979609179723553</v>
      </c>
      <c r="G10" s="14" t="e">
        <f>F10/$F$124*$D$2</f>
        <v>#DIV/0!</v>
      </c>
      <c r="H10" s="14" t="e">
        <f>F10/$F$124*$E$2</f>
        <v>#DIV/0!</v>
      </c>
      <c r="I10" s="25" t="str">
        <f t="shared" si="2"/>
        <v/>
      </c>
    </row>
    <row r="11" spans="1:9" x14ac:dyDescent="0.25">
      <c r="A11" s="3">
        <v>1688</v>
      </c>
      <c r="B11" s="3">
        <v>113.3419574</v>
      </c>
      <c r="C11" s="3">
        <v>22.998355220000001</v>
      </c>
      <c r="D11" s="3">
        <v>7</v>
      </c>
      <c r="E11" s="13">
        <f t="shared" si="0"/>
        <v>2.0715101950255252E-3</v>
      </c>
      <c r="F11" s="13">
        <f t="shared" si="1"/>
        <v>21.971335839668864</v>
      </c>
      <c r="G11" s="14">
        <f>F11/$F$103*$D$2</f>
        <v>79.392203522179898</v>
      </c>
      <c r="H11" s="14">
        <f>F11/$F$103*$E$2</f>
        <v>79.392203522179898</v>
      </c>
      <c r="I11" s="25" t="str">
        <f t="shared" si="2"/>
        <v>选中</v>
      </c>
    </row>
    <row r="12" spans="1:9" hidden="1" x14ac:dyDescent="0.25">
      <c r="A12" s="3">
        <v>1684</v>
      </c>
      <c r="B12" s="3">
        <v>113.3435475</v>
      </c>
      <c r="C12" s="3">
        <v>22.99857634</v>
      </c>
      <c r="D12" s="3">
        <v>7</v>
      </c>
      <c r="E12" s="13">
        <f t="shared" si="0"/>
        <v>2.3914529880614253E-3</v>
      </c>
      <c r="F12" s="13">
        <f t="shared" si="1"/>
        <v>20.448858799031715</v>
      </c>
      <c r="G12" s="14" t="e">
        <f>F12/$F$124*$D$2</f>
        <v>#DIV/0!</v>
      </c>
      <c r="H12" s="14" t="e">
        <f>F12/$F$124*$E$2</f>
        <v>#DIV/0!</v>
      </c>
      <c r="I12" s="25" t="str">
        <f t="shared" si="2"/>
        <v/>
      </c>
    </row>
    <row r="13" spans="1:9" hidden="1" x14ac:dyDescent="0.25">
      <c r="A13" s="3">
        <v>1694</v>
      </c>
      <c r="B13" s="3">
        <v>113.34250040000001</v>
      </c>
      <c r="C13" s="3">
        <v>22.99883006</v>
      </c>
      <c r="D13" s="3">
        <v>7</v>
      </c>
      <c r="E13" s="13">
        <f t="shared" si="0"/>
        <v>2.4481818774129936E-3</v>
      </c>
      <c r="F13" s="13">
        <f t="shared" si="1"/>
        <v>20.210551315422446</v>
      </c>
      <c r="G13" s="14" t="e">
        <f>F13/$F$124*$D$2</f>
        <v>#DIV/0!</v>
      </c>
      <c r="H13" s="14" t="e">
        <f>F13/$F$124*$E$2</f>
        <v>#DIV/0!</v>
      </c>
      <c r="I13" s="25" t="str">
        <f t="shared" si="2"/>
        <v/>
      </c>
    </row>
    <row r="14" spans="1:9" x14ac:dyDescent="0.25">
      <c r="A14" s="3">
        <v>1720</v>
      </c>
      <c r="B14" s="3">
        <v>113.34250040000001</v>
      </c>
      <c r="C14" s="3">
        <v>22.99883006</v>
      </c>
      <c r="D14" s="3">
        <v>7</v>
      </c>
      <c r="E14" s="13">
        <f t="shared" si="0"/>
        <v>2.4481818774129936E-3</v>
      </c>
      <c r="F14" s="13">
        <f t="shared" si="1"/>
        <v>20.210551315422446</v>
      </c>
      <c r="G14" s="14">
        <f>F14/$F$103*$D$2</f>
        <v>73.029706297259992</v>
      </c>
      <c r="H14" s="14">
        <f>F14/$F$103*$E$2</f>
        <v>73.029706297259992</v>
      </c>
      <c r="I14" s="25" t="str">
        <f t="shared" si="2"/>
        <v>选中</v>
      </c>
    </row>
    <row r="15" spans="1:9" hidden="1" x14ac:dyDescent="0.25">
      <c r="A15" s="3">
        <v>1678</v>
      </c>
      <c r="B15" s="3">
        <v>113.34093660000001</v>
      </c>
      <c r="C15" s="3">
        <v>22.99437176</v>
      </c>
      <c r="D15" s="3">
        <v>7</v>
      </c>
      <c r="E15" s="13">
        <f t="shared" si="0"/>
        <v>2.6060087983083135E-3</v>
      </c>
      <c r="F15" s="13">
        <f t="shared" si="1"/>
        <v>19.588990751144866</v>
      </c>
      <c r="G15" s="14" t="e">
        <f>F15/$F$124*$D$2</f>
        <v>#DIV/0!</v>
      </c>
      <c r="H15" s="14" t="e">
        <f>F15/$F$124*$E$2</f>
        <v>#DIV/0!</v>
      </c>
      <c r="I15" s="25" t="str">
        <f t="shared" si="2"/>
        <v/>
      </c>
    </row>
    <row r="16" spans="1:9" hidden="1" x14ac:dyDescent="0.25">
      <c r="A16" s="3">
        <v>1714</v>
      </c>
      <c r="B16" s="3">
        <v>113.34329289999999</v>
      </c>
      <c r="C16" s="3">
        <v>22.99896562</v>
      </c>
      <c r="D16" s="3">
        <v>7</v>
      </c>
      <c r="E16" s="13">
        <f t="shared" si="0"/>
        <v>2.6751695965112868E-3</v>
      </c>
      <c r="F16" s="13">
        <f t="shared" si="1"/>
        <v>19.334116893660369</v>
      </c>
      <c r="G16" s="14" t="e">
        <f>F16/$F$124*$D$2</f>
        <v>#DIV/0!</v>
      </c>
      <c r="H16" s="14" t="e">
        <f>F16/$F$124*$E$2</f>
        <v>#DIV/0!</v>
      </c>
      <c r="I16" s="25" t="str">
        <f t="shared" si="2"/>
        <v/>
      </c>
    </row>
    <row r="17" spans="1:9" x14ac:dyDescent="0.25">
      <c r="A17" s="3">
        <v>1676</v>
      </c>
      <c r="B17" s="3">
        <v>113.3407101</v>
      </c>
      <c r="C17" s="3">
        <v>22.99433818</v>
      </c>
      <c r="D17" s="3">
        <v>7</v>
      </c>
      <c r="E17" s="13">
        <f t="shared" si="0"/>
        <v>2.7801399447682719E-3</v>
      </c>
      <c r="F17" s="13">
        <f t="shared" si="1"/>
        <v>18.965603688507301</v>
      </c>
      <c r="G17" s="14">
        <f>F17/$F$103*$D$2</f>
        <v>68.531157092434228</v>
      </c>
      <c r="H17" s="14">
        <f>F17/$F$103*$E$2</f>
        <v>68.531157092434228</v>
      </c>
      <c r="I17" s="25" t="str">
        <f t="shared" si="2"/>
        <v>选中</v>
      </c>
    </row>
    <row r="18" spans="1:9" hidden="1" x14ac:dyDescent="0.25">
      <c r="A18" s="3">
        <v>1691</v>
      </c>
      <c r="B18" s="3">
        <v>113.3432799</v>
      </c>
      <c r="C18" s="3">
        <v>22.99908958</v>
      </c>
      <c r="D18" s="3">
        <v>7</v>
      </c>
      <c r="E18" s="13">
        <f t="shared" si="0"/>
        <v>2.7917730947380447E-3</v>
      </c>
      <c r="F18" s="13">
        <f t="shared" si="1"/>
        <v>18.926048176245999</v>
      </c>
      <c r="G18" s="14" t="e">
        <f>F18/$F$124*$D$2</f>
        <v>#DIV/0!</v>
      </c>
      <c r="H18" s="14" t="e">
        <f>F18/$F$124*$E$2</f>
        <v>#DIV/0!</v>
      </c>
      <c r="I18" s="25" t="str">
        <f t="shared" si="2"/>
        <v/>
      </c>
    </row>
    <row r="19" spans="1:9" hidden="1" x14ac:dyDescent="0.25">
      <c r="A19" s="3">
        <v>1690</v>
      </c>
      <c r="B19" s="3">
        <v>113.3428976</v>
      </c>
      <c r="C19" s="3">
        <v>22.999166219999999</v>
      </c>
      <c r="D19" s="3">
        <v>7</v>
      </c>
      <c r="E19" s="13">
        <f t="shared" si="0"/>
        <v>2.799212079871436E-3</v>
      </c>
      <c r="F19" s="13">
        <f t="shared" si="1"/>
        <v>18.900883192272399</v>
      </c>
      <c r="G19" s="14" t="e">
        <f>F19/$F$124*$D$2</f>
        <v>#DIV/0!</v>
      </c>
      <c r="H19" s="14" t="e">
        <f>F19/$F$124*$E$2</f>
        <v>#DIV/0!</v>
      </c>
      <c r="I19" s="25" t="str">
        <f t="shared" si="2"/>
        <v/>
      </c>
    </row>
    <row r="20" spans="1:9" x14ac:dyDescent="0.25">
      <c r="A20" s="3">
        <v>1673</v>
      </c>
      <c r="B20" s="3">
        <v>113.3399005</v>
      </c>
      <c r="C20" s="3">
        <v>22.99511429</v>
      </c>
      <c r="D20" s="3">
        <v>7</v>
      </c>
      <c r="E20" s="13">
        <f t="shared" si="0"/>
        <v>2.9767062813743131E-3</v>
      </c>
      <c r="F20" s="13">
        <f t="shared" si="1"/>
        <v>18.328714568907866</v>
      </c>
      <c r="G20" s="14">
        <f>F20/$F$103*$D$2</f>
        <v>66.229793580753352</v>
      </c>
      <c r="H20" s="14">
        <f>F20/$F$103*$E$2</f>
        <v>66.229793580753352</v>
      </c>
      <c r="I20" s="25" t="str">
        <f t="shared" si="2"/>
        <v>选中</v>
      </c>
    </row>
    <row r="21" spans="1:9" hidden="1" x14ac:dyDescent="0.25">
      <c r="A21" s="3">
        <v>1716</v>
      </c>
      <c r="B21" s="3">
        <v>113.34551399999999</v>
      </c>
      <c r="C21" s="3">
        <v>22.997150560000001</v>
      </c>
      <c r="D21" s="3">
        <v>7</v>
      </c>
      <c r="E21" s="13">
        <f t="shared" si="0"/>
        <v>3.0200037458429129E-3</v>
      </c>
      <c r="F21" s="13">
        <f t="shared" si="1"/>
        <v>18.19685184598432</v>
      </c>
      <c r="G21" s="14" t="e">
        <f>F21/$F$124*$D$2</f>
        <v>#DIV/0!</v>
      </c>
      <c r="H21" s="14" t="e">
        <f>F21/$F$124*$E$2</f>
        <v>#DIV/0!</v>
      </c>
      <c r="I21" s="25" t="str">
        <f t="shared" si="2"/>
        <v/>
      </c>
    </row>
    <row r="22" spans="1:9" hidden="1" x14ac:dyDescent="0.25">
      <c r="A22" s="3">
        <v>1681</v>
      </c>
      <c r="B22" s="3">
        <v>113.3453951</v>
      </c>
      <c r="C22" s="3">
        <v>22.997605570000001</v>
      </c>
      <c r="D22" s="3">
        <v>7</v>
      </c>
      <c r="E22" s="13">
        <f t="shared" si="0"/>
        <v>3.0569432074643963E-3</v>
      </c>
      <c r="F22" s="13">
        <f t="shared" si="1"/>
        <v>18.086574216783383</v>
      </c>
      <c r="G22" s="14" t="e">
        <f>F22/$F$124*$D$2</f>
        <v>#DIV/0!</v>
      </c>
      <c r="H22" s="14" t="e">
        <f>F22/$F$124*$E$2</f>
        <v>#DIV/0!</v>
      </c>
      <c r="I22" s="25" t="str">
        <f t="shared" si="2"/>
        <v/>
      </c>
    </row>
    <row r="23" spans="1:9" x14ac:dyDescent="0.25">
      <c r="A23" s="3">
        <v>1692</v>
      </c>
      <c r="B23" s="3">
        <v>113.3429435</v>
      </c>
      <c r="C23" s="3">
        <v>22.999680919999999</v>
      </c>
      <c r="D23" s="3">
        <v>7</v>
      </c>
      <c r="E23" s="13">
        <f t="shared" si="0"/>
        <v>3.3158666429910482E-3</v>
      </c>
      <c r="F23" s="13">
        <f t="shared" si="1"/>
        <v>17.366066993537363</v>
      </c>
      <c r="G23" s="14">
        <f>F23/$F$103*$D$2</f>
        <v>62.751319955769624</v>
      </c>
      <c r="H23" s="14">
        <f>F23/$F$103*$E$2</f>
        <v>62.751319955769624</v>
      </c>
      <c r="I23" s="25" t="str">
        <f t="shared" si="2"/>
        <v>选中</v>
      </c>
    </row>
    <row r="24" spans="1:9" hidden="1" x14ac:dyDescent="0.25">
      <c r="A24" s="3">
        <v>1682</v>
      </c>
      <c r="B24" s="3">
        <v>113.34581540000001</v>
      </c>
      <c r="C24" s="3">
        <v>22.99730598</v>
      </c>
      <c r="D24" s="3">
        <v>7</v>
      </c>
      <c r="E24" s="13">
        <f t="shared" si="0"/>
        <v>3.351804183209624E-3</v>
      </c>
      <c r="F24" s="13">
        <f t="shared" si="1"/>
        <v>17.272717921632385</v>
      </c>
      <c r="G24" s="14" t="e">
        <f>F24/$F$124*$D$2</f>
        <v>#DIV/0!</v>
      </c>
      <c r="H24" s="14" t="e">
        <f>F24/$F$124*$E$2</f>
        <v>#DIV/0!</v>
      </c>
      <c r="I24" s="25" t="str">
        <f t="shared" si="2"/>
        <v/>
      </c>
    </row>
    <row r="25" spans="1:9" hidden="1" x14ac:dyDescent="0.25">
      <c r="A25" s="3">
        <v>1721</v>
      </c>
      <c r="B25" s="3">
        <v>113.34576559999999</v>
      </c>
      <c r="C25" s="3">
        <v>22.995291940000001</v>
      </c>
      <c r="D25" s="3">
        <v>7</v>
      </c>
      <c r="E25" s="13">
        <f t="shared" si="0"/>
        <v>3.355171801278273E-3</v>
      </c>
      <c r="F25" s="13">
        <f t="shared" si="1"/>
        <v>17.264047349204635</v>
      </c>
      <c r="G25" s="14" t="e">
        <f>F25/$F$124*$D$2</f>
        <v>#DIV/0!</v>
      </c>
      <c r="H25" s="14" t="e">
        <f>F25/$F$124*$E$2</f>
        <v>#DIV/0!</v>
      </c>
      <c r="I25" s="25" t="str">
        <f t="shared" si="2"/>
        <v/>
      </c>
    </row>
    <row r="26" spans="1:9" x14ac:dyDescent="0.25">
      <c r="A26" s="3">
        <v>1890</v>
      </c>
      <c r="B26" s="3">
        <v>113.34449309999999</v>
      </c>
      <c r="C26" s="3">
        <v>22.993531879999999</v>
      </c>
      <c r="D26" s="3">
        <v>7</v>
      </c>
      <c r="E26" s="13">
        <f t="shared" si="0"/>
        <v>3.4267853846584777E-3</v>
      </c>
      <c r="F26" s="13">
        <f t="shared" si="1"/>
        <v>17.082701297517513</v>
      </c>
      <c r="G26" s="14">
        <f>F26/$F$103*$D$2</f>
        <v>61.727393728717274</v>
      </c>
      <c r="H26" s="14">
        <f>F26/$F$103*$E$2</f>
        <v>61.727393728717274</v>
      </c>
      <c r="I26" s="25" t="str">
        <f t="shared" si="2"/>
        <v>选中</v>
      </c>
    </row>
    <row r="27" spans="1:9" hidden="1" x14ac:dyDescent="0.25">
      <c r="A27" s="3">
        <v>1892</v>
      </c>
      <c r="B27" s="3">
        <v>113.34449309999999</v>
      </c>
      <c r="C27" s="3">
        <v>22.993531879999999</v>
      </c>
      <c r="D27" s="3">
        <v>7</v>
      </c>
      <c r="E27" s="13">
        <f t="shared" si="0"/>
        <v>3.4267853846584777E-3</v>
      </c>
      <c r="F27" s="13">
        <f t="shared" si="1"/>
        <v>17.082701297517513</v>
      </c>
      <c r="G27" s="14" t="e">
        <f>F27/$F$124*$D$2</f>
        <v>#DIV/0!</v>
      </c>
      <c r="H27" s="14" t="e">
        <f>F27/$F$124*$E$2</f>
        <v>#DIV/0!</v>
      </c>
      <c r="I27" s="25" t="str">
        <f t="shared" si="2"/>
        <v/>
      </c>
    </row>
    <row r="28" spans="1:9" hidden="1" x14ac:dyDescent="0.25">
      <c r="A28" s="3">
        <v>1703</v>
      </c>
      <c r="B28" s="3">
        <v>113.3452886</v>
      </c>
      <c r="C28" s="3">
        <v>22.994266199999998</v>
      </c>
      <c r="D28" s="3">
        <v>7</v>
      </c>
      <c r="E28" s="13">
        <f t="shared" si="0"/>
        <v>3.4277936292841696E-3</v>
      </c>
      <c r="F28" s="13">
        <f t="shared" si="1"/>
        <v>17.080188776294015</v>
      </c>
      <c r="G28" s="14" t="e">
        <f>F28/$F$124*$D$2</f>
        <v>#DIV/0!</v>
      </c>
      <c r="H28" s="14" t="e">
        <f>F28/$F$124*$E$2</f>
        <v>#DIV/0!</v>
      </c>
      <c r="I28" s="25" t="str">
        <f t="shared" si="2"/>
        <v/>
      </c>
    </row>
    <row r="29" spans="1:9" x14ac:dyDescent="0.25">
      <c r="A29" s="3">
        <v>1702</v>
      </c>
      <c r="B29" s="3">
        <v>113.34269690000001</v>
      </c>
      <c r="C29" s="3">
        <v>23.000060189999999</v>
      </c>
      <c r="D29" s="3">
        <v>7</v>
      </c>
      <c r="E29" s="13">
        <f t="shared" si="0"/>
        <v>3.678027819850493E-3</v>
      </c>
      <c r="F29" s="13">
        <f t="shared" si="1"/>
        <v>16.488930788706977</v>
      </c>
      <c r="G29" s="14">
        <f>F29/$F$103*$D$2</f>
        <v>59.581836925755731</v>
      </c>
      <c r="H29" s="14">
        <f>F29/$F$103*$E$2</f>
        <v>59.581836925755731</v>
      </c>
      <c r="I29" s="25" t="str">
        <f t="shared" si="2"/>
        <v>选中</v>
      </c>
    </row>
    <row r="30" spans="1:9" hidden="1" x14ac:dyDescent="0.25">
      <c r="A30" s="3">
        <v>1889</v>
      </c>
      <c r="B30" s="3">
        <v>113.34384230000001</v>
      </c>
      <c r="C30" s="3">
        <v>22.992826310000002</v>
      </c>
      <c r="D30" s="3">
        <v>7</v>
      </c>
      <c r="E30" s="13">
        <f t="shared" si="0"/>
        <v>3.770315115798826E-3</v>
      </c>
      <c r="F30" s="13">
        <f t="shared" si="1"/>
        <v>16.285877935526347</v>
      </c>
      <c r="G30" s="14" t="e">
        <f>F30/$F$124*$D$2</f>
        <v>#DIV/0!</v>
      </c>
      <c r="H30" s="14" t="e">
        <f>F30/$F$124*$E$2</f>
        <v>#DIV/0!</v>
      </c>
      <c r="I30" s="25" t="str">
        <f t="shared" si="2"/>
        <v/>
      </c>
    </row>
    <row r="31" spans="1:9" hidden="1" x14ac:dyDescent="0.25">
      <c r="A31" s="3">
        <v>1888</v>
      </c>
      <c r="B31" s="3">
        <v>113.3439601</v>
      </c>
      <c r="C31" s="3">
        <v>22.992797119999999</v>
      </c>
      <c r="D31" s="3">
        <v>7</v>
      </c>
      <c r="E31" s="13">
        <f t="shared" si="0"/>
        <v>3.83823089328139E-3</v>
      </c>
      <c r="F31" s="13">
        <f t="shared" si="1"/>
        <v>16.141149190596238</v>
      </c>
      <c r="G31" s="14" t="e">
        <f>F31/$F$124*$D$2</f>
        <v>#DIV/0!</v>
      </c>
      <c r="H31" s="14" t="e">
        <f>F31/$F$124*$E$2</f>
        <v>#DIV/0!</v>
      </c>
      <c r="I31" s="25" t="str">
        <f t="shared" si="2"/>
        <v/>
      </c>
    </row>
    <row r="32" spans="1:9" x14ac:dyDescent="0.25">
      <c r="A32" s="3">
        <v>1874</v>
      </c>
      <c r="B32" s="3">
        <v>113.3447017</v>
      </c>
      <c r="C32" s="3">
        <v>22.99308971</v>
      </c>
      <c r="D32" s="3">
        <v>7</v>
      </c>
      <c r="E32" s="13">
        <f t="shared" si="0"/>
        <v>3.9110771734189908E-3</v>
      </c>
      <c r="F32" s="13">
        <f t="shared" si="1"/>
        <v>15.99012310197573</v>
      </c>
      <c r="G32" s="14">
        <f>F32/$F$103*$D$2</f>
        <v>57.779423013721527</v>
      </c>
      <c r="H32" s="14">
        <f>F32/$F$103*$E$2</f>
        <v>57.779423013721527</v>
      </c>
      <c r="I32" s="25" t="str">
        <f t="shared" si="2"/>
        <v>选中</v>
      </c>
    </row>
    <row r="33" spans="1:9" hidden="1" x14ac:dyDescent="0.25">
      <c r="A33" s="3">
        <v>1885</v>
      </c>
      <c r="B33" s="3">
        <v>113.3424289</v>
      </c>
      <c r="C33" s="3">
        <v>22.992460940000001</v>
      </c>
      <c r="D33" s="3">
        <v>7</v>
      </c>
      <c r="E33" s="13">
        <f t="shared" si="0"/>
        <v>3.9261209413483404E-3</v>
      </c>
      <c r="F33" s="13">
        <f t="shared" si="1"/>
        <v>15.959458919886435</v>
      </c>
      <c r="G33" s="14" t="e">
        <f>F33/$F$124*$D$2</f>
        <v>#DIV/0!</v>
      </c>
      <c r="H33" s="14" t="e">
        <f>F33/$F$124*$E$2</f>
        <v>#DIV/0!</v>
      </c>
      <c r="I33" s="25" t="str">
        <f t="shared" si="2"/>
        <v/>
      </c>
    </row>
    <row r="34" spans="1:9" hidden="1" x14ac:dyDescent="0.25">
      <c r="A34" s="3">
        <v>1696</v>
      </c>
      <c r="B34" s="3">
        <v>113.3435573</v>
      </c>
      <c r="C34" s="3">
        <v>23.00018962</v>
      </c>
      <c r="D34" s="3">
        <v>7</v>
      </c>
      <c r="E34" s="13">
        <f t="shared" si="0"/>
        <v>3.9262494024340068E-3</v>
      </c>
      <c r="F34" s="13">
        <f t="shared" si="1"/>
        <v>15.959197832780236</v>
      </c>
      <c r="G34" s="14" t="e">
        <f>F34/$F$124*$D$2</f>
        <v>#DIV/0!</v>
      </c>
      <c r="H34" s="14" t="e">
        <f>F34/$F$124*$E$2</f>
        <v>#DIV/0!</v>
      </c>
      <c r="I34" s="25" t="str">
        <f t="shared" si="2"/>
        <v/>
      </c>
    </row>
    <row r="35" spans="1:9" x14ac:dyDescent="0.25">
      <c r="A35" s="3">
        <v>1876</v>
      </c>
      <c r="B35" s="3">
        <v>113.3433981</v>
      </c>
      <c r="C35" s="3">
        <v>22.992512219999998</v>
      </c>
      <c r="D35" s="3">
        <v>7</v>
      </c>
      <c r="E35" s="13">
        <f t="shared" si="0"/>
        <v>3.9542384093690357E-3</v>
      </c>
      <c r="F35" s="13">
        <f t="shared" si="1"/>
        <v>15.902616097948732</v>
      </c>
      <c r="G35" s="14">
        <f>F35/$F$103*$D$2</f>
        <v>57.463221307825052</v>
      </c>
      <c r="H35" s="14">
        <f>F35/$F$103*$E$2</f>
        <v>57.463221307825052</v>
      </c>
      <c r="I35" s="25" t="str">
        <f t="shared" si="2"/>
        <v>选中</v>
      </c>
    </row>
    <row r="36" spans="1:9" hidden="1" x14ac:dyDescent="0.25">
      <c r="A36" s="3">
        <v>1866</v>
      </c>
      <c r="B36" s="3">
        <v>113.3449183</v>
      </c>
      <c r="C36" s="3">
        <v>22.9931813</v>
      </c>
      <c r="D36" s="3">
        <v>7</v>
      </c>
      <c r="E36" s="13">
        <f t="shared" si="0"/>
        <v>3.9575165847976629E-3</v>
      </c>
      <c r="F36" s="13">
        <f t="shared" si="1"/>
        <v>15.896028334589445</v>
      </c>
      <c r="G36" s="14" t="e">
        <f>F36/$F$124*$D$2</f>
        <v>#DIV/0!</v>
      </c>
      <c r="H36" s="14" t="e">
        <f>F36/$F$124*$E$2</f>
        <v>#DIV/0!</v>
      </c>
      <c r="I36" s="25" t="str">
        <f t="shared" si="2"/>
        <v/>
      </c>
    </row>
    <row r="37" spans="1:9" hidden="1" x14ac:dyDescent="0.25">
      <c r="A37" s="3">
        <v>1886</v>
      </c>
      <c r="B37" s="3">
        <v>113.3424898</v>
      </c>
      <c r="C37" s="3">
        <v>22.99241885</v>
      </c>
      <c r="D37" s="3">
        <v>7</v>
      </c>
      <c r="E37" s="13">
        <f t="shared" ref="E37:E68" si="3">SQRT((B37-$B$2)^2+(C37-$C$2)^2)</f>
        <v>3.9661228786313637E-3</v>
      </c>
      <c r="F37" s="13">
        <f t="shared" ref="F37:F68" si="4">SQRT(1/E37)</f>
        <v>15.878772163892089</v>
      </c>
      <c r="G37" s="14" t="e">
        <f>F37/$F$124*$D$2</f>
        <v>#DIV/0!</v>
      </c>
      <c r="H37" s="14" t="e">
        <f>F37/$F$124*$E$2</f>
        <v>#DIV/0!</v>
      </c>
      <c r="I37" s="25" t="str">
        <f t="shared" si="2"/>
        <v/>
      </c>
    </row>
    <row r="38" spans="1:9" x14ac:dyDescent="0.25">
      <c r="A38" s="3">
        <v>1869</v>
      </c>
      <c r="B38" s="3">
        <v>113.3441897</v>
      </c>
      <c r="C38" s="3">
        <v>22.99239889</v>
      </c>
      <c r="D38" s="3">
        <v>7</v>
      </c>
      <c r="E38" s="13">
        <f t="shared" si="3"/>
        <v>4.2927384916418131E-3</v>
      </c>
      <c r="F38" s="13">
        <f t="shared" si="4"/>
        <v>15.262749755935756</v>
      </c>
      <c r="G38" s="14">
        <f>F38/$F$103*$D$2</f>
        <v>55.151099768070161</v>
      </c>
      <c r="H38" s="14">
        <f>F38/$F$103*$E$2</f>
        <v>55.151099768070161</v>
      </c>
      <c r="I38" s="25" t="str">
        <f t="shared" si="2"/>
        <v>选中</v>
      </c>
    </row>
    <row r="39" spans="1:9" hidden="1" x14ac:dyDescent="0.25">
      <c r="A39" s="3">
        <v>1683</v>
      </c>
      <c r="B39" s="3">
        <v>113.3445555</v>
      </c>
      <c r="C39" s="3">
        <v>23.000274860000001</v>
      </c>
      <c r="D39" s="3">
        <v>7</v>
      </c>
      <c r="E39" s="13">
        <f t="shared" si="3"/>
        <v>4.358104767318475E-3</v>
      </c>
      <c r="F39" s="13">
        <f t="shared" si="4"/>
        <v>15.147855961688865</v>
      </c>
      <c r="G39" s="14" t="e">
        <f>F39/$F$124*$D$2</f>
        <v>#DIV/0!</v>
      </c>
      <c r="H39" s="14" t="e">
        <f>F39/$F$124*$E$2</f>
        <v>#DIV/0!</v>
      </c>
      <c r="I39" s="25" t="str">
        <f t="shared" si="2"/>
        <v/>
      </c>
    </row>
    <row r="40" spans="1:9" hidden="1" x14ac:dyDescent="0.25">
      <c r="A40" s="3">
        <v>1686</v>
      </c>
      <c r="B40" s="3">
        <v>113.34455749999999</v>
      </c>
      <c r="C40" s="3">
        <v>23.000371810000001</v>
      </c>
      <c r="D40" s="3">
        <v>7</v>
      </c>
      <c r="E40" s="13">
        <f t="shared" si="3"/>
        <v>4.4457665213550688E-3</v>
      </c>
      <c r="F40" s="13">
        <f t="shared" si="4"/>
        <v>14.997769492828205</v>
      </c>
      <c r="G40" s="14" t="e">
        <f>F40/$F$124*$D$2</f>
        <v>#DIV/0!</v>
      </c>
      <c r="H40" s="14" t="e">
        <f>F40/$F$124*$E$2</f>
        <v>#DIV/0!</v>
      </c>
      <c r="I40" s="25" t="str">
        <f t="shared" si="2"/>
        <v/>
      </c>
    </row>
    <row r="41" spans="1:9" x14ac:dyDescent="0.25">
      <c r="A41" s="3">
        <v>1872</v>
      </c>
      <c r="B41" s="3">
        <v>113.3430718</v>
      </c>
      <c r="C41" s="3">
        <v>22.991960030000001</v>
      </c>
      <c r="D41" s="3">
        <v>7</v>
      </c>
      <c r="E41" s="13">
        <f t="shared" si="3"/>
        <v>4.4494366384972709E-3</v>
      </c>
      <c r="F41" s="13">
        <f t="shared" si="4"/>
        <v>14.991582762828717</v>
      </c>
      <c r="G41" s="14">
        <f>F41/$F$103*$D$2</f>
        <v>54.171252877450875</v>
      </c>
      <c r="H41" s="14">
        <f>F41/$F$103*$E$2</f>
        <v>54.171252877450875</v>
      </c>
      <c r="I41" s="25" t="str">
        <f t="shared" si="2"/>
        <v>选中</v>
      </c>
    </row>
    <row r="42" spans="1:9" hidden="1" x14ac:dyDescent="0.25">
      <c r="A42" s="3">
        <v>1881</v>
      </c>
      <c r="B42" s="3">
        <v>113.3417632</v>
      </c>
      <c r="C42" s="3">
        <v>22.991920350000001</v>
      </c>
      <c r="D42" s="3">
        <v>7</v>
      </c>
      <c r="E42" s="13">
        <f t="shared" si="3"/>
        <v>4.5397617116299076E-3</v>
      </c>
      <c r="F42" s="13">
        <f t="shared" si="4"/>
        <v>14.841693928727638</v>
      </c>
      <c r="G42" s="14" t="e">
        <f>F42/$F$124*$D$2</f>
        <v>#DIV/0!</v>
      </c>
      <c r="H42" s="14" t="e">
        <f>F42/$F$124*$E$2</f>
        <v>#DIV/0!</v>
      </c>
      <c r="I42" s="25" t="str">
        <f t="shared" si="2"/>
        <v/>
      </c>
    </row>
    <row r="43" spans="1:9" hidden="1" x14ac:dyDescent="0.25">
      <c r="A43" s="3">
        <v>1669</v>
      </c>
      <c r="B43" s="3">
        <v>113.34006189999999</v>
      </c>
      <c r="C43" s="3">
        <v>23.000189809999998</v>
      </c>
      <c r="D43" s="3">
        <v>7</v>
      </c>
      <c r="E43" s="13">
        <f t="shared" si="3"/>
        <v>4.5709379127678584E-3</v>
      </c>
      <c r="F43" s="13">
        <f t="shared" si="4"/>
        <v>14.790993249401973</v>
      </c>
      <c r="G43" s="14" t="e">
        <f>F43/$F$124*$D$2</f>
        <v>#DIV/0!</v>
      </c>
      <c r="H43" s="14" t="e">
        <f>F43/$F$124*$E$2</f>
        <v>#DIV/0!</v>
      </c>
      <c r="I43" s="25" t="str">
        <f t="shared" si="2"/>
        <v/>
      </c>
    </row>
    <row r="44" spans="1:9" x14ac:dyDescent="0.25">
      <c r="A44" s="3">
        <v>1689</v>
      </c>
      <c r="B44" s="3">
        <v>113.3433666</v>
      </c>
      <c r="C44" s="3">
        <v>23.001180529999999</v>
      </c>
      <c r="D44" s="3">
        <v>7</v>
      </c>
      <c r="E44" s="13">
        <f t="shared" si="3"/>
        <v>4.8588791474980849E-3</v>
      </c>
      <c r="F44" s="13">
        <f t="shared" si="4"/>
        <v>14.346037158675792</v>
      </c>
      <c r="G44" s="14">
        <f>F44/$F$103*$D$2</f>
        <v>51.838609638926236</v>
      </c>
      <c r="H44" s="14">
        <f>F44/$F$103*$E$2</f>
        <v>51.838609638926236</v>
      </c>
      <c r="I44" s="25" t="str">
        <f t="shared" si="2"/>
        <v>选中</v>
      </c>
    </row>
    <row r="45" spans="1:9" hidden="1" x14ac:dyDescent="0.25">
      <c r="A45" s="3">
        <v>1685</v>
      </c>
      <c r="B45" s="3">
        <v>113.3441931</v>
      </c>
      <c r="C45" s="3">
        <v>23.001093130000001</v>
      </c>
      <c r="D45" s="3">
        <v>7</v>
      </c>
      <c r="E45" s="13">
        <f t="shared" si="3"/>
        <v>4.973902920244834E-3</v>
      </c>
      <c r="F45" s="13">
        <f t="shared" si="4"/>
        <v>14.179187573262794</v>
      </c>
      <c r="G45" s="14" t="e">
        <f>F45/$F$124*$D$2</f>
        <v>#DIV/0!</v>
      </c>
      <c r="H45" s="14" t="e">
        <f>F45/$F$124*$E$2</f>
        <v>#DIV/0!</v>
      </c>
      <c r="I45" s="25" t="str">
        <f t="shared" si="2"/>
        <v/>
      </c>
    </row>
    <row r="46" spans="1:9" hidden="1" x14ac:dyDescent="0.25">
      <c r="A46" s="3">
        <v>1666</v>
      </c>
      <c r="B46" s="3">
        <v>113.337521</v>
      </c>
      <c r="C46" s="3">
        <v>22.996650939999999</v>
      </c>
      <c r="D46" s="3">
        <v>7</v>
      </c>
      <c r="E46" s="13">
        <f t="shared" si="3"/>
        <v>5.0790391449646146E-3</v>
      </c>
      <c r="F46" s="13">
        <f t="shared" si="4"/>
        <v>14.031665401928269</v>
      </c>
      <c r="G46" s="14" t="e">
        <f>F46/$F$124*$D$2</f>
        <v>#DIV/0!</v>
      </c>
      <c r="H46" s="14" t="e">
        <f>F46/$F$124*$E$2</f>
        <v>#DIV/0!</v>
      </c>
      <c r="I46" s="25" t="str">
        <f t="shared" si="2"/>
        <v/>
      </c>
    </row>
    <row r="47" spans="1:9" x14ac:dyDescent="0.25">
      <c r="A47" s="3">
        <v>1723</v>
      </c>
      <c r="B47" s="3">
        <v>113.343673</v>
      </c>
      <c r="C47" s="3">
        <v>23.001361920000001</v>
      </c>
      <c r="D47" s="3">
        <v>7</v>
      </c>
      <c r="E47" s="13">
        <f t="shared" si="3"/>
        <v>5.094091805622235E-3</v>
      </c>
      <c r="F47" s="13">
        <f t="shared" si="4"/>
        <v>14.010918803015354</v>
      </c>
      <c r="G47" s="14">
        <f>F47/$F$103*$D$2</f>
        <v>50.627678046474976</v>
      </c>
      <c r="H47" s="14">
        <f>F47/$F$103*$E$2</f>
        <v>50.627678046474976</v>
      </c>
      <c r="I47" s="25" t="str">
        <f t="shared" si="2"/>
        <v>选中</v>
      </c>
    </row>
    <row r="48" spans="1:9" hidden="1" x14ac:dyDescent="0.25">
      <c r="A48" s="3">
        <v>1677</v>
      </c>
      <c r="B48" s="3">
        <v>113.3382199</v>
      </c>
      <c r="C48" s="3">
        <v>22.993705940000002</v>
      </c>
      <c r="D48" s="3">
        <v>7</v>
      </c>
      <c r="E48" s="13">
        <f t="shared" si="3"/>
        <v>5.1277702119001643E-3</v>
      </c>
      <c r="F48" s="13">
        <f t="shared" si="4"/>
        <v>13.964832225814783</v>
      </c>
      <c r="G48" s="14" t="e">
        <f>F48/$F$124*$D$2</f>
        <v>#DIV/0!</v>
      </c>
      <c r="H48" s="14" t="e">
        <f>F48/$F$124*$E$2</f>
        <v>#DIV/0!</v>
      </c>
      <c r="I48" s="25" t="str">
        <f t="shared" si="2"/>
        <v/>
      </c>
    </row>
    <row r="49" spans="1:9" hidden="1" x14ac:dyDescent="0.25">
      <c r="A49" s="3">
        <v>1665</v>
      </c>
      <c r="B49" s="3">
        <v>113.3380648</v>
      </c>
      <c r="C49" s="3">
        <v>22.998798019999999</v>
      </c>
      <c r="D49" s="3">
        <v>7</v>
      </c>
      <c r="E49" s="13">
        <f t="shared" si="3"/>
        <v>5.1316541496922875E-3</v>
      </c>
      <c r="F49" s="13">
        <f t="shared" si="4"/>
        <v>13.959546522153243</v>
      </c>
      <c r="G49" s="14" t="e">
        <f>F49/$F$124*$D$2</f>
        <v>#DIV/0!</v>
      </c>
      <c r="H49" s="14" t="e">
        <f>F49/$F$124*$E$2</f>
        <v>#DIV/0!</v>
      </c>
      <c r="I49" s="25" t="str">
        <f t="shared" si="2"/>
        <v/>
      </c>
    </row>
    <row r="50" spans="1:9" x14ac:dyDescent="0.25">
      <c r="A50" s="3">
        <v>1853</v>
      </c>
      <c r="B50" s="3">
        <v>113.3408101</v>
      </c>
      <c r="C50" s="3">
        <v>22.9915652</v>
      </c>
      <c r="D50" s="3">
        <v>7</v>
      </c>
      <c r="E50" s="13">
        <f t="shared" si="3"/>
        <v>5.1377037745362888E-3</v>
      </c>
      <c r="F50" s="13">
        <f t="shared" si="4"/>
        <v>13.951325447360666</v>
      </c>
      <c r="G50" s="14">
        <f>F50/$F$103*$D$2</f>
        <v>50.412340760875594</v>
      </c>
      <c r="H50" s="14">
        <f>F50/$F$103*$E$2</f>
        <v>50.412340760875594</v>
      </c>
      <c r="I50" s="25" t="str">
        <f t="shared" si="2"/>
        <v>选中</v>
      </c>
    </row>
    <row r="51" spans="1:9" hidden="1" x14ac:dyDescent="0.25">
      <c r="A51" s="3">
        <v>1664</v>
      </c>
      <c r="B51" s="3">
        <v>113.3374591</v>
      </c>
      <c r="C51" s="3">
        <v>22.996741010000001</v>
      </c>
      <c r="D51" s="3">
        <v>7</v>
      </c>
      <c r="E51" s="13">
        <f t="shared" si="3"/>
        <v>5.1463238990853352E-3</v>
      </c>
      <c r="F51" s="13">
        <f t="shared" si="4"/>
        <v>13.939636271987293</v>
      </c>
      <c r="G51" s="14" t="e">
        <f>F51/$F$124*$D$2</f>
        <v>#DIV/0!</v>
      </c>
      <c r="H51" s="14" t="e">
        <f>F51/$F$124*$E$2</f>
        <v>#DIV/0!</v>
      </c>
      <c r="I51" s="25" t="str">
        <f t="shared" si="2"/>
        <v/>
      </c>
    </row>
    <row r="52" spans="1:9" hidden="1" x14ac:dyDescent="0.25">
      <c r="A52" s="3">
        <v>1722</v>
      </c>
      <c r="B52" s="3">
        <v>113.3474128</v>
      </c>
      <c r="C52" s="3">
        <v>22.994097669999999</v>
      </c>
      <c r="D52" s="3">
        <v>7</v>
      </c>
      <c r="E52" s="13">
        <f t="shared" si="3"/>
        <v>5.334424538942892E-3</v>
      </c>
      <c r="F52" s="13">
        <f t="shared" si="4"/>
        <v>13.691663344905599</v>
      </c>
      <c r="G52" s="14" t="e">
        <f>F52/$F$124*$D$2</f>
        <v>#DIV/0!</v>
      </c>
      <c r="H52" s="14" t="e">
        <f>F52/$F$124*$E$2</f>
        <v>#DIV/0!</v>
      </c>
      <c r="I52" s="25" t="str">
        <f t="shared" si="2"/>
        <v/>
      </c>
    </row>
    <row r="53" spans="1:9" x14ac:dyDescent="0.25">
      <c r="A53" s="3">
        <v>1713</v>
      </c>
      <c r="B53" s="3">
        <v>113.34299230000001</v>
      </c>
      <c r="C53" s="3">
        <v>23.0018429</v>
      </c>
      <c r="D53" s="3">
        <v>7</v>
      </c>
      <c r="E53" s="13">
        <f t="shared" si="3"/>
        <v>5.4738532518603979E-3</v>
      </c>
      <c r="F53" s="13">
        <f t="shared" si="4"/>
        <v>13.516163133891055</v>
      </c>
      <c r="G53" s="14">
        <f>F53/$F$103*$D$2</f>
        <v>48.839905875337806</v>
      </c>
      <c r="H53" s="14">
        <f>F53/$F$103*$E$2</f>
        <v>48.839905875337806</v>
      </c>
      <c r="I53" s="25" t="str">
        <f t="shared" si="2"/>
        <v>选中</v>
      </c>
    </row>
    <row r="54" spans="1:9" hidden="1" x14ac:dyDescent="0.25">
      <c r="A54" s="3">
        <v>1870</v>
      </c>
      <c r="B54" s="3">
        <v>113.34574189999999</v>
      </c>
      <c r="C54" s="3">
        <v>22.991886449999999</v>
      </c>
      <c r="D54" s="3">
        <v>7</v>
      </c>
      <c r="E54" s="13">
        <f t="shared" si="3"/>
        <v>5.4900090311772488E-3</v>
      </c>
      <c r="F54" s="13">
        <f t="shared" si="4"/>
        <v>13.496261068822026</v>
      </c>
      <c r="G54" s="14" t="e">
        <f>F54/$F$124*$D$2</f>
        <v>#DIV/0!</v>
      </c>
      <c r="H54" s="14" t="e">
        <f>F54/$F$124*$E$2</f>
        <v>#DIV/0!</v>
      </c>
      <c r="I54" s="25" t="str">
        <f t="shared" si="2"/>
        <v/>
      </c>
    </row>
    <row r="55" spans="1:9" hidden="1" x14ac:dyDescent="0.25">
      <c r="A55" s="3">
        <v>1705</v>
      </c>
      <c r="B55" s="3">
        <v>113.34444860000001</v>
      </c>
      <c r="C55" s="3">
        <v>23.001551490000001</v>
      </c>
      <c r="D55" s="3">
        <v>7</v>
      </c>
      <c r="E55" s="13">
        <f t="shared" si="3"/>
        <v>5.4909041459172657E-3</v>
      </c>
      <c r="F55" s="13">
        <f t="shared" si="4"/>
        <v>13.495160959051478</v>
      </c>
      <c r="G55" s="14" t="e">
        <f>F55/$F$124*$D$2</f>
        <v>#DIV/0!</v>
      </c>
      <c r="H55" s="14" t="e">
        <f>F55/$F$124*$E$2</f>
        <v>#DIV/0!</v>
      </c>
      <c r="I55" s="25" t="str">
        <f t="shared" si="2"/>
        <v/>
      </c>
    </row>
    <row r="56" spans="1:9" x14ac:dyDescent="0.25">
      <c r="A56" s="3">
        <v>1711</v>
      </c>
      <c r="B56" s="3">
        <v>113.34444860000001</v>
      </c>
      <c r="C56" s="3">
        <v>23.001551490000001</v>
      </c>
      <c r="D56" s="3">
        <v>7</v>
      </c>
      <c r="E56" s="13">
        <f t="shared" si="3"/>
        <v>5.4909041459172657E-3</v>
      </c>
      <c r="F56" s="13">
        <f t="shared" si="4"/>
        <v>13.495160959051478</v>
      </c>
      <c r="G56" s="14">
        <f>F56/$F$103*$D$2</f>
        <v>48.764015681339608</v>
      </c>
      <c r="H56" s="14">
        <f>F56/$F$103*$E$2</f>
        <v>48.764015681339608</v>
      </c>
      <c r="I56" s="25" t="str">
        <f t="shared" si="2"/>
        <v>选中</v>
      </c>
    </row>
    <row r="57" spans="1:9" hidden="1" x14ac:dyDescent="0.25">
      <c r="A57" s="3">
        <v>1715</v>
      </c>
      <c r="B57" s="3">
        <v>113.34444860000001</v>
      </c>
      <c r="C57" s="3">
        <v>23.001551490000001</v>
      </c>
      <c r="D57" s="3">
        <v>7</v>
      </c>
      <c r="E57" s="13">
        <f t="shared" si="3"/>
        <v>5.4909041459172657E-3</v>
      </c>
      <c r="F57" s="13">
        <f t="shared" si="4"/>
        <v>13.495160959051478</v>
      </c>
      <c r="G57" s="14" t="e">
        <f>F57/$F$124*$D$2</f>
        <v>#DIV/0!</v>
      </c>
      <c r="H57" s="14" t="e">
        <f>F57/$F$124*$E$2</f>
        <v>#DIV/0!</v>
      </c>
      <c r="I57" s="25" t="str">
        <f t="shared" si="2"/>
        <v/>
      </c>
    </row>
    <row r="58" spans="1:9" hidden="1" x14ac:dyDescent="0.25">
      <c r="A58" s="3">
        <v>1699</v>
      </c>
      <c r="B58" s="3">
        <v>113.3428825</v>
      </c>
      <c r="C58" s="3">
        <v>23.001873079999999</v>
      </c>
      <c r="D58" s="3">
        <v>7</v>
      </c>
      <c r="E58" s="13">
        <f t="shared" si="3"/>
        <v>5.4970784560976153E-3</v>
      </c>
      <c r="F58" s="13">
        <f t="shared" si="4"/>
        <v>13.487579957555559</v>
      </c>
      <c r="G58" s="14" t="e">
        <f>F58/$F$124*$D$2</f>
        <v>#DIV/0!</v>
      </c>
      <c r="H58" s="14" t="e">
        <f>F58/$F$124*$E$2</f>
        <v>#DIV/0!</v>
      </c>
      <c r="I58" s="25" t="str">
        <f t="shared" si="2"/>
        <v/>
      </c>
    </row>
    <row r="59" spans="1:9" x14ac:dyDescent="0.25">
      <c r="A59" s="3">
        <v>1667</v>
      </c>
      <c r="B59" s="3">
        <v>113.33838009999999</v>
      </c>
      <c r="C59" s="3">
        <v>22.99993795</v>
      </c>
      <c r="D59" s="3">
        <v>7</v>
      </c>
      <c r="E59" s="13">
        <f t="shared" si="3"/>
        <v>5.5119612727580749E-3</v>
      </c>
      <c r="F59" s="13">
        <f t="shared" si="4"/>
        <v>13.469358778864018</v>
      </c>
      <c r="G59" s="14">
        <f>F59/$F$103*$D$2</f>
        <v>48.670780934226038</v>
      </c>
      <c r="H59" s="14">
        <f>F59/$F$103*$E$2</f>
        <v>48.670780934226038</v>
      </c>
      <c r="I59" s="25" t="str">
        <f t="shared" si="2"/>
        <v>选中</v>
      </c>
    </row>
    <row r="60" spans="1:9" hidden="1" x14ac:dyDescent="0.25">
      <c r="A60" s="3">
        <v>1880</v>
      </c>
      <c r="B60" s="3">
        <v>113.34702350000001</v>
      </c>
      <c r="C60" s="3">
        <v>22.99309976</v>
      </c>
      <c r="D60" s="3">
        <v>7</v>
      </c>
      <c r="E60" s="13">
        <f t="shared" si="3"/>
        <v>5.5148102802374263E-3</v>
      </c>
      <c r="F60" s="13">
        <f t="shared" si="4"/>
        <v>13.465879125043395</v>
      </c>
      <c r="G60" s="14" t="e">
        <f>F60/$F$124*$D$2</f>
        <v>#DIV/0!</v>
      </c>
      <c r="H60" s="14" t="e">
        <f>F60/$F$124*$E$2</f>
        <v>#DIV/0!</v>
      </c>
      <c r="I60" s="25" t="str">
        <f t="shared" si="2"/>
        <v/>
      </c>
    </row>
    <row r="61" spans="1:9" hidden="1" x14ac:dyDescent="0.25">
      <c r="A61" s="3">
        <v>1871</v>
      </c>
      <c r="B61" s="3">
        <v>113.3461911</v>
      </c>
      <c r="C61" s="3">
        <v>22.992126580000001</v>
      </c>
      <c r="D61" s="3">
        <v>7</v>
      </c>
      <c r="E61" s="13">
        <f t="shared" si="3"/>
        <v>5.5739392096193991E-3</v>
      </c>
      <c r="F61" s="13">
        <f t="shared" si="4"/>
        <v>13.394264969871383</v>
      </c>
      <c r="G61" s="14" t="e">
        <f>F61/$F$124*$D$2</f>
        <v>#DIV/0!</v>
      </c>
      <c r="H61" s="14" t="e">
        <f>F61/$F$124*$E$2</f>
        <v>#DIV/0!</v>
      </c>
      <c r="I61" s="25" t="str">
        <f t="shared" si="2"/>
        <v/>
      </c>
    </row>
    <row r="62" spans="1:9" x14ac:dyDescent="0.25">
      <c r="A62" s="3">
        <v>1850</v>
      </c>
      <c r="B62" s="3">
        <v>113.3383776</v>
      </c>
      <c r="C62" s="3">
        <v>22.99271808</v>
      </c>
      <c r="D62" s="3">
        <v>7</v>
      </c>
      <c r="E62" s="13">
        <f t="shared" si="3"/>
        <v>5.5862200066273586E-3</v>
      </c>
      <c r="F62" s="13">
        <f t="shared" si="4"/>
        <v>13.3795338320182</v>
      </c>
      <c r="G62" s="14">
        <f>F62/$F$103*$D$2</f>
        <v>48.346203470507305</v>
      </c>
      <c r="H62" s="14">
        <f>F62/$F$103*$E$2</f>
        <v>48.346203470507305</v>
      </c>
      <c r="I62" s="25" t="str">
        <f t="shared" si="2"/>
        <v>选中</v>
      </c>
    </row>
    <row r="63" spans="1:9" hidden="1" x14ac:dyDescent="0.25">
      <c r="A63" s="3">
        <v>1854</v>
      </c>
      <c r="B63" s="3">
        <v>113.3379654</v>
      </c>
      <c r="C63" s="3">
        <v>22.9930047</v>
      </c>
      <c r="D63" s="3">
        <v>7</v>
      </c>
      <c r="E63" s="13">
        <f t="shared" si="3"/>
        <v>5.7299083504736906E-3</v>
      </c>
      <c r="F63" s="13">
        <f t="shared" si="4"/>
        <v>13.210710096192711</v>
      </c>
      <c r="G63" s="14" t="e">
        <f>F63/$F$124*$D$2</f>
        <v>#DIV/0!</v>
      </c>
      <c r="H63" s="14" t="e">
        <f>F63/$F$124*$E$2</f>
        <v>#DIV/0!</v>
      </c>
      <c r="I63" s="25" t="str">
        <f t="shared" si="2"/>
        <v/>
      </c>
    </row>
    <row r="64" spans="1:9" hidden="1" x14ac:dyDescent="0.25">
      <c r="A64" s="3">
        <v>1858</v>
      </c>
      <c r="B64" s="3">
        <v>113.33909130000001</v>
      </c>
      <c r="C64" s="3">
        <v>22.991807179999999</v>
      </c>
      <c r="D64" s="3">
        <v>7</v>
      </c>
      <c r="E64" s="13">
        <f t="shared" si="3"/>
        <v>5.7624471791440047E-3</v>
      </c>
      <c r="F64" s="13">
        <f t="shared" si="4"/>
        <v>13.173358814453207</v>
      </c>
      <c r="G64" s="14" t="e">
        <f>F64/$F$124*$D$2</f>
        <v>#DIV/0!</v>
      </c>
      <c r="H64" s="14" t="e">
        <f>F64/$F$124*$E$2</f>
        <v>#DIV/0!</v>
      </c>
      <c r="I64" s="25" t="str">
        <f t="shared" si="2"/>
        <v/>
      </c>
    </row>
    <row r="65" spans="1:9" x14ac:dyDescent="0.25">
      <c r="A65" s="3">
        <v>1860</v>
      </c>
      <c r="B65" s="3">
        <v>113.33901849999999</v>
      </c>
      <c r="C65" s="3">
        <v>22.991842290000001</v>
      </c>
      <c r="D65" s="3">
        <v>7</v>
      </c>
      <c r="E65" s="13">
        <f t="shared" si="3"/>
        <v>5.779344188191979E-3</v>
      </c>
      <c r="F65" s="13">
        <f t="shared" si="4"/>
        <v>13.154087311460268</v>
      </c>
      <c r="G65" s="14">
        <f>F65/$F$103*$D$2</f>
        <v>47.531564971778117</v>
      </c>
      <c r="H65" s="14">
        <f>F65/$F$103*$E$2</f>
        <v>47.531564971778117</v>
      </c>
      <c r="I65" s="25" t="str">
        <f t="shared" si="2"/>
        <v>选中</v>
      </c>
    </row>
    <row r="66" spans="1:9" hidden="1" x14ac:dyDescent="0.25">
      <c r="A66" s="3">
        <v>1859</v>
      </c>
      <c r="B66" s="3">
        <v>113.3380812</v>
      </c>
      <c r="C66" s="3">
        <v>22.992719619999999</v>
      </c>
      <c r="D66" s="3">
        <v>7</v>
      </c>
      <c r="E66" s="13">
        <f t="shared" si="3"/>
        <v>5.812169003049511E-3</v>
      </c>
      <c r="F66" s="13">
        <f t="shared" si="4"/>
        <v>13.116890196321316</v>
      </c>
      <c r="G66" s="14" t="e">
        <f>F66/$F$124*$D$2</f>
        <v>#DIV/0!</v>
      </c>
      <c r="H66" s="14" t="e">
        <f>F66/$F$124*$E$2</f>
        <v>#DIV/0!</v>
      </c>
      <c r="I66" s="25" t="str">
        <f t="shared" si="2"/>
        <v/>
      </c>
    </row>
    <row r="67" spans="1:9" hidden="1" x14ac:dyDescent="0.25">
      <c r="A67" s="3">
        <v>1852</v>
      </c>
      <c r="B67" s="3">
        <v>113.339778</v>
      </c>
      <c r="C67" s="3">
        <v>22.991150220000002</v>
      </c>
      <c r="D67" s="3">
        <v>7</v>
      </c>
      <c r="E67" s="13">
        <f t="shared" si="3"/>
        <v>5.9424578440303959E-3</v>
      </c>
      <c r="F67" s="13">
        <f t="shared" si="4"/>
        <v>12.972298851365609</v>
      </c>
      <c r="G67" s="14" t="e">
        <f>F67/$F$124*$D$2</f>
        <v>#DIV/0!</v>
      </c>
      <c r="H67" s="14" t="e">
        <f>F67/$F$124*$E$2</f>
        <v>#DIV/0!</v>
      </c>
      <c r="I67" s="25" t="str">
        <f t="shared" si="2"/>
        <v/>
      </c>
    </row>
    <row r="68" spans="1:9" x14ac:dyDescent="0.25">
      <c r="A68" s="3">
        <v>1849</v>
      </c>
      <c r="B68" s="3">
        <v>113.33879690000001</v>
      </c>
      <c r="C68" s="3">
        <v>22.99181171</v>
      </c>
      <c r="D68" s="3">
        <v>7</v>
      </c>
      <c r="E68" s="13">
        <f t="shared" si="3"/>
        <v>5.9424597345132252E-3</v>
      </c>
      <c r="F68" s="13">
        <f t="shared" si="4"/>
        <v>12.972296787917871</v>
      </c>
      <c r="G68" s="14">
        <f>F68/$F$103*$D$2</f>
        <v>46.874674997094672</v>
      </c>
      <c r="H68" s="14">
        <f>F68/$F$103*$E$2</f>
        <v>46.874674997094672</v>
      </c>
      <c r="I68" s="25" t="str">
        <f t="shared" si="2"/>
        <v>选中</v>
      </c>
    </row>
    <row r="69" spans="1:9" hidden="1" x14ac:dyDescent="0.25">
      <c r="A69" s="3">
        <v>1663</v>
      </c>
      <c r="B69" s="3">
        <v>113.33664570000001</v>
      </c>
      <c r="C69" s="3">
        <v>22.996565579999999</v>
      </c>
      <c r="D69" s="3">
        <v>7</v>
      </c>
      <c r="E69" s="13">
        <f t="shared" ref="E69:E101" si="5">SQRT((B69-$B$2)^2+(C69-$C$2)^2)</f>
        <v>5.9500826122298968E-3</v>
      </c>
      <c r="F69" s="13">
        <f t="shared" ref="F69:F100" si="6">SQRT(1/E69)</f>
        <v>12.963984472728315</v>
      </c>
      <c r="G69" s="14" t="e">
        <f>F69/$F$124*$D$2</f>
        <v>#DIV/0!</v>
      </c>
      <c r="H69" s="14" t="e">
        <f>F69/$F$124*$E$2</f>
        <v>#DIV/0!</v>
      </c>
      <c r="I69" s="25" t="str">
        <f t="shared" si="2"/>
        <v/>
      </c>
    </row>
    <row r="70" spans="1:9" hidden="1" x14ac:dyDescent="0.25">
      <c r="A70" s="3">
        <v>1701</v>
      </c>
      <c r="B70" s="3">
        <v>113.3480357</v>
      </c>
      <c r="C70" s="3">
        <v>22.993730790000001</v>
      </c>
      <c r="D70" s="3">
        <v>7</v>
      </c>
      <c r="E70" s="13">
        <f t="shared" si="5"/>
        <v>6.054795071316078E-3</v>
      </c>
      <c r="F70" s="13">
        <f t="shared" si="6"/>
        <v>12.851395100037374</v>
      </c>
      <c r="G70" s="14" t="e">
        <f>F70/$F$124*$D$2</f>
        <v>#DIV/0!</v>
      </c>
      <c r="H70" s="14" t="e">
        <f>F70/$F$124*$E$2</f>
        <v>#DIV/0!</v>
      </c>
      <c r="I70" s="25" t="str">
        <f t="shared" ref="I70:I101" si="7">IF(MOD(ROW()-1,3)=1,"选中","")</f>
        <v/>
      </c>
    </row>
    <row r="71" spans="1:9" x14ac:dyDescent="0.25">
      <c r="A71" s="3">
        <v>1662</v>
      </c>
      <c r="B71" s="3">
        <v>113.336502</v>
      </c>
      <c r="C71" s="3">
        <v>22.99727953</v>
      </c>
      <c r="D71" s="3">
        <v>7</v>
      </c>
      <c r="E71" s="13">
        <f t="shared" si="5"/>
        <v>6.1565345617460229E-3</v>
      </c>
      <c r="F71" s="13">
        <f t="shared" si="6"/>
        <v>12.744765208854403</v>
      </c>
      <c r="G71" s="14">
        <f>F71/$F$103*$D$2</f>
        <v>46.052502255093472</v>
      </c>
      <c r="H71" s="14">
        <f>F71/$F$103*$E$2</f>
        <v>46.052502255093472</v>
      </c>
      <c r="I71" s="25" t="str">
        <f t="shared" si="7"/>
        <v>选中</v>
      </c>
    </row>
    <row r="72" spans="1:9" hidden="1" x14ac:dyDescent="0.25">
      <c r="A72" s="3">
        <v>1856</v>
      </c>
      <c r="B72" s="3">
        <v>113.3386462</v>
      </c>
      <c r="C72" s="3">
        <v>22.991645049999999</v>
      </c>
      <c r="D72" s="3">
        <v>7</v>
      </c>
      <c r="E72" s="13">
        <f t="shared" si="5"/>
        <v>6.1669579742664685E-3</v>
      </c>
      <c r="F72" s="13">
        <f t="shared" si="6"/>
        <v>12.733990031967451</v>
      </c>
      <c r="G72" s="14" t="e">
        <f>F72/$F$124*$D$2</f>
        <v>#DIV/0!</v>
      </c>
      <c r="H72" s="14" t="e">
        <f>F72/$F$124*$E$2</f>
        <v>#DIV/0!</v>
      </c>
      <c r="I72" s="25" t="str">
        <f t="shared" si="7"/>
        <v/>
      </c>
    </row>
    <row r="73" spans="1:9" hidden="1" x14ac:dyDescent="0.25">
      <c r="A73" s="3">
        <v>1706</v>
      </c>
      <c r="B73" s="3">
        <v>113.3483212</v>
      </c>
      <c r="C73" s="3">
        <v>22.993777300000001</v>
      </c>
      <c r="D73" s="3">
        <v>7</v>
      </c>
      <c r="E73" s="13">
        <f t="shared" si="5"/>
        <v>6.2932687300779524E-3</v>
      </c>
      <c r="F73" s="13">
        <f t="shared" si="6"/>
        <v>12.605551802592936</v>
      </c>
      <c r="G73" s="14" t="e">
        <f>F73/$F$124*$D$2</f>
        <v>#DIV/0!</v>
      </c>
      <c r="H73" s="14" t="e">
        <f>F73/$F$124*$E$2</f>
        <v>#DIV/0!</v>
      </c>
      <c r="I73" s="25" t="str">
        <f t="shared" si="7"/>
        <v/>
      </c>
    </row>
    <row r="74" spans="1:9" x14ac:dyDescent="0.25">
      <c r="A74" s="3">
        <v>1855</v>
      </c>
      <c r="B74" s="3">
        <v>113.3385194</v>
      </c>
      <c r="C74" s="3">
        <v>22.991515339999999</v>
      </c>
      <c r="D74" s="3">
        <v>7</v>
      </c>
      <c r="E74" s="13">
        <f t="shared" si="5"/>
        <v>6.3477920952166042E-3</v>
      </c>
      <c r="F74" s="13">
        <f t="shared" si="6"/>
        <v>12.551298345358125</v>
      </c>
      <c r="G74" s="14">
        <f>F74/$F$103*$D$2</f>
        <v>45.353420473558707</v>
      </c>
      <c r="H74" s="14">
        <f>F74/$F$103*$E$2</f>
        <v>45.353420473558707</v>
      </c>
      <c r="I74" s="25" t="str">
        <f t="shared" si="7"/>
        <v>选中</v>
      </c>
    </row>
    <row r="75" spans="1:9" hidden="1" x14ac:dyDescent="0.25">
      <c r="A75" s="3">
        <v>1712</v>
      </c>
      <c r="B75" s="3">
        <v>113.3488582</v>
      </c>
      <c r="C75" s="3">
        <v>22.99471801</v>
      </c>
      <c r="D75" s="3">
        <v>7</v>
      </c>
      <c r="E75" s="13">
        <f t="shared" si="5"/>
        <v>6.4828250805046448E-3</v>
      </c>
      <c r="F75" s="13">
        <f t="shared" si="6"/>
        <v>12.419892824559987</v>
      </c>
      <c r="G75" s="14" t="e">
        <f>F75/$F$124*$D$2</f>
        <v>#DIV/0!</v>
      </c>
      <c r="H75" s="14" t="e">
        <f>F75/$F$124*$E$2</f>
        <v>#DIV/0!</v>
      </c>
      <c r="I75" s="25" t="str">
        <f t="shared" si="7"/>
        <v/>
      </c>
    </row>
    <row r="76" spans="1:9" hidden="1" x14ac:dyDescent="0.25">
      <c r="A76" s="3">
        <v>1718</v>
      </c>
      <c r="B76" s="3">
        <v>113.3488582</v>
      </c>
      <c r="C76" s="3">
        <v>22.99471801</v>
      </c>
      <c r="D76" s="3">
        <v>7</v>
      </c>
      <c r="E76" s="13">
        <f t="shared" si="5"/>
        <v>6.4828250805046448E-3</v>
      </c>
      <c r="F76" s="13">
        <f t="shared" si="6"/>
        <v>12.419892824559987</v>
      </c>
      <c r="G76" s="14" t="e">
        <f>F76/$F$124*$D$2</f>
        <v>#DIV/0!</v>
      </c>
      <c r="H76" s="14" t="e">
        <f>F76/$F$124*$E$2</f>
        <v>#DIV/0!</v>
      </c>
      <c r="I76" s="25" t="str">
        <f t="shared" si="7"/>
        <v/>
      </c>
    </row>
    <row r="77" spans="1:9" x14ac:dyDescent="0.25">
      <c r="A77" s="3">
        <v>1698</v>
      </c>
      <c r="B77" s="3">
        <v>113.3491547</v>
      </c>
      <c r="C77" s="3">
        <v>22.995264290000001</v>
      </c>
      <c r="D77" s="3">
        <v>7</v>
      </c>
      <c r="E77" s="13">
        <f t="shared" si="5"/>
        <v>6.6564877319556662E-3</v>
      </c>
      <c r="F77" s="13">
        <f t="shared" si="6"/>
        <v>12.256809383027923</v>
      </c>
      <c r="G77" s="14">
        <f>F77/$F$103*$D$2</f>
        <v>44.289300940592369</v>
      </c>
      <c r="H77" s="14">
        <f>F77/$F$103*$E$2</f>
        <v>44.289300940592369</v>
      </c>
      <c r="I77" s="25" t="str">
        <f t="shared" si="7"/>
        <v>选中</v>
      </c>
    </row>
    <row r="78" spans="1:9" hidden="1" x14ac:dyDescent="0.25">
      <c r="A78" s="3">
        <v>1704</v>
      </c>
      <c r="B78" s="3">
        <v>113.34325870000001</v>
      </c>
      <c r="C78" s="3">
        <v>23.00302692</v>
      </c>
      <c r="D78" s="3">
        <v>7</v>
      </c>
      <c r="E78" s="13">
        <f t="shared" si="5"/>
        <v>6.6765603804737105E-3</v>
      </c>
      <c r="F78" s="13">
        <f t="shared" si="6"/>
        <v>12.238370860273758</v>
      </c>
      <c r="G78" s="14" t="e">
        <f>F78/$F$124*$D$2</f>
        <v>#DIV/0!</v>
      </c>
      <c r="H78" s="14" t="e">
        <f>F78/$F$124*$E$2</f>
        <v>#DIV/0!</v>
      </c>
      <c r="I78" s="25" t="str">
        <f t="shared" si="7"/>
        <v/>
      </c>
    </row>
    <row r="79" spans="1:9" hidden="1" x14ac:dyDescent="0.25">
      <c r="A79" s="3">
        <v>1719</v>
      </c>
      <c r="B79" s="3">
        <v>113.3491078</v>
      </c>
      <c r="C79" s="3">
        <v>22.99479457</v>
      </c>
      <c r="D79" s="3">
        <v>7</v>
      </c>
      <c r="E79" s="13">
        <f t="shared" si="5"/>
        <v>6.7057982913048845E-3</v>
      </c>
      <c r="F79" s="13">
        <f t="shared" si="6"/>
        <v>12.211661491009043</v>
      </c>
      <c r="G79" s="14" t="e">
        <f>F79/$F$124*$D$2</f>
        <v>#DIV/0!</v>
      </c>
      <c r="H79" s="14" t="e">
        <f>F79/$F$124*$E$2</f>
        <v>#DIV/0!</v>
      </c>
      <c r="I79" s="25" t="str">
        <f t="shared" si="7"/>
        <v/>
      </c>
    </row>
    <row r="80" spans="1:9" x14ac:dyDescent="0.25">
      <c r="A80" s="3">
        <v>1708</v>
      </c>
      <c r="B80" s="3">
        <v>113.3428724</v>
      </c>
      <c r="C80" s="3">
        <v>23.003197520000001</v>
      </c>
      <c r="D80" s="3">
        <v>7</v>
      </c>
      <c r="E80" s="13">
        <f t="shared" si="5"/>
        <v>6.8196159196913285E-3</v>
      </c>
      <c r="F80" s="13">
        <f t="shared" si="6"/>
        <v>12.109327976276472</v>
      </c>
      <c r="G80" s="14">
        <f>F80/$F$103*$D$2</f>
        <v>43.756385056642863</v>
      </c>
      <c r="H80" s="14">
        <f>F80/$F$103*$E$2</f>
        <v>43.756385056642863</v>
      </c>
      <c r="I80" s="25" t="str">
        <f t="shared" si="7"/>
        <v>选中</v>
      </c>
    </row>
    <row r="81" spans="1:9" hidden="1" x14ac:dyDescent="0.25">
      <c r="A81" s="3">
        <v>1861</v>
      </c>
      <c r="B81" s="3">
        <v>113.3367279</v>
      </c>
      <c r="C81" s="3">
        <v>22.992508180000002</v>
      </c>
      <c r="D81" s="3">
        <v>7</v>
      </c>
      <c r="E81" s="13">
        <f t="shared" si="5"/>
        <v>7.0298300628409138E-3</v>
      </c>
      <c r="F81" s="13">
        <f t="shared" si="6"/>
        <v>11.92690023939039</v>
      </c>
      <c r="G81" s="14" t="e">
        <f>F81/$F$124*$D$2</f>
        <v>#DIV/0!</v>
      </c>
      <c r="H81" s="14" t="e">
        <f>F81/$F$124*$E$2</f>
        <v>#DIV/0!</v>
      </c>
      <c r="I81" s="25" t="str">
        <f t="shared" si="7"/>
        <v/>
      </c>
    </row>
    <row r="82" spans="1:9" hidden="1" x14ac:dyDescent="0.25">
      <c r="A82" s="3">
        <v>1700</v>
      </c>
      <c r="B82" s="3">
        <v>113.34952509999999</v>
      </c>
      <c r="C82" s="3">
        <v>22.994681929999999</v>
      </c>
      <c r="D82" s="3">
        <v>7</v>
      </c>
      <c r="E82" s="13">
        <f t="shared" si="5"/>
        <v>7.1379123908891454E-3</v>
      </c>
      <c r="F82" s="13">
        <f t="shared" si="6"/>
        <v>11.836257190405263</v>
      </c>
      <c r="G82" s="14" t="e">
        <f>F82/$F$124*$D$2</f>
        <v>#DIV/0!</v>
      </c>
      <c r="H82" s="14" t="e">
        <f>F82/$F$124*$E$2</f>
        <v>#DIV/0!</v>
      </c>
      <c r="I82" s="25" t="str">
        <f t="shared" si="7"/>
        <v/>
      </c>
    </row>
    <row r="83" spans="1:9" x14ac:dyDescent="0.25">
      <c r="A83" s="3">
        <v>1670</v>
      </c>
      <c r="B83" s="3">
        <v>113.3353554</v>
      </c>
      <c r="C83" s="3">
        <v>22.99443188</v>
      </c>
      <c r="D83" s="3">
        <v>7</v>
      </c>
      <c r="E83" s="13">
        <f t="shared" si="5"/>
        <v>7.4961444638191174E-3</v>
      </c>
      <c r="F83" s="13">
        <f t="shared" si="6"/>
        <v>11.549974521739317</v>
      </c>
      <c r="G83" s="14">
        <f>F83/$F$103*$D$2</f>
        <v>41.735192370521801</v>
      </c>
      <c r="H83" s="14">
        <f>F83/$F$103*$E$2</f>
        <v>41.735192370521801</v>
      </c>
      <c r="I83" s="25" t="str">
        <f t="shared" si="7"/>
        <v>选中</v>
      </c>
    </row>
    <row r="84" spans="1:9" hidden="1" x14ac:dyDescent="0.25">
      <c r="A84" s="3">
        <v>1491</v>
      </c>
      <c r="B84" s="3">
        <v>113.34511019999999</v>
      </c>
      <c r="C84" s="3">
        <v>23.003685430000001</v>
      </c>
      <c r="D84" s="3">
        <v>7</v>
      </c>
      <c r="E84" s="13">
        <f t="shared" si="5"/>
        <v>7.7235082106517968E-3</v>
      </c>
      <c r="F84" s="13">
        <f t="shared" si="6"/>
        <v>11.378701214065801</v>
      </c>
      <c r="G84" s="14" t="e">
        <f>F84/$F$124*$D$2</f>
        <v>#DIV/0!</v>
      </c>
      <c r="H84" s="14" t="e">
        <f>F84/$F$124*$E$2</f>
        <v>#DIV/0!</v>
      </c>
      <c r="I84" s="25" t="str">
        <f t="shared" si="7"/>
        <v/>
      </c>
    </row>
    <row r="85" spans="1:9" hidden="1" x14ac:dyDescent="0.25">
      <c r="A85" s="3">
        <v>1489</v>
      </c>
      <c r="B85" s="3">
        <v>113.3444494</v>
      </c>
      <c r="C85" s="3">
        <v>23.003885480000001</v>
      </c>
      <c r="D85" s="3">
        <v>7</v>
      </c>
      <c r="E85" s="13">
        <f t="shared" si="5"/>
        <v>7.7281287762652907E-3</v>
      </c>
      <c r="F85" s="13">
        <f t="shared" si="6"/>
        <v>11.375299103536141</v>
      </c>
      <c r="G85" s="14" t="e">
        <f>F85/$F$124*$D$2</f>
        <v>#DIV/0!</v>
      </c>
      <c r="H85" s="14" t="e">
        <f>F85/$F$124*$E$2</f>
        <v>#DIV/0!</v>
      </c>
      <c r="I85" s="25" t="str">
        <f t="shared" si="7"/>
        <v/>
      </c>
    </row>
    <row r="86" spans="1:9" x14ac:dyDescent="0.25">
      <c r="A86" s="3">
        <v>1862</v>
      </c>
      <c r="B86" s="3">
        <v>113.3355232</v>
      </c>
      <c r="C86" s="3">
        <v>22.99325108</v>
      </c>
      <c r="D86" s="3">
        <v>7</v>
      </c>
      <c r="E86" s="13">
        <f t="shared" si="5"/>
        <v>7.7327188971571146E-3</v>
      </c>
      <c r="F86" s="13">
        <f t="shared" si="6"/>
        <v>11.37192242907126</v>
      </c>
      <c r="G86" s="14">
        <f>F86/$F$103*$D$2</f>
        <v>41.091811008468696</v>
      </c>
      <c r="H86" s="14">
        <f>F86/$F$103*$E$2</f>
        <v>41.091811008468696</v>
      </c>
      <c r="I86" s="25" t="str">
        <f t="shared" si="7"/>
        <v>选中</v>
      </c>
    </row>
    <row r="87" spans="1:9" hidden="1" x14ac:dyDescent="0.25">
      <c r="A87" s="3">
        <v>1709</v>
      </c>
      <c r="B87" s="3">
        <v>113.3500123</v>
      </c>
      <c r="C87" s="3">
        <v>22.994202349999998</v>
      </c>
      <c r="D87" s="3">
        <v>7</v>
      </c>
      <c r="E87" s="13">
        <f t="shared" si="5"/>
        <v>7.733304269750909E-3</v>
      </c>
      <c r="F87" s="13">
        <f t="shared" si="6"/>
        <v>11.371492021998607</v>
      </c>
      <c r="G87" s="14" t="e">
        <f>F87/$F$124*$D$2</f>
        <v>#DIV/0!</v>
      </c>
      <c r="H87" s="14" t="e">
        <f>F87/$F$124*$E$2</f>
        <v>#DIV/0!</v>
      </c>
      <c r="I87" s="25" t="str">
        <f t="shared" si="7"/>
        <v/>
      </c>
    </row>
    <row r="88" spans="1:9" hidden="1" x14ac:dyDescent="0.25">
      <c r="A88" s="3">
        <v>1851</v>
      </c>
      <c r="B88" s="3">
        <v>113.3389138</v>
      </c>
      <c r="C88" s="3">
        <v>22.989518489999998</v>
      </c>
      <c r="D88" s="3">
        <v>7</v>
      </c>
      <c r="E88" s="13">
        <f t="shared" si="5"/>
        <v>7.788880526724066E-3</v>
      </c>
      <c r="F88" s="13">
        <f t="shared" si="6"/>
        <v>11.330849701419195</v>
      </c>
      <c r="G88" s="14" t="e">
        <f>F88/$F$124*$D$2</f>
        <v>#DIV/0!</v>
      </c>
      <c r="H88" s="14" t="e">
        <f>F88/$F$124*$E$2</f>
        <v>#DIV/0!</v>
      </c>
      <c r="I88" s="25" t="str">
        <f t="shared" si="7"/>
        <v/>
      </c>
    </row>
    <row r="89" spans="1:9" x14ac:dyDescent="0.25">
      <c r="A89" s="3">
        <v>1707</v>
      </c>
      <c r="B89" s="3">
        <v>113.35073800000001</v>
      </c>
      <c r="C89" s="3">
        <v>22.995002830000001</v>
      </c>
      <c r="D89" s="3">
        <v>7</v>
      </c>
      <c r="E89" s="13">
        <f t="shared" si="5"/>
        <v>8.2612126010782345E-3</v>
      </c>
      <c r="F89" s="13">
        <f t="shared" si="6"/>
        <v>11.002163652186526</v>
      </c>
      <c r="G89" s="14">
        <f>F89/$F$103*$D$2</f>
        <v>39.755708175087783</v>
      </c>
      <c r="H89" s="14">
        <f>F89/$F$103*$E$2</f>
        <v>39.755708175087783</v>
      </c>
      <c r="I89" s="25" t="str">
        <f t="shared" si="7"/>
        <v>选中</v>
      </c>
    </row>
    <row r="90" spans="1:9" hidden="1" x14ac:dyDescent="0.25">
      <c r="A90" s="3">
        <v>1710</v>
      </c>
      <c r="B90" s="3">
        <v>113.35108529999999</v>
      </c>
      <c r="C90" s="3">
        <v>22.995589020000001</v>
      </c>
      <c r="D90" s="3">
        <v>7</v>
      </c>
      <c r="E90" s="13">
        <f t="shared" si="5"/>
        <v>8.5293941368719435E-3</v>
      </c>
      <c r="F90" s="13">
        <f t="shared" si="6"/>
        <v>10.827817029067315</v>
      </c>
      <c r="G90" s="14" t="e">
        <f>F90/$F$124*$D$2</f>
        <v>#DIV/0!</v>
      </c>
      <c r="H90" s="14" t="e">
        <f>F90/$F$124*$E$2</f>
        <v>#DIV/0!</v>
      </c>
      <c r="I90" s="25" t="str">
        <f t="shared" si="7"/>
        <v/>
      </c>
    </row>
    <row r="91" spans="1:9" hidden="1" x14ac:dyDescent="0.25">
      <c r="A91" s="3">
        <v>1486</v>
      </c>
      <c r="B91" s="3">
        <v>113.3458648</v>
      </c>
      <c r="C91" s="3">
        <v>23.004261889999999</v>
      </c>
      <c r="D91" s="3">
        <v>7</v>
      </c>
      <c r="E91" s="13">
        <f t="shared" si="5"/>
        <v>8.5306304495987081E-3</v>
      </c>
      <c r="F91" s="13">
        <f t="shared" si="6"/>
        <v>10.827032382895688</v>
      </c>
      <c r="G91" s="14" t="e">
        <f>F91/$F$124*$D$2</f>
        <v>#DIV/0!</v>
      </c>
      <c r="H91" s="14" t="e">
        <f>F91/$F$124*$E$2</f>
        <v>#DIV/0!</v>
      </c>
      <c r="I91" s="25" t="str">
        <f t="shared" si="7"/>
        <v/>
      </c>
    </row>
    <row r="92" spans="1:9" x14ac:dyDescent="0.25">
      <c r="A92" s="3">
        <v>1466</v>
      </c>
      <c r="B92" s="3">
        <v>113.3389128</v>
      </c>
      <c r="C92" s="3">
        <v>23.004597969999999</v>
      </c>
      <c r="D92" s="3">
        <v>7</v>
      </c>
      <c r="E92" s="13">
        <f t="shared" si="5"/>
        <v>9.0010695850831664E-3</v>
      </c>
      <c r="F92" s="13">
        <f t="shared" si="6"/>
        <v>10.54029923323343</v>
      </c>
      <c r="G92" s="14">
        <f>F92/$F$103*$D$2</f>
        <v>38.086786712289275</v>
      </c>
      <c r="H92" s="14">
        <f>F92/$F$103*$E$2</f>
        <v>38.086786712289275</v>
      </c>
      <c r="I92" s="25" t="str">
        <f t="shared" si="7"/>
        <v>选中</v>
      </c>
    </row>
    <row r="93" spans="1:9" hidden="1" x14ac:dyDescent="0.25">
      <c r="A93" s="3">
        <v>1672</v>
      </c>
      <c r="B93" s="3">
        <v>113.33354199999999</v>
      </c>
      <c r="C93" s="3">
        <v>22.995035990000002</v>
      </c>
      <c r="D93" s="3">
        <v>7</v>
      </c>
      <c r="E93" s="13">
        <f t="shared" si="5"/>
        <v>9.1507778122729647E-3</v>
      </c>
      <c r="F93" s="13">
        <f t="shared" si="6"/>
        <v>10.453723160421232</v>
      </c>
      <c r="G93" s="14" t="e">
        <f>F93/$F$124*$D$2</f>
        <v>#DIV/0!</v>
      </c>
      <c r="H93" s="14" t="e">
        <f>F93/$F$124*$E$2</f>
        <v>#DIV/0!</v>
      </c>
      <c r="I93" s="25" t="str">
        <f t="shared" si="7"/>
        <v/>
      </c>
    </row>
    <row r="94" spans="1:9" hidden="1" x14ac:dyDescent="0.25">
      <c r="A94" s="3">
        <v>1671</v>
      </c>
      <c r="B94" s="3">
        <v>113.3333743</v>
      </c>
      <c r="C94" s="3">
        <v>22.995887939999999</v>
      </c>
      <c r="D94" s="3">
        <v>7</v>
      </c>
      <c r="E94" s="13">
        <f t="shared" si="5"/>
        <v>9.2320170204530979E-3</v>
      </c>
      <c r="F94" s="13">
        <f t="shared" si="6"/>
        <v>10.407626584109106</v>
      </c>
      <c r="G94" s="14" t="e">
        <f>F94/$F$124*$D$2</f>
        <v>#DIV/0!</v>
      </c>
      <c r="H94" s="14" t="e">
        <f>F94/$F$124*$E$2</f>
        <v>#DIV/0!</v>
      </c>
      <c r="I94" s="25" t="str">
        <f t="shared" si="7"/>
        <v/>
      </c>
    </row>
    <row r="95" spans="1:9" x14ac:dyDescent="0.25">
      <c r="A95" s="3">
        <v>1668</v>
      </c>
      <c r="B95" s="3">
        <v>113.3331486</v>
      </c>
      <c r="C95" s="3">
        <v>22.997696579999999</v>
      </c>
      <c r="D95" s="3">
        <v>7</v>
      </c>
      <c r="E95" s="13">
        <f t="shared" si="5"/>
        <v>9.5352256954072869E-3</v>
      </c>
      <c r="F95" s="13">
        <f t="shared" si="6"/>
        <v>10.240814782017083</v>
      </c>
      <c r="G95" s="14">
        <f>F95/$F$103*$D$2</f>
        <v>37.004616257283615</v>
      </c>
      <c r="H95" s="14">
        <f>F95/$F$103*$E$2</f>
        <v>37.004616257283615</v>
      </c>
      <c r="I95" s="25" t="str">
        <f t="shared" si="7"/>
        <v>选中</v>
      </c>
    </row>
    <row r="96" spans="1:9" hidden="1" x14ac:dyDescent="0.25">
      <c r="A96" s="3">
        <v>1739</v>
      </c>
      <c r="B96" s="3">
        <v>113.35216149999999</v>
      </c>
      <c r="C96" s="3">
        <v>22.995819220000001</v>
      </c>
      <c r="D96" s="3">
        <v>7</v>
      </c>
      <c r="E96" s="13">
        <f t="shared" si="5"/>
        <v>9.5851317621671196E-3</v>
      </c>
      <c r="F96" s="13">
        <f t="shared" si="6"/>
        <v>10.214120012259038</v>
      </c>
      <c r="G96" s="14" t="e">
        <f>F96/$F$124*$D$2</f>
        <v>#DIV/0!</v>
      </c>
      <c r="H96" s="14" t="e">
        <f>F96/$F$124*$E$2</f>
        <v>#DIV/0!</v>
      </c>
      <c r="I96" s="25" t="str">
        <f t="shared" si="7"/>
        <v/>
      </c>
    </row>
    <row r="97" spans="1:9" hidden="1" x14ac:dyDescent="0.25">
      <c r="A97" s="3">
        <v>1740</v>
      </c>
      <c r="B97" s="3">
        <v>113.3529284</v>
      </c>
      <c r="C97" s="3">
        <v>22.994741479999998</v>
      </c>
      <c r="D97" s="3">
        <v>7</v>
      </c>
      <c r="E97" s="13">
        <f t="shared" si="5"/>
        <v>1.046504418445318E-2</v>
      </c>
      <c r="F97" s="13">
        <f t="shared" si="6"/>
        <v>9.7752858703080374</v>
      </c>
      <c r="G97" s="14" t="e">
        <f>F97/$F$124*$D$2</f>
        <v>#DIV/0!</v>
      </c>
      <c r="H97" s="14" t="e">
        <f>F97/$F$124*$E$2</f>
        <v>#DIV/0!</v>
      </c>
      <c r="I97" s="25" t="str">
        <f t="shared" si="7"/>
        <v/>
      </c>
    </row>
    <row r="98" spans="1:9" x14ac:dyDescent="0.25">
      <c r="A98" s="3">
        <v>1680</v>
      </c>
      <c r="B98" s="3">
        <v>113.33302260000001</v>
      </c>
      <c r="C98" s="3">
        <v>23.000753490000001</v>
      </c>
      <c r="D98" s="3">
        <v>7</v>
      </c>
      <c r="E98" s="13">
        <f t="shared" si="5"/>
        <v>1.0520847521913637E-2</v>
      </c>
      <c r="F98" s="13">
        <f t="shared" si="6"/>
        <v>9.7493269903742057</v>
      </c>
      <c r="G98" s="14">
        <f>F98/$F$103*$D$2</f>
        <v>35.228652380188457</v>
      </c>
      <c r="H98" s="14">
        <f>F98/$F$103*$E$2</f>
        <v>35.228652380188457</v>
      </c>
      <c r="I98" s="25" t="str">
        <f t="shared" si="7"/>
        <v>选中</v>
      </c>
    </row>
    <row r="99" spans="1:9" hidden="1" x14ac:dyDescent="0.25">
      <c r="A99" s="3">
        <v>1674</v>
      </c>
      <c r="B99" s="3">
        <v>113.3324738</v>
      </c>
      <c r="C99" s="3">
        <v>22.999641</v>
      </c>
      <c r="D99" s="3">
        <v>7</v>
      </c>
      <c r="E99" s="13">
        <f t="shared" si="5"/>
        <v>1.0630553511305168E-2</v>
      </c>
      <c r="F99" s="13">
        <f t="shared" si="6"/>
        <v>9.698890607939596</v>
      </c>
      <c r="G99" s="14" t="e">
        <f>F99/$F$124*$D$2</f>
        <v>#DIV/0!</v>
      </c>
      <c r="H99" s="14" t="e">
        <f>F99/$F$124*$E$2</f>
        <v>#DIV/0!</v>
      </c>
      <c r="I99" s="25" t="str">
        <f t="shared" si="7"/>
        <v/>
      </c>
    </row>
    <row r="100" spans="1:9" hidden="1" x14ac:dyDescent="0.25">
      <c r="A100" s="3">
        <v>1679</v>
      </c>
      <c r="B100" s="3">
        <v>113.3327082</v>
      </c>
      <c r="C100" s="3">
        <v>23.001281850000002</v>
      </c>
      <c r="D100" s="3">
        <v>7</v>
      </c>
      <c r="E100" s="13">
        <f t="shared" si="5"/>
        <v>1.1031855247795208E-2</v>
      </c>
      <c r="F100" s="13">
        <f t="shared" si="6"/>
        <v>9.5208499934990467</v>
      </c>
      <c r="G100" s="14" t="e">
        <f>F100/$F$124*$D$2</f>
        <v>#DIV/0!</v>
      </c>
      <c r="H100" s="14" t="e">
        <f>F100/$F$124*$E$2</f>
        <v>#DIV/0!</v>
      </c>
      <c r="I100" s="25" t="str">
        <f t="shared" si="7"/>
        <v/>
      </c>
    </row>
    <row r="101" spans="1:9" x14ac:dyDescent="0.25">
      <c r="A101" s="3">
        <v>1899</v>
      </c>
      <c r="B101" s="3">
        <v>113.35235160000001</v>
      </c>
      <c r="C101" s="3">
        <v>22.989674569999998</v>
      </c>
      <c r="D101" s="3">
        <v>7</v>
      </c>
      <c r="E101" s="13">
        <f t="shared" si="5"/>
        <v>1.1842371385996309E-2</v>
      </c>
      <c r="F101" s="13">
        <f t="shared" ref="F101" si="8">SQRT(1/E101)</f>
        <v>9.1892625820176033</v>
      </c>
      <c r="G101" s="14">
        <f>F101/$F$103*$D$2</f>
        <v>33.204890701870461</v>
      </c>
      <c r="H101" s="14">
        <f>F101/$F$103*$E$2</f>
        <v>33.204890701870461</v>
      </c>
      <c r="I101" s="25" t="str">
        <f t="shared" si="7"/>
        <v>选中</v>
      </c>
    </row>
    <row r="102" spans="1:9" x14ac:dyDescent="0.25">
      <c r="A102" s="3"/>
      <c r="B102" s="3"/>
      <c r="C102" s="3"/>
      <c r="D102" s="3"/>
      <c r="G102" s="14"/>
      <c r="H102" s="14"/>
    </row>
    <row r="103" spans="1:9" x14ac:dyDescent="0.25">
      <c r="A103" s="3"/>
      <c r="B103" s="3"/>
      <c r="C103" s="3"/>
      <c r="D103" s="3"/>
      <c r="F103" s="13">
        <f>SUBTOTAL(9,F5:F101)</f>
        <v>493.98848670137124</v>
      </c>
      <c r="G103" s="13">
        <f>SUBTOTAL(9,G5:G101)</f>
        <v>1785.0000000000002</v>
      </c>
      <c r="H103" s="13">
        <f>SUBTOTAL(9,H5:H101)</f>
        <v>1785.0000000000002</v>
      </c>
    </row>
    <row r="104" spans="1:9" x14ac:dyDescent="0.25">
      <c r="A104" s="3"/>
      <c r="B104" s="3"/>
      <c r="C104" s="3"/>
      <c r="D104" s="3"/>
      <c r="G104" s="14"/>
      <c r="H104" s="14"/>
    </row>
    <row r="105" spans="1:9" x14ac:dyDescent="0.25">
      <c r="A105" s="3"/>
      <c r="B105" s="3"/>
      <c r="C105" s="3"/>
      <c r="D105" s="3"/>
      <c r="G105" s="14"/>
      <c r="H105" s="14"/>
    </row>
    <row r="106" spans="1:9" x14ac:dyDescent="0.25">
      <c r="A106" s="3"/>
      <c r="B106" s="3"/>
      <c r="C106" s="3"/>
      <c r="D106" s="3"/>
      <c r="G106" s="14"/>
      <c r="H106" s="14"/>
    </row>
    <row r="107" spans="1:9" x14ac:dyDescent="0.25">
      <c r="A107" s="3"/>
      <c r="B107" s="3"/>
      <c r="C107" s="3"/>
      <c r="D107" s="3"/>
      <c r="G107" s="14"/>
      <c r="H107" s="14"/>
    </row>
    <row r="108" spans="1:9" x14ac:dyDescent="0.25">
      <c r="A108" s="3"/>
      <c r="B108" s="3"/>
      <c r="C108" s="3"/>
      <c r="D108" s="3"/>
      <c r="G108" s="14"/>
      <c r="H108" s="14"/>
    </row>
    <row r="109" spans="1:9" x14ac:dyDescent="0.25">
      <c r="A109" s="3"/>
      <c r="B109" s="3"/>
      <c r="C109" s="3"/>
      <c r="D109" s="3"/>
      <c r="G109" s="14"/>
      <c r="H109" s="14"/>
    </row>
    <row r="110" spans="1:9" x14ac:dyDescent="0.25">
      <c r="A110" s="3"/>
      <c r="B110" s="3"/>
      <c r="C110" s="3"/>
      <c r="D110" s="3"/>
      <c r="G110" s="14"/>
      <c r="H110" s="14"/>
    </row>
    <row r="111" spans="1:9" x14ac:dyDescent="0.25">
      <c r="A111" s="3"/>
      <c r="B111" s="3"/>
      <c r="C111" s="3"/>
      <c r="D111" s="3"/>
      <c r="G111" s="14"/>
      <c r="H111" s="14"/>
    </row>
    <row r="112" spans="1:9" x14ac:dyDescent="0.25">
      <c r="A112" s="3"/>
      <c r="B112" s="3"/>
      <c r="C112" s="3"/>
      <c r="D112" s="3"/>
      <c r="G112" s="14"/>
      <c r="H112" s="14"/>
    </row>
    <row r="113" spans="1:8" x14ac:dyDescent="0.25">
      <c r="A113" s="3"/>
      <c r="B113" s="3"/>
      <c r="C113" s="3"/>
      <c r="D113" s="3"/>
      <c r="G113" s="14"/>
      <c r="H113" s="14"/>
    </row>
    <row r="114" spans="1:8" x14ac:dyDescent="0.25">
      <c r="A114" s="3"/>
      <c r="B114" s="3"/>
      <c r="C114" s="3"/>
      <c r="D114" s="3"/>
      <c r="G114" s="14"/>
      <c r="H114" s="14"/>
    </row>
    <row r="115" spans="1:8" x14ac:dyDescent="0.25">
      <c r="A115" s="3"/>
      <c r="B115" s="3"/>
      <c r="C115" s="3"/>
      <c r="D115" s="3"/>
      <c r="G115" s="14"/>
      <c r="H115" s="14"/>
    </row>
    <row r="116" spans="1:8" x14ac:dyDescent="0.25">
      <c r="A116" s="3"/>
      <c r="B116" s="3"/>
      <c r="C116" s="3"/>
      <c r="D116" s="3"/>
      <c r="G116" s="14"/>
      <c r="H116" s="14"/>
    </row>
    <row r="117" spans="1:8" x14ac:dyDescent="0.25">
      <c r="A117" s="3"/>
      <c r="B117" s="3"/>
      <c r="C117" s="3"/>
      <c r="D117" s="3"/>
      <c r="G117" s="14"/>
      <c r="H117" s="14"/>
    </row>
    <row r="118" spans="1:8" x14ac:dyDescent="0.25">
      <c r="A118" s="3"/>
      <c r="B118" s="3"/>
      <c r="C118" s="3"/>
      <c r="D118" s="3"/>
      <c r="G118" s="14"/>
      <c r="H118" s="14"/>
    </row>
    <row r="119" spans="1:8" x14ac:dyDescent="0.25">
      <c r="A119" s="3"/>
      <c r="B119" s="3"/>
      <c r="C119" s="3"/>
      <c r="D119" s="3"/>
      <c r="G119" s="14"/>
      <c r="H119" s="14"/>
    </row>
    <row r="120" spans="1:8" x14ac:dyDescent="0.25">
      <c r="A120" s="3"/>
      <c r="B120" s="3"/>
      <c r="C120" s="3"/>
      <c r="D120" s="3"/>
      <c r="G120" s="14"/>
      <c r="H120" s="14"/>
    </row>
    <row r="121" spans="1:8" x14ac:dyDescent="0.25">
      <c r="A121" s="3"/>
      <c r="B121" s="3"/>
      <c r="C121" s="3"/>
      <c r="D121" s="3"/>
      <c r="G121" s="14"/>
      <c r="H121" s="14"/>
    </row>
    <row r="122" spans="1:8" x14ac:dyDescent="0.25">
      <c r="A122" s="3"/>
      <c r="B122" s="3"/>
      <c r="C122" s="3"/>
      <c r="D122" s="3"/>
      <c r="G122" s="14"/>
      <c r="H122" s="14"/>
    </row>
    <row r="123" spans="1:8" x14ac:dyDescent="0.25">
      <c r="A123" s="3"/>
      <c r="B123" s="3"/>
      <c r="C123" s="3"/>
      <c r="D123" s="3"/>
      <c r="G123" s="14"/>
      <c r="H123" s="14"/>
    </row>
    <row r="124" spans="1:8" x14ac:dyDescent="0.25">
      <c r="A124" s="3"/>
      <c r="B124" s="3"/>
      <c r="C124" s="3"/>
      <c r="D124" s="3"/>
      <c r="G124" s="14"/>
      <c r="H124" s="14"/>
    </row>
    <row r="125" spans="1:8" x14ac:dyDescent="0.25">
      <c r="A125" s="3"/>
      <c r="B125" s="3"/>
      <c r="C125" s="3"/>
      <c r="D125" s="3"/>
      <c r="G125" s="14"/>
      <c r="H125" s="14"/>
    </row>
    <row r="126" spans="1:8" x14ac:dyDescent="0.25">
      <c r="A126" s="18"/>
      <c r="B126" s="3"/>
      <c r="C126" s="3"/>
      <c r="D126" s="3"/>
      <c r="G126" s="14"/>
      <c r="H126" s="14"/>
    </row>
    <row r="127" spans="1:8" x14ac:dyDescent="0.25">
      <c r="A127" s="3"/>
      <c r="B127" s="3"/>
      <c r="C127" s="3"/>
      <c r="D127" s="3"/>
      <c r="G127" s="14"/>
      <c r="H127" s="14"/>
    </row>
    <row r="128" spans="1:8" x14ac:dyDescent="0.25">
      <c r="A128" s="3"/>
      <c r="B128" s="3"/>
      <c r="C128" s="3"/>
      <c r="D128" s="3"/>
      <c r="G128" s="14"/>
      <c r="H128" s="14"/>
    </row>
    <row r="129" spans="1:8" x14ac:dyDescent="0.25">
      <c r="A129" s="3"/>
      <c r="B129" s="3"/>
      <c r="C129" s="3"/>
      <c r="D129" s="3"/>
      <c r="G129" s="14"/>
      <c r="H129" s="14"/>
    </row>
    <row r="130" spans="1:8" x14ac:dyDescent="0.25">
      <c r="A130" s="3"/>
      <c r="B130" s="3"/>
      <c r="C130" s="3"/>
      <c r="D130" s="3"/>
      <c r="G130" s="14"/>
      <c r="H130" s="14"/>
    </row>
    <row r="131" spans="1:8" x14ac:dyDescent="0.25">
      <c r="A131" s="3"/>
      <c r="B131" s="3"/>
      <c r="C131" s="3"/>
      <c r="D131" s="3"/>
      <c r="G131" s="14"/>
      <c r="H131" s="14"/>
    </row>
    <row r="132" spans="1:8" x14ac:dyDescent="0.25">
      <c r="A132" s="3"/>
      <c r="B132" s="3"/>
      <c r="C132" s="3"/>
      <c r="D132" s="3"/>
      <c r="G132" s="14"/>
      <c r="H132" s="14"/>
    </row>
    <row r="133" spans="1:8" x14ac:dyDescent="0.25">
      <c r="A133" s="3"/>
      <c r="B133" s="3"/>
      <c r="C133" s="3"/>
      <c r="D133" s="3"/>
      <c r="G133" s="14"/>
      <c r="H133" s="14"/>
    </row>
    <row r="134" spans="1:8" x14ac:dyDescent="0.25">
      <c r="A134" s="3"/>
      <c r="B134" s="3"/>
      <c r="C134" s="3"/>
      <c r="D134" s="3"/>
      <c r="G134" s="14"/>
      <c r="H134" s="14"/>
    </row>
    <row r="135" spans="1:8" x14ac:dyDescent="0.25">
      <c r="A135" s="3"/>
      <c r="B135" s="3"/>
      <c r="C135" s="3"/>
      <c r="D135" s="3"/>
      <c r="G135" s="14"/>
      <c r="H135" s="14"/>
    </row>
    <row r="136" spans="1:8" x14ac:dyDescent="0.25">
      <c r="A136" s="3"/>
      <c r="B136" s="3"/>
      <c r="C136" s="3"/>
      <c r="D136" s="3"/>
      <c r="G136" s="14"/>
      <c r="H136" s="14"/>
    </row>
    <row r="137" spans="1:8" x14ac:dyDescent="0.25">
      <c r="A137" s="3"/>
      <c r="B137" s="3"/>
      <c r="C137" s="3"/>
      <c r="D137" s="3"/>
      <c r="G137" s="14"/>
      <c r="H137" s="14"/>
    </row>
    <row r="138" spans="1:8" x14ac:dyDescent="0.25">
      <c r="A138" s="3"/>
      <c r="B138" s="3"/>
      <c r="C138" s="3"/>
      <c r="D138" s="3"/>
      <c r="G138" s="14"/>
      <c r="H138" s="14"/>
    </row>
    <row r="139" spans="1:8" x14ac:dyDescent="0.25">
      <c r="A139" s="3"/>
      <c r="B139" s="3"/>
      <c r="C139" s="3"/>
      <c r="D139" s="3"/>
      <c r="G139" s="14"/>
      <c r="H139" s="14"/>
    </row>
    <row r="140" spans="1:8" x14ac:dyDescent="0.25">
      <c r="A140" s="3"/>
      <c r="B140" s="3"/>
      <c r="C140" s="3"/>
      <c r="D140" s="3"/>
      <c r="G140" s="14"/>
      <c r="H140" s="14"/>
    </row>
    <row r="141" spans="1:8" x14ac:dyDescent="0.25">
      <c r="A141" s="3"/>
      <c r="B141" s="3"/>
      <c r="C141" s="3"/>
      <c r="D141" s="3"/>
      <c r="G141" s="14"/>
      <c r="H141" s="14"/>
    </row>
    <row r="142" spans="1:8" x14ac:dyDescent="0.25">
      <c r="A142" s="3"/>
      <c r="B142" s="3"/>
      <c r="C142" s="3"/>
      <c r="D142" s="3"/>
      <c r="G142" s="14"/>
      <c r="H142" s="14"/>
    </row>
    <row r="143" spans="1:8" x14ac:dyDescent="0.25">
      <c r="A143" s="3"/>
      <c r="B143" s="3"/>
      <c r="C143" s="3"/>
      <c r="D143" s="3"/>
      <c r="G143" s="14"/>
      <c r="H143" s="14"/>
    </row>
    <row r="144" spans="1:8" x14ac:dyDescent="0.25">
      <c r="A144" s="3"/>
      <c r="B144" s="3"/>
      <c r="C144" s="3"/>
      <c r="D144" s="3"/>
      <c r="G144" s="14"/>
      <c r="H144" s="14"/>
    </row>
    <row r="145" spans="1:8" x14ac:dyDescent="0.25">
      <c r="A145" s="3"/>
      <c r="B145" s="3"/>
      <c r="C145" s="3"/>
      <c r="D145" s="3"/>
      <c r="G145" s="14"/>
      <c r="H145" s="14"/>
    </row>
    <row r="146" spans="1:8" x14ac:dyDescent="0.25">
      <c r="A146" s="3"/>
      <c r="B146" s="3"/>
      <c r="C146" s="3"/>
      <c r="D146" s="3"/>
      <c r="G146" s="14"/>
      <c r="H146" s="14"/>
    </row>
    <row r="147" spans="1:8" x14ac:dyDescent="0.25">
      <c r="A147" s="3"/>
      <c r="B147" s="3"/>
      <c r="C147" s="3"/>
      <c r="D147" s="3"/>
      <c r="G147" s="14"/>
      <c r="H147" s="14"/>
    </row>
    <row r="148" spans="1:8" x14ac:dyDescent="0.25">
      <c r="A148" s="3"/>
      <c r="B148" s="3"/>
      <c r="C148" s="3"/>
      <c r="D148" s="3"/>
      <c r="G148" s="14"/>
      <c r="H148" s="14"/>
    </row>
    <row r="149" spans="1:8" x14ac:dyDescent="0.25">
      <c r="A149" s="3"/>
      <c r="B149" s="3"/>
      <c r="C149" s="3"/>
      <c r="D149" s="3"/>
      <c r="G149" s="14"/>
      <c r="H149" s="14"/>
    </row>
    <row r="150" spans="1:8" x14ac:dyDescent="0.25">
      <c r="A150" s="3"/>
      <c r="B150" s="3"/>
      <c r="C150" s="3"/>
      <c r="D150" s="3"/>
      <c r="G150" s="14"/>
      <c r="H150" s="14"/>
    </row>
    <row r="151" spans="1:8" x14ac:dyDescent="0.25">
      <c r="A151" s="3"/>
      <c r="B151" s="3"/>
      <c r="C151" s="3"/>
      <c r="D151" s="3"/>
      <c r="G151" s="14"/>
      <c r="H151" s="14"/>
    </row>
    <row r="152" spans="1:8" x14ac:dyDescent="0.25">
      <c r="A152" s="3"/>
      <c r="B152" s="3"/>
      <c r="C152" s="3"/>
      <c r="D152" s="3"/>
      <c r="G152" s="14"/>
      <c r="H152" s="14"/>
    </row>
    <row r="153" spans="1:8" x14ac:dyDescent="0.25">
      <c r="A153" s="3"/>
      <c r="B153" s="3"/>
      <c r="C153" s="3"/>
      <c r="D153" s="3"/>
      <c r="G153" s="14"/>
      <c r="H153" s="14"/>
    </row>
    <row r="154" spans="1:8" x14ac:dyDescent="0.25">
      <c r="A154" s="3"/>
      <c r="B154" s="3"/>
      <c r="C154" s="3"/>
      <c r="D154" s="3"/>
      <c r="G154" s="14"/>
      <c r="H154" s="14"/>
    </row>
    <row r="155" spans="1:8" x14ac:dyDescent="0.25">
      <c r="A155" s="3"/>
      <c r="B155" s="3"/>
      <c r="C155" s="3"/>
      <c r="D155" s="3"/>
      <c r="G155" s="14"/>
      <c r="H155" s="14"/>
    </row>
    <row r="156" spans="1:8" x14ac:dyDescent="0.25">
      <c r="A156" s="3"/>
      <c r="B156" s="3"/>
      <c r="C156" s="3"/>
      <c r="D156" s="3"/>
      <c r="G156" s="14"/>
      <c r="H156" s="14"/>
    </row>
    <row r="157" spans="1:8" x14ac:dyDescent="0.25">
      <c r="A157" s="3"/>
      <c r="B157" s="3"/>
      <c r="C157" s="3"/>
      <c r="D157" s="3"/>
      <c r="G157" s="14"/>
      <c r="H157" s="14"/>
    </row>
    <row r="158" spans="1:8" x14ac:dyDescent="0.25">
      <c r="A158" s="3"/>
      <c r="B158" s="3"/>
      <c r="C158" s="3"/>
      <c r="D158" s="3"/>
      <c r="G158" s="14"/>
      <c r="H158" s="14"/>
    </row>
    <row r="159" spans="1:8" x14ac:dyDescent="0.25">
      <c r="A159" s="3"/>
      <c r="B159" s="3"/>
      <c r="C159" s="3"/>
      <c r="D159" s="3"/>
      <c r="G159" s="14"/>
      <c r="H159" s="14"/>
    </row>
    <row r="160" spans="1:8" x14ac:dyDescent="0.25">
      <c r="A160" s="3"/>
      <c r="B160" s="3"/>
      <c r="C160" s="3"/>
      <c r="D160" s="3"/>
      <c r="G160" s="14"/>
      <c r="H160" s="14"/>
    </row>
    <row r="161" spans="1:8" x14ac:dyDescent="0.25">
      <c r="A161" s="3"/>
      <c r="B161" s="3"/>
      <c r="C161" s="3"/>
      <c r="D161" s="3"/>
      <c r="G161" s="14"/>
      <c r="H161" s="14"/>
    </row>
    <row r="162" spans="1:8" x14ac:dyDescent="0.25">
      <c r="A162" s="3"/>
      <c r="B162" s="3"/>
      <c r="C162" s="3"/>
      <c r="D162" s="3"/>
      <c r="G162" s="14"/>
      <c r="H162" s="14"/>
    </row>
    <row r="163" spans="1:8" x14ac:dyDescent="0.25">
      <c r="A163" s="3"/>
      <c r="B163" s="3"/>
      <c r="C163" s="3"/>
      <c r="D163" s="3"/>
      <c r="G163" s="14"/>
      <c r="H163" s="14"/>
    </row>
    <row r="164" spans="1:8" x14ac:dyDescent="0.25">
      <c r="A164" s="3"/>
      <c r="B164" s="3"/>
      <c r="C164" s="3"/>
      <c r="D164" s="3"/>
      <c r="G164" s="14"/>
      <c r="H164" s="14"/>
    </row>
    <row r="165" spans="1:8" x14ac:dyDescent="0.25">
      <c r="A165" s="3"/>
      <c r="B165" s="3"/>
      <c r="C165" s="3"/>
      <c r="D165" s="3"/>
      <c r="G165" s="14"/>
      <c r="H165" s="14"/>
    </row>
    <row r="166" spans="1:8" x14ac:dyDescent="0.25">
      <c r="A166" s="3"/>
      <c r="B166" s="3"/>
      <c r="C166" s="3"/>
      <c r="D166" s="3"/>
      <c r="G166" s="14"/>
      <c r="H166" s="14"/>
    </row>
    <row r="167" spans="1:8" x14ac:dyDescent="0.25">
      <c r="A167" s="3"/>
      <c r="B167" s="3"/>
      <c r="C167" s="3"/>
      <c r="D167" s="3"/>
      <c r="G167" s="14"/>
      <c r="H167" s="14"/>
    </row>
    <row r="168" spans="1:8" x14ac:dyDescent="0.25">
      <c r="A168" s="3"/>
      <c r="B168" s="3"/>
      <c r="C168" s="3"/>
      <c r="D168" s="3"/>
      <c r="G168" s="14"/>
      <c r="H168" s="14"/>
    </row>
    <row r="169" spans="1:8" x14ac:dyDescent="0.25">
      <c r="A169" s="3"/>
      <c r="B169" s="3"/>
      <c r="C169" s="3"/>
      <c r="D169" s="3"/>
      <c r="G169" s="14"/>
      <c r="H169" s="14"/>
    </row>
    <row r="170" spans="1:8" x14ac:dyDescent="0.25">
      <c r="A170" s="3"/>
      <c r="B170" s="3"/>
      <c r="C170" s="3"/>
      <c r="D170" s="3"/>
      <c r="G170" s="14"/>
      <c r="H170" s="14"/>
    </row>
    <row r="171" spans="1:8" x14ac:dyDescent="0.25">
      <c r="A171" s="3"/>
      <c r="B171" s="3"/>
      <c r="C171" s="3"/>
      <c r="D171" s="3"/>
      <c r="G171" s="14"/>
      <c r="H171" s="14"/>
    </row>
    <row r="172" spans="1:8" x14ac:dyDescent="0.25">
      <c r="A172" s="3"/>
      <c r="B172" s="3"/>
      <c r="C172" s="3"/>
      <c r="D172" s="3"/>
      <c r="G172" s="14"/>
      <c r="H172" s="14"/>
    </row>
    <row r="173" spans="1:8" x14ac:dyDescent="0.25">
      <c r="A173" s="3"/>
      <c r="B173" s="3"/>
      <c r="C173" s="3"/>
      <c r="D173" s="3"/>
      <c r="G173" s="14"/>
      <c r="H173" s="14"/>
    </row>
    <row r="174" spans="1:8" x14ac:dyDescent="0.25">
      <c r="A174" s="3"/>
      <c r="B174" s="3"/>
      <c r="C174" s="3"/>
      <c r="D174" s="3"/>
      <c r="G174" s="14"/>
      <c r="H174" s="14"/>
    </row>
    <row r="175" spans="1:8" x14ac:dyDescent="0.25">
      <c r="A175" s="3"/>
      <c r="B175" s="3"/>
      <c r="C175" s="3"/>
      <c r="D175" s="3"/>
      <c r="G175" s="14"/>
      <c r="H175" s="14"/>
    </row>
    <row r="176" spans="1:8" x14ac:dyDescent="0.25">
      <c r="A176" s="3"/>
      <c r="B176" s="3"/>
      <c r="C176" s="3"/>
      <c r="D176" s="3"/>
      <c r="G176" s="14"/>
      <c r="H176" s="14"/>
    </row>
    <row r="177" spans="1:8" x14ac:dyDescent="0.25">
      <c r="A177" s="3"/>
      <c r="B177" s="3"/>
      <c r="C177" s="3"/>
      <c r="D177" s="3"/>
      <c r="G177" s="14"/>
      <c r="H177" s="14"/>
    </row>
    <row r="178" spans="1:8" x14ac:dyDescent="0.25">
      <c r="A178" s="3"/>
      <c r="B178" s="3"/>
      <c r="C178" s="3"/>
      <c r="D178" s="3"/>
      <c r="G178" s="14"/>
      <c r="H178" s="14"/>
    </row>
    <row r="179" spans="1:8" x14ac:dyDescent="0.25">
      <c r="A179" s="3"/>
      <c r="B179" s="3"/>
      <c r="C179" s="3"/>
      <c r="D179" s="3"/>
      <c r="G179" s="14"/>
      <c r="H179" s="14"/>
    </row>
    <row r="180" spans="1:8" x14ac:dyDescent="0.25">
      <c r="A180" s="3"/>
      <c r="B180" s="3"/>
      <c r="C180" s="3"/>
      <c r="D180" s="3"/>
      <c r="G180" s="14"/>
      <c r="H180" s="14"/>
    </row>
    <row r="181" spans="1:8" x14ac:dyDescent="0.25">
      <c r="A181" s="3"/>
      <c r="B181" s="3"/>
      <c r="C181" s="3"/>
      <c r="D181" s="3"/>
      <c r="G181" s="14"/>
      <c r="H181" s="14"/>
    </row>
    <row r="182" spans="1:8" x14ac:dyDescent="0.25">
      <c r="A182" s="3"/>
      <c r="B182" s="3"/>
      <c r="C182" s="3"/>
      <c r="D182" s="3"/>
      <c r="G182" s="14"/>
      <c r="H182" s="14"/>
    </row>
    <row r="183" spans="1:8" x14ac:dyDescent="0.25">
      <c r="A183" s="3"/>
      <c r="B183" s="3"/>
      <c r="C183" s="3"/>
      <c r="D183" s="3"/>
      <c r="G183" s="14"/>
      <c r="H183" s="14"/>
    </row>
    <row r="184" spans="1:8" x14ac:dyDescent="0.25">
      <c r="A184" s="3"/>
      <c r="B184" s="3"/>
      <c r="C184" s="3"/>
      <c r="D184" s="3"/>
      <c r="G184" s="14"/>
      <c r="H184" s="14"/>
    </row>
    <row r="185" spans="1:8" x14ac:dyDescent="0.25">
      <c r="A185" s="3"/>
      <c r="B185" s="3"/>
      <c r="C185" s="3"/>
      <c r="D185" s="3"/>
      <c r="G185" s="14"/>
      <c r="H185" s="14"/>
    </row>
    <row r="186" spans="1:8" x14ac:dyDescent="0.25">
      <c r="A186" s="3"/>
      <c r="B186" s="3"/>
      <c r="C186" s="3"/>
      <c r="D186" s="3"/>
      <c r="G186" s="14"/>
      <c r="H186" s="14"/>
    </row>
    <row r="187" spans="1:8" x14ac:dyDescent="0.25">
      <c r="A187" s="3"/>
      <c r="B187" s="3"/>
      <c r="C187" s="3"/>
      <c r="D187" s="3"/>
      <c r="G187" s="14"/>
      <c r="H187" s="14"/>
    </row>
    <row r="188" spans="1:8" x14ac:dyDescent="0.25">
      <c r="A188" s="3"/>
      <c r="B188" s="3"/>
      <c r="C188" s="3"/>
      <c r="D188" s="3"/>
      <c r="G188" s="14"/>
      <c r="H188" s="14"/>
    </row>
    <row r="189" spans="1:8" x14ac:dyDescent="0.25">
      <c r="A189" s="3"/>
      <c r="B189" s="3"/>
      <c r="C189" s="3"/>
      <c r="D189" s="3"/>
      <c r="G189" s="14"/>
      <c r="H189" s="14"/>
    </row>
    <row r="190" spans="1:8" x14ac:dyDescent="0.25">
      <c r="A190" s="3"/>
      <c r="B190" s="3"/>
      <c r="C190" s="3"/>
      <c r="D190" s="3"/>
      <c r="G190" s="14"/>
      <c r="H190" s="14"/>
    </row>
    <row r="191" spans="1:8" x14ac:dyDescent="0.25">
      <c r="A191" s="3"/>
      <c r="B191" s="3"/>
      <c r="C191" s="3"/>
      <c r="D191" s="3"/>
      <c r="G191" s="14"/>
      <c r="H191" s="14"/>
    </row>
    <row r="192" spans="1:8" x14ac:dyDescent="0.25">
      <c r="A192" s="3"/>
      <c r="B192" s="3"/>
      <c r="C192" s="3"/>
      <c r="D192" s="3"/>
      <c r="G192" s="14"/>
      <c r="H192" s="14"/>
    </row>
    <row r="193" spans="1:8" x14ac:dyDescent="0.25">
      <c r="A193" s="3"/>
      <c r="B193" s="3"/>
      <c r="C193" s="3"/>
      <c r="D193" s="3"/>
      <c r="G193" s="14"/>
      <c r="H193" s="14"/>
    </row>
    <row r="194" spans="1:8" x14ac:dyDescent="0.25">
      <c r="A194" s="3"/>
      <c r="B194" s="3"/>
      <c r="C194" s="3"/>
      <c r="D194" s="3"/>
      <c r="G194" s="14"/>
      <c r="H194" s="14"/>
    </row>
    <row r="195" spans="1:8" x14ac:dyDescent="0.25">
      <c r="A195" s="3"/>
      <c r="B195" s="3"/>
      <c r="C195" s="3"/>
      <c r="D195" s="3"/>
      <c r="G195" s="14"/>
      <c r="H195" s="14"/>
    </row>
    <row r="196" spans="1:8" x14ac:dyDescent="0.25">
      <c r="A196" s="3"/>
      <c r="B196" s="3"/>
      <c r="C196" s="3"/>
      <c r="D196" s="3"/>
      <c r="G196" s="14"/>
      <c r="H196" s="14"/>
    </row>
    <row r="197" spans="1:8" x14ac:dyDescent="0.25">
      <c r="A197" s="3"/>
      <c r="B197" s="3"/>
      <c r="C197" s="3"/>
      <c r="D197" s="3"/>
      <c r="G197" s="14"/>
      <c r="H197" s="14"/>
    </row>
    <row r="198" spans="1:8" x14ac:dyDescent="0.25">
      <c r="A198" s="3"/>
      <c r="B198" s="3"/>
      <c r="C198" s="3"/>
      <c r="D198" s="3"/>
      <c r="G198" s="14"/>
      <c r="H198" s="14"/>
    </row>
    <row r="199" spans="1:8" x14ac:dyDescent="0.25">
      <c r="A199" s="3"/>
      <c r="B199" s="3"/>
      <c r="C199" s="3"/>
      <c r="D199" s="3"/>
      <c r="G199" s="14"/>
      <c r="H199" s="14"/>
    </row>
    <row r="200" spans="1:8" x14ac:dyDescent="0.25">
      <c r="A200" s="3"/>
      <c r="B200" s="3"/>
      <c r="C200" s="3"/>
      <c r="D200" s="3"/>
      <c r="G200" s="14"/>
      <c r="H200" s="14"/>
    </row>
    <row r="201" spans="1:8" x14ac:dyDescent="0.25">
      <c r="A201" s="3"/>
      <c r="B201" s="3"/>
      <c r="C201" s="3"/>
      <c r="D201" s="3"/>
      <c r="G201" s="14"/>
      <c r="H201" s="14"/>
    </row>
    <row r="202" spans="1:8" x14ac:dyDescent="0.25">
      <c r="A202" s="3"/>
      <c r="B202" s="3"/>
      <c r="C202" s="3"/>
      <c r="D202" s="3"/>
      <c r="G202" s="14"/>
      <c r="H202" s="14"/>
    </row>
    <row r="203" spans="1:8" x14ac:dyDescent="0.25">
      <c r="A203" s="3"/>
      <c r="B203" s="3"/>
      <c r="C203" s="3"/>
      <c r="D203" s="3"/>
      <c r="G203" s="14"/>
      <c r="H203" s="14"/>
    </row>
    <row r="204" spans="1:8" x14ac:dyDescent="0.25">
      <c r="A204" s="3"/>
      <c r="B204" s="3"/>
      <c r="C204" s="3"/>
      <c r="D204" s="3"/>
      <c r="G204" s="14"/>
      <c r="H204" s="14"/>
    </row>
    <row r="205" spans="1:8" x14ac:dyDescent="0.25">
      <c r="A205" s="3"/>
      <c r="B205" s="3"/>
      <c r="C205" s="3"/>
      <c r="D205" s="3"/>
      <c r="G205" s="14"/>
      <c r="H205" s="14"/>
    </row>
    <row r="206" spans="1:8" x14ac:dyDescent="0.25">
      <c r="A206" s="3"/>
      <c r="B206" s="3"/>
      <c r="C206" s="3"/>
      <c r="D206" s="3"/>
      <c r="G206" s="14"/>
      <c r="H206" s="14"/>
    </row>
    <row r="207" spans="1:8" x14ac:dyDescent="0.25">
      <c r="A207" s="3"/>
      <c r="B207" s="3"/>
      <c r="C207" s="3"/>
      <c r="D207" s="3"/>
      <c r="G207" s="14"/>
      <c r="H207" s="14"/>
    </row>
    <row r="208" spans="1:8" x14ac:dyDescent="0.25">
      <c r="A208" s="3"/>
      <c r="B208" s="3"/>
      <c r="C208" s="3"/>
      <c r="D208" s="3"/>
      <c r="G208" s="14"/>
      <c r="H208" s="14"/>
    </row>
    <row r="209" spans="1:8" x14ac:dyDescent="0.25">
      <c r="A209" s="3"/>
      <c r="B209" s="3"/>
      <c r="C209" s="3"/>
      <c r="D209" s="3"/>
      <c r="G209" s="14"/>
      <c r="H209" s="14"/>
    </row>
    <row r="210" spans="1:8" x14ac:dyDescent="0.25">
      <c r="A210" s="3"/>
      <c r="B210" s="3"/>
      <c r="C210" s="3"/>
      <c r="D210" s="3"/>
      <c r="G210" s="14"/>
      <c r="H210" s="14"/>
    </row>
    <row r="211" spans="1:8" x14ac:dyDescent="0.25">
      <c r="A211" s="3"/>
      <c r="B211" s="3"/>
      <c r="C211" s="3"/>
      <c r="D211" s="3"/>
      <c r="G211" s="14"/>
      <c r="H211" s="14"/>
    </row>
    <row r="212" spans="1:8" x14ac:dyDescent="0.25">
      <c r="A212" s="3"/>
      <c r="B212" s="3"/>
      <c r="C212" s="3"/>
      <c r="D212" s="3"/>
      <c r="G212" s="14"/>
      <c r="H212" s="14"/>
    </row>
    <row r="213" spans="1:8" x14ac:dyDescent="0.25">
      <c r="A213" s="3"/>
      <c r="B213" s="3"/>
      <c r="C213" s="3"/>
      <c r="D213" s="3"/>
      <c r="G213" s="14"/>
      <c r="H213" s="14"/>
    </row>
    <row r="214" spans="1:8" x14ac:dyDescent="0.25">
      <c r="A214" s="3"/>
      <c r="B214" s="3"/>
      <c r="C214" s="3"/>
      <c r="D214" s="3"/>
      <c r="G214" s="14"/>
      <c r="H214" s="14"/>
    </row>
    <row r="215" spans="1:8" x14ac:dyDescent="0.25">
      <c r="A215" s="3"/>
      <c r="B215" s="3"/>
      <c r="C215" s="3"/>
      <c r="D215" s="3"/>
      <c r="G215" s="14"/>
      <c r="H215" s="14"/>
    </row>
    <row r="216" spans="1:8" x14ac:dyDescent="0.25">
      <c r="A216" s="3"/>
      <c r="B216" s="3"/>
      <c r="C216" s="3"/>
      <c r="D216" s="3"/>
      <c r="G216" s="14"/>
      <c r="H216" s="14"/>
    </row>
    <row r="217" spans="1:8" x14ac:dyDescent="0.25">
      <c r="A217" s="3"/>
      <c r="B217" s="3"/>
      <c r="C217" s="3"/>
      <c r="D217" s="3"/>
      <c r="G217" s="14"/>
      <c r="H217" s="14"/>
    </row>
    <row r="218" spans="1:8" x14ac:dyDescent="0.25">
      <c r="A218" s="3"/>
      <c r="B218" s="3"/>
      <c r="C218" s="3"/>
      <c r="D218" s="3"/>
      <c r="G218" s="14"/>
      <c r="H218" s="14"/>
    </row>
    <row r="219" spans="1:8" x14ac:dyDescent="0.25">
      <c r="A219" s="3"/>
      <c r="B219" s="3"/>
      <c r="C219" s="3"/>
      <c r="D219" s="3"/>
      <c r="G219" s="14"/>
      <c r="H219" s="14"/>
    </row>
    <row r="220" spans="1:8" x14ac:dyDescent="0.25">
      <c r="A220" s="3"/>
      <c r="B220" s="3"/>
      <c r="C220" s="3"/>
      <c r="D220" s="3"/>
      <c r="G220" s="14"/>
      <c r="H220" s="14"/>
    </row>
    <row r="221" spans="1:8" x14ac:dyDescent="0.25">
      <c r="A221" s="3"/>
      <c r="B221" s="3"/>
      <c r="C221" s="3"/>
      <c r="D221" s="3"/>
      <c r="G221" s="14"/>
      <c r="H221" s="14"/>
    </row>
    <row r="222" spans="1:8" x14ac:dyDescent="0.25">
      <c r="A222" s="3"/>
      <c r="B222" s="3"/>
      <c r="C222" s="3"/>
      <c r="D222" s="3"/>
      <c r="G222" s="14"/>
      <c r="H222" s="14"/>
    </row>
    <row r="223" spans="1:8" x14ac:dyDescent="0.25">
      <c r="A223" s="3"/>
      <c r="B223" s="3"/>
      <c r="C223" s="3"/>
      <c r="D223" s="3"/>
      <c r="G223" s="14"/>
      <c r="H223" s="14"/>
    </row>
    <row r="224" spans="1:8" x14ac:dyDescent="0.25">
      <c r="A224" s="3"/>
      <c r="B224" s="3"/>
      <c r="C224" s="3"/>
      <c r="D224" s="3"/>
      <c r="G224" s="14"/>
      <c r="H224" s="14"/>
    </row>
    <row r="225" spans="1:8" x14ac:dyDescent="0.25">
      <c r="A225" s="3"/>
      <c r="B225" s="3"/>
      <c r="C225" s="3"/>
      <c r="D225" s="3"/>
      <c r="G225" s="14"/>
      <c r="H225" s="14"/>
    </row>
    <row r="226" spans="1:8" x14ac:dyDescent="0.25">
      <c r="A226" s="3"/>
      <c r="B226" s="3"/>
      <c r="C226" s="3"/>
      <c r="D226" s="3"/>
      <c r="G226" s="14"/>
      <c r="H226" s="14"/>
    </row>
    <row r="227" spans="1:8" x14ac:dyDescent="0.25">
      <c r="A227" s="3"/>
      <c r="B227" s="3"/>
      <c r="C227" s="3"/>
      <c r="D227" s="3"/>
      <c r="G227" s="14"/>
      <c r="H227" s="14"/>
    </row>
    <row r="228" spans="1:8" x14ac:dyDescent="0.25">
      <c r="A228" s="3"/>
      <c r="B228" s="3"/>
      <c r="C228" s="3"/>
      <c r="D228" s="3"/>
      <c r="G228" s="14"/>
      <c r="H228" s="14"/>
    </row>
    <row r="229" spans="1:8" x14ac:dyDescent="0.25">
      <c r="A229" s="3"/>
      <c r="B229" s="3"/>
      <c r="C229" s="3"/>
      <c r="D229" s="3"/>
      <c r="G229" s="14"/>
      <c r="H229" s="14"/>
    </row>
    <row r="230" spans="1:8" x14ac:dyDescent="0.25">
      <c r="A230" s="3"/>
      <c r="B230" s="3"/>
      <c r="C230" s="3"/>
      <c r="D230" s="3"/>
      <c r="G230" s="14"/>
      <c r="H230" s="14"/>
    </row>
    <row r="231" spans="1:8" x14ac:dyDescent="0.25">
      <c r="A231" s="3"/>
      <c r="B231" s="3"/>
      <c r="C231" s="3"/>
      <c r="D231" s="3"/>
      <c r="G231" s="14"/>
      <c r="H231" s="14"/>
    </row>
    <row r="232" spans="1:8" x14ac:dyDescent="0.25">
      <c r="A232" s="3"/>
      <c r="B232" s="3"/>
      <c r="C232" s="3"/>
      <c r="D232" s="3"/>
      <c r="G232" s="14"/>
      <c r="H232" s="14"/>
    </row>
    <row r="233" spans="1:8" x14ac:dyDescent="0.25">
      <c r="A233" s="3"/>
      <c r="B233" s="3"/>
      <c r="C233" s="3"/>
      <c r="D233" s="3"/>
      <c r="G233" s="14"/>
      <c r="H233" s="14"/>
    </row>
    <row r="234" spans="1:8" x14ac:dyDescent="0.25">
      <c r="A234" s="3"/>
      <c r="B234" s="3"/>
      <c r="C234" s="3"/>
      <c r="D234" s="3"/>
      <c r="G234" s="14"/>
      <c r="H234" s="14"/>
    </row>
    <row r="235" spans="1:8" x14ac:dyDescent="0.25">
      <c r="A235" s="3"/>
      <c r="B235" s="3"/>
      <c r="C235" s="3"/>
      <c r="D235" s="3"/>
      <c r="G235" s="14"/>
      <c r="H235" s="14"/>
    </row>
    <row r="236" spans="1:8" x14ac:dyDescent="0.25">
      <c r="A236" s="3"/>
      <c r="B236" s="3"/>
      <c r="C236" s="3"/>
      <c r="D236" s="3"/>
      <c r="G236" s="14"/>
      <c r="H236" s="14"/>
    </row>
    <row r="237" spans="1:8" x14ac:dyDescent="0.25">
      <c r="A237" s="3"/>
      <c r="B237" s="3"/>
      <c r="C237" s="3"/>
      <c r="D237" s="3"/>
      <c r="G237" s="14"/>
      <c r="H237" s="14"/>
    </row>
    <row r="238" spans="1:8" x14ac:dyDescent="0.25">
      <c r="A238" s="3"/>
      <c r="B238" s="3"/>
      <c r="C238" s="3"/>
      <c r="D238" s="3"/>
      <c r="G238" s="14"/>
      <c r="H238" s="14"/>
    </row>
    <row r="239" spans="1:8" x14ac:dyDescent="0.25">
      <c r="A239" s="3"/>
      <c r="B239" s="3"/>
      <c r="C239" s="3"/>
      <c r="D239" s="3"/>
      <c r="G239" s="14"/>
      <c r="H239" s="14"/>
    </row>
    <row r="240" spans="1:8" x14ac:dyDescent="0.25">
      <c r="A240" s="3"/>
      <c r="B240" s="3"/>
      <c r="C240" s="3"/>
      <c r="D240" s="3"/>
      <c r="G240" s="14"/>
      <c r="H240" s="14"/>
    </row>
    <row r="241" spans="1:8" x14ac:dyDescent="0.25">
      <c r="A241" s="3"/>
      <c r="B241" s="3"/>
      <c r="C241" s="3"/>
      <c r="D241" s="3"/>
      <c r="G241" s="14"/>
      <c r="H241" s="14"/>
    </row>
    <row r="242" spans="1:8" x14ac:dyDescent="0.25">
      <c r="A242" s="3"/>
      <c r="B242" s="3"/>
      <c r="C242" s="3"/>
      <c r="D242" s="3"/>
      <c r="G242" s="14"/>
      <c r="H242" s="14"/>
    </row>
    <row r="243" spans="1:8" x14ac:dyDescent="0.25">
      <c r="A243" s="3"/>
      <c r="B243" s="3"/>
      <c r="C243" s="3"/>
      <c r="D243" s="3"/>
      <c r="G243" s="14"/>
      <c r="H243" s="14"/>
    </row>
    <row r="244" spans="1:8" x14ac:dyDescent="0.25">
      <c r="A244" s="3"/>
      <c r="B244" s="3"/>
      <c r="C244" s="3"/>
      <c r="D244" s="3"/>
      <c r="G244" s="14"/>
      <c r="H244" s="14"/>
    </row>
    <row r="245" spans="1:8" x14ac:dyDescent="0.25">
      <c r="A245" s="3"/>
      <c r="B245" s="3"/>
      <c r="C245" s="3"/>
      <c r="D245" s="3"/>
      <c r="G245" s="14"/>
      <c r="H245" s="14"/>
    </row>
    <row r="247" spans="1:8" x14ac:dyDescent="0.25">
      <c r="A247" s="3"/>
      <c r="G247" s="14"/>
      <c r="H247" s="14"/>
    </row>
  </sheetData>
  <phoneticPr fontId="1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4FBAE0-2E51-4756-BE2F-C96D5938AE40}">
  <sheetPr/>
  <dimension ref="A1:I247"/>
  <sheetViews>
    <sheetView zoomScale="115" zoomScaleNormal="115" workbookViewId="0">
      <selection activeCell="A5" sqref="A5:H56"/>
    </sheetView>
  </sheetViews>
  <sheetFormatPr defaultRowHeight="15" x14ac:dyDescent="0.25"/>
  <cols>
    <col min="1" max="1" width="8.875" style="4" customWidth="1"/>
    <col min="2" max="3" width="15.125" style="4" customWidth="1"/>
    <col min="4" max="4" width="10.25" style="4" customWidth="1"/>
    <col min="5" max="5" width="12" style="13" customWidth="1"/>
    <col min="6" max="6" width="15" style="13" customWidth="1"/>
    <col min="7" max="7" width="13.875" customWidth="1"/>
    <col min="8" max="8" width="11.125" customWidth="1"/>
    <col min="11" max="12" width="15.125" customWidth="1"/>
    <col min="13" max="13" width="11.125" customWidth="1"/>
  </cols>
  <sheetData>
    <row r="1" spans="1:9" ht="14.25" x14ac:dyDescent="0.2">
      <c r="A1" s="2" t="s">
        <v>12</v>
      </c>
      <c r="B1" s="2" t="s">
        <v>4</v>
      </c>
      <c r="C1" s="2" t="s">
        <v>5</v>
      </c>
      <c r="D1" s="2" t="s">
        <v>13</v>
      </c>
      <c r="E1" s="2" t="s">
        <v>14</v>
      </c>
      <c r="F1" s="2" t="s">
        <v>15</v>
      </c>
      <c r="G1" s="2" t="s">
        <v>16</v>
      </c>
    </row>
    <row r="2" spans="1:9" x14ac:dyDescent="0.25">
      <c r="A2" s="11">
        <v>9</v>
      </c>
      <c r="B2" s="3">
        <v>113.318248</v>
      </c>
      <c r="C2" s="8">
        <v>22.939001810000001</v>
      </c>
      <c r="D2" s="3">
        <v>0</v>
      </c>
      <c r="E2" s="13">
        <v>1015</v>
      </c>
      <c r="F2" s="13">
        <v>33</v>
      </c>
      <c r="G2" s="19">
        <f>SUBTOTAL(2,A5:A250)</f>
        <v>18</v>
      </c>
    </row>
    <row r="3" spans="1:9" x14ac:dyDescent="0.25">
      <c r="A3" s="3"/>
      <c r="B3" s="3"/>
      <c r="C3" s="3"/>
      <c r="D3" s="3"/>
    </row>
    <row r="4" spans="1:9" ht="14.25" x14ac:dyDescent="0.2">
      <c r="A4" s="2" t="s">
        <v>0</v>
      </c>
      <c r="B4" s="2" t="s">
        <v>1</v>
      </c>
      <c r="C4" s="2" t="s">
        <v>2</v>
      </c>
      <c r="D4" s="2" t="s">
        <v>3</v>
      </c>
      <c r="E4" s="2" t="s">
        <v>7</v>
      </c>
      <c r="F4" s="2" t="s">
        <v>8</v>
      </c>
      <c r="G4" s="2" t="s">
        <v>13</v>
      </c>
      <c r="H4" s="2" t="s">
        <v>14</v>
      </c>
      <c r="I4" s="24" t="s">
        <v>20</v>
      </c>
    </row>
    <row r="5" spans="1:9" x14ac:dyDescent="0.25">
      <c r="A5" s="3">
        <v>3328</v>
      </c>
      <c r="B5" s="3">
        <v>113.3182351</v>
      </c>
      <c r="C5" s="3">
        <v>22.93866727</v>
      </c>
      <c r="D5" s="3">
        <v>9</v>
      </c>
      <c r="E5" s="13">
        <f t="shared" ref="E5:E36" si="0">SQRT((B5-$B$2)^2+(C5-$C$2)^2)</f>
        <v>3.3478862226867239E-4</v>
      </c>
      <c r="F5" s="13">
        <f t="shared" ref="F5:F36" si="1">SQRT(1/E5)</f>
        <v>54.653081645918249</v>
      </c>
      <c r="G5" s="14">
        <f>F5/$F$58*$D$2</f>
        <v>0</v>
      </c>
      <c r="H5" s="14">
        <f>F5/$F$58*$E$2</f>
        <v>219.06077485965164</v>
      </c>
      <c r="I5" s="25" t="str">
        <f>IF(MOD(ROW()-1,3)=1,"选中","")</f>
        <v>选中</v>
      </c>
    </row>
    <row r="6" spans="1:9" hidden="1" x14ac:dyDescent="0.25">
      <c r="A6" s="3">
        <v>3335</v>
      </c>
      <c r="B6" s="3">
        <v>113.3195395</v>
      </c>
      <c r="C6" s="3">
        <v>22.936933509999999</v>
      </c>
      <c r="D6" s="3">
        <v>9</v>
      </c>
      <c r="E6" s="13">
        <f t="shared" si="0"/>
        <v>2.4384087311247107E-3</v>
      </c>
      <c r="F6" s="13">
        <f t="shared" si="1"/>
        <v>20.251012775367123</v>
      </c>
      <c r="G6" s="14" t="e">
        <f>F6/$F$124*$D$2</f>
        <v>#DIV/0!</v>
      </c>
      <c r="H6" s="14" t="e">
        <f>F6/$F$124*$E$2</f>
        <v>#DIV/0!</v>
      </c>
      <c r="I6" s="25" t="str">
        <f t="shared" ref="I6:I56" si="2">IF(MOD(ROW()-1,3)=1,"选中","")</f>
        <v/>
      </c>
    </row>
    <row r="7" spans="1:9" hidden="1" x14ac:dyDescent="0.25">
      <c r="A7" s="3">
        <v>3326</v>
      </c>
      <c r="B7" s="3">
        <v>113.3154936</v>
      </c>
      <c r="C7" s="3">
        <v>22.939467140000001</v>
      </c>
      <c r="D7" s="3">
        <v>9</v>
      </c>
      <c r="E7" s="13">
        <f t="shared" si="0"/>
        <v>2.7934300365149781E-3</v>
      </c>
      <c r="F7" s="13">
        <f t="shared" si="1"/>
        <v>18.920434287385554</v>
      </c>
      <c r="G7" s="14" t="e">
        <f>F7/$F$124*$D$2</f>
        <v>#DIV/0!</v>
      </c>
      <c r="H7" s="14" t="e">
        <f>F7/$F$124*$E$2</f>
        <v>#DIV/0!</v>
      </c>
      <c r="I7" s="25" t="str">
        <f t="shared" si="2"/>
        <v/>
      </c>
    </row>
    <row r="8" spans="1:9" x14ac:dyDescent="0.25">
      <c r="A8" s="3">
        <v>3327</v>
      </c>
      <c r="B8" s="3">
        <v>113.3154607</v>
      </c>
      <c r="C8" s="3">
        <v>22.939266279999998</v>
      </c>
      <c r="D8" s="3">
        <v>9</v>
      </c>
      <c r="E8" s="13">
        <f t="shared" si="0"/>
        <v>2.799818863938671E-3</v>
      </c>
      <c r="F8" s="13">
        <f t="shared" si="1"/>
        <v>18.898834956870918</v>
      </c>
      <c r="G8" s="14">
        <f>F8/$F$58*$D$2</f>
        <v>0</v>
      </c>
      <c r="H8" s="14">
        <f>F8/$F$58*$E$2</f>
        <v>75.750411594695663</v>
      </c>
      <c r="I8" s="25" t="str">
        <f t="shared" si="2"/>
        <v>选中</v>
      </c>
    </row>
    <row r="9" spans="1:9" hidden="1" x14ac:dyDescent="0.25">
      <c r="A9" s="3">
        <v>3329</v>
      </c>
      <c r="B9" s="3">
        <v>113.31473920000001</v>
      </c>
      <c r="C9" s="3">
        <v>22.938944790000001</v>
      </c>
      <c r="D9" s="3">
        <v>9</v>
      </c>
      <c r="E9" s="13">
        <f t="shared" si="0"/>
        <v>3.5092632731588262E-3</v>
      </c>
      <c r="F9" s="13">
        <f t="shared" si="1"/>
        <v>16.880761126960881</v>
      </c>
      <c r="G9" s="14" t="e">
        <f>F9/$F$124*$D$2</f>
        <v>#DIV/0!</v>
      </c>
      <c r="H9" s="14" t="e">
        <f>F9/$F$124*$E$2</f>
        <v>#DIV/0!</v>
      </c>
      <c r="I9" s="25" t="str">
        <f t="shared" si="2"/>
        <v/>
      </c>
    </row>
    <row r="10" spans="1:9" hidden="1" x14ac:dyDescent="0.25">
      <c r="A10" s="3">
        <v>3363</v>
      </c>
      <c r="B10" s="3">
        <v>113.32178759999999</v>
      </c>
      <c r="C10" s="3">
        <v>22.9409685</v>
      </c>
      <c r="D10" s="3">
        <v>9</v>
      </c>
      <c r="E10" s="13">
        <f t="shared" si="0"/>
        <v>4.0492761965656007E-3</v>
      </c>
      <c r="F10" s="13">
        <f t="shared" si="1"/>
        <v>15.714888347158549</v>
      </c>
      <c r="G10" s="14" t="e">
        <f>F10/$F$124*$D$2</f>
        <v>#DIV/0!</v>
      </c>
      <c r="H10" s="14" t="e">
        <f>F10/$F$124*$E$2</f>
        <v>#DIV/0!</v>
      </c>
      <c r="I10" s="25" t="str">
        <f t="shared" si="2"/>
        <v/>
      </c>
    </row>
    <row r="11" spans="1:9" x14ac:dyDescent="0.25">
      <c r="A11" s="3">
        <v>3362</v>
      </c>
      <c r="B11" s="3">
        <v>113.3220281</v>
      </c>
      <c r="C11" s="3">
        <v>22.941634759999999</v>
      </c>
      <c r="D11" s="3">
        <v>9</v>
      </c>
      <c r="E11" s="13">
        <f t="shared" si="0"/>
        <v>4.6066888013512816E-3</v>
      </c>
      <c r="F11" s="13">
        <f t="shared" si="1"/>
        <v>14.733487618417165</v>
      </c>
      <c r="G11" s="14">
        <f>F11/$F$58*$D$2</f>
        <v>0</v>
      </c>
      <c r="H11" s="14">
        <f>F11/$F$58*$E$2</f>
        <v>59.054844061416155</v>
      </c>
      <c r="I11" s="25" t="str">
        <f t="shared" si="2"/>
        <v>选中</v>
      </c>
    </row>
    <row r="12" spans="1:9" hidden="1" x14ac:dyDescent="0.25">
      <c r="A12" s="3">
        <v>3325</v>
      </c>
      <c r="B12" s="3">
        <v>113.31330319999999</v>
      </c>
      <c r="C12" s="3">
        <v>22.938880520000001</v>
      </c>
      <c r="D12" s="3">
        <v>9</v>
      </c>
      <c r="E12" s="13">
        <f t="shared" si="0"/>
        <v>4.9462873252713634E-3</v>
      </c>
      <c r="F12" s="13">
        <f t="shared" si="1"/>
        <v>14.218714359432584</v>
      </c>
      <c r="G12" s="14" t="e">
        <f>F12/$F$124*$D$2</f>
        <v>#DIV/0!</v>
      </c>
      <c r="H12" s="14" t="e">
        <f>F12/$F$124*$E$2</f>
        <v>#DIV/0!</v>
      </c>
      <c r="I12" s="25" t="str">
        <f t="shared" si="2"/>
        <v/>
      </c>
    </row>
    <row r="13" spans="1:9" hidden="1" x14ac:dyDescent="0.25">
      <c r="A13" s="3">
        <v>3347</v>
      </c>
      <c r="B13" s="3">
        <v>113.32324970000001</v>
      </c>
      <c r="C13" s="3">
        <v>22.93876564</v>
      </c>
      <c r="D13" s="3">
        <v>9</v>
      </c>
      <c r="E13" s="13">
        <f t="shared" si="0"/>
        <v>5.0072726267882169E-3</v>
      </c>
      <c r="F13" s="13">
        <f t="shared" si="1"/>
        <v>14.131861782607302</v>
      </c>
      <c r="G13" s="14" t="e">
        <f>F13/$F$124*$D$2</f>
        <v>#DIV/0!</v>
      </c>
      <c r="H13" s="14" t="e">
        <f>F13/$F$124*$E$2</f>
        <v>#DIV/0!</v>
      </c>
      <c r="I13" s="25" t="str">
        <f t="shared" si="2"/>
        <v/>
      </c>
    </row>
    <row r="14" spans="1:9" x14ac:dyDescent="0.25">
      <c r="A14" s="3">
        <v>3336</v>
      </c>
      <c r="B14" s="3">
        <v>113.3196554</v>
      </c>
      <c r="C14" s="3">
        <v>22.934175450000001</v>
      </c>
      <c r="D14" s="3">
        <v>9</v>
      </c>
      <c r="E14" s="13">
        <f t="shared" si="0"/>
        <v>5.0273776076206911E-3</v>
      </c>
      <c r="F14" s="13">
        <f t="shared" si="1"/>
        <v>14.103576117725307</v>
      </c>
      <c r="G14" s="14">
        <f>F14/$F$58*$D$2</f>
        <v>0</v>
      </c>
      <c r="H14" s="14">
        <f>F14/$F$58*$E$2</f>
        <v>56.530029407257125</v>
      </c>
      <c r="I14" s="25" t="str">
        <f t="shared" si="2"/>
        <v>选中</v>
      </c>
    </row>
    <row r="15" spans="1:9" hidden="1" x14ac:dyDescent="0.25">
      <c r="A15" s="3">
        <v>3331</v>
      </c>
      <c r="B15" s="3">
        <v>113.3135066</v>
      </c>
      <c r="C15" s="3">
        <v>22.94090628</v>
      </c>
      <c r="D15" s="3">
        <v>9</v>
      </c>
      <c r="E15" s="13">
        <f t="shared" si="0"/>
        <v>5.1095870616813333E-3</v>
      </c>
      <c r="F15" s="13">
        <f t="shared" si="1"/>
        <v>13.989658022296107</v>
      </c>
      <c r="G15" s="14" t="e">
        <f>F15/$F$124*$D$2</f>
        <v>#DIV/0!</v>
      </c>
      <c r="H15" s="14" t="e">
        <f>F15/$F$124*$E$2</f>
        <v>#DIV/0!</v>
      </c>
      <c r="I15" s="25" t="str">
        <f t="shared" si="2"/>
        <v/>
      </c>
    </row>
    <row r="16" spans="1:9" hidden="1" x14ac:dyDescent="0.25">
      <c r="A16" s="3">
        <v>3332</v>
      </c>
      <c r="B16" s="3">
        <v>113.3134238</v>
      </c>
      <c r="C16" s="3">
        <v>22.941098350000001</v>
      </c>
      <c r="D16" s="3">
        <v>9</v>
      </c>
      <c r="E16" s="13">
        <f t="shared" si="0"/>
        <v>5.2600746773801754E-3</v>
      </c>
      <c r="F16" s="13">
        <f t="shared" si="1"/>
        <v>13.788087952577811</v>
      </c>
      <c r="G16" s="14" t="e">
        <f>F16/$F$124*$D$2</f>
        <v>#DIV/0!</v>
      </c>
      <c r="H16" s="14" t="e">
        <f>F16/$F$124*$E$2</f>
        <v>#DIV/0!</v>
      </c>
      <c r="I16" s="25" t="str">
        <f t="shared" si="2"/>
        <v/>
      </c>
    </row>
    <row r="17" spans="1:9" x14ac:dyDescent="0.25">
      <c r="A17" s="3">
        <v>3354</v>
      </c>
      <c r="B17" s="3">
        <v>113.3232805</v>
      </c>
      <c r="C17" s="3">
        <v>22.940631790000001</v>
      </c>
      <c r="D17" s="3">
        <v>9</v>
      </c>
      <c r="E17" s="13">
        <f t="shared" si="0"/>
        <v>5.2898857313167409E-3</v>
      </c>
      <c r="F17" s="13">
        <f t="shared" si="1"/>
        <v>13.749181803131414</v>
      </c>
      <c r="G17" s="14">
        <f>F17/$F$58*$D$2</f>
        <v>0</v>
      </c>
      <c r="H17" s="14">
        <f>F17/$F$58*$E$2</f>
        <v>55.109544215520614</v>
      </c>
      <c r="I17" s="25" t="str">
        <f t="shared" si="2"/>
        <v>选中</v>
      </c>
    </row>
    <row r="18" spans="1:9" hidden="1" x14ac:dyDescent="0.25">
      <c r="A18" s="3">
        <v>3349</v>
      </c>
      <c r="B18" s="3">
        <v>113.3236259</v>
      </c>
      <c r="C18" s="3">
        <v>22.938913849999999</v>
      </c>
      <c r="D18" s="3">
        <v>9</v>
      </c>
      <c r="E18" s="13">
        <f t="shared" si="0"/>
        <v>5.378619281153043E-3</v>
      </c>
      <c r="F18" s="13">
        <f t="shared" si="1"/>
        <v>13.635296866781225</v>
      </c>
      <c r="G18" s="14" t="e">
        <f>F18/$F$124*$D$2</f>
        <v>#DIV/0!</v>
      </c>
      <c r="H18" s="14" t="e">
        <f>F18/$F$124*$E$2</f>
        <v>#DIV/0!</v>
      </c>
      <c r="I18" s="25" t="str">
        <f t="shared" si="2"/>
        <v/>
      </c>
    </row>
    <row r="19" spans="1:9" hidden="1" x14ac:dyDescent="0.25">
      <c r="A19" s="3">
        <v>3333</v>
      </c>
      <c r="B19" s="3">
        <v>113.3133911</v>
      </c>
      <c r="C19" s="3">
        <v>22.936366419999999</v>
      </c>
      <c r="D19" s="3">
        <v>9</v>
      </c>
      <c r="E19" s="13">
        <f t="shared" si="0"/>
        <v>5.5258264596384984E-3</v>
      </c>
      <c r="F19" s="13">
        <f t="shared" si="1"/>
        <v>13.452449772140058</v>
      </c>
      <c r="G19" s="14" t="e">
        <f>F19/$F$124*$D$2</f>
        <v>#DIV/0!</v>
      </c>
      <c r="H19" s="14" t="e">
        <f>F19/$F$124*$E$2</f>
        <v>#DIV/0!</v>
      </c>
      <c r="I19" s="25" t="str">
        <f t="shared" si="2"/>
        <v/>
      </c>
    </row>
    <row r="20" spans="1:9" x14ac:dyDescent="0.25">
      <c r="A20" s="3">
        <v>3330</v>
      </c>
      <c r="B20" s="3">
        <v>113.3127363</v>
      </c>
      <c r="C20" s="3">
        <v>22.939492319999999</v>
      </c>
      <c r="D20" s="3">
        <v>9</v>
      </c>
      <c r="E20" s="13">
        <f t="shared" si="0"/>
        <v>5.5334832565115798E-3</v>
      </c>
      <c r="F20" s="13">
        <f t="shared" si="1"/>
        <v>13.443139331772899</v>
      </c>
      <c r="G20" s="14">
        <f>F20/$F$58*$D$2</f>
        <v>0</v>
      </c>
      <c r="H20" s="14">
        <f>F20/$F$58*$E$2</f>
        <v>53.882863141064391</v>
      </c>
      <c r="I20" s="25" t="str">
        <f t="shared" si="2"/>
        <v>选中</v>
      </c>
    </row>
    <row r="21" spans="1:9" hidden="1" x14ac:dyDescent="0.25">
      <c r="A21" s="3">
        <v>3334</v>
      </c>
      <c r="B21" s="3">
        <v>113.3127155</v>
      </c>
      <c r="C21" s="3">
        <v>22.937159350000002</v>
      </c>
      <c r="D21" s="3">
        <v>9</v>
      </c>
      <c r="E21" s="13">
        <f t="shared" si="0"/>
        <v>5.8312275810164967E-3</v>
      </c>
      <c r="F21" s="13">
        <f t="shared" si="1"/>
        <v>13.095437262995652</v>
      </c>
      <c r="G21" s="14" t="e">
        <f>F21/$F$124*$D$2</f>
        <v>#DIV/0!</v>
      </c>
      <c r="H21" s="14" t="e">
        <f>F21/$F$124*$E$2</f>
        <v>#DIV/0!</v>
      </c>
      <c r="I21" s="25" t="str">
        <f t="shared" si="2"/>
        <v/>
      </c>
    </row>
    <row r="22" spans="1:9" hidden="1" x14ac:dyDescent="0.25">
      <c r="A22" s="3">
        <v>3356</v>
      </c>
      <c r="B22" s="3">
        <v>113.3235469</v>
      </c>
      <c r="C22" s="3">
        <v>22.9417638</v>
      </c>
      <c r="D22" s="3">
        <v>9</v>
      </c>
      <c r="E22" s="13">
        <f t="shared" si="0"/>
        <v>5.9755275892673402E-3</v>
      </c>
      <c r="F22" s="13">
        <f t="shared" si="1"/>
        <v>12.936353423166073</v>
      </c>
      <c r="G22" s="14" t="e">
        <f>F22/$F$124*$D$2</f>
        <v>#DIV/0!</v>
      </c>
      <c r="H22" s="14" t="e">
        <f>F22/$F$124*$E$2</f>
        <v>#DIV/0!</v>
      </c>
      <c r="I22" s="25" t="str">
        <f t="shared" si="2"/>
        <v/>
      </c>
    </row>
    <row r="23" spans="1:9" x14ac:dyDescent="0.25">
      <c r="A23" s="3">
        <v>2836</v>
      </c>
      <c r="B23" s="3">
        <v>113.321465</v>
      </c>
      <c r="C23" s="3">
        <v>22.944525609999999</v>
      </c>
      <c r="D23" s="3">
        <v>9</v>
      </c>
      <c r="E23" s="13">
        <f t="shared" si="0"/>
        <v>6.3922965700934885E-3</v>
      </c>
      <c r="F23" s="13">
        <f t="shared" si="1"/>
        <v>12.507529678835432</v>
      </c>
      <c r="G23" s="14">
        <f>F23/$F$58*$D$2</f>
        <v>0</v>
      </c>
      <c r="H23" s="14">
        <f>F23/$F$58*$E$2</f>
        <v>50.132747514163441</v>
      </c>
      <c r="I23" s="25" t="str">
        <f t="shared" si="2"/>
        <v>选中</v>
      </c>
    </row>
    <row r="24" spans="1:9" hidden="1" x14ac:dyDescent="0.25">
      <c r="A24" s="3">
        <v>3357</v>
      </c>
      <c r="B24" s="3">
        <v>113.32393810000001</v>
      </c>
      <c r="C24" s="3">
        <v>22.942545719999998</v>
      </c>
      <c r="D24" s="3">
        <v>9</v>
      </c>
      <c r="E24" s="13">
        <f t="shared" si="0"/>
        <v>6.7034719435671818E-3</v>
      </c>
      <c r="F24" s="13">
        <f t="shared" si="1"/>
        <v>12.213780251783231</v>
      </c>
      <c r="G24" s="14" t="e">
        <f>F24/$F$124*$D$2</f>
        <v>#DIV/0!</v>
      </c>
      <c r="H24" s="14" t="e">
        <f>F24/$F$124*$E$2</f>
        <v>#DIV/0!</v>
      </c>
      <c r="I24" s="25" t="str">
        <f t="shared" si="2"/>
        <v/>
      </c>
    </row>
    <row r="25" spans="1:9" hidden="1" x14ac:dyDescent="0.25">
      <c r="A25" s="3">
        <v>3345</v>
      </c>
      <c r="B25" s="3">
        <v>113.32486830000001</v>
      </c>
      <c r="C25" s="3">
        <v>22.94025491</v>
      </c>
      <c r="D25" s="3">
        <v>9</v>
      </c>
      <c r="E25" s="13">
        <f t="shared" si="0"/>
        <v>6.7378506736283398E-3</v>
      </c>
      <c r="F25" s="13">
        <f t="shared" si="1"/>
        <v>12.182581041893195</v>
      </c>
      <c r="G25" s="14" t="e">
        <f>F25/$F$124*$D$2</f>
        <v>#DIV/0!</v>
      </c>
      <c r="H25" s="14" t="e">
        <f>F25/$F$124*$E$2</f>
        <v>#DIV/0!</v>
      </c>
      <c r="I25" s="25" t="str">
        <f t="shared" si="2"/>
        <v/>
      </c>
    </row>
    <row r="26" spans="1:9" x14ac:dyDescent="0.25">
      <c r="A26" s="3">
        <v>3350</v>
      </c>
      <c r="B26" s="3">
        <v>113.3251408</v>
      </c>
      <c r="C26" s="3">
        <v>22.938851979999999</v>
      </c>
      <c r="D26" s="3">
        <v>9</v>
      </c>
      <c r="E26" s="13">
        <f t="shared" si="0"/>
        <v>6.8944282481536619E-3</v>
      </c>
      <c r="F26" s="13">
        <f t="shared" si="1"/>
        <v>12.043448834678189</v>
      </c>
      <c r="G26" s="14">
        <f>F26/$F$58*$D$2</f>
        <v>0</v>
      </c>
      <c r="H26" s="14">
        <f>F26/$F$58*$E$2</f>
        <v>48.272616186578922</v>
      </c>
      <c r="I26" s="25" t="str">
        <f t="shared" si="2"/>
        <v>选中</v>
      </c>
    </row>
    <row r="27" spans="1:9" hidden="1" x14ac:dyDescent="0.25">
      <c r="A27" s="3">
        <v>3346</v>
      </c>
      <c r="B27" s="3">
        <v>113.3249172</v>
      </c>
      <c r="C27" s="3">
        <v>22.940821580000001</v>
      </c>
      <c r="D27" s="3">
        <v>9</v>
      </c>
      <c r="E27" s="13">
        <f t="shared" si="0"/>
        <v>6.913016092340918E-3</v>
      </c>
      <c r="F27" s="13">
        <f t="shared" si="1"/>
        <v>12.027246613320296</v>
      </c>
      <c r="G27" s="14" t="e">
        <f>F27/$F$124*$D$2</f>
        <v>#DIV/0!</v>
      </c>
      <c r="H27" s="14" t="e">
        <f>F27/$F$124*$E$2</f>
        <v>#DIV/0!</v>
      </c>
      <c r="I27" s="25" t="str">
        <f t="shared" si="2"/>
        <v/>
      </c>
    </row>
    <row r="28" spans="1:9" hidden="1" x14ac:dyDescent="0.25">
      <c r="A28" s="3">
        <v>3359</v>
      </c>
      <c r="B28" s="3">
        <v>113.32518570000001</v>
      </c>
      <c r="C28" s="3">
        <v>22.938856900000001</v>
      </c>
      <c r="D28" s="3">
        <v>9</v>
      </c>
      <c r="E28" s="13">
        <f t="shared" si="0"/>
        <v>6.9392132261678055E-3</v>
      </c>
      <c r="F28" s="13">
        <f t="shared" si="1"/>
        <v>12.004522327738085</v>
      </c>
      <c r="G28" s="14" t="e">
        <f>F28/$F$124*$D$2</f>
        <v>#DIV/0!</v>
      </c>
      <c r="H28" s="14" t="e">
        <f>F28/$F$124*$E$2</f>
        <v>#DIV/0!</v>
      </c>
      <c r="I28" s="25" t="str">
        <f t="shared" si="2"/>
        <v/>
      </c>
    </row>
    <row r="29" spans="1:9" x14ac:dyDescent="0.25">
      <c r="A29" s="3">
        <v>3361</v>
      </c>
      <c r="B29" s="3">
        <v>113.32427629999999</v>
      </c>
      <c r="C29" s="3">
        <v>22.942849939999999</v>
      </c>
      <c r="D29" s="3">
        <v>9</v>
      </c>
      <c r="E29" s="13">
        <f t="shared" si="0"/>
        <v>7.1518183273100505E-3</v>
      </c>
      <c r="F29" s="13">
        <f t="shared" si="1"/>
        <v>11.824744431047183</v>
      </c>
      <c r="G29" s="14">
        <f>F29/$F$58*$D$2</f>
        <v>0</v>
      </c>
      <c r="H29" s="14">
        <f>F29/$F$58*$E$2</f>
        <v>47.396004023425554</v>
      </c>
      <c r="I29" s="25" t="str">
        <f t="shared" si="2"/>
        <v>选中</v>
      </c>
    </row>
    <row r="30" spans="1:9" hidden="1" x14ac:dyDescent="0.25">
      <c r="A30" s="3">
        <v>3344</v>
      </c>
      <c r="B30" s="3">
        <v>113.3253473</v>
      </c>
      <c r="C30" s="3">
        <v>22.939895150000002</v>
      </c>
      <c r="D30" s="3">
        <v>9</v>
      </c>
      <c r="E30" s="13">
        <f t="shared" si="0"/>
        <v>7.1552859373825734E-3</v>
      </c>
      <c r="F30" s="13">
        <f t="shared" si="1"/>
        <v>11.82187881727083</v>
      </c>
      <c r="G30" s="14" t="e">
        <f>F30/$F$124*$D$2</f>
        <v>#DIV/0!</v>
      </c>
      <c r="H30" s="14" t="e">
        <f>F30/$F$124*$E$2</f>
        <v>#DIV/0!</v>
      </c>
      <c r="I30" s="25" t="str">
        <f t="shared" si="2"/>
        <v/>
      </c>
    </row>
    <row r="31" spans="1:9" hidden="1" x14ac:dyDescent="0.25">
      <c r="A31" s="3">
        <v>2845</v>
      </c>
      <c r="B31" s="3">
        <v>113.3236855</v>
      </c>
      <c r="C31" s="3">
        <v>22.943967600000001</v>
      </c>
      <c r="D31" s="3">
        <v>9</v>
      </c>
      <c r="E31" s="13">
        <f t="shared" si="0"/>
        <v>7.363794984523421E-3</v>
      </c>
      <c r="F31" s="13">
        <f t="shared" si="1"/>
        <v>11.653306134447238</v>
      </c>
      <c r="G31" s="14" t="e">
        <f>F31/$F$124*$D$2</f>
        <v>#DIV/0!</v>
      </c>
      <c r="H31" s="14" t="e">
        <f>F31/$F$124*$E$2</f>
        <v>#DIV/0!</v>
      </c>
      <c r="I31" s="25" t="str">
        <f t="shared" si="2"/>
        <v/>
      </c>
    </row>
    <row r="32" spans="1:9" x14ac:dyDescent="0.25">
      <c r="A32" s="3">
        <v>3322</v>
      </c>
      <c r="B32" s="3">
        <v>113.31168769999999</v>
      </c>
      <c r="C32" s="3">
        <v>22.93540501</v>
      </c>
      <c r="D32" s="3">
        <v>9</v>
      </c>
      <c r="E32" s="13">
        <f t="shared" si="0"/>
        <v>7.4816112121690323E-3</v>
      </c>
      <c r="F32" s="13">
        <f t="shared" si="1"/>
        <v>11.561187163173011</v>
      </c>
      <c r="G32" s="14">
        <f>F32/$F$58*$D$2</f>
        <v>0</v>
      </c>
      <c r="H32" s="14">
        <f>F32/$F$58*$E$2</f>
        <v>46.339612369347236</v>
      </c>
      <c r="I32" s="25" t="str">
        <f t="shared" si="2"/>
        <v>选中</v>
      </c>
    </row>
    <row r="33" spans="1:9" hidden="1" x14ac:dyDescent="0.25">
      <c r="A33" s="3">
        <v>3340</v>
      </c>
      <c r="B33" s="3">
        <v>113.32600119999999</v>
      </c>
      <c r="C33" s="3">
        <v>22.937670839999999</v>
      </c>
      <c r="D33" s="3">
        <v>9</v>
      </c>
      <c r="E33" s="13">
        <f t="shared" si="0"/>
        <v>7.8666124463358227E-3</v>
      </c>
      <c r="F33" s="13">
        <f t="shared" si="1"/>
        <v>11.274729275165623</v>
      </c>
      <c r="G33" s="14" t="e">
        <f>F33/$F$124*$D$2</f>
        <v>#DIV/0!</v>
      </c>
      <c r="H33" s="14" t="e">
        <f>F33/$F$124*$E$2</f>
        <v>#DIV/0!</v>
      </c>
      <c r="I33" s="25" t="str">
        <f t="shared" si="2"/>
        <v/>
      </c>
    </row>
    <row r="34" spans="1:9" hidden="1" x14ac:dyDescent="0.25">
      <c r="A34" s="3">
        <v>3338</v>
      </c>
      <c r="B34" s="3">
        <v>113.32619870000001</v>
      </c>
      <c r="C34" s="3">
        <v>22.938955920000001</v>
      </c>
      <c r="D34" s="3">
        <v>9</v>
      </c>
      <c r="E34" s="13">
        <f t="shared" si="0"/>
        <v>7.9508324332893641E-3</v>
      </c>
      <c r="F34" s="13">
        <f t="shared" si="1"/>
        <v>11.214855951333828</v>
      </c>
      <c r="G34" s="14" t="e">
        <f>F34/$F$124*$D$2</f>
        <v>#DIV/0!</v>
      </c>
      <c r="H34" s="14" t="e">
        <f>F34/$F$124*$E$2</f>
        <v>#DIV/0!</v>
      </c>
      <c r="I34" s="25" t="str">
        <f t="shared" si="2"/>
        <v/>
      </c>
    </row>
    <row r="35" spans="1:9" x14ac:dyDescent="0.25">
      <c r="A35" s="3">
        <v>3339</v>
      </c>
      <c r="B35" s="3">
        <v>113.3262026</v>
      </c>
      <c r="C35" s="3">
        <v>22.93965961</v>
      </c>
      <c r="D35" s="3">
        <v>9</v>
      </c>
      <c r="E35" s="13">
        <f t="shared" si="0"/>
        <v>7.9817518127337662E-3</v>
      </c>
      <c r="F35" s="13">
        <f t="shared" si="1"/>
        <v>11.193113052070911</v>
      </c>
      <c r="G35" s="14">
        <f>F35/$F$58*$D$2</f>
        <v>0</v>
      </c>
      <c r="H35" s="14">
        <f>F35/$F$58*$E$2</f>
        <v>44.864295743906311</v>
      </c>
      <c r="I35" s="25" t="str">
        <f t="shared" si="2"/>
        <v>选中</v>
      </c>
    </row>
    <row r="36" spans="1:9" hidden="1" x14ac:dyDescent="0.25">
      <c r="A36" s="3">
        <v>3342</v>
      </c>
      <c r="B36" s="3">
        <v>113.3261746</v>
      </c>
      <c r="C36" s="3">
        <v>22.94019544</v>
      </c>
      <c r="D36" s="3">
        <v>9</v>
      </c>
      <c r="E36" s="13">
        <f t="shared" si="0"/>
        <v>8.0159678228503908E-3</v>
      </c>
      <c r="F36" s="13">
        <f t="shared" si="1"/>
        <v>11.169198707468414</v>
      </c>
      <c r="G36" s="14" t="e">
        <f>F36/$F$124*$D$2</f>
        <v>#DIV/0!</v>
      </c>
      <c r="H36" s="14" t="e">
        <f>F36/$F$124*$E$2</f>
        <v>#DIV/0!</v>
      </c>
      <c r="I36" s="25" t="str">
        <f t="shared" si="2"/>
        <v/>
      </c>
    </row>
    <row r="37" spans="1:9" hidden="1" x14ac:dyDescent="0.25">
      <c r="A37" s="3">
        <v>3324</v>
      </c>
      <c r="B37" s="3">
        <v>113.3109781</v>
      </c>
      <c r="C37" s="3">
        <v>22.935456309999999</v>
      </c>
      <c r="D37" s="3">
        <v>9</v>
      </c>
      <c r="E37" s="13">
        <f t="shared" ref="E37:E56" si="3">SQRT((B37-$B$2)^2+(C37-$C$2)^2)</f>
        <v>8.0883877416929057E-3</v>
      </c>
      <c r="F37" s="13">
        <f t="shared" ref="F37:F56" si="4">SQRT(1/E37)</f>
        <v>11.119084196740689</v>
      </c>
      <c r="G37" s="14" t="e">
        <f>F37/$F$124*$D$2</f>
        <v>#DIV/0!</v>
      </c>
      <c r="H37" s="14" t="e">
        <f>F37/$F$124*$E$2</f>
        <v>#DIV/0!</v>
      </c>
      <c r="I37" s="25" t="str">
        <f t="shared" si="2"/>
        <v/>
      </c>
    </row>
    <row r="38" spans="1:9" x14ac:dyDescent="0.25">
      <c r="A38" s="3">
        <v>3321</v>
      </c>
      <c r="B38" s="3">
        <v>113.31099210000001</v>
      </c>
      <c r="C38" s="3">
        <v>22.93534034</v>
      </c>
      <c r="D38" s="3">
        <v>9</v>
      </c>
      <c r="E38" s="13">
        <f t="shared" si="3"/>
        <v>8.1273887178330059E-3</v>
      </c>
      <c r="F38" s="13">
        <f t="shared" si="4"/>
        <v>11.09237348738608</v>
      </c>
      <c r="G38" s="14">
        <f>F38/$F$58*$D$2</f>
        <v>0</v>
      </c>
      <c r="H38" s="14">
        <f>F38/$F$58*$E$2</f>
        <v>44.460510880650915</v>
      </c>
      <c r="I38" s="25" t="str">
        <f t="shared" si="2"/>
        <v>选中</v>
      </c>
    </row>
    <row r="39" spans="1:9" hidden="1" x14ac:dyDescent="0.25">
      <c r="A39" s="3">
        <v>2842</v>
      </c>
      <c r="B39" s="3">
        <v>113.32380019999999</v>
      </c>
      <c r="C39" s="3">
        <v>22.945320809999998</v>
      </c>
      <c r="D39" s="3">
        <v>9</v>
      </c>
      <c r="E39" s="13">
        <f t="shared" si="3"/>
        <v>8.411699343172924E-3</v>
      </c>
      <c r="F39" s="13">
        <f t="shared" si="4"/>
        <v>10.903304207495795</v>
      </c>
      <c r="G39" s="14" t="e">
        <f>F39/$F$124*$D$2</f>
        <v>#DIV/0!</v>
      </c>
      <c r="H39" s="14" t="e">
        <f>F39/$F$124*$E$2</f>
        <v>#DIV/0!</v>
      </c>
      <c r="I39" s="25" t="str">
        <f t="shared" si="2"/>
        <v/>
      </c>
    </row>
    <row r="40" spans="1:9" hidden="1" x14ac:dyDescent="0.25">
      <c r="A40" s="3">
        <v>3337</v>
      </c>
      <c r="B40" s="3">
        <v>113.32672959999999</v>
      </c>
      <c r="C40" s="3">
        <v>22.938910920000001</v>
      </c>
      <c r="D40" s="3">
        <v>9</v>
      </c>
      <c r="E40" s="13">
        <f t="shared" si="3"/>
        <v>8.4820869809283123E-3</v>
      </c>
      <c r="F40" s="13">
        <f t="shared" si="4"/>
        <v>10.857970044173497</v>
      </c>
      <c r="G40" s="14" t="e">
        <f>F40/$F$124*$D$2</f>
        <v>#DIV/0!</v>
      </c>
      <c r="H40" s="14" t="e">
        <f>F40/$F$124*$E$2</f>
        <v>#DIV/0!</v>
      </c>
      <c r="I40" s="25" t="str">
        <f t="shared" si="2"/>
        <v/>
      </c>
    </row>
    <row r="41" spans="1:9" x14ac:dyDescent="0.25">
      <c r="A41" s="3">
        <v>3341</v>
      </c>
      <c r="B41" s="3">
        <v>113.3273105</v>
      </c>
      <c r="C41" s="3">
        <v>22.937409450000001</v>
      </c>
      <c r="D41" s="3">
        <v>9</v>
      </c>
      <c r="E41" s="13">
        <f t="shared" si="3"/>
        <v>9.2013323285043691E-3</v>
      </c>
      <c r="F41" s="13">
        <f t="shared" si="4"/>
        <v>10.424965867182239</v>
      </c>
      <c r="G41" s="14">
        <f>F41/$F$58*$D$2</f>
        <v>0</v>
      </c>
      <c r="H41" s="14">
        <f>F41/$F$58*$E$2</f>
        <v>41.785404079239498</v>
      </c>
      <c r="I41" s="25" t="str">
        <f t="shared" si="2"/>
        <v>选中</v>
      </c>
    </row>
    <row r="42" spans="1:9" hidden="1" x14ac:dyDescent="0.25">
      <c r="A42" s="3">
        <v>2841</v>
      </c>
      <c r="B42" s="3">
        <v>113.3231693</v>
      </c>
      <c r="C42" s="3">
        <v>22.946975309999999</v>
      </c>
      <c r="D42" s="3">
        <v>9</v>
      </c>
      <c r="E42" s="13">
        <f t="shared" si="3"/>
        <v>9.3699464214071736E-3</v>
      </c>
      <c r="F42" s="13">
        <f t="shared" si="4"/>
        <v>10.330740349658646</v>
      </c>
      <c r="G42" s="14" t="e">
        <f>F42/$F$124*$D$2</f>
        <v>#DIV/0!</v>
      </c>
      <c r="H42" s="14" t="e">
        <f>F42/$F$124*$E$2</f>
        <v>#DIV/0!</v>
      </c>
      <c r="I42" s="25" t="str">
        <f t="shared" si="2"/>
        <v/>
      </c>
    </row>
    <row r="43" spans="1:9" hidden="1" x14ac:dyDescent="0.25">
      <c r="A43" s="3">
        <v>3348</v>
      </c>
      <c r="B43" s="3">
        <v>113.3272776</v>
      </c>
      <c r="C43" s="3">
        <v>22.936104060000002</v>
      </c>
      <c r="D43" s="3">
        <v>9</v>
      </c>
      <c r="E43" s="13">
        <f t="shared" si="3"/>
        <v>9.4831762201589113E-3</v>
      </c>
      <c r="F43" s="13">
        <f t="shared" si="4"/>
        <v>10.268880254285278</v>
      </c>
      <c r="G43" s="14" t="e">
        <f>F43/$F$124*$D$2</f>
        <v>#DIV/0!</v>
      </c>
      <c r="H43" s="14" t="e">
        <f>F43/$F$124*$E$2</f>
        <v>#DIV/0!</v>
      </c>
      <c r="I43" s="25" t="str">
        <f t="shared" si="2"/>
        <v/>
      </c>
    </row>
    <row r="44" spans="1:9" x14ac:dyDescent="0.25">
      <c r="A44" s="3">
        <v>2840</v>
      </c>
      <c r="B44" s="3">
        <v>113.3236424</v>
      </c>
      <c r="C44" s="3">
        <v>22.946805479999998</v>
      </c>
      <c r="D44" s="3">
        <v>9</v>
      </c>
      <c r="E44" s="13">
        <f t="shared" si="3"/>
        <v>9.4866652111722412E-3</v>
      </c>
      <c r="F44" s="13">
        <f t="shared" si="4"/>
        <v>10.266991744206821</v>
      </c>
      <c r="G44" s="14">
        <f>F44/$F$58*$D$2</f>
        <v>0</v>
      </c>
      <c r="H44" s="14">
        <f>F44/$F$58*$E$2</f>
        <v>41.152211352597455</v>
      </c>
      <c r="I44" s="25" t="str">
        <f t="shared" si="2"/>
        <v>选中</v>
      </c>
    </row>
    <row r="45" spans="1:9" hidden="1" x14ac:dyDescent="0.25">
      <c r="A45" s="3">
        <v>3884</v>
      </c>
      <c r="B45" s="3">
        <v>113.3238341</v>
      </c>
      <c r="C45" s="3">
        <v>22.92968935</v>
      </c>
      <c r="D45" s="3">
        <v>9</v>
      </c>
      <c r="E45" s="13">
        <f t="shared" si="3"/>
        <v>1.0859393374476752E-2</v>
      </c>
      <c r="F45" s="13">
        <f t="shared" si="4"/>
        <v>9.5961541839390367</v>
      </c>
      <c r="G45" s="14" t="e">
        <f>F45/$F$124*$D$2</f>
        <v>#DIV/0!</v>
      </c>
      <c r="H45" s="14" t="e">
        <f>F45/$F$124*$E$2</f>
        <v>#DIV/0!</v>
      </c>
      <c r="I45" s="25" t="str">
        <f t="shared" si="2"/>
        <v/>
      </c>
    </row>
    <row r="46" spans="1:9" hidden="1" x14ac:dyDescent="0.25">
      <c r="A46" s="3">
        <v>3320</v>
      </c>
      <c r="B46" s="3">
        <v>113.30860199999999</v>
      </c>
      <c r="C46" s="3">
        <v>22.933910359999999</v>
      </c>
      <c r="D46" s="3">
        <v>9</v>
      </c>
      <c r="E46" s="13">
        <f t="shared" si="3"/>
        <v>1.0907253508678919E-2</v>
      </c>
      <c r="F46" s="13">
        <f t="shared" si="4"/>
        <v>9.5750774688702194</v>
      </c>
      <c r="G46" s="14" t="e">
        <f>F46/$F$124*$D$2</f>
        <v>#DIV/0!</v>
      </c>
      <c r="H46" s="14" t="e">
        <f>F46/$F$124*$E$2</f>
        <v>#DIV/0!</v>
      </c>
      <c r="I46" s="25" t="str">
        <f t="shared" si="2"/>
        <v/>
      </c>
    </row>
    <row r="47" spans="1:9" x14ac:dyDescent="0.25">
      <c r="A47" s="3">
        <v>3886</v>
      </c>
      <c r="B47" s="3">
        <v>113.32388899999999</v>
      </c>
      <c r="C47" s="3">
        <v>22.929578289999998</v>
      </c>
      <c r="D47" s="3">
        <v>9</v>
      </c>
      <c r="E47" s="13">
        <f t="shared" si="3"/>
        <v>1.0982878046778432E-2</v>
      </c>
      <c r="F47" s="13">
        <f t="shared" si="4"/>
        <v>9.5420550854890092</v>
      </c>
      <c r="G47" s="14">
        <f>F47/$F$58*$D$2</f>
        <v>0</v>
      </c>
      <c r="H47" s="14">
        <f>F47/$F$58*$E$2</f>
        <v>38.24651635058926</v>
      </c>
      <c r="I47" s="25" t="str">
        <f t="shared" si="2"/>
        <v>选中</v>
      </c>
    </row>
    <row r="48" spans="1:9" hidden="1" x14ac:dyDescent="0.25">
      <c r="A48" s="3">
        <v>2835</v>
      </c>
      <c r="B48" s="3">
        <v>113.30843160000001</v>
      </c>
      <c r="C48" s="3">
        <v>22.94422531</v>
      </c>
      <c r="D48" s="3">
        <v>9</v>
      </c>
      <c r="E48" s="13">
        <f t="shared" si="3"/>
        <v>1.1119652027371299E-2</v>
      </c>
      <c r="F48" s="13">
        <f t="shared" si="4"/>
        <v>9.4831889001533725</v>
      </c>
      <c r="G48" s="14" t="e">
        <f>F48/$F$124*$D$2</f>
        <v>#DIV/0!</v>
      </c>
      <c r="H48" s="14" t="e">
        <f>F48/$F$124*$E$2</f>
        <v>#DIV/0!</v>
      </c>
      <c r="I48" s="25" t="str">
        <f t="shared" si="2"/>
        <v/>
      </c>
    </row>
    <row r="49" spans="1:9" hidden="1" x14ac:dyDescent="0.25">
      <c r="A49" s="3">
        <v>3323</v>
      </c>
      <c r="B49" s="3">
        <v>113.3051342</v>
      </c>
      <c r="C49" s="3">
        <v>22.942868870000002</v>
      </c>
      <c r="D49" s="3">
        <v>9</v>
      </c>
      <c r="E49" s="13">
        <f t="shared" si="3"/>
        <v>1.367208482578971E-2</v>
      </c>
      <c r="F49" s="13">
        <f t="shared" si="4"/>
        <v>8.5522941143182649</v>
      </c>
      <c r="G49" s="14" t="e">
        <f>F49/$F$124*$D$2</f>
        <v>#DIV/0!</v>
      </c>
      <c r="H49" s="14" t="e">
        <f>F49/$F$124*$E$2</f>
        <v>#DIV/0!</v>
      </c>
      <c r="I49" s="25" t="str">
        <f t="shared" si="2"/>
        <v/>
      </c>
    </row>
    <row r="50" spans="1:9" x14ac:dyDescent="0.25">
      <c r="A50" s="3">
        <v>3319</v>
      </c>
      <c r="B50" s="3">
        <v>113.3041832</v>
      </c>
      <c r="C50" s="3">
        <v>22.94151514</v>
      </c>
      <c r="D50" s="3">
        <v>9</v>
      </c>
      <c r="E50" s="13">
        <f t="shared" si="3"/>
        <v>1.4287596954312965E-2</v>
      </c>
      <c r="F50" s="13">
        <f t="shared" si="4"/>
        <v>8.3660490160797849</v>
      </c>
      <c r="G50" s="14">
        <f>F50/$F$58*$D$2</f>
        <v>0</v>
      </c>
      <c r="H50" s="14">
        <f>F50/$F$58*$E$2</f>
        <v>33.532842518371268</v>
      </c>
      <c r="I50" s="25" t="str">
        <f t="shared" si="2"/>
        <v>选中</v>
      </c>
    </row>
    <row r="51" spans="1:9" hidden="1" x14ac:dyDescent="0.25">
      <c r="A51" s="3">
        <v>4176</v>
      </c>
      <c r="B51" s="3">
        <v>113.316873</v>
      </c>
      <c r="C51" s="3">
        <v>22.922384699999999</v>
      </c>
      <c r="D51" s="3">
        <v>9</v>
      </c>
      <c r="E51" s="13">
        <f t="shared" si="3"/>
        <v>1.6673900855893278E-2</v>
      </c>
      <c r="F51" s="13">
        <f t="shared" si="4"/>
        <v>7.7442861658073072</v>
      </c>
      <c r="G51" s="14" t="e">
        <f>F51/$F$124*$D$2</f>
        <v>#DIV/0!</v>
      </c>
      <c r="H51" s="14" t="e">
        <f>F51/$F$124*$E$2</f>
        <v>#DIV/0!</v>
      </c>
      <c r="I51" s="25" t="str">
        <f t="shared" si="2"/>
        <v/>
      </c>
    </row>
    <row r="52" spans="1:9" hidden="1" x14ac:dyDescent="0.25">
      <c r="A52" s="3">
        <v>4177</v>
      </c>
      <c r="B52" s="3">
        <v>113.32016419999999</v>
      </c>
      <c r="C52" s="3">
        <v>22.922126540000001</v>
      </c>
      <c r="D52" s="3">
        <v>9</v>
      </c>
      <c r="E52" s="13">
        <f t="shared" si="3"/>
        <v>1.6983714552855717E-2</v>
      </c>
      <c r="F52" s="13">
        <f t="shared" si="4"/>
        <v>7.6733261675860653</v>
      </c>
      <c r="G52" s="14" t="e">
        <f>F52/$F$124*$D$2</f>
        <v>#DIV/0!</v>
      </c>
      <c r="H52" s="14" t="e">
        <f>F52/$F$124*$E$2</f>
        <v>#DIV/0!</v>
      </c>
      <c r="I52" s="25" t="str">
        <f t="shared" si="2"/>
        <v/>
      </c>
    </row>
    <row r="53" spans="1:9" x14ac:dyDescent="0.25">
      <c r="A53" s="3">
        <v>3318</v>
      </c>
      <c r="B53" s="3">
        <v>113.3009205</v>
      </c>
      <c r="C53" s="3">
        <v>22.939821590000001</v>
      </c>
      <c r="D53" s="3">
        <v>9</v>
      </c>
      <c r="E53" s="13">
        <f t="shared" si="3"/>
        <v>1.7346881434372227E-2</v>
      </c>
      <c r="F53" s="13">
        <f t="shared" si="4"/>
        <v>7.5925785724796189</v>
      </c>
      <c r="G53" s="14">
        <f>F53/$F$58*$D$2</f>
        <v>0</v>
      </c>
      <c r="H53" s="14">
        <f>F53/$F$58*$E$2</f>
        <v>30.432614139597952</v>
      </c>
      <c r="I53" s="25" t="str">
        <f t="shared" si="2"/>
        <v>选中</v>
      </c>
    </row>
    <row r="54" spans="1:9" hidden="1" x14ac:dyDescent="0.25">
      <c r="A54" s="3">
        <v>2478</v>
      </c>
      <c r="B54" s="3">
        <v>113.30922339999999</v>
      </c>
      <c r="C54" s="3">
        <v>22.95401768</v>
      </c>
      <c r="D54" s="3">
        <v>9</v>
      </c>
      <c r="E54" s="13">
        <f t="shared" si="3"/>
        <v>1.7519125463816385E-2</v>
      </c>
      <c r="F54" s="13">
        <f t="shared" si="4"/>
        <v>7.5551621309788866</v>
      </c>
      <c r="G54" s="14" t="e">
        <f>F54/$F$124*$D$2</f>
        <v>#DIV/0!</v>
      </c>
      <c r="H54" s="14" t="e">
        <f>F54/$F$124*$E$2</f>
        <v>#DIV/0!</v>
      </c>
      <c r="I54" s="25" t="str">
        <f t="shared" si="2"/>
        <v/>
      </c>
    </row>
    <row r="55" spans="1:9" hidden="1" x14ac:dyDescent="0.25">
      <c r="A55" s="3">
        <v>3317</v>
      </c>
      <c r="B55" s="3">
        <v>113.2997757</v>
      </c>
      <c r="C55" s="3">
        <v>22.9390149</v>
      </c>
      <c r="D55" s="3">
        <v>9</v>
      </c>
      <c r="E55" s="13">
        <f t="shared" si="3"/>
        <v>1.8472304637972684E-2</v>
      </c>
      <c r="F55" s="13">
        <f t="shared" si="4"/>
        <v>7.3576556603629619</v>
      </c>
      <c r="G55" s="14" t="e">
        <f>F55/$F$124*$D$2</f>
        <v>#DIV/0!</v>
      </c>
      <c r="H55" s="14" t="e">
        <f>F55/$F$124*$E$2</f>
        <v>#DIV/0!</v>
      </c>
      <c r="I55" s="25" t="str">
        <f t="shared" si="2"/>
        <v/>
      </c>
    </row>
    <row r="56" spans="1:9" x14ac:dyDescent="0.25">
      <c r="A56" s="3">
        <v>3316</v>
      </c>
      <c r="B56" s="3">
        <v>113.29915990000001</v>
      </c>
      <c r="C56" s="3">
        <v>22.938126319999999</v>
      </c>
      <c r="D56" s="3">
        <v>9</v>
      </c>
      <c r="E56" s="13">
        <f t="shared" si="3"/>
        <v>1.9108166954204194E-2</v>
      </c>
      <c r="F56" s="13">
        <f t="shared" si="4"/>
        <v>7.2341995853214103</v>
      </c>
      <c r="G56" s="14">
        <f>F56/$F$58*$D$2</f>
        <v>0</v>
      </c>
      <c r="H56" s="14">
        <f>F56/$F$58*$E$2</f>
        <v>28.996157561926498</v>
      </c>
      <c r="I56" s="25" t="str">
        <f t="shared" si="2"/>
        <v>选中</v>
      </c>
    </row>
    <row r="57" spans="1:9" x14ac:dyDescent="0.25">
      <c r="A57" s="3"/>
      <c r="B57" s="3"/>
      <c r="C57" s="3"/>
      <c r="D57" s="3"/>
      <c r="G57" s="14"/>
      <c r="H57" s="14"/>
    </row>
    <row r="58" spans="1:9" x14ac:dyDescent="0.25">
      <c r="A58" s="3"/>
      <c r="B58" s="3"/>
      <c r="C58" s="3"/>
      <c r="D58" s="3"/>
      <c r="F58" s="13">
        <f>SUBTOTAL(9,F5:F56)</f>
        <v>253.23053799178567</v>
      </c>
      <c r="G58" s="13">
        <f>SUBTOTAL(9,G5:G56)</f>
        <v>0</v>
      </c>
      <c r="H58" s="13">
        <f>SUBTOTAL(9,H5:H56)</f>
        <v>1014.9999999999998</v>
      </c>
    </row>
    <row r="59" spans="1:9" x14ac:dyDescent="0.25">
      <c r="A59" s="3"/>
      <c r="B59" s="3"/>
      <c r="C59" s="3"/>
      <c r="D59" s="3"/>
      <c r="G59" s="14"/>
      <c r="H59" s="14"/>
    </row>
    <row r="60" spans="1:9" x14ac:dyDescent="0.25">
      <c r="A60" s="3"/>
      <c r="B60" s="3"/>
      <c r="C60" s="3"/>
      <c r="D60" s="3"/>
      <c r="G60" s="14"/>
      <c r="H60" s="14"/>
    </row>
    <row r="61" spans="1:9" x14ac:dyDescent="0.25">
      <c r="A61" s="3"/>
      <c r="B61" s="3"/>
      <c r="C61" s="3"/>
      <c r="D61" s="3"/>
      <c r="G61" s="14"/>
      <c r="H61" s="14"/>
    </row>
    <row r="62" spans="1:9" x14ac:dyDescent="0.25">
      <c r="A62" s="3"/>
      <c r="B62" s="3"/>
      <c r="C62" s="3"/>
      <c r="D62" s="3"/>
      <c r="G62" s="14"/>
      <c r="H62" s="14"/>
    </row>
    <row r="63" spans="1:9" x14ac:dyDescent="0.25">
      <c r="A63" s="3"/>
      <c r="B63" s="3"/>
      <c r="C63" s="3"/>
      <c r="D63" s="3"/>
      <c r="G63" s="14"/>
      <c r="H63" s="14"/>
    </row>
    <row r="64" spans="1:9" x14ac:dyDescent="0.25">
      <c r="A64" s="3"/>
      <c r="B64" s="3"/>
      <c r="C64" s="3"/>
      <c r="D64" s="3"/>
      <c r="G64" s="14"/>
      <c r="H64" s="14"/>
    </row>
    <row r="65" spans="1:8" x14ac:dyDescent="0.25">
      <c r="A65" s="3"/>
      <c r="B65" s="3"/>
      <c r="C65" s="3"/>
      <c r="D65" s="3"/>
      <c r="G65" s="14"/>
      <c r="H65" s="14"/>
    </row>
    <row r="66" spans="1:8" x14ac:dyDescent="0.25">
      <c r="A66" s="3"/>
      <c r="B66" s="3"/>
      <c r="C66" s="3"/>
      <c r="D66" s="3"/>
      <c r="G66" s="14"/>
      <c r="H66" s="14"/>
    </row>
    <row r="67" spans="1:8" x14ac:dyDescent="0.25">
      <c r="A67" s="3"/>
      <c r="B67" s="3"/>
      <c r="C67" s="3"/>
      <c r="D67" s="3"/>
      <c r="G67" s="14"/>
      <c r="H67" s="14"/>
    </row>
    <row r="68" spans="1:8" x14ac:dyDescent="0.25">
      <c r="A68" s="3"/>
      <c r="B68" s="3"/>
      <c r="C68" s="3"/>
      <c r="D68" s="3"/>
      <c r="G68" s="14"/>
      <c r="H68" s="14"/>
    </row>
    <row r="69" spans="1:8" x14ac:dyDescent="0.25">
      <c r="A69" s="3"/>
      <c r="B69" s="3"/>
      <c r="C69" s="3"/>
      <c r="D69" s="3"/>
      <c r="G69" s="14"/>
      <c r="H69" s="14"/>
    </row>
    <row r="70" spans="1:8" x14ac:dyDescent="0.25">
      <c r="A70" s="3"/>
      <c r="B70" s="3"/>
      <c r="C70" s="3"/>
      <c r="D70" s="3"/>
      <c r="G70" s="14"/>
      <c r="H70" s="14"/>
    </row>
    <row r="71" spans="1:8" x14ac:dyDescent="0.25">
      <c r="A71" s="3"/>
      <c r="B71" s="3"/>
      <c r="C71" s="3"/>
      <c r="D71" s="3"/>
      <c r="G71" s="14"/>
      <c r="H71" s="14"/>
    </row>
    <row r="72" spans="1:8" x14ac:dyDescent="0.25">
      <c r="A72" s="3"/>
      <c r="B72" s="3"/>
      <c r="C72" s="3"/>
      <c r="D72" s="3"/>
      <c r="G72" s="14"/>
      <c r="H72" s="14"/>
    </row>
    <row r="73" spans="1:8" x14ac:dyDescent="0.25">
      <c r="A73" s="3"/>
      <c r="B73" s="3"/>
      <c r="C73" s="3"/>
      <c r="D73" s="3"/>
      <c r="G73" s="14"/>
      <c r="H73" s="14"/>
    </row>
    <row r="74" spans="1:8" x14ac:dyDescent="0.25">
      <c r="A74" s="3"/>
      <c r="B74" s="3"/>
      <c r="C74" s="3"/>
      <c r="D74" s="3"/>
      <c r="G74" s="14"/>
      <c r="H74" s="14"/>
    </row>
    <row r="75" spans="1:8" x14ac:dyDescent="0.25">
      <c r="A75" s="3"/>
      <c r="B75" s="3"/>
      <c r="C75" s="3"/>
      <c r="D75" s="3"/>
      <c r="G75" s="14"/>
      <c r="H75" s="14"/>
    </row>
    <row r="76" spans="1:8" x14ac:dyDescent="0.25">
      <c r="A76" s="3"/>
      <c r="B76" s="3"/>
      <c r="C76" s="3"/>
      <c r="D76" s="3"/>
      <c r="G76" s="14"/>
      <c r="H76" s="14"/>
    </row>
    <row r="77" spans="1:8" x14ac:dyDescent="0.25">
      <c r="A77" s="3"/>
      <c r="B77" s="3"/>
      <c r="C77" s="3"/>
      <c r="D77" s="3"/>
      <c r="G77" s="14"/>
      <c r="H77" s="14"/>
    </row>
    <row r="78" spans="1:8" x14ac:dyDescent="0.25">
      <c r="A78" s="3"/>
      <c r="B78" s="3"/>
      <c r="C78" s="3"/>
      <c r="D78" s="3"/>
      <c r="G78" s="14"/>
      <c r="H78" s="14"/>
    </row>
    <row r="79" spans="1:8" x14ac:dyDescent="0.25">
      <c r="A79" s="3"/>
      <c r="B79" s="3"/>
      <c r="C79" s="3"/>
      <c r="D79" s="3"/>
      <c r="G79" s="14"/>
      <c r="H79" s="14"/>
    </row>
    <row r="80" spans="1:8" x14ac:dyDescent="0.25">
      <c r="A80" s="3"/>
      <c r="B80" s="3"/>
      <c r="C80" s="3"/>
      <c r="D80" s="3"/>
      <c r="G80" s="14"/>
      <c r="H80" s="14"/>
    </row>
    <row r="81" spans="1:8" x14ac:dyDescent="0.25">
      <c r="A81" s="3"/>
      <c r="B81" s="3"/>
      <c r="C81" s="3"/>
      <c r="D81" s="3"/>
      <c r="G81" s="14"/>
      <c r="H81" s="14"/>
    </row>
    <row r="82" spans="1:8" x14ac:dyDescent="0.25">
      <c r="A82" s="3"/>
      <c r="B82" s="3"/>
      <c r="C82" s="3"/>
      <c r="D82" s="3"/>
      <c r="G82" s="14"/>
      <c r="H82" s="14"/>
    </row>
    <row r="83" spans="1:8" x14ac:dyDescent="0.25">
      <c r="A83" s="3"/>
      <c r="B83" s="3"/>
      <c r="C83" s="3"/>
      <c r="D83" s="3"/>
      <c r="G83" s="14"/>
      <c r="H83" s="14"/>
    </row>
    <row r="84" spans="1:8" x14ac:dyDescent="0.25">
      <c r="A84" s="3"/>
      <c r="B84" s="3"/>
      <c r="C84" s="3"/>
      <c r="D84" s="3"/>
      <c r="G84" s="14"/>
      <c r="H84" s="14"/>
    </row>
    <row r="85" spans="1:8" x14ac:dyDescent="0.25">
      <c r="A85" s="3"/>
      <c r="B85" s="3"/>
      <c r="C85" s="3"/>
      <c r="D85" s="3"/>
      <c r="G85" s="14"/>
      <c r="H85" s="14"/>
    </row>
    <row r="86" spans="1:8" x14ac:dyDescent="0.25">
      <c r="A86" s="3"/>
      <c r="B86" s="3"/>
      <c r="C86" s="3"/>
      <c r="D86" s="3"/>
      <c r="G86" s="14"/>
      <c r="H86" s="14"/>
    </row>
    <row r="87" spans="1:8" x14ac:dyDescent="0.25">
      <c r="A87" s="3"/>
      <c r="B87" s="3"/>
      <c r="C87" s="3"/>
      <c r="D87" s="3"/>
      <c r="G87" s="14"/>
      <c r="H87" s="14"/>
    </row>
    <row r="88" spans="1:8" x14ac:dyDescent="0.25">
      <c r="A88" s="3"/>
      <c r="B88" s="3"/>
      <c r="C88" s="3"/>
      <c r="D88" s="3"/>
      <c r="G88" s="14"/>
      <c r="H88" s="14"/>
    </row>
    <row r="89" spans="1:8" x14ac:dyDescent="0.25">
      <c r="A89" s="3"/>
      <c r="B89" s="3"/>
      <c r="C89" s="3"/>
      <c r="D89" s="3"/>
      <c r="G89" s="14"/>
      <c r="H89" s="14"/>
    </row>
    <row r="90" spans="1:8" x14ac:dyDescent="0.25">
      <c r="A90" s="3"/>
      <c r="B90" s="3"/>
      <c r="C90" s="3"/>
      <c r="D90" s="3"/>
      <c r="G90" s="14"/>
      <c r="H90" s="14"/>
    </row>
    <row r="91" spans="1:8" x14ac:dyDescent="0.25">
      <c r="A91" s="3"/>
      <c r="B91" s="3"/>
      <c r="C91" s="3"/>
      <c r="D91" s="3"/>
      <c r="G91" s="14"/>
      <c r="H91" s="14"/>
    </row>
    <row r="92" spans="1:8" x14ac:dyDescent="0.25">
      <c r="A92" s="3"/>
      <c r="B92" s="3"/>
      <c r="C92" s="3"/>
      <c r="D92" s="3"/>
      <c r="G92" s="14"/>
      <c r="H92" s="14"/>
    </row>
    <row r="93" spans="1:8" x14ac:dyDescent="0.25">
      <c r="A93" s="3"/>
      <c r="B93" s="3"/>
      <c r="C93" s="3"/>
      <c r="D93" s="3"/>
      <c r="G93" s="14"/>
      <c r="H93" s="14"/>
    </row>
    <row r="94" spans="1:8" x14ac:dyDescent="0.25">
      <c r="A94" s="3"/>
      <c r="B94" s="3"/>
      <c r="C94" s="3"/>
      <c r="D94" s="3"/>
      <c r="G94" s="14"/>
      <c r="H94" s="14"/>
    </row>
    <row r="95" spans="1:8" x14ac:dyDescent="0.25">
      <c r="A95" s="3"/>
      <c r="B95" s="3"/>
      <c r="C95" s="3"/>
      <c r="D95" s="3"/>
      <c r="G95" s="14"/>
      <c r="H95" s="14"/>
    </row>
    <row r="96" spans="1:8" x14ac:dyDescent="0.25">
      <c r="A96" s="3"/>
      <c r="B96" s="3"/>
      <c r="C96" s="3"/>
      <c r="D96" s="3"/>
      <c r="G96" s="14"/>
      <c r="H96" s="14"/>
    </row>
    <row r="97" spans="1:8" x14ac:dyDescent="0.25">
      <c r="A97" s="3"/>
      <c r="B97" s="3"/>
      <c r="C97" s="3"/>
      <c r="D97" s="3"/>
      <c r="G97" s="14"/>
      <c r="H97" s="14"/>
    </row>
    <row r="98" spans="1:8" x14ac:dyDescent="0.25">
      <c r="A98" s="3"/>
      <c r="B98" s="3"/>
      <c r="C98" s="3"/>
      <c r="D98" s="3"/>
      <c r="G98" s="14"/>
      <c r="H98" s="14"/>
    </row>
    <row r="99" spans="1:8" x14ac:dyDescent="0.25">
      <c r="A99" s="3"/>
      <c r="B99" s="3"/>
      <c r="C99" s="3"/>
      <c r="D99" s="3"/>
      <c r="G99" s="14"/>
      <c r="H99" s="14"/>
    </row>
    <row r="100" spans="1:8" x14ac:dyDescent="0.25">
      <c r="A100" s="3"/>
      <c r="B100" s="3"/>
      <c r="C100" s="3"/>
      <c r="D100" s="3"/>
      <c r="G100" s="14"/>
      <c r="H100" s="14"/>
    </row>
    <row r="101" spans="1:8" x14ac:dyDescent="0.25">
      <c r="A101" s="3"/>
      <c r="B101" s="3"/>
      <c r="C101" s="3"/>
      <c r="D101" s="3"/>
      <c r="G101" s="14"/>
      <c r="H101" s="14"/>
    </row>
    <row r="102" spans="1:8" x14ac:dyDescent="0.25">
      <c r="A102" s="3"/>
      <c r="B102" s="3"/>
      <c r="C102" s="3"/>
      <c r="D102" s="3"/>
      <c r="G102" s="14"/>
      <c r="H102" s="14"/>
    </row>
    <row r="103" spans="1:8" x14ac:dyDescent="0.25">
      <c r="A103" s="3"/>
      <c r="B103" s="3"/>
      <c r="C103" s="3"/>
      <c r="D103" s="3"/>
      <c r="G103" s="14"/>
      <c r="H103" s="14"/>
    </row>
    <row r="104" spans="1:8" x14ac:dyDescent="0.25">
      <c r="A104" s="3"/>
      <c r="B104" s="3"/>
      <c r="C104" s="3"/>
      <c r="D104" s="3"/>
      <c r="G104" s="14"/>
      <c r="H104" s="14"/>
    </row>
    <row r="105" spans="1:8" x14ac:dyDescent="0.25">
      <c r="A105" s="3"/>
      <c r="B105" s="3"/>
      <c r="C105" s="3"/>
      <c r="D105" s="3"/>
      <c r="G105" s="14"/>
      <c r="H105" s="14"/>
    </row>
    <row r="106" spans="1:8" x14ac:dyDescent="0.25">
      <c r="A106" s="3"/>
      <c r="B106" s="3"/>
      <c r="C106" s="3"/>
      <c r="D106" s="3"/>
      <c r="G106" s="14"/>
      <c r="H106" s="14"/>
    </row>
    <row r="107" spans="1:8" x14ac:dyDescent="0.25">
      <c r="A107" s="3"/>
      <c r="B107" s="3"/>
      <c r="C107" s="3"/>
      <c r="D107" s="3"/>
      <c r="G107" s="14"/>
      <c r="H107" s="14"/>
    </row>
    <row r="108" spans="1:8" x14ac:dyDescent="0.25">
      <c r="A108" s="3"/>
      <c r="B108" s="3"/>
      <c r="C108" s="3"/>
      <c r="D108" s="3"/>
      <c r="G108" s="14"/>
      <c r="H108" s="14"/>
    </row>
    <row r="109" spans="1:8" x14ac:dyDescent="0.25">
      <c r="A109" s="3"/>
      <c r="B109" s="3"/>
      <c r="C109" s="3"/>
      <c r="D109" s="3"/>
      <c r="G109" s="14"/>
      <c r="H109" s="14"/>
    </row>
    <row r="110" spans="1:8" x14ac:dyDescent="0.25">
      <c r="A110" s="3"/>
      <c r="B110" s="3"/>
      <c r="C110" s="3"/>
      <c r="D110" s="3"/>
      <c r="G110" s="14"/>
      <c r="H110" s="14"/>
    </row>
    <row r="111" spans="1:8" x14ac:dyDescent="0.25">
      <c r="A111" s="3"/>
      <c r="B111" s="3"/>
      <c r="C111" s="3"/>
      <c r="D111" s="3"/>
      <c r="G111" s="14"/>
      <c r="H111" s="14"/>
    </row>
    <row r="112" spans="1:8" x14ac:dyDescent="0.25">
      <c r="A112" s="3"/>
      <c r="B112" s="3"/>
      <c r="C112" s="3"/>
      <c r="D112" s="3"/>
      <c r="G112" s="14"/>
      <c r="H112" s="14"/>
    </row>
    <row r="113" spans="1:8" x14ac:dyDescent="0.25">
      <c r="A113" s="3"/>
      <c r="B113" s="3"/>
      <c r="C113" s="3"/>
      <c r="D113" s="3"/>
      <c r="G113" s="14"/>
      <c r="H113" s="14"/>
    </row>
    <row r="114" spans="1:8" x14ac:dyDescent="0.25">
      <c r="A114" s="3"/>
      <c r="B114" s="3"/>
      <c r="C114" s="3"/>
      <c r="D114" s="3"/>
      <c r="G114" s="14"/>
      <c r="H114" s="14"/>
    </row>
    <row r="115" spans="1:8" x14ac:dyDescent="0.25">
      <c r="A115" s="3"/>
      <c r="B115" s="3"/>
      <c r="C115" s="3"/>
      <c r="D115" s="3"/>
      <c r="G115" s="14"/>
      <c r="H115" s="14"/>
    </row>
    <row r="116" spans="1:8" x14ac:dyDescent="0.25">
      <c r="A116" s="3"/>
      <c r="B116" s="3"/>
      <c r="C116" s="3"/>
      <c r="D116" s="3"/>
      <c r="G116" s="14"/>
      <c r="H116" s="14"/>
    </row>
    <row r="117" spans="1:8" x14ac:dyDescent="0.25">
      <c r="A117" s="3"/>
      <c r="B117" s="3"/>
      <c r="C117" s="3"/>
      <c r="D117" s="3"/>
      <c r="G117" s="14"/>
      <c r="H117" s="14"/>
    </row>
    <row r="118" spans="1:8" x14ac:dyDescent="0.25">
      <c r="A118" s="3"/>
      <c r="B118" s="3"/>
      <c r="C118" s="3"/>
      <c r="D118" s="3"/>
      <c r="G118" s="14"/>
      <c r="H118" s="14"/>
    </row>
    <row r="119" spans="1:8" x14ac:dyDescent="0.25">
      <c r="A119" s="3"/>
      <c r="B119" s="3"/>
      <c r="C119" s="3"/>
      <c r="D119" s="3"/>
      <c r="G119" s="14"/>
      <c r="H119" s="14"/>
    </row>
    <row r="120" spans="1:8" x14ac:dyDescent="0.25">
      <c r="A120" s="3"/>
      <c r="B120" s="3"/>
      <c r="C120" s="3"/>
      <c r="D120" s="3"/>
      <c r="G120" s="14"/>
      <c r="H120" s="14"/>
    </row>
    <row r="121" spans="1:8" x14ac:dyDescent="0.25">
      <c r="A121" s="3"/>
      <c r="B121" s="3"/>
      <c r="C121" s="3"/>
      <c r="D121" s="3"/>
      <c r="G121" s="14"/>
      <c r="H121" s="14"/>
    </row>
    <row r="122" spans="1:8" x14ac:dyDescent="0.25">
      <c r="A122" s="3"/>
      <c r="B122" s="3"/>
      <c r="C122" s="3"/>
      <c r="D122" s="3"/>
      <c r="G122" s="14"/>
      <c r="H122" s="14"/>
    </row>
    <row r="123" spans="1:8" x14ac:dyDescent="0.25">
      <c r="A123" s="3"/>
      <c r="B123" s="3"/>
      <c r="C123" s="3"/>
      <c r="D123" s="3"/>
      <c r="G123" s="14"/>
      <c r="H123" s="14"/>
    </row>
    <row r="124" spans="1:8" x14ac:dyDescent="0.25">
      <c r="A124" s="3"/>
      <c r="B124" s="3"/>
      <c r="C124" s="3"/>
      <c r="D124" s="3"/>
      <c r="G124" s="14"/>
      <c r="H124" s="14"/>
    </row>
    <row r="125" spans="1:8" x14ac:dyDescent="0.25">
      <c r="A125" s="3"/>
      <c r="B125" s="3"/>
      <c r="C125" s="3"/>
      <c r="D125" s="3"/>
      <c r="G125" s="14"/>
      <c r="H125" s="14"/>
    </row>
    <row r="126" spans="1:8" x14ac:dyDescent="0.25">
      <c r="A126" s="18"/>
      <c r="B126" s="3"/>
      <c r="C126" s="3"/>
      <c r="D126" s="3"/>
      <c r="G126" s="14"/>
      <c r="H126" s="14"/>
    </row>
    <row r="127" spans="1:8" x14ac:dyDescent="0.25">
      <c r="A127" s="3"/>
      <c r="B127" s="3"/>
      <c r="C127" s="3"/>
      <c r="D127" s="3"/>
      <c r="G127" s="14"/>
      <c r="H127" s="14"/>
    </row>
    <row r="128" spans="1:8" x14ac:dyDescent="0.25">
      <c r="A128" s="3"/>
      <c r="B128" s="3"/>
      <c r="C128" s="3"/>
      <c r="D128" s="3"/>
      <c r="G128" s="14"/>
      <c r="H128" s="14"/>
    </row>
    <row r="129" spans="1:8" x14ac:dyDescent="0.25">
      <c r="A129" s="3"/>
      <c r="B129" s="3"/>
      <c r="C129" s="3"/>
      <c r="D129" s="3"/>
      <c r="G129" s="14"/>
      <c r="H129" s="14"/>
    </row>
    <row r="130" spans="1:8" x14ac:dyDescent="0.25">
      <c r="A130" s="3"/>
      <c r="B130" s="3"/>
      <c r="C130" s="3"/>
      <c r="D130" s="3"/>
      <c r="G130" s="14"/>
      <c r="H130" s="14"/>
    </row>
    <row r="131" spans="1:8" x14ac:dyDescent="0.25">
      <c r="A131" s="3"/>
      <c r="B131" s="3"/>
      <c r="C131" s="3"/>
      <c r="D131" s="3"/>
      <c r="G131" s="14"/>
      <c r="H131" s="14"/>
    </row>
    <row r="132" spans="1:8" x14ac:dyDescent="0.25">
      <c r="A132" s="3"/>
      <c r="B132" s="3"/>
      <c r="C132" s="3"/>
      <c r="D132" s="3"/>
      <c r="G132" s="14"/>
      <c r="H132" s="14"/>
    </row>
    <row r="133" spans="1:8" x14ac:dyDescent="0.25">
      <c r="A133" s="3"/>
      <c r="B133" s="3"/>
      <c r="C133" s="3"/>
      <c r="D133" s="3"/>
      <c r="G133" s="14"/>
      <c r="H133" s="14"/>
    </row>
    <row r="134" spans="1:8" x14ac:dyDescent="0.25">
      <c r="A134" s="3"/>
      <c r="B134" s="3"/>
      <c r="C134" s="3"/>
      <c r="D134" s="3"/>
      <c r="G134" s="14"/>
      <c r="H134" s="14"/>
    </row>
    <row r="135" spans="1:8" x14ac:dyDescent="0.25">
      <c r="A135" s="3"/>
      <c r="B135" s="3"/>
      <c r="C135" s="3"/>
      <c r="D135" s="3"/>
      <c r="G135" s="14"/>
      <c r="H135" s="14"/>
    </row>
    <row r="136" spans="1:8" x14ac:dyDescent="0.25">
      <c r="A136" s="3"/>
      <c r="B136" s="3"/>
      <c r="C136" s="3"/>
      <c r="D136" s="3"/>
      <c r="G136" s="14"/>
      <c r="H136" s="14"/>
    </row>
    <row r="137" spans="1:8" x14ac:dyDescent="0.25">
      <c r="A137" s="3"/>
      <c r="B137" s="3"/>
      <c r="C137" s="3"/>
      <c r="D137" s="3"/>
      <c r="G137" s="14"/>
      <c r="H137" s="14"/>
    </row>
    <row r="138" spans="1:8" x14ac:dyDescent="0.25">
      <c r="A138" s="3"/>
      <c r="B138" s="3"/>
      <c r="C138" s="3"/>
      <c r="D138" s="3"/>
      <c r="G138" s="14"/>
      <c r="H138" s="14"/>
    </row>
    <row r="139" spans="1:8" x14ac:dyDescent="0.25">
      <c r="A139" s="3"/>
      <c r="B139" s="3"/>
      <c r="C139" s="3"/>
      <c r="D139" s="3"/>
      <c r="G139" s="14"/>
      <c r="H139" s="14"/>
    </row>
    <row r="140" spans="1:8" x14ac:dyDescent="0.25">
      <c r="A140" s="3"/>
      <c r="B140" s="3"/>
      <c r="C140" s="3"/>
      <c r="D140" s="3"/>
      <c r="G140" s="14"/>
      <c r="H140" s="14"/>
    </row>
    <row r="141" spans="1:8" x14ac:dyDescent="0.25">
      <c r="A141" s="3"/>
      <c r="B141" s="3"/>
      <c r="C141" s="3"/>
      <c r="D141" s="3"/>
      <c r="G141" s="14"/>
      <c r="H141" s="14"/>
    </row>
    <row r="142" spans="1:8" x14ac:dyDescent="0.25">
      <c r="A142" s="3"/>
      <c r="B142" s="3"/>
      <c r="C142" s="3"/>
      <c r="D142" s="3"/>
      <c r="G142" s="14"/>
      <c r="H142" s="14"/>
    </row>
    <row r="143" spans="1:8" x14ac:dyDescent="0.25">
      <c r="A143" s="3"/>
      <c r="B143" s="3"/>
      <c r="C143" s="3"/>
      <c r="D143" s="3"/>
      <c r="G143" s="14"/>
      <c r="H143" s="14"/>
    </row>
    <row r="144" spans="1:8" x14ac:dyDescent="0.25">
      <c r="A144" s="3"/>
      <c r="B144" s="3"/>
      <c r="C144" s="3"/>
      <c r="D144" s="3"/>
      <c r="G144" s="14"/>
      <c r="H144" s="14"/>
    </row>
    <row r="145" spans="1:8" x14ac:dyDescent="0.25">
      <c r="A145" s="3"/>
      <c r="B145" s="3"/>
      <c r="C145" s="3"/>
      <c r="D145" s="3"/>
      <c r="G145" s="14"/>
      <c r="H145" s="14"/>
    </row>
    <row r="146" spans="1:8" x14ac:dyDescent="0.25">
      <c r="A146" s="3"/>
      <c r="B146" s="3"/>
      <c r="C146" s="3"/>
      <c r="D146" s="3"/>
      <c r="G146" s="14"/>
      <c r="H146" s="14"/>
    </row>
    <row r="147" spans="1:8" x14ac:dyDescent="0.25">
      <c r="A147" s="3"/>
      <c r="B147" s="3"/>
      <c r="C147" s="3"/>
      <c r="D147" s="3"/>
      <c r="G147" s="14"/>
      <c r="H147" s="14"/>
    </row>
    <row r="148" spans="1:8" x14ac:dyDescent="0.25">
      <c r="A148" s="3"/>
      <c r="B148" s="3"/>
      <c r="C148" s="3"/>
      <c r="D148" s="3"/>
      <c r="G148" s="14"/>
      <c r="H148" s="14"/>
    </row>
    <row r="149" spans="1:8" x14ac:dyDescent="0.25">
      <c r="A149" s="3"/>
      <c r="B149" s="3"/>
      <c r="C149" s="3"/>
      <c r="D149" s="3"/>
      <c r="G149" s="14"/>
      <c r="H149" s="14"/>
    </row>
    <row r="150" spans="1:8" x14ac:dyDescent="0.25">
      <c r="A150" s="3"/>
      <c r="B150" s="3"/>
      <c r="C150" s="3"/>
      <c r="D150" s="3"/>
      <c r="G150" s="14"/>
      <c r="H150" s="14"/>
    </row>
    <row r="151" spans="1:8" x14ac:dyDescent="0.25">
      <c r="A151" s="3"/>
      <c r="B151" s="3"/>
      <c r="C151" s="3"/>
      <c r="D151" s="3"/>
      <c r="G151" s="14"/>
      <c r="H151" s="14"/>
    </row>
    <row r="152" spans="1:8" x14ac:dyDescent="0.25">
      <c r="A152" s="3"/>
      <c r="B152" s="3"/>
      <c r="C152" s="3"/>
      <c r="D152" s="3"/>
      <c r="G152" s="14"/>
      <c r="H152" s="14"/>
    </row>
    <row r="153" spans="1:8" x14ac:dyDescent="0.25">
      <c r="A153" s="3"/>
      <c r="B153" s="3"/>
      <c r="C153" s="3"/>
      <c r="D153" s="3"/>
      <c r="G153" s="14"/>
      <c r="H153" s="14"/>
    </row>
    <row r="154" spans="1:8" x14ac:dyDescent="0.25">
      <c r="A154" s="3"/>
      <c r="B154" s="3"/>
      <c r="C154" s="3"/>
      <c r="D154" s="3"/>
      <c r="G154" s="14"/>
      <c r="H154" s="14"/>
    </row>
    <row r="155" spans="1:8" x14ac:dyDescent="0.25">
      <c r="A155" s="3"/>
      <c r="B155" s="3"/>
      <c r="C155" s="3"/>
      <c r="D155" s="3"/>
      <c r="G155" s="14"/>
      <c r="H155" s="14"/>
    </row>
    <row r="156" spans="1:8" x14ac:dyDescent="0.25">
      <c r="A156" s="3"/>
      <c r="B156" s="3"/>
      <c r="C156" s="3"/>
      <c r="D156" s="3"/>
      <c r="G156" s="14"/>
      <c r="H156" s="14"/>
    </row>
    <row r="157" spans="1:8" x14ac:dyDescent="0.25">
      <c r="A157" s="3"/>
      <c r="B157" s="3"/>
      <c r="C157" s="3"/>
      <c r="D157" s="3"/>
      <c r="G157" s="14"/>
      <c r="H157" s="14"/>
    </row>
    <row r="158" spans="1:8" x14ac:dyDescent="0.25">
      <c r="A158" s="3"/>
      <c r="B158" s="3"/>
      <c r="C158" s="3"/>
      <c r="D158" s="3"/>
      <c r="G158" s="14"/>
      <c r="H158" s="14"/>
    </row>
    <row r="159" spans="1:8" x14ac:dyDescent="0.25">
      <c r="A159" s="3"/>
      <c r="B159" s="3"/>
      <c r="C159" s="3"/>
      <c r="D159" s="3"/>
      <c r="G159" s="14"/>
      <c r="H159" s="14"/>
    </row>
    <row r="160" spans="1:8" x14ac:dyDescent="0.25">
      <c r="A160" s="3"/>
      <c r="B160" s="3"/>
      <c r="C160" s="3"/>
      <c r="D160" s="3"/>
      <c r="G160" s="14"/>
      <c r="H160" s="14"/>
    </row>
    <row r="161" spans="1:8" x14ac:dyDescent="0.25">
      <c r="A161" s="3"/>
      <c r="B161" s="3"/>
      <c r="C161" s="3"/>
      <c r="D161" s="3"/>
      <c r="G161" s="14"/>
      <c r="H161" s="14"/>
    </row>
    <row r="162" spans="1:8" x14ac:dyDescent="0.25">
      <c r="A162" s="3"/>
      <c r="B162" s="3"/>
      <c r="C162" s="3"/>
      <c r="D162" s="3"/>
      <c r="G162" s="14"/>
      <c r="H162" s="14"/>
    </row>
    <row r="163" spans="1:8" x14ac:dyDescent="0.25">
      <c r="A163" s="3"/>
      <c r="B163" s="3"/>
      <c r="C163" s="3"/>
      <c r="D163" s="3"/>
      <c r="G163" s="14"/>
      <c r="H163" s="14"/>
    </row>
    <row r="164" spans="1:8" x14ac:dyDescent="0.25">
      <c r="A164" s="3"/>
      <c r="B164" s="3"/>
      <c r="C164" s="3"/>
      <c r="D164" s="3"/>
      <c r="G164" s="14"/>
      <c r="H164" s="14"/>
    </row>
    <row r="165" spans="1:8" x14ac:dyDescent="0.25">
      <c r="A165" s="3"/>
      <c r="B165" s="3"/>
      <c r="C165" s="3"/>
      <c r="D165" s="3"/>
      <c r="G165" s="14"/>
      <c r="H165" s="14"/>
    </row>
    <row r="166" spans="1:8" x14ac:dyDescent="0.25">
      <c r="A166" s="3"/>
      <c r="B166" s="3"/>
      <c r="C166" s="3"/>
      <c r="D166" s="3"/>
      <c r="G166" s="14"/>
      <c r="H166" s="14"/>
    </row>
    <row r="167" spans="1:8" x14ac:dyDescent="0.25">
      <c r="A167" s="3"/>
      <c r="B167" s="3"/>
      <c r="C167" s="3"/>
      <c r="D167" s="3"/>
      <c r="G167" s="14"/>
      <c r="H167" s="14"/>
    </row>
    <row r="168" spans="1:8" x14ac:dyDescent="0.25">
      <c r="A168" s="3"/>
      <c r="B168" s="3"/>
      <c r="C168" s="3"/>
      <c r="D168" s="3"/>
      <c r="G168" s="14"/>
      <c r="H168" s="14"/>
    </row>
    <row r="169" spans="1:8" x14ac:dyDescent="0.25">
      <c r="A169" s="3"/>
      <c r="B169" s="3"/>
      <c r="C169" s="3"/>
      <c r="D169" s="3"/>
      <c r="G169" s="14"/>
      <c r="H169" s="14"/>
    </row>
    <row r="170" spans="1:8" x14ac:dyDescent="0.25">
      <c r="A170" s="3"/>
      <c r="B170" s="3"/>
      <c r="C170" s="3"/>
      <c r="D170" s="3"/>
      <c r="G170" s="14"/>
      <c r="H170" s="14"/>
    </row>
    <row r="171" spans="1:8" x14ac:dyDescent="0.25">
      <c r="A171" s="3"/>
      <c r="B171" s="3"/>
      <c r="C171" s="3"/>
      <c r="D171" s="3"/>
      <c r="G171" s="14"/>
      <c r="H171" s="14"/>
    </row>
    <row r="172" spans="1:8" x14ac:dyDescent="0.25">
      <c r="A172" s="3"/>
      <c r="B172" s="3"/>
      <c r="C172" s="3"/>
      <c r="D172" s="3"/>
      <c r="G172" s="14"/>
      <c r="H172" s="14"/>
    </row>
    <row r="173" spans="1:8" x14ac:dyDescent="0.25">
      <c r="A173" s="3"/>
      <c r="B173" s="3"/>
      <c r="C173" s="3"/>
      <c r="D173" s="3"/>
      <c r="G173" s="14"/>
      <c r="H173" s="14"/>
    </row>
    <row r="174" spans="1:8" x14ac:dyDescent="0.25">
      <c r="A174" s="3"/>
      <c r="B174" s="3"/>
      <c r="C174" s="3"/>
      <c r="D174" s="3"/>
      <c r="G174" s="14"/>
      <c r="H174" s="14"/>
    </row>
    <row r="175" spans="1:8" x14ac:dyDescent="0.25">
      <c r="A175" s="3"/>
      <c r="B175" s="3"/>
      <c r="C175" s="3"/>
      <c r="D175" s="3"/>
      <c r="G175" s="14"/>
      <c r="H175" s="14"/>
    </row>
    <row r="176" spans="1:8" x14ac:dyDescent="0.25">
      <c r="A176" s="3"/>
      <c r="B176" s="3"/>
      <c r="C176" s="3"/>
      <c r="D176" s="3"/>
      <c r="G176" s="14"/>
      <c r="H176" s="14"/>
    </row>
    <row r="177" spans="1:8" x14ac:dyDescent="0.25">
      <c r="A177" s="3"/>
      <c r="B177" s="3"/>
      <c r="C177" s="3"/>
      <c r="D177" s="3"/>
      <c r="G177" s="14"/>
      <c r="H177" s="14"/>
    </row>
    <row r="178" spans="1:8" x14ac:dyDescent="0.25">
      <c r="A178" s="3"/>
      <c r="B178" s="3"/>
      <c r="C178" s="3"/>
      <c r="D178" s="3"/>
      <c r="G178" s="14"/>
      <c r="H178" s="14"/>
    </row>
    <row r="179" spans="1:8" x14ac:dyDescent="0.25">
      <c r="A179" s="3"/>
      <c r="B179" s="3"/>
      <c r="C179" s="3"/>
      <c r="D179" s="3"/>
      <c r="G179" s="14"/>
      <c r="H179" s="14"/>
    </row>
    <row r="180" spans="1:8" x14ac:dyDescent="0.25">
      <c r="A180" s="3"/>
      <c r="B180" s="3"/>
      <c r="C180" s="3"/>
      <c r="D180" s="3"/>
      <c r="G180" s="14"/>
      <c r="H180" s="14"/>
    </row>
    <row r="181" spans="1:8" x14ac:dyDescent="0.25">
      <c r="A181" s="3"/>
      <c r="B181" s="3"/>
      <c r="C181" s="3"/>
      <c r="D181" s="3"/>
      <c r="G181" s="14"/>
      <c r="H181" s="14"/>
    </row>
    <row r="182" spans="1:8" x14ac:dyDescent="0.25">
      <c r="A182" s="3"/>
      <c r="B182" s="3"/>
      <c r="C182" s="3"/>
      <c r="D182" s="3"/>
      <c r="G182" s="14"/>
      <c r="H182" s="14"/>
    </row>
    <row r="183" spans="1:8" x14ac:dyDescent="0.25">
      <c r="A183" s="3"/>
      <c r="B183" s="3"/>
      <c r="C183" s="3"/>
      <c r="D183" s="3"/>
      <c r="G183" s="14"/>
      <c r="H183" s="14"/>
    </row>
    <row r="184" spans="1:8" x14ac:dyDescent="0.25">
      <c r="A184" s="3"/>
      <c r="B184" s="3"/>
      <c r="C184" s="3"/>
      <c r="D184" s="3"/>
      <c r="G184" s="14"/>
      <c r="H184" s="14"/>
    </row>
    <row r="185" spans="1:8" x14ac:dyDescent="0.25">
      <c r="A185" s="3"/>
      <c r="B185" s="3"/>
      <c r="C185" s="3"/>
      <c r="D185" s="3"/>
      <c r="G185" s="14"/>
      <c r="H185" s="14"/>
    </row>
    <row r="186" spans="1:8" x14ac:dyDescent="0.25">
      <c r="A186" s="3"/>
      <c r="B186" s="3"/>
      <c r="C186" s="3"/>
      <c r="D186" s="3"/>
      <c r="G186" s="14"/>
      <c r="H186" s="14"/>
    </row>
    <row r="187" spans="1:8" x14ac:dyDescent="0.25">
      <c r="A187" s="3"/>
      <c r="B187" s="3"/>
      <c r="C187" s="3"/>
      <c r="D187" s="3"/>
      <c r="G187" s="14"/>
      <c r="H187" s="14"/>
    </row>
    <row r="188" spans="1:8" x14ac:dyDescent="0.25">
      <c r="A188" s="3"/>
      <c r="B188" s="3"/>
      <c r="C188" s="3"/>
      <c r="D188" s="3"/>
      <c r="G188" s="14"/>
      <c r="H188" s="14"/>
    </row>
    <row r="189" spans="1:8" x14ac:dyDescent="0.25">
      <c r="A189" s="3"/>
      <c r="B189" s="3"/>
      <c r="C189" s="3"/>
      <c r="D189" s="3"/>
      <c r="G189" s="14"/>
      <c r="H189" s="14"/>
    </row>
    <row r="190" spans="1:8" x14ac:dyDescent="0.25">
      <c r="A190" s="3"/>
      <c r="B190" s="3"/>
      <c r="C190" s="3"/>
      <c r="D190" s="3"/>
      <c r="G190" s="14"/>
      <c r="H190" s="14"/>
    </row>
    <row r="191" spans="1:8" x14ac:dyDescent="0.25">
      <c r="A191" s="3"/>
      <c r="B191" s="3"/>
      <c r="C191" s="3"/>
      <c r="D191" s="3"/>
      <c r="G191" s="14"/>
      <c r="H191" s="14"/>
    </row>
    <row r="192" spans="1:8" x14ac:dyDescent="0.25">
      <c r="A192" s="3"/>
      <c r="B192" s="3"/>
      <c r="C192" s="3"/>
      <c r="D192" s="3"/>
      <c r="G192" s="14"/>
      <c r="H192" s="14"/>
    </row>
    <row r="193" spans="1:8" x14ac:dyDescent="0.25">
      <c r="A193" s="3"/>
      <c r="B193" s="3"/>
      <c r="C193" s="3"/>
      <c r="D193" s="3"/>
      <c r="G193" s="14"/>
      <c r="H193" s="14"/>
    </row>
    <row r="194" spans="1:8" x14ac:dyDescent="0.25">
      <c r="A194" s="3"/>
      <c r="B194" s="3"/>
      <c r="C194" s="3"/>
      <c r="D194" s="3"/>
      <c r="G194" s="14"/>
      <c r="H194" s="14"/>
    </row>
    <row r="195" spans="1:8" x14ac:dyDescent="0.25">
      <c r="A195" s="3"/>
      <c r="B195" s="3"/>
      <c r="C195" s="3"/>
      <c r="D195" s="3"/>
      <c r="G195" s="14"/>
      <c r="H195" s="14"/>
    </row>
    <row r="196" spans="1:8" x14ac:dyDescent="0.25">
      <c r="A196" s="3"/>
      <c r="B196" s="3"/>
      <c r="C196" s="3"/>
      <c r="D196" s="3"/>
      <c r="G196" s="14"/>
      <c r="H196" s="14"/>
    </row>
    <row r="197" spans="1:8" x14ac:dyDescent="0.25">
      <c r="A197" s="3"/>
      <c r="B197" s="3"/>
      <c r="C197" s="3"/>
      <c r="D197" s="3"/>
      <c r="G197" s="14"/>
      <c r="H197" s="14"/>
    </row>
    <row r="198" spans="1:8" x14ac:dyDescent="0.25">
      <c r="A198" s="3"/>
      <c r="B198" s="3"/>
      <c r="C198" s="3"/>
      <c r="D198" s="3"/>
      <c r="G198" s="14"/>
      <c r="H198" s="14"/>
    </row>
    <row r="199" spans="1:8" x14ac:dyDescent="0.25">
      <c r="A199" s="3"/>
      <c r="B199" s="3"/>
      <c r="C199" s="3"/>
      <c r="D199" s="3"/>
      <c r="G199" s="14"/>
      <c r="H199" s="14"/>
    </row>
    <row r="200" spans="1:8" x14ac:dyDescent="0.25">
      <c r="A200" s="3"/>
      <c r="B200" s="3"/>
      <c r="C200" s="3"/>
      <c r="D200" s="3"/>
      <c r="G200" s="14"/>
      <c r="H200" s="14"/>
    </row>
    <row r="201" spans="1:8" x14ac:dyDescent="0.25">
      <c r="A201" s="3"/>
      <c r="B201" s="3"/>
      <c r="C201" s="3"/>
      <c r="D201" s="3"/>
      <c r="G201" s="14"/>
      <c r="H201" s="14"/>
    </row>
    <row r="202" spans="1:8" x14ac:dyDescent="0.25">
      <c r="A202" s="3"/>
      <c r="B202" s="3"/>
      <c r="C202" s="3"/>
      <c r="D202" s="3"/>
      <c r="G202" s="14"/>
      <c r="H202" s="14"/>
    </row>
    <row r="203" spans="1:8" x14ac:dyDescent="0.25">
      <c r="A203" s="3"/>
      <c r="B203" s="3"/>
      <c r="C203" s="3"/>
      <c r="D203" s="3"/>
      <c r="G203" s="14"/>
      <c r="H203" s="14"/>
    </row>
    <row r="204" spans="1:8" x14ac:dyDescent="0.25">
      <c r="A204" s="3"/>
      <c r="B204" s="3"/>
      <c r="C204" s="3"/>
      <c r="D204" s="3"/>
      <c r="G204" s="14"/>
      <c r="H204" s="14"/>
    </row>
    <row r="205" spans="1:8" x14ac:dyDescent="0.25">
      <c r="A205" s="3"/>
      <c r="B205" s="3"/>
      <c r="C205" s="3"/>
      <c r="D205" s="3"/>
      <c r="G205" s="14"/>
      <c r="H205" s="14"/>
    </row>
    <row r="206" spans="1:8" x14ac:dyDescent="0.25">
      <c r="A206" s="3"/>
      <c r="B206" s="3"/>
      <c r="C206" s="3"/>
      <c r="D206" s="3"/>
      <c r="G206" s="14"/>
      <c r="H206" s="14"/>
    </row>
    <row r="207" spans="1:8" x14ac:dyDescent="0.25">
      <c r="A207" s="3"/>
      <c r="B207" s="3"/>
      <c r="C207" s="3"/>
      <c r="D207" s="3"/>
      <c r="G207" s="14"/>
      <c r="H207" s="14"/>
    </row>
    <row r="208" spans="1:8" x14ac:dyDescent="0.25">
      <c r="A208" s="3"/>
      <c r="B208" s="3"/>
      <c r="C208" s="3"/>
      <c r="D208" s="3"/>
      <c r="G208" s="14"/>
      <c r="H208" s="14"/>
    </row>
    <row r="209" spans="1:8" x14ac:dyDescent="0.25">
      <c r="A209" s="3"/>
      <c r="B209" s="3"/>
      <c r="C209" s="3"/>
      <c r="D209" s="3"/>
      <c r="G209" s="14"/>
      <c r="H209" s="14"/>
    </row>
    <row r="210" spans="1:8" x14ac:dyDescent="0.25">
      <c r="A210" s="3"/>
      <c r="B210" s="3"/>
      <c r="C210" s="3"/>
      <c r="D210" s="3"/>
      <c r="G210" s="14"/>
      <c r="H210" s="14"/>
    </row>
    <row r="211" spans="1:8" x14ac:dyDescent="0.25">
      <c r="A211" s="3"/>
      <c r="B211" s="3"/>
      <c r="C211" s="3"/>
      <c r="D211" s="3"/>
      <c r="G211" s="14"/>
      <c r="H211" s="14"/>
    </row>
    <row r="212" spans="1:8" x14ac:dyDescent="0.25">
      <c r="A212" s="3"/>
      <c r="B212" s="3"/>
      <c r="C212" s="3"/>
      <c r="D212" s="3"/>
      <c r="G212" s="14"/>
      <c r="H212" s="14"/>
    </row>
    <row r="213" spans="1:8" x14ac:dyDescent="0.25">
      <c r="A213" s="3"/>
      <c r="B213" s="3"/>
      <c r="C213" s="3"/>
      <c r="D213" s="3"/>
      <c r="G213" s="14"/>
      <c r="H213" s="14"/>
    </row>
    <row r="214" spans="1:8" x14ac:dyDescent="0.25">
      <c r="A214" s="3"/>
      <c r="B214" s="3"/>
      <c r="C214" s="3"/>
      <c r="D214" s="3"/>
      <c r="G214" s="14"/>
      <c r="H214" s="14"/>
    </row>
    <row r="215" spans="1:8" x14ac:dyDescent="0.25">
      <c r="A215" s="3"/>
      <c r="B215" s="3"/>
      <c r="C215" s="3"/>
      <c r="D215" s="3"/>
      <c r="G215" s="14"/>
      <c r="H215" s="14"/>
    </row>
    <row r="216" spans="1:8" x14ac:dyDescent="0.25">
      <c r="A216" s="3"/>
      <c r="B216" s="3"/>
      <c r="C216" s="3"/>
      <c r="D216" s="3"/>
      <c r="G216" s="14"/>
      <c r="H216" s="14"/>
    </row>
    <row r="217" spans="1:8" x14ac:dyDescent="0.25">
      <c r="A217" s="3"/>
      <c r="B217" s="3"/>
      <c r="C217" s="3"/>
      <c r="D217" s="3"/>
      <c r="G217" s="14"/>
      <c r="H217" s="14"/>
    </row>
    <row r="218" spans="1:8" x14ac:dyDescent="0.25">
      <c r="A218" s="3"/>
      <c r="B218" s="3"/>
      <c r="C218" s="3"/>
      <c r="D218" s="3"/>
      <c r="G218" s="14"/>
      <c r="H218" s="14"/>
    </row>
    <row r="219" spans="1:8" x14ac:dyDescent="0.25">
      <c r="A219" s="3"/>
      <c r="B219" s="3"/>
      <c r="C219" s="3"/>
      <c r="D219" s="3"/>
      <c r="G219" s="14"/>
      <c r="H219" s="14"/>
    </row>
    <row r="220" spans="1:8" x14ac:dyDescent="0.25">
      <c r="A220" s="3"/>
      <c r="B220" s="3"/>
      <c r="C220" s="3"/>
      <c r="D220" s="3"/>
      <c r="G220" s="14"/>
      <c r="H220" s="14"/>
    </row>
    <row r="221" spans="1:8" x14ac:dyDescent="0.25">
      <c r="A221" s="3"/>
      <c r="B221" s="3"/>
      <c r="C221" s="3"/>
      <c r="D221" s="3"/>
      <c r="G221" s="14"/>
      <c r="H221" s="14"/>
    </row>
    <row r="222" spans="1:8" x14ac:dyDescent="0.25">
      <c r="A222" s="3"/>
      <c r="B222" s="3"/>
      <c r="C222" s="3"/>
      <c r="D222" s="3"/>
      <c r="G222" s="14"/>
      <c r="H222" s="14"/>
    </row>
    <row r="223" spans="1:8" x14ac:dyDescent="0.25">
      <c r="A223" s="3"/>
      <c r="B223" s="3"/>
      <c r="C223" s="3"/>
      <c r="D223" s="3"/>
      <c r="G223" s="14"/>
      <c r="H223" s="14"/>
    </row>
    <row r="224" spans="1:8" x14ac:dyDescent="0.25">
      <c r="A224" s="3"/>
      <c r="B224" s="3"/>
      <c r="C224" s="3"/>
      <c r="D224" s="3"/>
      <c r="G224" s="14"/>
      <c r="H224" s="14"/>
    </row>
    <row r="225" spans="1:8" x14ac:dyDescent="0.25">
      <c r="A225" s="3"/>
      <c r="B225" s="3"/>
      <c r="C225" s="3"/>
      <c r="D225" s="3"/>
      <c r="G225" s="14"/>
      <c r="H225" s="14"/>
    </row>
    <row r="226" spans="1:8" x14ac:dyDescent="0.25">
      <c r="A226" s="3"/>
      <c r="B226" s="3"/>
      <c r="C226" s="3"/>
      <c r="D226" s="3"/>
      <c r="G226" s="14"/>
      <c r="H226" s="14"/>
    </row>
    <row r="227" spans="1:8" x14ac:dyDescent="0.25">
      <c r="A227" s="3"/>
      <c r="B227" s="3"/>
      <c r="C227" s="3"/>
      <c r="D227" s="3"/>
      <c r="G227" s="14"/>
      <c r="H227" s="14"/>
    </row>
    <row r="228" spans="1:8" x14ac:dyDescent="0.25">
      <c r="A228" s="3"/>
      <c r="B228" s="3"/>
      <c r="C228" s="3"/>
      <c r="D228" s="3"/>
      <c r="G228" s="14"/>
      <c r="H228" s="14"/>
    </row>
    <row r="229" spans="1:8" x14ac:dyDescent="0.25">
      <c r="A229" s="3"/>
      <c r="B229" s="3"/>
      <c r="C229" s="3"/>
      <c r="D229" s="3"/>
      <c r="G229" s="14"/>
      <c r="H229" s="14"/>
    </row>
    <row r="230" spans="1:8" x14ac:dyDescent="0.25">
      <c r="A230" s="3"/>
      <c r="B230" s="3"/>
      <c r="C230" s="3"/>
      <c r="D230" s="3"/>
      <c r="G230" s="14"/>
      <c r="H230" s="14"/>
    </row>
    <row r="231" spans="1:8" x14ac:dyDescent="0.25">
      <c r="A231" s="3"/>
      <c r="B231" s="3"/>
      <c r="C231" s="3"/>
      <c r="D231" s="3"/>
      <c r="G231" s="14"/>
      <c r="H231" s="14"/>
    </row>
    <row r="232" spans="1:8" x14ac:dyDescent="0.25">
      <c r="A232" s="3"/>
      <c r="B232" s="3"/>
      <c r="C232" s="3"/>
      <c r="D232" s="3"/>
      <c r="G232" s="14"/>
      <c r="H232" s="14"/>
    </row>
    <row r="233" spans="1:8" x14ac:dyDescent="0.25">
      <c r="A233" s="3"/>
      <c r="B233" s="3"/>
      <c r="C233" s="3"/>
      <c r="D233" s="3"/>
      <c r="G233" s="14"/>
      <c r="H233" s="14"/>
    </row>
    <row r="234" spans="1:8" x14ac:dyDescent="0.25">
      <c r="A234" s="3"/>
      <c r="B234" s="3"/>
      <c r="C234" s="3"/>
      <c r="D234" s="3"/>
      <c r="G234" s="14"/>
      <c r="H234" s="14"/>
    </row>
    <row r="235" spans="1:8" x14ac:dyDescent="0.25">
      <c r="A235" s="3"/>
      <c r="B235" s="3"/>
      <c r="C235" s="3"/>
      <c r="D235" s="3"/>
      <c r="G235" s="14"/>
      <c r="H235" s="14"/>
    </row>
    <row r="236" spans="1:8" x14ac:dyDescent="0.25">
      <c r="A236" s="3"/>
      <c r="B236" s="3"/>
      <c r="C236" s="3"/>
      <c r="D236" s="3"/>
      <c r="G236" s="14"/>
      <c r="H236" s="14"/>
    </row>
    <row r="237" spans="1:8" x14ac:dyDescent="0.25">
      <c r="A237" s="3"/>
      <c r="B237" s="3"/>
      <c r="C237" s="3"/>
      <c r="D237" s="3"/>
      <c r="G237" s="14"/>
      <c r="H237" s="14"/>
    </row>
    <row r="238" spans="1:8" x14ac:dyDescent="0.25">
      <c r="A238" s="3"/>
      <c r="B238" s="3"/>
      <c r="C238" s="3"/>
      <c r="D238" s="3"/>
      <c r="G238" s="14"/>
      <c r="H238" s="14"/>
    </row>
    <row r="239" spans="1:8" x14ac:dyDescent="0.25">
      <c r="A239" s="3"/>
      <c r="B239" s="3"/>
      <c r="C239" s="3"/>
      <c r="D239" s="3"/>
      <c r="G239" s="14"/>
      <c r="H239" s="14"/>
    </row>
    <row r="240" spans="1:8" x14ac:dyDescent="0.25">
      <c r="A240" s="3"/>
      <c r="B240" s="3"/>
      <c r="C240" s="3"/>
      <c r="D240" s="3"/>
      <c r="G240" s="14"/>
      <c r="H240" s="14"/>
    </row>
    <row r="241" spans="1:8" x14ac:dyDescent="0.25">
      <c r="A241" s="3"/>
      <c r="B241" s="3"/>
      <c r="C241" s="3"/>
      <c r="D241" s="3"/>
      <c r="G241" s="14"/>
      <c r="H241" s="14"/>
    </row>
    <row r="242" spans="1:8" x14ac:dyDescent="0.25">
      <c r="A242" s="3"/>
      <c r="B242" s="3"/>
      <c r="C242" s="3"/>
      <c r="D242" s="3"/>
      <c r="G242" s="14"/>
      <c r="H242" s="14"/>
    </row>
    <row r="243" spans="1:8" x14ac:dyDescent="0.25">
      <c r="A243" s="3"/>
      <c r="B243" s="3"/>
      <c r="C243" s="3"/>
      <c r="D243" s="3"/>
      <c r="G243" s="14"/>
      <c r="H243" s="14"/>
    </row>
    <row r="244" spans="1:8" x14ac:dyDescent="0.25">
      <c r="A244" s="3"/>
      <c r="B244" s="3"/>
      <c r="C244" s="3"/>
      <c r="D244" s="3"/>
      <c r="G244" s="14"/>
      <c r="H244" s="14"/>
    </row>
    <row r="245" spans="1:8" x14ac:dyDescent="0.25">
      <c r="A245" s="3"/>
      <c r="B245" s="3"/>
      <c r="C245" s="3"/>
      <c r="D245" s="3"/>
      <c r="G245" s="14"/>
      <c r="H245" s="14"/>
    </row>
    <row r="247" spans="1:8" x14ac:dyDescent="0.25">
      <c r="A247" s="3"/>
      <c r="G247" s="14"/>
      <c r="H247" s="14"/>
    </row>
  </sheetData>
  <phoneticPr fontId="1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53B2AF-5843-4E88-B68A-74FBC8AAC292}">
  <sheetPr/>
  <dimension ref="A1:I247"/>
  <sheetViews>
    <sheetView zoomScale="115" zoomScaleNormal="115" workbookViewId="0">
      <selection activeCell="A5" sqref="A5:H53"/>
    </sheetView>
  </sheetViews>
  <sheetFormatPr defaultRowHeight="15" x14ac:dyDescent="0.25"/>
  <cols>
    <col min="1" max="1" width="8.875" style="4" customWidth="1"/>
    <col min="2" max="3" width="15.125" style="4" customWidth="1"/>
    <col min="4" max="4" width="10.25" style="4" customWidth="1"/>
    <col min="5" max="5" width="12" style="13" customWidth="1"/>
    <col min="6" max="6" width="15" style="13" customWidth="1"/>
    <col min="7" max="7" width="13.875" customWidth="1"/>
    <col min="8" max="8" width="11.125" customWidth="1"/>
    <col min="11" max="12" width="15.125" customWidth="1"/>
    <col min="13" max="13" width="11.125" customWidth="1"/>
  </cols>
  <sheetData>
    <row r="1" spans="1:9" ht="14.25" x14ac:dyDescent="0.2">
      <c r="A1" s="2" t="s">
        <v>12</v>
      </c>
      <c r="B1" s="2" t="s">
        <v>4</v>
      </c>
      <c r="C1" s="2" t="s">
        <v>5</v>
      </c>
      <c r="D1" s="2" t="s">
        <v>13</v>
      </c>
      <c r="E1" s="2" t="s">
        <v>14</v>
      </c>
      <c r="F1" s="2" t="s">
        <v>15</v>
      </c>
      <c r="G1" s="2" t="s">
        <v>16</v>
      </c>
    </row>
    <row r="2" spans="1:9" x14ac:dyDescent="0.25">
      <c r="A2" s="11">
        <v>10</v>
      </c>
      <c r="B2" s="3">
        <v>113.3378469</v>
      </c>
      <c r="C2" s="8">
        <v>22.936390800000002</v>
      </c>
      <c r="D2" s="3">
        <v>1750</v>
      </c>
      <c r="E2" s="13">
        <v>1785</v>
      </c>
      <c r="F2" s="13">
        <v>5</v>
      </c>
      <c r="G2" s="19">
        <f>SUBTOTAL(2,A5:A250)</f>
        <v>17</v>
      </c>
    </row>
    <row r="3" spans="1:9" x14ac:dyDescent="0.25">
      <c r="A3" s="3"/>
      <c r="B3" s="3"/>
      <c r="C3" s="3"/>
      <c r="D3" s="3"/>
    </row>
    <row r="4" spans="1:9" ht="14.25" x14ac:dyDescent="0.2">
      <c r="A4" s="2" t="s">
        <v>0</v>
      </c>
      <c r="B4" s="2" t="s">
        <v>1</v>
      </c>
      <c r="C4" s="2" t="s">
        <v>2</v>
      </c>
      <c r="D4" s="2" t="s">
        <v>3</v>
      </c>
      <c r="E4" s="2" t="s">
        <v>7</v>
      </c>
      <c r="F4" s="2" t="s">
        <v>8</v>
      </c>
      <c r="G4" s="2" t="s">
        <v>13</v>
      </c>
      <c r="H4" s="2" t="s">
        <v>14</v>
      </c>
      <c r="I4" s="24" t="s">
        <v>20</v>
      </c>
    </row>
    <row r="5" spans="1:9" x14ac:dyDescent="0.25">
      <c r="A5" s="3">
        <v>3365</v>
      </c>
      <c r="B5" s="3">
        <v>113.3381519</v>
      </c>
      <c r="C5" s="3">
        <v>22.935915810000001</v>
      </c>
      <c r="D5" s="3">
        <v>10</v>
      </c>
      <c r="E5" s="13">
        <f t="shared" ref="E5:E36" si="0">SQRT((B5-$B$2)^2+(C5-$C$2)^2)</f>
        <v>5.6448250645973791E-4</v>
      </c>
      <c r="F5" s="13">
        <f t="shared" ref="F5:F36" si="1">SQRT(1/E5)</f>
        <v>42.089595911259536</v>
      </c>
      <c r="G5" s="14">
        <f>F5/$F$55*$D$2</f>
        <v>274.1542164945871</v>
      </c>
      <c r="H5" s="14">
        <f>F5/$F$55*$E$2</f>
        <v>279.63730082447887</v>
      </c>
      <c r="I5" s="25" t="str">
        <f>IF(MOD(ROW()-1,3)=1,"选中","")</f>
        <v>选中</v>
      </c>
    </row>
    <row r="6" spans="1:9" hidden="1" x14ac:dyDescent="0.25">
      <c r="A6" s="3">
        <v>3368</v>
      </c>
      <c r="B6" s="3">
        <v>113.3372517</v>
      </c>
      <c r="C6" s="3">
        <v>22.93622332</v>
      </c>
      <c r="D6" s="3">
        <v>10</v>
      </c>
      <c r="E6" s="13">
        <f t="shared" si="0"/>
        <v>6.1831431360456226E-4</v>
      </c>
      <c r="F6" s="13">
        <f t="shared" si="1"/>
        <v>40.21567382850079</v>
      </c>
      <c r="G6" s="14" t="e">
        <f>F6/$F$124*$D$2</f>
        <v>#DIV/0!</v>
      </c>
      <c r="H6" s="14" t="e">
        <f>F6/$F$124*$E$2</f>
        <v>#DIV/0!</v>
      </c>
      <c r="I6" s="25" t="str">
        <f t="shared" ref="I6:I53" si="2">IF(MOD(ROW()-1,3)=1,"选中","")</f>
        <v/>
      </c>
    </row>
    <row r="7" spans="1:9" hidden="1" x14ac:dyDescent="0.25">
      <c r="A7" s="3">
        <v>3370</v>
      </c>
      <c r="B7" s="3">
        <v>113.3362217</v>
      </c>
      <c r="C7" s="3">
        <v>22.935308599999999</v>
      </c>
      <c r="D7" s="3">
        <v>10</v>
      </c>
      <c r="E7" s="13">
        <f t="shared" si="0"/>
        <v>1.9525449751611019E-3</v>
      </c>
      <c r="F7" s="13">
        <f t="shared" si="1"/>
        <v>22.63077760925357</v>
      </c>
      <c r="G7" s="14" t="e">
        <f>F7/$F$124*$D$2</f>
        <v>#DIV/0!</v>
      </c>
      <c r="H7" s="14" t="e">
        <f>F7/$F$124*$E$2</f>
        <v>#DIV/0!</v>
      </c>
      <c r="I7" s="25" t="str">
        <f t="shared" si="2"/>
        <v/>
      </c>
    </row>
    <row r="8" spans="1:9" x14ac:dyDescent="0.25">
      <c r="A8" s="3">
        <v>3364</v>
      </c>
      <c r="B8" s="3">
        <v>113.3359042</v>
      </c>
      <c r="C8" s="3">
        <v>22.93707843</v>
      </c>
      <c r="D8" s="3">
        <v>10</v>
      </c>
      <c r="E8" s="13">
        <f t="shared" si="0"/>
        <v>2.0608052569081338E-3</v>
      </c>
      <c r="F8" s="13">
        <f t="shared" si="1"/>
        <v>22.028327430486048</v>
      </c>
      <c r="G8" s="14">
        <f>F8/$F$55*$D$2</f>
        <v>143.48341238827544</v>
      </c>
      <c r="H8" s="14">
        <f>F8/$F$55*$E$2</f>
        <v>146.35308063604094</v>
      </c>
      <c r="I8" s="25" t="str">
        <f t="shared" si="2"/>
        <v>选中</v>
      </c>
    </row>
    <row r="9" spans="1:9" hidden="1" x14ac:dyDescent="0.25">
      <c r="A9" s="3">
        <v>3378</v>
      </c>
      <c r="B9" s="3">
        <v>113.3371709</v>
      </c>
      <c r="C9" s="3">
        <v>22.934308269999999</v>
      </c>
      <c r="D9" s="3">
        <v>10</v>
      </c>
      <c r="E9" s="13">
        <f t="shared" si="0"/>
        <v>2.1894993037014812E-3</v>
      </c>
      <c r="F9" s="13">
        <f t="shared" si="1"/>
        <v>21.37113532292436</v>
      </c>
      <c r="G9" s="14" t="e">
        <f>F9/$F$124*$D$2</f>
        <v>#DIV/0!</v>
      </c>
      <c r="H9" s="14" t="e">
        <f>F9/$F$124*$E$2</f>
        <v>#DIV/0!</v>
      </c>
      <c r="I9" s="25" t="str">
        <f t="shared" si="2"/>
        <v/>
      </c>
    </row>
    <row r="10" spans="1:9" hidden="1" x14ac:dyDescent="0.25">
      <c r="A10" s="3">
        <v>3369</v>
      </c>
      <c r="B10" s="3">
        <v>113.33545119999999</v>
      </c>
      <c r="C10" s="3">
        <v>22.93553592</v>
      </c>
      <c r="D10" s="3">
        <v>10</v>
      </c>
      <c r="E10" s="13">
        <f t="shared" si="0"/>
        <v>2.5436584488571666E-3</v>
      </c>
      <c r="F10" s="13">
        <f t="shared" si="1"/>
        <v>19.827620691268251</v>
      </c>
      <c r="G10" s="14" t="e">
        <f>F10/$F$124*$D$2</f>
        <v>#DIV/0!</v>
      </c>
      <c r="H10" s="14" t="e">
        <f>F10/$F$124*$E$2</f>
        <v>#DIV/0!</v>
      </c>
      <c r="I10" s="25" t="str">
        <f t="shared" si="2"/>
        <v/>
      </c>
    </row>
    <row r="11" spans="1:9" x14ac:dyDescent="0.25">
      <c r="A11" s="3">
        <v>3371</v>
      </c>
      <c r="B11" s="3">
        <v>113.3356229</v>
      </c>
      <c r="C11" s="3">
        <v>22.935119780000001</v>
      </c>
      <c r="D11" s="3">
        <v>10</v>
      </c>
      <c r="E11" s="13">
        <f t="shared" si="0"/>
        <v>2.5615752654165993E-3</v>
      </c>
      <c r="F11" s="13">
        <f t="shared" si="1"/>
        <v>19.758157337883492</v>
      </c>
      <c r="G11" s="14">
        <f>F11/$F$55*$D$2</f>
        <v>128.69646351000401</v>
      </c>
      <c r="H11" s="14">
        <f>F11/$F$55*$E$2</f>
        <v>131.27039278020411</v>
      </c>
      <c r="I11" s="25" t="str">
        <f t="shared" si="2"/>
        <v>选中</v>
      </c>
    </row>
    <row r="12" spans="1:9" hidden="1" x14ac:dyDescent="0.25">
      <c r="A12" s="3">
        <v>3373</v>
      </c>
      <c r="B12" s="3">
        <v>113.3356339</v>
      </c>
      <c r="C12" s="3">
        <v>22.934942830000001</v>
      </c>
      <c r="D12" s="3">
        <v>10</v>
      </c>
      <c r="E12" s="13">
        <f t="shared" si="0"/>
        <v>2.6446145505332288E-3</v>
      </c>
      <c r="F12" s="13">
        <f t="shared" si="1"/>
        <v>19.445486293081146</v>
      </c>
      <c r="G12" s="14" t="e">
        <f>F12/$F$124*$D$2</f>
        <v>#DIV/0!</v>
      </c>
      <c r="H12" s="14" t="e">
        <f>F12/$F$124*$E$2</f>
        <v>#DIV/0!</v>
      </c>
      <c r="I12" s="25" t="str">
        <f t="shared" si="2"/>
        <v/>
      </c>
    </row>
    <row r="13" spans="1:9" hidden="1" x14ac:dyDescent="0.25">
      <c r="A13" s="3">
        <v>3382</v>
      </c>
      <c r="B13" s="3">
        <v>113.3367099</v>
      </c>
      <c r="C13" s="3">
        <v>22.933923279999998</v>
      </c>
      <c r="D13" s="3">
        <v>10</v>
      </c>
      <c r="E13" s="13">
        <f t="shared" si="0"/>
        <v>2.7168776104962915E-3</v>
      </c>
      <c r="F13" s="13">
        <f t="shared" si="1"/>
        <v>19.185139551992769</v>
      </c>
      <c r="G13" s="14" t="e">
        <f>F13/$F$124*$D$2</f>
        <v>#DIV/0!</v>
      </c>
      <c r="H13" s="14" t="e">
        <f>F13/$F$124*$E$2</f>
        <v>#DIV/0!</v>
      </c>
      <c r="I13" s="25" t="str">
        <f t="shared" si="2"/>
        <v/>
      </c>
    </row>
    <row r="14" spans="1:9" x14ac:dyDescent="0.25">
      <c r="A14" s="3">
        <v>3375</v>
      </c>
      <c r="B14" s="3">
        <v>113.3353305</v>
      </c>
      <c r="C14" s="3">
        <v>22.93473848</v>
      </c>
      <c r="D14" s="3">
        <v>10</v>
      </c>
      <c r="E14" s="13">
        <f t="shared" si="0"/>
        <v>3.0103870751829586E-3</v>
      </c>
      <c r="F14" s="13">
        <f t="shared" si="1"/>
        <v>18.225893559878397</v>
      </c>
      <c r="G14" s="14">
        <f>F14/$F$55*$D$2</f>
        <v>118.71593111411929</v>
      </c>
      <c r="H14" s="14">
        <f>F14/$F$55*$E$2</f>
        <v>121.09024973640166</v>
      </c>
      <c r="I14" s="25" t="str">
        <f t="shared" si="2"/>
        <v>选中</v>
      </c>
    </row>
    <row r="15" spans="1:9" hidden="1" x14ac:dyDescent="0.25">
      <c r="A15" s="3">
        <v>3377</v>
      </c>
      <c r="B15" s="3">
        <v>113.3355541</v>
      </c>
      <c r="C15" s="3">
        <v>22.934435199999999</v>
      </c>
      <c r="D15" s="3">
        <v>10</v>
      </c>
      <c r="E15" s="13">
        <f t="shared" si="0"/>
        <v>3.0135200679667559E-3</v>
      </c>
      <c r="F15" s="13">
        <f t="shared" si="1"/>
        <v>18.216416861401605</v>
      </c>
      <c r="G15" s="14" t="e">
        <f>F15/$F$124*$D$2</f>
        <v>#DIV/0!</v>
      </c>
      <c r="H15" s="14" t="e">
        <f>F15/$F$124*$E$2</f>
        <v>#DIV/0!</v>
      </c>
      <c r="I15" s="25" t="str">
        <f t="shared" si="2"/>
        <v/>
      </c>
    </row>
    <row r="16" spans="1:9" hidden="1" x14ac:dyDescent="0.25">
      <c r="A16" s="3">
        <v>3374</v>
      </c>
      <c r="B16" s="3">
        <v>113.3408956</v>
      </c>
      <c r="C16" s="3">
        <v>22.936317689999999</v>
      </c>
      <c r="D16" s="3">
        <v>10</v>
      </c>
      <c r="E16" s="13">
        <f t="shared" si="0"/>
        <v>3.0495764889672569E-3</v>
      </c>
      <c r="F16" s="13">
        <f t="shared" si="1"/>
        <v>18.108406483286522</v>
      </c>
      <c r="G16" s="14" t="e">
        <f>F16/$F$124*$D$2</f>
        <v>#DIV/0!</v>
      </c>
      <c r="H16" s="14" t="e">
        <f>F16/$F$124*$E$2</f>
        <v>#DIV/0!</v>
      </c>
      <c r="I16" s="25" t="str">
        <f t="shared" si="2"/>
        <v/>
      </c>
    </row>
    <row r="17" spans="1:9" x14ac:dyDescent="0.25">
      <c r="A17" s="3">
        <v>3372</v>
      </c>
      <c r="B17" s="3">
        <v>113.3350011</v>
      </c>
      <c r="C17" s="3">
        <v>22.93522089</v>
      </c>
      <c r="D17" s="3">
        <v>10</v>
      </c>
      <c r="E17" s="13">
        <f t="shared" si="0"/>
        <v>3.0768924336284672E-3</v>
      </c>
      <c r="F17" s="13">
        <f t="shared" si="1"/>
        <v>18.027846147841068</v>
      </c>
      <c r="G17" s="14">
        <f>F17/$F$55*$D$2</f>
        <v>117.42593219870204</v>
      </c>
      <c r="H17" s="14">
        <f>F17/$F$55*$E$2</f>
        <v>119.77445084267609</v>
      </c>
      <c r="I17" s="25" t="str">
        <f t="shared" si="2"/>
        <v>选中</v>
      </c>
    </row>
    <row r="18" spans="1:9" hidden="1" x14ac:dyDescent="0.25">
      <c r="A18" s="3">
        <v>3380</v>
      </c>
      <c r="B18" s="3">
        <v>113.3355092</v>
      </c>
      <c r="C18" s="3">
        <v>22.934229370000001</v>
      </c>
      <c r="D18" s="3">
        <v>10</v>
      </c>
      <c r="E18" s="13">
        <f t="shared" si="0"/>
        <v>3.1838060454267765E-3</v>
      </c>
      <c r="F18" s="13">
        <f t="shared" si="1"/>
        <v>17.722569921978884</v>
      </c>
      <c r="G18" s="14" t="e">
        <f>F18/$F$124*$D$2</f>
        <v>#DIV/0!</v>
      </c>
      <c r="H18" s="14" t="e">
        <f>F18/$F$124*$E$2</f>
        <v>#DIV/0!</v>
      </c>
      <c r="I18" s="25" t="str">
        <f t="shared" si="2"/>
        <v/>
      </c>
    </row>
    <row r="19" spans="1:9" hidden="1" x14ac:dyDescent="0.25">
      <c r="A19" s="3">
        <v>3381</v>
      </c>
      <c r="B19" s="3">
        <v>113.3411751</v>
      </c>
      <c r="C19" s="3">
        <v>22.936232230000002</v>
      </c>
      <c r="D19" s="3">
        <v>10</v>
      </c>
      <c r="E19" s="13">
        <f t="shared" si="0"/>
        <v>3.3319753427794759E-3</v>
      </c>
      <c r="F19" s="13">
        <f t="shared" si="1"/>
        <v>17.3240373170308</v>
      </c>
      <c r="G19" s="14" t="e">
        <f>F19/$F$124*$D$2</f>
        <v>#DIV/0!</v>
      </c>
      <c r="H19" s="14" t="e">
        <f>F19/$F$124*$E$2</f>
        <v>#DIV/0!</v>
      </c>
      <c r="I19" s="25" t="str">
        <f t="shared" si="2"/>
        <v/>
      </c>
    </row>
    <row r="20" spans="1:9" x14ac:dyDescent="0.25">
      <c r="A20" s="3">
        <v>3379</v>
      </c>
      <c r="B20" s="3">
        <v>113.3349912</v>
      </c>
      <c r="C20" s="3">
        <v>22.934470220000001</v>
      </c>
      <c r="D20" s="3">
        <v>10</v>
      </c>
      <c r="E20" s="13">
        <f t="shared" si="0"/>
        <v>3.4414604496329857E-3</v>
      </c>
      <c r="F20" s="13">
        <f t="shared" si="1"/>
        <v>17.046240385923358</v>
      </c>
      <c r="G20" s="14">
        <f>F20/$F$55*$D$2</f>
        <v>111.03215832801655</v>
      </c>
      <c r="H20" s="14">
        <f>F20/$F$55*$E$2</f>
        <v>113.25280149457687</v>
      </c>
      <c r="I20" s="25" t="str">
        <f t="shared" si="2"/>
        <v>选中</v>
      </c>
    </row>
    <row r="21" spans="1:9" hidden="1" x14ac:dyDescent="0.25">
      <c r="A21" s="3">
        <v>3366</v>
      </c>
      <c r="B21" s="3">
        <v>113.33591699999999</v>
      </c>
      <c r="C21" s="3">
        <v>22.94050296</v>
      </c>
      <c r="D21" s="3">
        <v>10</v>
      </c>
      <c r="E21" s="13">
        <f t="shared" si="0"/>
        <v>4.5425074436498741E-3</v>
      </c>
      <c r="F21" s="13">
        <f t="shared" si="1"/>
        <v>14.837207697864937</v>
      </c>
      <c r="G21" s="14" t="e">
        <f>F21/$F$124*$D$2</f>
        <v>#DIV/0!</v>
      </c>
      <c r="H21" s="14" t="e">
        <f>F21/$F$124*$E$2</f>
        <v>#DIV/0!</v>
      </c>
      <c r="I21" s="25" t="str">
        <f t="shared" si="2"/>
        <v/>
      </c>
    </row>
    <row r="22" spans="1:9" hidden="1" x14ac:dyDescent="0.25">
      <c r="A22" s="3">
        <v>3367</v>
      </c>
      <c r="B22" s="3">
        <v>113.3353182</v>
      </c>
      <c r="C22" s="3">
        <v>22.940296159999999</v>
      </c>
      <c r="D22" s="3">
        <v>10</v>
      </c>
      <c r="E22" s="13">
        <f t="shared" si="0"/>
        <v>4.6525434355388423E-3</v>
      </c>
      <c r="F22" s="13">
        <f t="shared" si="1"/>
        <v>14.660702528560106</v>
      </c>
      <c r="G22" s="14" t="e">
        <f>F22/$F$124*$D$2</f>
        <v>#DIV/0!</v>
      </c>
      <c r="H22" s="14" t="e">
        <f>F22/$F$124*$E$2</f>
        <v>#DIV/0!</v>
      </c>
      <c r="I22" s="25" t="str">
        <f t="shared" si="2"/>
        <v/>
      </c>
    </row>
    <row r="23" spans="1:9" x14ac:dyDescent="0.25">
      <c r="A23" s="3">
        <v>3383</v>
      </c>
      <c r="B23" s="3">
        <v>113.3332027</v>
      </c>
      <c r="C23" s="3">
        <v>22.934811409999998</v>
      </c>
      <c r="D23" s="3">
        <v>10</v>
      </c>
      <c r="E23" s="13">
        <f t="shared" si="0"/>
        <v>4.9054119513169325E-3</v>
      </c>
      <c r="F23" s="13">
        <f t="shared" si="1"/>
        <v>14.277831672892544</v>
      </c>
      <c r="G23" s="14">
        <f>F23/$F$55*$D$2</f>
        <v>92.999889183453064</v>
      </c>
      <c r="H23" s="14">
        <f>F23/$F$55*$E$2</f>
        <v>94.859886967122122</v>
      </c>
      <c r="I23" s="25" t="str">
        <f t="shared" si="2"/>
        <v>选中</v>
      </c>
    </row>
    <row r="24" spans="1:9" hidden="1" x14ac:dyDescent="0.25">
      <c r="A24" s="3">
        <v>3407</v>
      </c>
      <c r="B24" s="3">
        <v>113.3430216</v>
      </c>
      <c r="C24" s="3">
        <v>22.936770750000001</v>
      </c>
      <c r="D24" s="3">
        <v>10</v>
      </c>
      <c r="E24" s="13">
        <f t="shared" si="0"/>
        <v>5.1886300785926338E-3</v>
      </c>
      <c r="F24" s="13">
        <f t="shared" si="1"/>
        <v>13.882690624744667</v>
      </c>
      <c r="G24" s="14" t="e">
        <f>F24/$F$124*$D$2</f>
        <v>#DIV/0!</v>
      </c>
      <c r="H24" s="14" t="e">
        <f>F24/$F$124*$E$2</f>
        <v>#DIV/0!</v>
      </c>
      <c r="I24" s="25" t="str">
        <f t="shared" si="2"/>
        <v/>
      </c>
    </row>
    <row r="25" spans="1:9" hidden="1" x14ac:dyDescent="0.25">
      <c r="A25" s="3">
        <v>3385</v>
      </c>
      <c r="B25" s="3">
        <v>113.33278060000001</v>
      </c>
      <c r="C25" s="3">
        <v>22.934244440000001</v>
      </c>
      <c r="D25" s="3">
        <v>10</v>
      </c>
      <c r="E25" s="13">
        <f t="shared" si="0"/>
        <v>5.5022047344279873E-3</v>
      </c>
      <c r="F25" s="13">
        <f t="shared" si="1"/>
        <v>13.481295458522645</v>
      </c>
      <c r="G25" s="14" t="e">
        <f>F25/$F$124*$D$2</f>
        <v>#DIV/0!</v>
      </c>
      <c r="H25" s="14" t="e">
        <f>F25/$F$124*$E$2</f>
        <v>#DIV/0!</v>
      </c>
      <c r="I25" s="25" t="str">
        <f t="shared" si="2"/>
        <v/>
      </c>
    </row>
    <row r="26" spans="1:9" x14ac:dyDescent="0.25">
      <c r="A26" s="3">
        <v>3411</v>
      </c>
      <c r="B26" s="3">
        <v>113.3437593</v>
      </c>
      <c r="C26" s="3">
        <v>22.936534559999998</v>
      </c>
      <c r="D26" s="3">
        <v>10</v>
      </c>
      <c r="E26" s="13">
        <f t="shared" si="0"/>
        <v>5.9141475038753969E-3</v>
      </c>
      <c r="F26" s="13">
        <f t="shared" si="1"/>
        <v>13.003310230905523</v>
      </c>
      <c r="G26" s="14">
        <f>F26/$F$55*$D$2</f>
        <v>84.698183743700199</v>
      </c>
      <c r="H26" s="14">
        <f>F26/$F$55*$E$2</f>
        <v>86.392147418574197</v>
      </c>
      <c r="I26" s="25" t="str">
        <f t="shared" si="2"/>
        <v>选中</v>
      </c>
    </row>
    <row r="27" spans="1:9" hidden="1" x14ac:dyDescent="0.25">
      <c r="A27" s="3">
        <v>3412</v>
      </c>
      <c r="B27" s="3">
        <v>113.3436404</v>
      </c>
      <c r="C27" s="3">
        <v>22.938372990000001</v>
      </c>
      <c r="D27" s="3">
        <v>10</v>
      </c>
      <c r="E27" s="13">
        <f t="shared" si="0"/>
        <v>6.123211530402151E-3</v>
      </c>
      <c r="F27" s="13">
        <f t="shared" si="1"/>
        <v>12.779397196491546</v>
      </c>
      <c r="G27" s="14" t="e">
        <f>F27/$F$124*$D$2</f>
        <v>#DIV/0!</v>
      </c>
      <c r="H27" s="14" t="e">
        <f>F27/$F$124*$E$2</f>
        <v>#DIV/0!</v>
      </c>
      <c r="I27" s="25" t="str">
        <f t="shared" si="2"/>
        <v/>
      </c>
    </row>
    <row r="28" spans="1:9" hidden="1" x14ac:dyDescent="0.25">
      <c r="A28" s="3">
        <v>3429</v>
      </c>
      <c r="B28" s="3">
        <v>113.34354980000001</v>
      </c>
      <c r="C28" s="3">
        <v>22.933916029999999</v>
      </c>
      <c r="D28" s="3">
        <v>10</v>
      </c>
      <c r="E28" s="13">
        <f t="shared" si="0"/>
        <v>6.2167157698374753E-3</v>
      </c>
      <c r="F28" s="13">
        <f t="shared" si="1"/>
        <v>12.682927039905785</v>
      </c>
      <c r="G28" s="14" t="e">
        <f>F28/$F$124*$D$2</f>
        <v>#DIV/0!</v>
      </c>
      <c r="H28" s="14" t="e">
        <f>F28/$F$124*$E$2</f>
        <v>#DIV/0!</v>
      </c>
      <c r="I28" s="25" t="str">
        <f t="shared" si="2"/>
        <v/>
      </c>
    </row>
    <row r="29" spans="1:9" x14ac:dyDescent="0.25">
      <c r="A29" s="3">
        <v>3402</v>
      </c>
      <c r="B29" s="3">
        <v>113.34405270000001</v>
      </c>
      <c r="C29" s="3">
        <v>22.93686791</v>
      </c>
      <c r="D29" s="3">
        <v>10</v>
      </c>
      <c r="E29" s="13">
        <f t="shared" si="0"/>
        <v>6.2241133980787296E-3</v>
      </c>
      <c r="F29" s="13">
        <f t="shared" si="1"/>
        <v>12.675387695088634</v>
      </c>
      <c r="G29" s="14">
        <f>F29/$F$55*$D$2</f>
        <v>82.562231997635848</v>
      </c>
      <c r="H29" s="14">
        <f>F29/$F$55*$E$2</f>
        <v>84.21347663758857</v>
      </c>
      <c r="I29" s="25" t="str">
        <f t="shared" si="2"/>
        <v>选中</v>
      </c>
    </row>
    <row r="30" spans="1:9" hidden="1" x14ac:dyDescent="0.25">
      <c r="A30" s="3">
        <v>3888</v>
      </c>
      <c r="B30" s="3">
        <v>113.33560629999999</v>
      </c>
      <c r="C30" s="3">
        <v>22.93056773</v>
      </c>
      <c r="D30" s="3">
        <v>10</v>
      </c>
      <c r="E30" s="13">
        <f t="shared" si="0"/>
        <v>6.2392653882451079E-3</v>
      </c>
      <c r="F30" s="13">
        <f t="shared" si="1"/>
        <v>12.659987316849882</v>
      </c>
      <c r="G30" s="14" t="e">
        <f>F30/$F$124*$D$2</f>
        <v>#DIV/0!</v>
      </c>
      <c r="H30" s="14" t="e">
        <f>F30/$F$124*$E$2</f>
        <v>#DIV/0!</v>
      </c>
      <c r="I30" s="25" t="str">
        <f t="shared" si="2"/>
        <v/>
      </c>
    </row>
    <row r="31" spans="1:9" hidden="1" x14ac:dyDescent="0.25">
      <c r="A31" s="3">
        <v>3360</v>
      </c>
      <c r="B31" s="3">
        <v>113.3315739</v>
      </c>
      <c r="C31" s="3">
        <v>22.93634582</v>
      </c>
      <c r="D31" s="3">
        <v>10</v>
      </c>
      <c r="E31" s="13">
        <f t="shared" si="0"/>
        <v>6.2731612605202306E-3</v>
      </c>
      <c r="F31" s="13">
        <f t="shared" si="1"/>
        <v>12.625738033582845</v>
      </c>
      <c r="G31" s="14" t="e">
        <f>F31/$F$124*$D$2</f>
        <v>#DIV/0!</v>
      </c>
      <c r="H31" s="14" t="e">
        <f>F31/$F$124*$E$2</f>
        <v>#DIV/0!</v>
      </c>
      <c r="I31" s="25" t="str">
        <f t="shared" si="2"/>
        <v/>
      </c>
    </row>
    <row r="32" spans="1:9" x14ac:dyDescent="0.25">
      <c r="A32" s="3">
        <v>3384</v>
      </c>
      <c r="B32" s="3">
        <v>113.34117070000001</v>
      </c>
      <c r="C32" s="3">
        <v>22.941891850000001</v>
      </c>
      <c r="D32" s="3">
        <v>10</v>
      </c>
      <c r="E32" s="13">
        <f t="shared" si="0"/>
        <v>6.4272231595394651E-3</v>
      </c>
      <c r="F32" s="13">
        <f t="shared" si="1"/>
        <v>12.473499395956399</v>
      </c>
      <c r="G32" s="14">
        <f>F32/$F$55*$D$2</f>
        <v>81.247215132548376</v>
      </c>
      <c r="H32" s="14">
        <f>F32/$F$55*$E$2</f>
        <v>82.87215943519935</v>
      </c>
      <c r="I32" s="25" t="str">
        <f t="shared" si="2"/>
        <v>选中</v>
      </c>
    </row>
    <row r="33" spans="1:9" hidden="1" x14ac:dyDescent="0.25">
      <c r="A33" s="3">
        <v>3387</v>
      </c>
      <c r="B33" s="3">
        <v>113.3413145</v>
      </c>
      <c r="C33" s="3">
        <v>22.941803629999999</v>
      </c>
      <c r="D33" s="3">
        <v>10</v>
      </c>
      <c r="E33" s="13">
        <f t="shared" si="0"/>
        <v>6.4282951370348146E-3</v>
      </c>
      <c r="F33" s="13">
        <f t="shared" si="1"/>
        <v>12.472459317066933</v>
      </c>
      <c r="G33" s="14" t="e">
        <f>F33/$F$124*$D$2</f>
        <v>#DIV/0!</v>
      </c>
      <c r="H33" s="14" t="e">
        <f>F33/$F$124*$E$2</f>
        <v>#DIV/0!</v>
      </c>
      <c r="I33" s="25" t="str">
        <f t="shared" si="2"/>
        <v/>
      </c>
    </row>
    <row r="34" spans="1:9" hidden="1" x14ac:dyDescent="0.25">
      <c r="A34" s="3">
        <v>3887</v>
      </c>
      <c r="B34" s="3">
        <v>113.33630290000001</v>
      </c>
      <c r="C34" s="3">
        <v>22.930150619999999</v>
      </c>
      <c r="D34" s="3">
        <v>10</v>
      </c>
      <c r="E34" s="13">
        <f t="shared" si="0"/>
        <v>6.4283576776978761E-3</v>
      </c>
      <c r="F34" s="13">
        <f t="shared" si="1"/>
        <v>12.472398645445034</v>
      </c>
      <c r="G34" s="14" t="e">
        <f>F34/$F$124*$D$2</f>
        <v>#DIV/0!</v>
      </c>
      <c r="H34" s="14" t="e">
        <f>F34/$F$124*$E$2</f>
        <v>#DIV/0!</v>
      </c>
      <c r="I34" s="25" t="str">
        <f t="shared" si="2"/>
        <v/>
      </c>
    </row>
    <row r="35" spans="1:9" x14ac:dyDescent="0.25">
      <c r="A35" s="3">
        <v>3388</v>
      </c>
      <c r="B35" s="3">
        <v>113.3322493</v>
      </c>
      <c r="C35" s="3">
        <v>22.939632159999999</v>
      </c>
      <c r="D35" s="3">
        <v>10</v>
      </c>
      <c r="E35" s="13">
        <f t="shared" si="0"/>
        <v>6.4683491255186241E-3</v>
      </c>
      <c r="F35" s="13">
        <f t="shared" si="1"/>
        <v>12.433782715739207</v>
      </c>
      <c r="G35" s="14">
        <f>F35/$F$55*$D$2</f>
        <v>80.988517107277076</v>
      </c>
      <c r="H35" s="14">
        <f>F35/$F$55*$E$2</f>
        <v>82.608287449422619</v>
      </c>
      <c r="I35" s="25" t="str">
        <f t="shared" si="2"/>
        <v>选中</v>
      </c>
    </row>
    <row r="36" spans="1:9" hidden="1" x14ac:dyDescent="0.25">
      <c r="A36" s="3">
        <v>3376</v>
      </c>
      <c r="B36" s="3">
        <v>113.3320727</v>
      </c>
      <c r="C36" s="3">
        <v>22.93957752</v>
      </c>
      <c r="D36" s="3">
        <v>10</v>
      </c>
      <c r="E36" s="13">
        <f t="shared" si="0"/>
        <v>6.5951929462636592E-3</v>
      </c>
      <c r="F36" s="13">
        <f t="shared" si="1"/>
        <v>12.313634179991736</v>
      </c>
      <c r="G36" s="14" t="e">
        <f>F36/$F$124*$D$2</f>
        <v>#DIV/0!</v>
      </c>
      <c r="H36" s="14" t="e">
        <f>F36/$F$124*$E$2</f>
        <v>#DIV/0!</v>
      </c>
      <c r="I36" s="25" t="str">
        <f t="shared" si="2"/>
        <v/>
      </c>
    </row>
    <row r="37" spans="1:9" hidden="1" x14ac:dyDescent="0.25">
      <c r="A37" s="3">
        <v>3398</v>
      </c>
      <c r="B37" s="3">
        <v>113.34458170000001</v>
      </c>
      <c r="C37" s="3">
        <v>22.937627670000001</v>
      </c>
      <c r="D37" s="3">
        <v>10</v>
      </c>
      <c r="E37" s="13">
        <f t="shared" ref="E37:E53" si="3">SQRT((B37-$B$2)^2+(C37-$C$2)^2)</f>
        <v>6.8474359023615863E-3</v>
      </c>
      <c r="F37" s="13">
        <f t="shared" ref="F37:F53" si="4">SQRT(1/E37)</f>
        <v>12.084703856448218</v>
      </c>
      <c r="G37" s="14" t="e">
        <f>F37/$F$124*$D$2</f>
        <v>#DIV/0!</v>
      </c>
      <c r="H37" s="14" t="e">
        <f>F37/$F$124*$E$2</f>
        <v>#DIV/0!</v>
      </c>
      <c r="I37" s="25" t="str">
        <f t="shared" si="2"/>
        <v/>
      </c>
    </row>
    <row r="38" spans="1:9" x14ac:dyDescent="0.25">
      <c r="A38" s="3">
        <v>3396</v>
      </c>
      <c r="B38" s="3">
        <v>113.34452570000001</v>
      </c>
      <c r="C38" s="3">
        <v>22.939121140000001</v>
      </c>
      <c r="D38" s="3">
        <v>10</v>
      </c>
      <c r="E38" s="13">
        <f t="shared" si="3"/>
        <v>7.215339628571754E-3</v>
      </c>
      <c r="F38" s="13">
        <f t="shared" si="4"/>
        <v>11.772578929143403</v>
      </c>
      <c r="G38" s="14">
        <f>F38/$F$55*$D$2</f>
        <v>76.68170916263405</v>
      </c>
      <c r="H38" s="14">
        <f>F38/$F$55*$E$2</f>
        <v>78.215343345886737</v>
      </c>
      <c r="I38" s="25" t="str">
        <f t="shared" si="2"/>
        <v>选中</v>
      </c>
    </row>
    <row r="39" spans="1:9" hidden="1" x14ac:dyDescent="0.25">
      <c r="A39" s="3">
        <v>3403</v>
      </c>
      <c r="B39" s="3">
        <v>113.3452206</v>
      </c>
      <c r="C39" s="3">
        <v>22.93658302</v>
      </c>
      <c r="D39" s="3">
        <v>10</v>
      </c>
      <c r="E39" s="13">
        <f t="shared" si="3"/>
        <v>7.3762050011122165E-3</v>
      </c>
      <c r="F39" s="13">
        <f t="shared" si="4"/>
        <v>11.643499018099719</v>
      </c>
      <c r="G39" s="14" t="e">
        <f>F39/$F$124*$D$2</f>
        <v>#DIV/0!</v>
      </c>
      <c r="H39" s="14" t="e">
        <f>F39/$F$124*$E$2</f>
        <v>#DIV/0!</v>
      </c>
      <c r="I39" s="25" t="str">
        <f t="shared" si="2"/>
        <v/>
      </c>
    </row>
    <row r="40" spans="1:9" hidden="1" x14ac:dyDescent="0.25">
      <c r="A40" s="3">
        <v>3917</v>
      </c>
      <c r="B40" s="3">
        <v>113.3439882</v>
      </c>
      <c r="C40" s="3">
        <v>22.932229979999999</v>
      </c>
      <c r="D40" s="3">
        <v>10</v>
      </c>
      <c r="E40" s="13">
        <f t="shared" si="3"/>
        <v>7.4180852490634309E-3</v>
      </c>
      <c r="F40" s="13">
        <f t="shared" si="4"/>
        <v>11.61058467325763</v>
      </c>
      <c r="G40" s="14" t="e">
        <f>F40/$F$124*$D$2</f>
        <v>#DIV/0!</v>
      </c>
      <c r="H40" s="14" t="e">
        <f>F40/$F$124*$E$2</f>
        <v>#DIV/0!</v>
      </c>
      <c r="I40" s="25" t="str">
        <f t="shared" si="2"/>
        <v/>
      </c>
    </row>
    <row r="41" spans="1:9" x14ac:dyDescent="0.25">
      <c r="A41" s="3">
        <v>3419</v>
      </c>
      <c r="B41" s="3">
        <v>113.3451159</v>
      </c>
      <c r="C41" s="3">
        <v>22.93486892</v>
      </c>
      <c r="D41" s="3">
        <v>10</v>
      </c>
      <c r="E41" s="13">
        <f t="shared" si="3"/>
        <v>7.4266062056847692E-3</v>
      </c>
      <c r="F41" s="13">
        <f t="shared" si="4"/>
        <v>11.603922028180584</v>
      </c>
      <c r="G41" s="14">
        <f>F41/$F$55*$D$2</f>
        <v>75.583147878335836</v>
      </c>
      <c r="H41" s="14">
        <f>F41/$F$55*$E$2</f>
        <v>77.09481083590255</v>
      </c>
      <c r="I41" s="25" t="str">
        <f t="shared" si="2"/>
        <v>选中</v>
      </c>
    </row>
    <row r="42" spans="1:9" hidden="1" x14ac:dyDescent="0.25">
      <c r="A42" s="3">
        <v>3355</v>
      </c>
      <c r="B42" s="3">
        <v>113.33091109999999</v>
      </c>
      <c r="C42" s="3">
        <v>22.93917587</v>
      </c>
      <c r="D42" s="3">
        <v>10</v>
      </c>
      <c r="E42" s="13">
        <f t="shared" si="3"/>
        <v>7.4740843281969451E-3</v>
      </c>
      <c r="F42" s="13">
        <f t="shared" si="4"/>
        <v>11.56700712806423</v>
      </c>
      <c r="G42" s="14" t="e">
        <f>F42/$F$124*$D$2</f>
        <v>#DIV/0!</v>
      </c>
      <c r="H42" s="14" t="e">
        <f>F42/$F$124*$E$2</f>
        <v>#DIV/0!</v>
      </c>
      <c r="I42" s="25" t="str">
        <f t="shared" si="2"/>
        <v/>
      </c>
    </row>
    <row r="43" spans="1:9" hidden="1" x14ac:dyDescent="0.25">
      <c r="A43" s="3">
        <v>3440</v>
      </c>
      <c r="B43" s="3">
        <v>113.3453683</v>
      </c>
      <c r="C43" s="3">
        <v>22.937208500000001</v>
      </c>
      <c r="D43" s="3">
        <v>10</v>
      </c>
      <c r="E43" s="13">
        <f t="shared" si="3"/>
        <v>7.5657181582466752E-3</v>
      </c>
      <c r="F43" s="13">
        <f t="shared" si="4"/>
        <v>11.496745580027047</v>
      </c>
      <c r="G43" s="14" t="e">
        <f>F43/$F$124*$D$2</f>
        <v>#DIV/0!</v>
      </c>
      <c r="H43" s="14" t="e">
        <f>F43/$F$124*$E$2</f>
        <v>#DIV/0!</v>
      </c>
      <c r="I43" s="25" t="str">
        <f t="shared" si="2"/>
        <v/>
      </c>
    </row>
    <row r="44" spans="1:9" x14ac:dyDescent="0.25">
      <c r="A44" s="3">
        <v>3443</v>
      </c>
      <c r="B44" s="3">
        <v>113.34548719999999</v>
      </c>
      <c r="C44" s="3">
        <v>22.935923840000001</v>
      </c>
      <c r="D44" s="3">
        <v>10</v>
      </c>
      <c r="E44" s="13">
        <f t="shared" si="3"/>
        <v>7.6545565339521133E-3</v>
      </c>
      <c r="F44" s="13">
        <f t="shared" si="4"/>
        <v>11.429835566296216</v>
      </c>
      <c r="G44" s="14">
        <f>F44/$F$55*$D$2</f>
        <v>74.449220680249894</v>
      </c>
      <c r="H44" s="14">
        <f>F44/$F$55*$E$2</f>
        <v>75.93820509385489</v>
      </c>
      <c r="I44" s="25" t="str">
        <f t="shared" si="2"/>
        <v>选中</v>
      </c>
    </row>
    <row r="45" spans="1:9" hidden="1" x14ac:dyDescent="0.25">
      <c r="A45" s="3">
        <v>3397</v>
      </c>
      <c r="B45" s="3">
        <v>113.3454132</v>
      </c>
      <c r="C45" s="3">
        <v>22.937788179999998</v>
      </c>
      <c r="D45" s="3">
        <v>10</v>
      </c>
      <c r="E45" s="13">
        <f t="shared" si="3"/>
        <v>7.6942554255946018E-3</v>
      </c>
      <c r="F45" s="13">
        <f t="shared" si="4"/>
        <v>11.400311032600088</v>
      </c>
      <c r="G45" s="14" t="e">
        <f>F45/$F$124*$D$2</f>
        <v>#DIV/0!</v>
      </c>
      <c r="H45" s="14" t="e">
        <f>F45/$F$124*$E$2</f>
        <v>#DIV/0!</v>
      </c>
      <c r="I45" s="25" t="str">
        <f t="shared" si="2"/>
        <v/>
      </c>
    </row>
    <row r="46" spans="1:9" hidden="1" x14ac:dyDescent="0.25">
      <c r="A46" s="3">
        <v>3437</v>
      </c>
      <c r="B46" s="3">
        <v>113.3455421</v>
      </c>
      <c r="C46" s="3">
        <v>22.935685849999999</v>
      </c>
      <c r="D46" s="3">
        <v>10</v>
      </c>
      <c r="E46" s="13">
        <f t="shared" si="3"/>
        <v>7.7274224384663269E-3</v>
      </c>
      <c r="F46" s="13">
        <f t="shared" si="4"/>
        <v>11.375818980648795</v>
      </c>
      <c r="G46" s="14" t="e">
        <f>F46/$F$124*$D$2</f>
        <v>#DIV/0!</v>
      </c>
      <c r="H46" s="14" t="e">
        <f>F46/$F$124*$E$2</f>
        <v>#DIV/0!</v>
      </c>
      <c r="I46" s="25" t="str">
        <f t="shared" si="2"/>
        <v/>
      </c>
    </row>
    <row r="47" spans="1:9" x14ac:dyDescent="0.25">
      <c r="A47" s="3">
        <v>3889</v>
      </c>
      <c r="B47" s="3">
        <v>113.3325384</v>
      </c>
      <c r="C47" s="3">
        <v>22.930221589999999</v>
      </c>
      <c r="D47" s="3">
        <v>10</v>
      </c>
      <c r="E47" s="13">
        <f t="shared" si="3"/>
        <v>8.1387544670003358E-3</v>
      </c>
      <c r="F47" s="13">
        <f t="shared" si="4"/>
        <v>11.084625546272987</v>
      </c>
      <c r="G47" s="14">
        <f>F47/$F$55*$D$2</f>
        <v>72.200665413407066</v>
      </c>
      <c r="H47" s="14">
        <f>F47/$F$55*$E$2</f>
        <v>73.644678721675206</v>
      </c>
      <c r="I47" s="25" t="str">
        <f t="shared" si="2"/>
        <v>选中</v>
      </c>
    </row>
    <row r="48" spans="1:9" hidden="1" x14ac:dyDescent="0.25">
      <c r="A48" s="3">
        <v>3353</v>
      </c>
      <c r="B48" s="3">
        <v>113.3302863</v>
      </c>
      <c r="C48" s="3">
        <v>22.939587880000001</v>
      </c>
      <c r="D48" s="3">
        <v>10</v>
      </c>
      <c r="E48" s="13">
        <f t="shared" si="3"/>
        <v>8.2087753585095499E-3</v>
      </c>
      <c r="F48" s="13">
        <f t="shared" si="4"/>
        <v>11.037248344551873</v>
      </c>
      <c r="G48" s="14" t="e">
        <f>F48/$F$124*$D$2</f>
        <v>#DIV/0!</v>
      </c>
      <c r="H48" s="14" t="e">
        <f>F48/$F$124*$E$2</f>
        <v>#DIV/0!</v>
      </c>
      <c r="I48" s="25" t="str">
        <f t="shared" si="2"/>
        <v/>
      </c>
    </row>
    <row r="49" spans="1:9" hidden="1" x14ac:dyDescent="0.25">
      <c r="A49" s="3">
        <v>3399</v>
      </c>
      <c r="B49" s="3">
        <v>113.3461918</v>
      </c>
      <c r="C49" s="3">
        <v>22.937093149999999</v>
      </c>
      <c r="D49" s="3">
        <v>10</v>
      </c>
      <c r="E49" s="13">
        <f t="shared" si="3"/>
        <v>8.3744045479336431E-3</v>
      </c>
      <c r="F49" s="13">
        <f t="shared" si="4"/>
        <v>10.927555768868965</v>
      </c>
      <c r="G49" s="14" t="e">
        <f>F49/$F$124*$D$2</f>
        <v>#DIV/0!</v>
      </c>
      <c r="H49" s="14" t="e">
        <f>F49/$F$124*$E$2</f>
        <v>#DIV/0!</v>
      </c>
      <c r="I49" s="25" t="str">
        <f t="shared" si="2"/>
        <v/>
      </c>
    </row>
    <row r="50" spans="1:9" x14ac:dyDescent="0.25">
      <c r="A50" s="3">
        <v>3352</v>
      </c>
      <c r="B50" s="3">
        <v>113.32933439999999</v>
      </c>
      <c r="C50" s="3">
        <v>22.936271080000001</v>
      </c>
      <c r="D50" s="3">
        <v>10</v>
      </c>
      <c r="E50" s="13">
        <f t="shared" si="3"/>
        <v>8.5133418308296453E-3</v>
      </c>
      <c r="F50" s="13">
        <f t="shared" si="4"/>
        <v>10.838020400488302</v>
      </c>
      <c r="G50" s="14">
        <f>F50/$F$55*$D$2</f>
        <v>70.594381507315958</v>
      </c>
      <c r="H50" s="14">
        <f>F50/$F$55*$E$2</f>
        <v>72.006269137462283</v>
      </c>
      <c r="I50" s="25" t="str">
        <f t="shared" si="2"/>
        <v>选中</v>
      </c>
    </row>
    <row r="51" spans="1:9" hidden="1" x14ac:dyDescent="0.25">
      <c r="A51" s="3">
        <v>3358</v>
      </c>
      <c r="B51" s="3">
        <v>113.33041</v>
      </c>
      <c r="C51" s="3">
        <v>22.940649199999999</v>
      </c>
      <c r="D51" s="3">
        <v>10</v>
      </c>
      <c r="E51" s="13">
        <f t="shared" si="3"/>
        <v>8.5697988406967709E-3</v>
      </c>
      <c r="F51" s="13">
        <f t="shared" si="4"/>
        <v>10.802261491521367</v>
      </c>
      <c r="G51" s="14" t="e">
        <f>F51/$F$124*$D$2</f>
        <v>#DIV/0!</v>
      </c>
      <c r="H51" s="14" t="e">
        <f>F51/$F$124*$E$2</f>
        <v>#DIV/0!</v>
      </c>
      <c r="I51" s="25" t="str">
        <f t="shared" si="2"/>
        <v/>
      </c>
    </row>
    <row r="52" spans="1:9" hidden="1" x14ac:dyDescent="0.25">
      <c r="A52" s="3">
        <v>3351</v>
      </c>
      <c r="B52" s="3">
        <v>113.3289273</v>
      </c>
      <c r="C52" s="3">
        <v>22.936236869999998</v>
      </c>
      <c r="D52" s="3">
        <v>10</v>
      </c>
      <c r="E52" s="13">
        <f t="shared" si="3"/>
        <v>8.9209281246335429E-3</v>
      </c>
      <c r="F52" s="13">
        <f t="shared" si="4"/>
        <v>10.587537945667329</v>
      </c>
      <c r="G52" s="14" t="e">
        <f>F52/$F$124*$D$2</f>
        <v>#DIV/0!</v>
      </c>
      <c r="H52" s="14" t="e">
        <f>F52/$F$124*$E$2</f>
        <v>#DIV/0!</v>
      </c>
      <c r="I52" s="25" t="str">
        <f t="shared" si="2"/>
        <v/>
      </c>
    </row>
    <row r="53" spans="1:9" x14ac:dyDescent="0.25">
      <c r="A53" s="3">
        <v>3343</v>
      </c>
      <c r="B53" s="3">
        <v>113.3285487</v>
      </c>
      <c r="C53" s="3">
        <v>22.940589750000001</v>
      </c>
      <c r="D53" s="3">
        <v>10</v>
      </c>
      <c r="E53" s="13">
        <f t="shared" si="3"/>
        <v>1.0202338180170191E-2</v>
      </c>
      <c r="F53" s="13">
        <f t="shared" si="4"/>
        <v>9.9003407506512904</v>
      </c>
      <c r="G53" s="14">
        <f>F53/$F$55*$D$2</f>
        <v>64.486724159738174</v>
      </c>
      <c r="H53" s="14">
        <f>F53/$F$55*$E$2</f>
        <v>65.776458642932937</v>
      </c>
      <c r="I53" s="25" t="str">
        <f t="shared" si="2"/>
        <v>选中</v>
      </c>
    </row>
    <row r="54" spans="1:9" x14ac:dyDescent="0.25">
      <c r="A54" s="3"/>
      <c r="B54" s="3"/>
      <c r="C54" s="3"/>
      <c r="D54" s="3"/>
      <c r="G54" s="14"/>
      <c r="H54" s="14"/>
    </row>
    <row r="55" spans="1:9" x14ac:dyDescent="0.25">
      <c r="A55" s="3"/>
      <c r="B55" s="3"/>
      <c r="C55" s="3"/>
      <c r="D55" s="3"/>
      <c r="F55" s="13">
        <f>SUBTOTAL(9,F5:F53)</f>
        <v>268.66919570488699</v>
      </c>
      <c r="G55" s="13">
        <f>SUBTOTAL(9,G5:G53)</f>
        <v>1750</v>
      </c>
      <c r="H55" s="13">
        <f>SUBTOTAL(9,H5:H53)</f>
        <v>1785.0000000000007</v>
      </c>
    </row>
    <row r="56" spans="1:9" x14ac:dyDescent="0.25">
      <c r="A56" s="3"/>
      <c r="B56" s="3"/>
      <c r="C56" s="3"/>
      <c r="D56" s="3"/>
      <c r="G56" s="14"/>
      <c r="H56" s="14"/>
    </row>
    <row r="57" spans="1:9" x14ac:dyDescent="0.25">
      <c r="A57" s="3"/>
      <c r="B57" s="3"/>
      <c r="C57" s="3"/>
      <c r="D57" s="3"/>
      <c r="G57" s="14"/>
      <c r="H57" s="14"/>
    </row>
    <row r="58" spans="1:9" x14ac:dyDescent="0.25">
      <c r="A58" s="3"/>
      <c r="B58" s="3"/>
      <c r="C58" s="3"/>
      <c r="D58" s="3"/>
      <c r="G58" s="14"/>
      <c r="H58" s="14"/>
    </row>
    <row r="59" spans="1:9" x14ac:dyDescent="0.25">
      <c r="A59" s="3"/>
      <c r="B59" s="3"/>
      <c r="C59" s="3"/>
      <c r="D59" s="3"/>
      <c r="G59" s="14"/>
      <c r="H59" s="14"/>
    </row>
    <row r="60" spans="1:9" x14ac:dyDescent="0.25">
      <c r="A60" s="3"/>
      <c r="B60" s="3"/>
      <c r="C60" s="3"/>
      <c r="D60" s="3"/>
      <c r="G60" s="14"/>
      <c r="H60" s="14"/>
    </row>
    <row r="61" spans="1:9" x14ac:dyDescent="0.25">
      <c r="A61" s="3"/>
      <c r="B61" s="3"/>
      <c r="C61" s="3"/>
      <c r="D61" s="3"/>
      <c r="G61" s="14"/>
      <c r="H61" s="14"/>
    </row>
    <row r="62" spans="1:9" x14ac:dyDescent="0.25">
      <c r="A62" s="3"/>
      <c r="B62" s="3"/>
      <c r="C62" s="3"/>
      <c r="D62" s="3"/>
      <c r="G62" s="14"/>
      <c r="H62" s="14"/>
    </row>
    <row r="63" spans="1:9" x14ac:dyDescent="0.25">
      <c r="A63" s="3"/>
      <c r="B63" s="3"/>
      <c r="C63" s="3"/>
      <c r="D63" s="3"/>
      <c r="G63" s="14"/>
      <c r="H63" s="14"/>
    </row>
    <row r="64" spans="1:9" x14ac:dyDescent="0.25">
      <c r="A64" s="3"/>
      <c r="B64" s="3"/>
      <c r="C64" s="3"/>
      <c r="D64" s="3"/>
      <c r="G64" s="14"/>
      <c r="H64" s="14"/>
    </row>
    <row r="65" spans="1:8" x14ac:dyDescent="0.25">
      <c r="A65" s="3"/>
      <c r="B65" s="3"/>
      <c r="C65" s="3"/>
      <c r="D65" s="3"/>
      <c r="G65" s="14"/>
      <c r="H65" s="14"/>
    </row>
    <row r="66" spans="1:8" x14ac:dyDescent="0.25">
      <c r="A66" s="3"/>
      <c r="B66" s="3"/>
      <c r="C66" s="3"/>
      <c r="D66" s="3"/>
      <c r="G66" s="14"/>
      <c r="H66" s="14"/>
    </row>
    <row r="67" spans="1:8" x14ac:dyDescent="0.25">
      <c r="A67" s="3"/>
      <c r="B67" s="3"/>
      <c r="C67" s="3"/>
      <c r="D67" s="3"/>
      <c r="G67" s="14"/>
      <c r="H67" s="14"/>
    </row>
    <row r="68" spans="1:8" x14ac:dyDescent="0.25">
      <c r="A68" s="3"/>
      <c r="B68" s="3"/>
      <c r="C68" s="3"/>
      <c r="D68" s="3"/>
      <c r="G68" s="14"/>
      <c r="H68" s="14"/>
    </row>
    <row r="69" spans="1:8" x14ac:dyDescent="0.25">
      <c r="A69" s="3"/>
      <c r="B69" s="3"/>
      <c r="C69" s="3"/>
      <c r="D69" s="3"/>
      <c r="G69" s="14"/>
      <c r="H69" s="14"/>
    </row>
    <row r="70" spans="1:8" x14ac:dyDescent="0.25">
      <c r="A70" s="3"/>
      <c r="B70" s="3"/>
      <c r="C70" s="3"/>
      <c r="D70" s="3"/>
      <c r="G70" s="14"/>
      <c r="H70" s="14"/>
    </row>
    <row r="71" spans="1:8" x14ac:dyDescent="0.25">
      <c r="A71" s="3"/>
      <c r="B71" s="3"/>
      <c r="C71" s="3"/>
      <c r="D71" s="3"/>
      <c r="G71" s="14"/>
      <c r="H71" s="14"/>
    </row>
    <row r="72" spans="1:8" x14ac:dyDescent="0.25">
      <c r="A72" s="3"/>
      <c r="B72" s="3"/>
      <c r="C72" s="3"/>
      <c r="D72" s="3"/>
      <c r="G72" s="14"/>
      <c r="H72" s="14"/>
    </row>
    <row r="73" spans="1:8" x14ac:dyDescent="0.25">
      <c r="A73" s="3"/>
      <c r="B73" s="3"/>
      <c r="C73" s="3"/>
      <c r="D73" s="3"/>
      <c r="G73" s="14"/>
      <c r="H73" s="14"/>
    </row>
    <row r="74" spans="1:8" x14ac:dyDescent="0.25">
      <c r="A74" s="3"/>
      <c r="B74" s="3"/>
      <c r="C74" s="3"/>
      <c r="D74" s="3"/>
      <c r="G74" s="14"/>
      <c r="H74" s="14"/>
    </row>
    <row r="75" spans="1:8" x14ac:dyDescent="0.25">
      <c r="A75" s="3"/>
      <c r="B75" s="3"/>
      <c r="C75" s="3"/>
      <c r="D75" s="3"/>
      <c r="G75" s="14"/>
      <c r="H75" s="14"/>
    </row>
    <row r="76" spans="1:8" x14ac:dyDescent="0.25">
      <c r="A76" s="3"/>
      <c r="B76" s="3"/>
      <c r="C76" s="3"/>
      <c r="D76" s="3"/>
      <c r="G76" s="14"/>
      <c r="H76" s="14"/>
    </row>
    <row r="77" spans="1:8" x14ac:dyDescent="0.25">
      <c r="A77" s="3"/>
      <c r="B77" s="3"/>
      <c r="C77" s="3"/>
      <c r="D77" s="3"/>
      <c r="G77" s="14"/>
      <c r="H77" s="14"/>
    </row>
    <row r="78" spans="1:8" x14ac:dyDescent="0.25">
      <c r="A78" s="3"/>
      <c r="B78" s="3"/>
      <c r="C78" s="3"/>
      <c r="D78" s="3"/>
      <c r="G78" s="14"/>
      <c r="H78" s="14"/>
    </row>
    <row r="79" spans="1:8" x14ac:dyDescent="0.25">
      <c r="A79" s="3"/>
      <c r="B79" s="3"/>
      <c r="C79" s="3"/>
      <c r="D79" s="3"/>
      <c r="G79" s="14"/>
      <c r="H79" s="14"/>
    </row>
    <row r="80" spans="1:8" x14ac:dyDescent="0.25">
      <c r="A80" s="3"/>
      <c r="B80" s="3"/>
      <c r="C80" s="3"/>
      <c r="D80" s="3"/>
      <c r="G80" s="14"/>
      <c r="H80" s="14"/>
    </row>
    <row r="81" spans="1:8" x14ac:dyDescent="0.25">
      <c r="A81" s="3"/>
      <c r="B81" s="3"/>
      <c r="C81" s="3"/>
      <c r="D81" s="3"/>
      <c r="G81" s="14"/>
      <c r="H81" s="14"/>
    </row>
    <row r="82" spans="1:8" x14ac:dyDescent="0.25">
      <c r="A82" s="3"/>
      <c r="B82" s="3"/>
      <c r="C82" s="3"/>
      <c r="D82" s="3"/>
      <c r="G82" s="14"/>
      <c r="H82" s="14"/>
    </row>
    <row r="83" spans="1:8" x14ac:dyDescent="0.25">
      <c r="A83" s="3"/>
      <c r="B83" s="3"/>
      <c r="C83" s="3"/>
      <c r="D83" s="3"/>
      <c r="G83" s="14"/>
      <c r="H83" s="14"/>
    </row>
    <row r="84" spans="1:8" x14ac:dyDescent="0.25">
      <c r="A84" s="3"/>
      <c r="B84" s="3"/>
      <c r="C84" s="3"/>
      <c r="D84" s="3"/>
      <c r="G84" s="14"/>
      <c r="H84" s="14"/>
    </row>
    <row r="85" spans="1:8" x14ac:dyDescent="0.25">
      <c r="A85" s="3"/>
      <c r="B85" s="3"/>
      <c r="C85" s="3"/>
      <c r="D85" s="3"/>
      <c r="G85" s="14"/>
      <c r="H85" s="14"/>
    </row>
    <row r="86" spans="1:8" x14ac:dyDescent="0.25">
      <c r="A86" s="3"/>
      <c r="B86" s="3"/>
      <c r="C86" s="3"/>
      <c r="D86" s="3"/>
      <c r="G86" s="14"/>
      <c r="H86" s="14"/>
    </row>
    <row r="87" spans="1:8" x14ac:dyDescent="0.25">
      <c r="A87" s="3"/>
      <c r="B87" s="3"/>
      <c r="C87" s="3"/>
      <c r="D87" s="3"/>
      <c r="G87" s="14"/>
      <c r="H87" s="14"/>
    </row>
    <row r="88" spans="1:8" x14ac:dyDescent="0.25">
      <c r="A88" s="3"/>
      <c r="B88" s="3"/>
      <c r="C88" s="3"/>
      <c r="D88" s="3"/>
      <c r="G88" s="14"/>
      <c r="H88" s="14"/>
    </row>
    <row r="89" spans="1:8" x14ac:dyDescent="0.25">
      <c r="A89" s="3"/>
      <c r="B89" s="3"/>
      <c r="C89" s="3"/>
      <c r="D89" s="3"/>
      <c r="G89" s="14"/>
      <c r="H89" s="14"/>
    </row>
    <row r="90" spans="1:8" x14ac:dyDescent="0.25">
      <c r="A90" s="3"/>
      <c r="B90" s="3"/>
      <c r="C90" s="3"/>
      <c r="D90" s="3"/>
      <c r="G90" s="14"/>
      <c r="H90" s="14"/>
    </row>
    <row r="91" spans="1:8" x14ac:dyDescent="0.25">
      <c r="A91" s="3"/>
      <c r="B91" s="3"/>
      <c r="C91" s="3"/>
      <c r="D91" s="3"/>
      <c r="G91" s="14"/>
      <c r="H91" s="14"/>
    </row>
    <row r="92" spans="1:8" x14ac:dyDescent="0.25">
      <c r="A92" s="3"/>
      <c r="B92" s="3"/>
      <c r="C92" s="3"/>
      <c r="D92" s="3"/>
      <c r="G92" s="14"/>
      <c r="H92" s="14"/>
    </row>
    <row r="93" spans="1:8" x14ac:dyDescent="0.25">
      <c r="A93" s="3"/>
      <c r="B93" s="3"/>
      <c r="C93" s="3"/>
      <c r="D93" s="3"/>
      <c r="G93" s="14"/>
      <c r="H93" s="14"/>
    </row>
    <row r="94" spans="1:8" x14ac:dyDescent="0.25">
      <c r="A94" s="3"/>
      <c r="B94" s="3"/>
      <c r="C94" s="3"/>
      <c r="D94" s="3"/>
      <c r="G94" s="14"/>
      <c r="H94" s="14"/>
    </row>
    <row r="95" spans="1:8" x14ac:dyDescent="0.25">
      <c r="A95" s="3"/>
      <c r="B95" s="3"/>
      <c r="C95" s="3"/>
      <c r="D95" s="3"/>
      <c r="G95" s="14"/>
      <c r="H95" s="14"/>
    </row>
    <row r="96" spans="1:8" x14ac:dyDescent="0.25">
      <c r="A96" s="3"/>
      <c r="B96" s="3"/>
      <c r="C96" s="3"/>
      <c r="D96" s="3"/>
      <c r="G96" s="14"/>
      <c r="H96" s="14"/>
    </row>
    <row r="97" spans="1:8" x14ac:dyDescent="0.25">
      <c r="A97" s="3"/>
      <c r="B97" s="3"/>
      <c r="C97" s="3"/>
      <c r="D97" s="3"/>
      <c r="G97" s="14"/>
      <c r="H97" s="14"/>
    </row>
    <row r="98" spans="1:8" x14ac:dyDescent="0.25">
      <c r="A98" s="3"/>
      <c r="B98" s="3"/>
      <c r="C98" s="3"/>
      <c r="D98" s="3"/>
      <c r="G98" s="14"/>
      <c r="H98" s="14"/>
    </row>
    <row r="99" spans="1:8" x14ac:dyDescent="0.25">
      <c r="A99" s="3"/>
      <c r="B99" s="3"/>
      <c r="C99" s="3"/>
      <c r="D99" s="3"/>
      <c r="G99" s="14"/>
      <c r="H99" s="14"/>
    </row>
    <row r="100" spans="1:8" x14ac:dyDescent="0.25">
      <c r="A100" s="3"/>
      <c r="B100" s="3"/>
      <c r="C100" s="3"/>
      <c r="D100" s="3"/>
      <c r="G100" s="14"/>
      <c r="H100" s="14"/>
    </row>
    <row r="101" spans="1:8" x14ac:dyDescent="0.25">
      <c r="A101" s="3"/>
      <c r="B101" s="3"/>
      <c r="C101" s="3"/>
      <c r="D101" s="3"/>
      <c r="G101" s="14"/>
      <c r="H101" s="14"/>
    </row>
    <row r="102" spans="1:8" x14ac:dyDescent="0.25">
      <c r="A102" s="3"/>
      <c r="B102" s="3"/>
      <c r="C102" s="3"/>
      <c r="D102" s="3"/>
      <c r="G102" s="14"/>
      <c r="H102" s="14"/>
    </row>
    <row r="103" spans="1:8" x14ac:dyDescent="0.25">
      <c r="A103" s="3"/>
      <c r="B103" s="3"/>
      <c r="C103" s="3"/>
      <c r="D103" s="3"/>
      <c r="G103" s="14"/>
      <c r="H103" s="14"/>
    </row>
    <row r="104" spans="1:8" x14ac:dyDescent="0.25">
      <c r="A104" s="3"/>
      <c r="B104" s="3"/>
      <c r="C104" s="3"/>
      <c r="D104" s="3"/>
      <c r="G104" s="14"/>
      <c r="H104" s="14"/>
    </row>
    <row r="105" spans="1:8" x14ac:dyDescent="0.25">
      <c r="A105" s="3"/>
      <c r="B105" s="3"/>
      <c r="C105" s="3"/>
      <c r="D105" s="3"/>
      <c r="G105" s="14"/>
      <c r="H105" s="14"/>
    </row>
    <row r="106" spans="1:8" x14ac:dyDescent="0.25">
      <c r="A106" s="3"/>
      <c r="B106" s="3"/>
      <c r="C106" s="3"/>
      <c r="D106" s="3"/>
      <c r="G106" s="14"/>
      <c r="H106" s="14"/>
    </row>
    <row r="107" spans="1:8" x14ac:dyDescent="0.25">
      <c r="A107" s="3"/>
      <c r="B107" s="3"/>
      <c r="C107" s="3"/>
      <c r="D107" s="3"/>
      <c r="G107" s="14"/>
      <c r="H107" s="14"/>
    </row>
    <row r="108" spans="1:8" x14ac:dyDescent="0.25">
      <c r="A108" s="3"/>
      <c r="B108" s="3"/>
      <c r="C108" s="3"/>
      <c r="D108" s="3"/>
      <c r="G108" s="14"/>
      <c r="H108" s="14"/>
    </row>
    <row r="109" spans="1:8" x14ac:dyDescent="0.25">
      <c r="A109" s="3"/>
      <c r="B109" s="3"/>
      <c r="C109" s="3"/>
      <c r="D109" s="3"/>
      <c r="G109" s="14"/>
      <c r="H109" s="14"/>
    </row>
    <row r="110" spans="1:8" x14ac:dyDescent="0.25">
      <c r="A110" s="3"/>
      <c r="B110" s="3"/>
      <c r="C110" s="3"/>
      <c r="D110" s="3"/>
      <c r="G110" s="14"/>
      <c r="H110" s="14"/>
    </row>
    <row r="111" spans="1:8" x14ac:dyDescent="0.25">
      <c r="A111" s="3"/>
      <c r="B111" s="3"/>
      <c r="C111" s="3"/>
      <c r="D111" s="3"/>
      <c r="G111" s="14"/>
      <c r="H111" s="14"/>
    </row>
    <row r="112" spans="1:8" x14ac:dyDescent="0.25">
      <c r="A112" s="3"/>
      <c r="B112" s="3"/>
      <c r="C112" s="3"/>
      <c r="D112" s="3"/>
      <c r="G112" s="14"/>
      <c r="H112" s="14"/>
    </row>
    <row r="113" spans="1:8" x14ac:dyDescent="0.25">
      <c r="A113" s="3"/>
      <c r="B113" s="3"/>
      <c r="C113" s="3"/>
      <c r="D113" s="3"/>
      <c r="G113" s="14"/>
      <c r="H113" s="14"/>
    </row>
    <row r="114" spans="1:8" x14ac:dyDescent="0.25">
      <c r="A114" s="3"/>
      <c r="B114" s="3"/>
      <c r="C114" s="3"/>
      <c r="D114" s="3"/>
      <c r="G114" s="14"/>
      <c r="H114" s="14"/>
    </row>
    <row r="115" spans="1:8" x14ac:dyDescent="0.25">
      <c r="A115" s="3"/>
      <c r="B115" s="3"/>
      <c r="C115" s="3"/>
      <c r="D115" s="3"/>
      <c r="G115" s="14"/>
      <c r="H115" s="14"/>
    </row>
    <row r="116" spans="1:8" x14ac:dyDescent="0.25">
      <c r="A116" s="3"/>
      <c r="B116" s="3"/>
      <c r="C116" s="3"/>
      <c r="D116" s="3"/>
      <c r="G116" s="14"/>
      <c r="H116" s="14"/>
    </row>
    <row r="117" spans="1:8" x14ac:dyDescent="0.25">
      <c r="A117" s="3"/>
      <c r="B117" s="3"/>
      <c r="C117" s="3"/>
      <c r="D117" s="3"/>
      <c r="G117" s="14"/>
      <c r="H117" s="14"/>
    </row>
    <row r="118" spans="1:8" x14ac:dyDescent="0.25">
      <c r="A118" s="3"/>
      <c r="B118" s="3"/>
      <c r="C118" s="3"/>
      <c r="D118" s="3"/>
      <c r="G118" s="14"/>
      <c r="H118" s="14"/>
    </row>
    <row r="119" spans="1:8" x14ac:dyDescent="0.25">
      <c r="A119" s="3"/>
      <c r="B119" s="3"/>
      <c r="C119" s="3"/>
      <c r="D119" s="3"/>
      <c r="G119" s="14"/>
      <c r="H119" s="14"/>
    </row>
    <row r="120" spans="1:8" x14ac:dyDescent="0.25">
      <c r="A120" s="3"/>
      <c r="B120" s="3"/>
      <c r="C120" s="3"/>
      <c r="D120" s="3"/>
      <c r="G120" s="14"/>
      <c r="H120" s="14"/>
    </row>
    <row r="121" spans="1:8" x14ac:dyDescent="0.25">
      <c r="A121" s="3"/>
      <c r="B121" s="3"/>
      <c r="C121" s="3"/>
      <c r="D121" s="3"/>
      <c r="G121" s="14"/>
      <c r="H121" s="14"/>
    </row>
    <row r="122" spans="1:8" x14ac:dyDescent="0.25">
      <c r="A122" s="3"/>
      <c r="B122" s="3"/>
      <c r="C122" s="3"/>
      <c r="D122" s="3"/>
      <c r="G122" s="14"/>
      <c r="H122" s="14"/>
    </row>
    <row r="123" spans="1:8" x14ac:dyDescent="0.25">
      <c r="A123" s="3"/>
      <c r="B123" s="3"/>
      <c r="C123" s="3"/>
      <c r="D123" s="3"/>
      <c r="G123" s="14"/>
      <c r="H123" s="14"/>
    </row>
    <row r="124" spans="1:8" x14ac:dyDescent="0.25">
      <c r="A124" s="3"/>
      <c r="B124" s="3"/>
      <c r="C124" s="3"/>
      <c r="D124" s="3"/>
      <c r="G124" s="14"/>
      <c r="H124" s="14"/>
    </row>
    <row r="125" spans="1:8" x14ac:dyDescent="0.25">
      <c r="A125" s="3"/>
      <c r="B125" s="3"/>
      <c r="C125" s="3"/>
      <c r="D125" s="3"/>
      <c r="G125" s="14"/>
      <c r="H125" s="14"/>
    </row>
    <row r="126" spans="1:8" x14ac:dyDescent="0.25">
      <c r="A126" s="18"/>
      <c r="B126" s="3"/>
      <c r="C126" s="3"/>
      <c r="D126" s="3"/>
      <c r="G126" s="14"/>
      <c r="H126" s="14"/>
    </row>
    <row r="127" spans="1:8" x14ac:dyDescent="0.25">
      <c r="A127" s="3"/>
      <c r="B127" s="3"/>
      <c r="C127" s="3"/>
      <c r="D127" s="3"/>
      <c r="G127" s="14"/>
      <c r="H127" s="14"/>
    </row>
    <row r="128" spans="1:8" x14ac:dyDescent="0.25">
      <c r="A128" s="3"/>
      <c r="B128" s="3"/>
      <c r="C128" s="3"/>
      <c r="D128" s="3"/>
      <c r="G128" s="14"/>
      <c r="H128" s="14"/>
    </row>
    <row r="129" spans="1:8" x14ac:dyDescent="0.25">
      <c r="A129" s="3"/>
      <c r="B129" s="3"/>
      <c r="C129" s="3"/>
      <c r="D129" s="3"/>
      <c r="G129" s="14"/>
      <c r="H129" s="14"/>
    </row>
    <row r="130" spans="1:8" x14ac:dyDescent="0.25">
      <c r="A130" s="3"/>
      <c r="B130" s="3"/>
      <c r="C130" s="3"/>
      <c r="D130" s="3"/>
      <c r="G130" s="14"/>
      <c r="H130" s="14"/>
    </row>
    <row r="131" spans="1:8" x14ac:dyDescent="0.25">
      <c r="A131" s="3"/>
      <c r="B131" s="3"/>
      <c r="C131" s="3"/>
      <c r="D131" s="3"/>
      <c r="G131" s="14"/>
      <c r="H131" s="14"/>
    </row>
    <row r="132" spans="1:8" x14ac:dyDescent="0.25">
      <c r="A132" s="3"/>
      <c r="B132" s="3"/>
      <c r="C132" s="3"/>
      <c r="D132" s="3"/>
      <c r="G132" s="14"/>
      <c r="H132" s="14"/>
    </row>
    <row r="133" spans="1:8" x14ac:dyDescent="0.25">
      <c r="A133" s="3"/>
      <c r="B133" s="3"/>
      <c r="C133" s="3"/>
      <c r="D133" s="3"/>
      <c r="G133" s="14"/>
      <c r="H133" s="14"/>
    </row>
    <row r="134" spans="1:8" x14ac:dyDescent="0.25">
      <c r="A134" s="3"/>
      <c r="B134" s="3"/>
      <c r="C134" s="3"/>
      <c r="D134" s="3"/>
      <c r="G134" s="14"/>
      <c r="H134" s="14"/>
    </row>
    <row r="135" spans="1:8" x14ac:dyDescent="0.25">
      <c r="A135" s="3"/>
      <c r="B135" s="3"/>
      <c r="C135" s="3"/>
      <c r="D135" s="3"/>
      <c r="G135" s="14"/>
      <c r="H135" s="14"/>
    </row>
    <row r="136" spans="1:8" x14ac:dyDescent="0.25">
      <c r="A136" s="3"/>
      <c r="B136" s="3"/>
      <c r="C136" s="3"/>
      <c r="D136" s="3"/>
      <c r="G136" s="14"/>
      <c r="H136" s="14"/>
    </row>
    <row r="137" spans="1:8" x14ac:dyDescent="0.25">
      <c r="A137" s="3"/>
      <c r="B137" s="3"/>
      <c r="C137" s="3"/>
      <c r="D137" s="3"/>
      <c r="G137" s="14"/>
      <c r="H137" s="14"/>
    </row>
    <row r="138" spans="1:8" x14ac:dyDescent="0.25">
      <c r="A138" s="3"/>
      <c r="B138" s="3"/>
      <c r="C138" s="3"/>
      <c r="D138" s="3"/>
      <c r="G138" s="14"/>
      <c r="H138" s="14"/>
    </row>
    <row r="139" spans="1:8" x14ac:dyDescent="0.25">
      <c r="A139" s="3"/>
      <c r="B139" s="3"/>
      <c r="C139" s="3"/>
      <c r="D139" s="3"/>
      <c r="G139" s="14"/>
      <c r="H139" s="14"/>
    </row>
    <row r="140" spans="1:8" x14ac:dyDescent="0.25">
      <c r="A140" s="3"/>
      <c r="B140" s="3"/>
      <c r="C140" s="3"/>
      <c r="D140" s="3"/>
      <c r="G140" s="14"/>
      <c r="H140" s="14"/>
    </row>
    <row r="141" spans="1:8" x14ac:dyDescent="0.25">
      <c r="A141" s="3"/>
      <c r="B141" s="3"/>
      <c r="C141" s="3"/>
      <c r="D141" s="3"/>
      <c r="G141" s="14"/>
      <c r="H141" s="14"/>
    </row>
    <row r="142" spans="1:8" x14ac:dyDescent="0.25">
      <c r="A142" s="3"/>
      <c r="B142" s="3"/>
      <c r="C142" s="3"/>
      <c r="D142" s="3"/>
      <c r="G142" s="14"/>
      <c r="H142" s="14"/>
    </row>
    <row r="143" spans="1:8" x14ac:dyDescent="0.25">
      <c r="A143" s="3"/>
      <c r="B143" s="3"/>
      <c r="C143" s="3"/>
      <c r="D143" s="3"/>
      <c r="G143" s="14"/>
      <c r="H143" s="14"/>
    </row>
    <row r="144" spans="1:8" x14ac:dyDescent="0.25">
      <c r="A144" s="3"/>
      <c r="B144" s="3"/>
      <c r="C144" s="3"/>
      <c r="D144" s="3"/>
      <c r="G144" s="14"/>
      <c r="H144" s="14"/>
    </row>
    <row r="145" spans="1:8" x14ac:dyDescent="0.25">
      <c r="A145" s="3"/>
      <c r="B145" s="3"/>
      <c r="C145" s="3"/>
      <c r="D145" s="3"/>
      <c r="G145" s="14"/>
      <c r="H145" s="14"/>
    </row>
    <row r="146" spans="1:8" x14ac:dyDescent="0.25">
      <c r="A146" s="3"/>
      <c r="B146" s="3"/>
      <c r="C146" s="3"/>
      <c r="D146" s="3"/>
      <c r="G146" s="14"/>
      <c r="H146" s="14"/>
    </row>
    <row r="147" spans="1:8" x14ac:dyDescent="0.25">
      <c r="A147" s="3"/>
      <c r="B147" s="3"/>
      <c r="C147" s="3"/>
      <c r="D147" s="3"/>
      <c r="G147" s="14"/>
      <c r="H147" s="14"/>
    </row>
    <row r="148" spans="1:8" x14ac:dyDescent="0.25">
      <c r="A148" s="3"/>
      <c r="B148" s="3"/>
      <c r="C148" s="3"/>
      <c r="D148" s="3"/>
      <c r="G148" s="14"/>
      <c r="H148" s="14"/>
    </row>
    <row r="149" spans="1:8" x14ac:dyDescent="0.25">
      <c r="A149" s="3"/>
      <c r="B149" s="3"/>
      <c r="C149" s="3"/>
      <c r="D149" s="3"/>
      <c r="G149" s="14"/>
      <c r="H149" s="14"/>
    </row>
    <row r="150" spans="1:8" x14ac:dyDescent="0.25">
      <c r="A150" s="3"/>
      <c r="B150" s="3"/>
      <c r="C150" s="3"/>
      <c r="D150" s="3"/>
      <c r="G150" s="14"/>
      <c r="H150" s="14"/>
    </row>
    <row r="151" spans="1:8" x14ac:dyDescent="0.25">
      <c r="A151" s="3"/>
      <c r="B151" s="3"/>
      <c r="C151" s="3"/>
      <c r="D151" s="3"/>
      <c r="G151" s="14"/>
      <c r="H151" s="14"/>
    </row>
    <row r="152" spans="1:8" x14ac:dyDescent="0.25">
      <c r="A152" s="3"/>
      <c r="B152" s="3"/>
      <c r="C152" s="3"/>
      <c r="D152" s="3"/>
      <c r="G152" s="14"/>
      <c r="H152" s="14"/>
    </row>
    <row r="153" spans="1:8" x14ac:dyDescent="0.25">
      <c r="A153" s="3"/>
      <c r="B153" s="3"/>
      <c r="C153" s="3"/>
      <c r="D153" s="3"/>
      <c r="G153" s="14"/>
      <c r="H153" s="14"/>
    </row>
    <row r="154" spans="1:8" x14ac:dyDescent="0.25">
      <c r="A154" s="3"/>
      <c r="B154" s="3"/>
      <c r="C154" s="3"/>
      <c r="D154" s="3"/>
      <c r="G154" s="14"/>
      <c r="H154" s="14"/>
    </row>
    <row r="155" spans="1:8" x14ac:dyDescent="0.25">
      <c r="A155" s="3"/>
      <c r="B155" s="3"/>
      <c r="C155" s="3"/>
      <c r="D155" s="3"/>
      <c r="G155" s="14"/>
      <c r="H155" s="14"/>
    </row>
    <row r="156" spans="1:8" x14ac:dyDescent="0.25">
      <c r="A156" s="3"/>
      <c r="B156" s="3"/>
      <c r="C156" s="3"/>
      <c r="D156" s="3"/>
      <c r="G156" s="14"/>
      <c r="H156" s="14"/>
    </row>
    <row r="157" spans="1:8" x14ac:dyDescent="0.25">
      <c r="A157" s="3"/>
      <c r="B157" s="3"/>
      <c r="C157" s="3"/>
      <c r="D157" s="3"/>
      <c r="G157" s="14"/>
      <c r="H157" s="14"/>
    </row>
    <row r="158" spans="1:8" x14ac:dyDescent="0.25">
      <c r="A158" s="3"/>
      <c r="B158" s="3"/>
      <c r="C158" s="3"/>
      <c r="D158" s="3"/>
      <c r="G158" s="14"/>
      <c r="H158" s="14"/>
    </row>
    <row r="159" spans="1:8" x14ac:dyDescent="0.25">
      <c r="A159" s="3"/>
      <c r="B159" s="3"/>
      <c r="C159" s="3"/>
      <c r="D159" s="3"/>
      <c r="G159" s="14"/>
      <c r="H159" s="14"/>
    </row>
    <row r="160" spans="1:8" x14ac:dyDescent="0.25">
      <c r="A160" s="3"/>
      <c r="B160" s="3"/>
      <c r="C160" s="3"/>
      <c r="D160" s="3"/>
      <c r="G160" s="14"/>
      <c r="H160" s="14"/>
    </row>
    <row r="161" spans="1:8" x14ac:dyDescent="0.25">
      <c r="A161" s="3"/>
      <c r="B161" s="3"/>
      <c r="C161" s="3"/>
      <c r="D161" s="3"/>
      <c r="G161" s="14"/>
      <c r="H161" s="14"/>
    </row>
    <row r="162" spans="1:8" x14ac:dyDescent="0.25">
      <c r="A162" s="3"/>
      <c r="B162" s="3"/>
      <c r="C162" s="3"/>
      <c r="D162" s="3"/>
      <c r="G162" s="14"/>
      <c r="H162" s="14"/>
    </row>
    <row r="163" spans="1:8" x14ac:dyDescent="0.25">
      <c r="A163" s="3"/>
      <c r="B163" s="3"/>
      <c r="C163" s="3"/>
      <c r="D163" s="3"/>
      <c r="G163" s="14"/>
      <c r="H163" s="14"/>
    </row>
    <row r="164" spans="1:8" x14ac:dyDescent="0.25">
      <c r="A164" s="3"/>
      <c r="B164" s="3"/>
      <c r="C164" s="3"/>
      <c r="D164" s="3"/>
      <c r="G164" s="14"/>
      <c r="H164" s="14"/>
    </row>
    <row r="165" spans="1:8" x14ac:dyDescent="0.25">
      <c r="A165" s="3"/>
      <c r="B165" s="3"/>
      <c r="C165" s="3"/>
      <c r="D165" s="3"/>
      <c r="G165" s="14"/>
      <c r="H165" s="14"/>
    </row>
    <row r="166" spans="1:8" x14ac:dyDescent="0.25">
      <c r="A166" s="3"/>
      <c r="B166" s="3"/>
      <c r="C166" s="3"/>
      <c r="D166" s="3"/>
      <c r="G166" s="14"/>
      <c r="H166" s="14"/>
    </row>
    <row r="167" spans="1:8" x14ac:dyDescent="0.25">
      <c r="A167" s="3"/>
      <c r="B167" s="3"/>
      <c r="C167" s="3"/>
      <c r="D167" s="3"/>
      <c r="G167" s="14"/>
      <c r="H167" s="14"/>
    </row>
    <row r="168" spans="1:8" x14ac:dyDescent="0.25">
      <c r="A168" s="3"/>
      <c r="B168" s="3"/>
      <c r="C168" s="3"/>
      <c r="D168" s="3"/>
      <c r="G168" s="14"/>
      <c r="H168" s="14"/>
    </row>
    <row r="169" spans="1:8" x14ac:dyDescent="0.25">
      <c r="A169" s="3"/>
      <c r="B169" s="3"/>
      <c r="C169" s="3"/>
      <c r="D169" s="3"/>
      <c r="G169" s="14"/>
      <c r="H169" s="14"/>
    </row>
    <row r="170" spans="1:8" x14ac:dyDescent="0.25">
      <c r="A170" s="3"/>
      <c r="B170" s="3"/>
      <c r="C170" s="3"/>
      <c r="D170" s="3"/>
      <c r="G170" s="14"/>
      <c r="H170" s="14"/>
    </row>
    <row r="171" spans="1:8" x14ac:dyDescent="0.25">
      <c r="A171" s="3"/>
      <c r="B171" s="3"/>
      <c r="C171" s="3"/>
      <c r="D171" s="3"/>
      <c r="G171" s="14"/>
      <c r="H171" s="14"/>
    </row>
    <row r="172" spans="1:8" x14ac:dyDescent="0.25">
      <c r="A172" s="3"/>
      <c r="B172" s="3"/>
      <c r="C172" s="3"/>
      <c r="D172" s="3"/>
      <c r="G172" s="14"/>
      <c r="H172" s="14"/>
    </row>
    <row r="173" spans="1:8" x14ac:dyDescent="0.25">
      <c r="A173" s="3"/>
      <c r="B173" s="3"/>
      <c r="C173" s="3"/>
      <c r="D173" s="3"/>
      <c r="G173" s="14"/>
      <c r="H173" s="14"/>
    </row>
    <row r="174" spans="1:8" x14ac:dyDescent="0.25">
      <c r="A174" s="3"/>
      <c r="B174" s="3"/>
      <c r="C174" s="3"/>
      <c r="D174" s="3"/>
      <c r="G174" s="14"/>
      <c r="H174" s="14"/>
    </row>
    <row r="175" spans="1:8" x14ac:dyDescent="0.25">
      <c r="A175" s="3"/>
      <c r="B175" s="3"/>
      <c r="C175" s="3"/>
      <c r="D175" s="3"/>
      <c r="G175" s="14"/>
      <c r="H175" s="14"/>
    </row>
    <row r="176" spans="1:8" x14ac:dyDescent="0.25">
      <c r="A176" s="3"/>
      <c r="B176" s="3"/>
      <c r="C176" s="3"/>
      <c r="D176" s="3"/>
      <c r="G176" s="14"/>
      <c r="H176" s="14"/>
    </row>
    <row r="177" spans="1:8" x14ac:dyDescent="0.25">
      <c r="A177" s="3"/>
      <c r="B177" s="3"/>
      <c r="C177" s="3"/>
      <c r="D177" s="3"/>
      <c r="G177" s="14"/>
      <c r="H177" s="14"/>
    </row>
    <row r="178" spans="1:8" x14ac:dyDescent="0.25">
      <c r="A178" s="3"/>
      <c r="B178" s="3"/>
      <c r="C178" s="3"/>
      <c r="D178" s="3"/>
      <c r="G178" s="14"/>
      <c r="H178" s="14"/>
    </row>
    <row r="179" spans="1:8" x14ac:dyDescent="0.25">
      <c r="A179" s="3"/>
      <c r="B179" s="3"/>
      <c r="C179" s="3"/>
      <c r="D179" s="3"/>
      <c r="G179" s="14"/>
      <c r="H179" s="14"/>
    </row>
    <row r="180" spans="1:8" x14ac:dyDescent="0.25">
      <c r="A180" s="3"/>
      <c r="B180" s="3"/>
      <c r="C180" s="3"/>
      <c r="D180" s="3"/>
      <c r="G180" s="14"/>
      <c r="H180" s="14"/>
    </row>
    <row r="181" spans="1:8" x14ac:dyDescent="0.25">
      <c r="A181" s="3"/>
      <c r="B181" s="3"/>
      <c r="C181" s="3"/>
      <c r="D181" s="3"/>
      <c r="G181" s="14"/>
      <c r="H181" s="14"/>
    </row>
    <row r="182" spans="1:8" x14ac:dyDescent="0.25">
      <c r="A182" s="3"/>
      <c r="B182" s="3"/>
      <c r="C182" s="3"/>
      <c r="D182" s="3"/>
      <c r="G182" s="14"/>
      <c r="H182" s="14"/>
    </row>
    <row r="183" spans="1:8" x14ac:dyDescent="0.25">
      <c r="A183" s="3"/>
      <c r="B183" s="3"/>
      <c r="C183" s="3"/>
      <c r="D183" s="3"/>
      <c r="G183" s="14"/>
      <c r="H183" s="14"/>
    </row>
    <row r="184" spans="1:8" x14ac:dyDescent="0.25">
      <c r="A184" s="3"/>
      <c r="B184" s="3"/>
      <c r="C184" s="3"/>
      <c r="D184" s="3"/>
      <c r="G184" s="14"/>
      <c r="H184" s="14"/>
    </row>
    <row r="185" spans="1:8" x14ac:dyDescent="0.25">
      <c r="A185" s="3"/>
      <c r="B185" s="3"/>
      <c r="C185" s="3"/>
      <c r="D185" s="3"/>
      <c r="G185" s="14"/>
      <c r="H185" s="14"/>
    </row>
    <row r="186" spans="1:8" x14ac:dyDescent="0.25">
      <c r="A186" s="3"/>
      <c r="B186" s="3"/>
      <c r="C186" s="3"/>
      <c r="D186" s="3"/>
      <c r="G186" s="14"/>
      <c r="H186" s="14"/>
    </row>
    <row r="187" spans="1:8" x14ac:dyDescent="0.25">
      <c r="A187" s="3"/>
      <c r="B187" s="3"/>
      <c r="C187" s="3"/>
      <c r="D187" s="3"/>
      <c r="G187" s="14"/>
      <c r="H187" s="14"/>
    </row>
    <row r="188" spans="1:8" x14ac:dyDescent="0.25">
      <c r="A188" s="3"/>
      <c r="B188" s="3"/>
      <c r="C188" s="3"/>
      <c r="D188" s="3"/>
      <c r="G188" s="14"/>
      <c r="H188" s="14"/>
    </row>
    <row r="189" spans="1:8" x14ac:dyDescent="0.25">
      <c r="A189" s="3"/>
      <c r="B189" s="3"/>
      <c r="C189" s="3"/>
      <c r="D189" s="3"/>
      <c r="G189" s="14"/>
      <c r="H189" s="14"/>
    </row>
    <row r="190" spans="1:8" x14ac:dyDescent="0.25">
      <c r="A190" s="3"/>
      <c r="B190" s="3"/>
      <c r="C190" s="3"/>
      <c r="D190" s="3"/>
      <c r="G190" s="14"/>
      <c r="H190" s="14"/>
    </row>
    <row r="191" spans="1:8" x14ac:dyDescent="0.25">
      <c r="A191" s="3"/>
      <c r="B191" s="3"/>
      <c r="C191" s="3"/>
      <c r="D191" s="3"/>
      <c r="G191" s="14"/>
      <c r="H191" s="14"/>
    </row>
    <row r="192" spans="1:8" x14ac:dyDescent="0.25">
      <c r="A192" s="3"/>
      <c r="B192" s="3"/>
      <c r="C192" s="3"/>
      <c r="D192" s="3"/>
      <c r="G192" s="14"/>
      <c r="H192" s="14"/>
    </row>
    <row r="193" spans="1:8" x14ac:dyDescent="0.25">
      <c r="A193" s="3"/>
      <c r="B193" s="3"/>
      <c r="C193" s="3"/>
      <c r="D193" s="3"/>
      <c r="G193" s="14"/>
      <c r="H193" s="14"/>
    </row>
    <row r="194" spans="1:8" x14ac:dyDescent="0.25">
      <c r="A194" s="3"/>
      <c r="B194" s="3"/>
      <c r="C194" s="3"/>
      <c r="D194" s="3"/>
      <c r="G194" s="14"/>
      <c r="H194" s="14"/>
    </row>
    <row r="195" spans="1:8" x14ac:dyDescent="0.25">
      <c r="A195" s="3"/>
      <c r="B195" s="3"/>
      <c r="C195" s="3"/>
      <c r="D195" s="3"/>
      <c r="G195" s="14"/>
      <c r="H195" s="14"/>
    </row>
    <row r="196" spans="1:8" x14ac:dyDescent="0.25">
      <c r="A196" s="3"/>
      <c r="B196" s="3"/>
      <c r="C196" s="3"/>
      <c r="D196" s="3"/>
      <c r="G196" s="14"/>
      <c r="H196" s="14"/>
    </row>
    <row r="197" spans="1:8" x14ac:dyDescent="0.25">
      <c r="A197" s="3"/>
      <c r="B197" s="3"/>
      <c r="C197" s="3"/>
      <c r="D197" s="3"/>
      <c r="G197" s="14"/>
      <c r="H197" s="14"/>
    </row>
    <row r="198" spans="1:8" x14ac:dyDescent="0.25">
      <c r="A198" s="3"/>
      <c r="B198" s="3"/>
      <c r="C198" s="3"/>
      <c r="D198" s="3"/>
      <c r="G198" s="14"/>
      <c r="H198" s="14"/>
    </row>
    <row r="199" spans="1:8" x14ac:dyDescent="0.25">
      <c r="A199" s="3"/>
      <c r="B199" s="3"/>
      <c r="C199" s="3"/>
      <c r="D199" s="3"/>
      <c r="G199" s="14"/>
      <c r="H199" s="14"/>
    </row>
    <row r="200" spans="1:8" x14ac:dyDescent="0.25">
      <c r="A200" s="3"/>
      <c r="B200" s="3"/>
      <c r="C200" s="3"/>
      <c r="D200" s="3"/>
      <c r="G200" s="14"/>
      <c r="H200" s="14"/>
    </row>
    <row r="201" spans="1:8" x14ac:dyDescent="0.25">
      <c r="A201" s="3"/>
      <c r="B201" s="3"/>
      <c r="C201" s="3"/>
      <c r="D201" s="3"/>
      <c r="G201" s="14"/>
      <c r="H201" s="14"/>
    </row>
    <row r="202" spans="1:8" x14ac:dyDescent="0.25">
      <c r="A202" s="3"/>
      <c r="B202" s="3"/>
      <c r="C202" s="3"/>
      <c r="D202" s="3"/>
      <c r="G202" s="14"/>
      <c r="H202" s="14"/>
    </row>
    <row r="203" spans="1:8" x14ac:dyDescent="0.25">
      <c r="A203" s="3"/>
      <c r="B203" s="3"/>
      <c r="C203" s="3"/>
      <c r="D203" s="3"/>
      <c r="G203" s="14"/>
      <c r="H203" s="14"/>
    </row>
    <row r="204" spans="1:8" x14ac:dyDescent="0.25">
      <c r="A204" s="3"/>
      <c r="B204" s="3"/>
      <c r="C204" s="3"/>
      <c r="D204" s="3"/>
      <c r="G204" s="14"/>
      <c r="H204" s="14"/>
    </row>
    <row r="205" spans="1:8" x14ac:dyDescent="0.25">
      <c r="A205" s="3"/>
      <c r="B205" s="3"/>
      <c r="C205" s="3"/>
      <c r="D205" s="3"/>
      <c r="G205" s="14"/>
      <c r="H205" s="14"/>
    </row>
    <row r="206" spans="1:8" x14ac:dyDescent="0.25">
      <c r="A206" s="3"/>
      <c r="B206" s="3"/>
      <c r="C206" s="3"/>
      <c r="D206" s="3"/>
      <c r="G206" s="14"/>
      <c r="H206" s="14"/>
    </row>
    <row r="207" spans="1:8" x14ac:dyDescent="0.25">
      <c r="A207" s="3"/>
      <c r="B207" s="3"/>
      <c r="C207" s="3"/>
      <c r="D207" s="3"/>
      <c r="G207" s="14"/>
      <c r="H207" s="14"/>
    </row>
    <row r="208" spans="1:8" x14ac:dyDescent="0.25">
      <c r="A208" s="3"/>
      <c r="B208" s="3"/>
      <c r="C208" s="3"/>
      <c r="D208" s="3"/>
      <c r="G208" s="14"/>
      <c r="H208" s="14"/>
    </row>
    <row r="209" spans="1:8" x14ac:dyDescent="0.25">
      <c r="A209" s="3"/>
      <c r="B209" s="3"/>
      <c r="C209" s="3"/>
      <c r="D209" s="3"/>
      <c r="G209" s="14"/>
      <c r="H209" s="14"/>
    </row>
    <row r="210" spans="1:8" x14ac:dyDescent="0.25">
      <c r="A210" s="3"/>
      <c r="B210" s="3"/>
      <c r="C210" s="3"/>
      <c r="D210" s="3"/>
      <c r="G210" s="14"/>
      <c r="H210" s="14"/>
    </row>
    <row r="211" spans="1:8" x14ac:dyDescent="0.25">
      <c r="A211" s="3"/>
      <c r="B211" s="3"/>
      <c r="C211" s="3"/>
      <c r="D211" s="3"/>
      <c r="G211" s="14"/>
      <c r="H211" s="14"/>
    </row>
    <row r="212" spans="1:8" x14ac:dyDescent="0.25">
      <c r="A212" s="3"/>
      <c r="B212" s="3"/>
      <c r="C212" s="3"/>
      <c r="D212" s="3"/>
      <c r="G212" s="14"/>
      <c r="H212" s="14"/>
    </row>
    <row r="213" spans="1:8" x14ac:dyDescent="0.25">
      <c r="A213" s="3"/>
      <c r="B213" s="3"/>
      <c r="C213" s="3"/>
      <c r="D213" s="3"/>
      <c r="G213" s="14"/>
      <c r="H213" s="14"/>
    </row>
    <row r="214" spans="1:8" x14ac:dyDescent="0.25">
      <c r="A214" s="3"/>
      <c r="B214" s="3"/>
      <c r="C214" s="3"/>
      <c r="D214" s="3"/>
      <c r="G214" s="14"/>
      <c r="H214" s="14"/>
    </row>
    <row r="215" spans="1:8" x14ac:dyDescent="0.25">
      <c r="A215" s="3"/>
      <c r="B215" s="3"/>
      <c r="C215" s="3"/>
      <c r="D215" s="3"/>
      <c r="G215" s="14"/>
      <c r="H215" s="14"/>
    </row>
    <row r="216" spans="1:8" x14ac:dyDescent="0.25">
      <c r="A216" s="3"/>
      <c r="B216" s="3"/>
      <c r="C216" s="3"/>
      <c r="D216" s="3"/>
      <c r="G216" s="14"/>
      <c r="H216" s="14"/>
    </row>
    <row r="217" spans="1:8" x14ac:dyDescent="0.25">
      <c r="A217" s="3"/>
      <c r="B217" s="3"/>
      <c r="C217" s="3"/>
      <c r="D217" s="3"/>
      <c r="G217" s="14"/>
      <c r="H217" s="14"/>
    </row>
    <row r="218" spans="1:8" x14ac:dyDescent="0.25">
      <c r="A218" s="3"/>
      <c r="B218" s="3"/>
      <c r="C218" s="3"/>
      <c r="D218" s="3"/>
      <c r="G218" s="14"/>
      <c r="H218" s="14"/>
    </row>
    <row r="219" spans="1:8" x14ac:dyDescent="0.25">
      <c r="A219" s="3"/>
      <c r="B219" s="3"/>
      <c r="C219" s="3"/>
      <c r="D219" s="3"/>
      <c r="G219" s="14"/>
      <c r="H219" s="14"/>
    </row>
    <row r="220" spans="1:8" x14ac:dyDescent="0.25">
      <c r="A220" s="3"/>
      <c r="B220" s="3"/>
      <c r="C220" s="3"/>
      <c r="D220" s="3"/>
      <c r="G220" s="14"/>
      <c r="H220" s="14"/>
    </row>
    <row r="221" spans="1:8" x14ac:dyDescent="0.25">
      <c r="A221" s="3"/>
      <c r="B221" s="3"/>
      <c r="C221" s="3"/>
      <c r="D221" s="3"/>
      <c r="G221" s="14"/>
      <c r="H221" s="14"/>
    </row>
    <row r="222" spans="1:8" x14ac:dyDescent="0.25">
      <c r="A222" s="3"/>
      <c r="B222" s="3"/>
      <c r="C222" s="3"/>
      <c r="D222" s="3"/>
      <c r="G222" s="14"/>
      <c r="H222" s="14"/>
    </row>
    <row r="223" spans="1:8" x14ac:dyDescent="0.25">
      <c r="A223" s="3"/>
      <c r="B223" s="3"/>
      <c r="C223" s="3"/>
      <c r="D223" s="3"/>
      <c r="G223" s="14"/>
      <c r="H223" s="14"/>
    </row>
    <row r="224" spans="1:8" x14ac:dyDescent="0.25">
      <c r="A224" s="3"/>
      <c r="B224" s="3"/>
      <c r="C224" s="3"/>
      <c r="D224" s="3"/>
      <c r="G224" s="14"/>
      <c r="H224" s="14"/>
    </row>
    <row r="225" spans="1:8" x14ac:dyDescent="0.25">
      <c r="A225" s="3"/>
      <c r="B225" s="3"/>
      <c r="C225" s="3"/>
      <c r="D225" s="3"/>
      <c r="G225" s="14"/>
      <c r="H225" s="14"/>
    </row>
    <row r="226" spans="1:8" x14ac:dyDescent="0.25">
      <c r="A226" s="3"/>
      <c r="B226" s="3"/>
      <c r="C226" s="3"/>
      <c r="D226" s="3"/>
      <c r="G226" s="14"/>
      <c r="H226" s="14"/>
    </row>
    <row r="227" spans="1:8" x14ac:dyDescent="0.25">
      <c r="A227" s="3"/>
      <c r="B227" s="3"/>
      <c r="C227" s="3"/>
      <c r="D227" s="3"/>
      <c r="G227" s="14"/>
      <c r="H227" s="14"/>
    </row>
    <row r="228" spans="1:8" x14ac:dyDescent="0.25">
      <c r="A228" s="3"/>
      <c r="B228" s="3"/>
      <c r="C228" s="3"/>
      <c r="D228" s="3"/>
      <c r="G228" s="14"/>
      <c r="H228" s="14"/>
    </row>
    <row r="229" spans="1:8" x14ac:dyDescent="0.25">
      <c r="A229" s="3"/>
      <c r="B229" s="3"/>
      <c r="C229" s="3"/>
      <c r="D229" s="3"/>
      <c r="G229" s="14"/>
      <c r="H229" s="14"/>
    </row>
    <row r="230" spans="1:8" x14ac:dyDescent="0.25">
      <c r="A230" s="3"/>
      <c r="B230" s="3"/>
      <c r="C230" s="3"/>
      <c r="D230" s="3"/>
      <c r="G230" s="14"/>
      <c r="H230" s="14"/>
    </row>
    <row r="231" spans="1:8" x14ac:dyDescent="0.25">
      <c r="A231" s="3"/>
      <c r="B231" s="3"/>
      <c r="C231" s="3"/>
      <c r="D231" s="3"/>
      <c r="G231" s="14"/>
      <c r="H231" s="14"/>
    </row>
    <row r="232" spans="1:8" x14ac:dyDescent="0.25">
      <c r="A232" s="3"/>
      <c r="B232" s="3"/>
      <c r="C232" s="3"/>
      <c r="D232" s="3"/>
      <c r="G232" s="14"/>
      <c r="H232" s="14"/>
    </row>
    <row r="233" spans="1:8" x14ac:dyDescent="0.25">
      <c r="A233" s="3"/>
      <c r="B233" s="3"/>
      <c r="C233" s="3"/>
      <c r="D233" s="3"/>
      <c r="G233" s="14"/>
      <c r="H233" s="14"/>
    </row>
    <row r="234" spans="1:8" x14ac:dyDescent="0.25">
      <c r="A234" s="3"/>
      <c r="B234" s="3"/>
      <c r="C234" s="3"/>
      <c r="D234" s="3"/>
      <c r="G234" s="14"/>
      <c r="H234" s="14"/>
    </row>
    <row r="235" spans="1:8" x14ac:dyDescent="0.25">
      <c r="A235" s="3"/>
      <c r="B235" s="3"/>
      <c r="C235" s="3"/>
      <c r="D235" s="3"/>
      <c r="G235" s="14"/>
      <c r="H235" s="14"/>
    </row>
    <row r="236" spans="1:8" x14ac:dyDescent="0.25">
      <c r="A236" s="3"/>
      <c r="B236" s="3"/>
      <c r="C236" s="3"/>
      <c r="D236" s="3"/>
      <c r="G236" s="14"/>
      <c r="H236" s="14"/>
    </row>
    <row r="237" spans="1:8" x14ac:dyDescent="0.25">
      <c r="A237" s="3"/>
      <c r="B237" s="3"/>
      <c r="C237" s="3"/>
      <c r="D237" s="3"/>
      <c r="G237" s="14"/>
      <c r="H237" s="14"/>
    </row>
    <row r="238" spans="1:8" x14ac:dyDescent="0.25">
      <c r="A238" s="3"/>
      <c r="B238" s="3"/>
      <c r="C238" s="3"/>
      <c r="D238" s="3"/>
      <c r="G238" s="14"/>
      <c r="H238" s="14"/>
    </row>
    <row r="239" spans="1:8" x14ac:dyDescent="0.25">
      <c r="A239" s="3"/>
      <c r="B239" s="3"/>
      <c r="C239" s="3"/>
      <c r="D239" s="3"/>
      <c r="G239" s="14"/>
      <c r="H239" s="14"/>
    </row>
    <row r="240" spans="1:8" x14ac:dyDescent="0.25">
      <c r="A240" s="3"/>
      <c r="B240" s="3"/>
      <c r="C240" s="3"/>
      <c r="D240" s="3"/>
      <c r="G240" s="14"/>
      <c r="H240" s="14"/>
    </row>
    <row r="241" spans="1:8" x14ac:dyDescent="0.25">
      <c r="A241" s="3"/>
      <c r="B241" s="3"/>
      <c r="C241" s="3"/>
      <c r="D241" s="3"/>
      <c r="G241" s="14"/>
      <c r="H241" s="14"/>
    </row>
    <row r="242" spans="1:8" x14ac:dyDescent="0.25">
      <c r="A242" s="3"/>
      <c r="B242" s="3"/>
      <c r="C242" s="3"/>
      <c r="D242" s="3"/>
      <c r="G242" s="14"/>
      <c r="H242" s="14"/>
    </row>
    <row r="243" spans="1:8" x14ac:dyDescent="0.25">
      <c r="A243" s="3"/>
      <c r="B243" s="3"/>
      <c r="C243" s="3"/>
      <c r="D243" s="3"/>
      <c r="G243" s="14"/>
      <c r="H243" s="14"/>
    </row>
    <row r="244" spans="1:8" x14ac:dyDescent="0.25">
      <c r="A244" s="3"/>
      <c r="B244" s="3"/>
      <c r="C244" s="3"/>
      <c r="D244" s="3"/>
      <c r="G244" s="14"/>
      <c r="H244" s="14"/>
    </row>
    <row r="245" spans="1:8" x14ac:dyDescent="0.25">
      <c r="A245" s="3"/>
      <c r="B245" s="3"/>
      <c r="C245" s="3"/>
      <c r="D245" s="3"/>
      <c r="G245" s="14"/>
      <c r="H245" s="14"/>
    </row>
    <row r="247" spans="1:8" x14ac:dyDescent="0.25">
      <c r="A247" s="3"/>
      <c r="G247" s="14"/>
      <c r="H247" s="14"/>
    </row>
  </sheetData>
  <phoneticPr fontId="1" type="noConversion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89CF39-DB80-468F-9380-78B734DE5EB6}">
  <sheetPr/>
  <dimension ref="A1:I247"/>
  <sheetViews>
    <sheetView zoomScale="115" zoomScaleNormal="115" workbookViewId="0">
      <selection activeCell="A5" sqref="A5:H71"/>
    </sheetView>
  </sheetViews>
  <sheetFormatPr defaultRowHeight="15" x14ac:dyDescent="0.25"/>
  <cols>
    <col min="1" max="1" width="8.875" style="4" customWidth="1"/>
    <col min="2" max="3" width="15.125" style="4" customWidth="1"/>
    <col min="4" max="4" width="10.25" style="4" customWidth="1"/>
    <col min="5" max="5" width="12" style="13" customWidth="1"/>
    <col min="6" max="6" width="15" style="13" customWidth="1"/>
    <col min="7" max="7" width="13.875" customWidth="1"/>
    <col min="8" max="8" width="11.125" customWidth="1"/>
    <col min="11" max="12" width="15.125" customWidth="1"/>
    <col min="13" max="13" width="11.125" customWidth="1"/>
  </cols>
  <sheetData>
    <row r="1" spans="1:9" ht="14.25" x14ac:dyDescent="0.2">
      <c r="A1" s="2" t="s">
        <v>12</v>
      </c>
      <c r="B1" s="2" t="s">
        <v>4</v>
      </c>
      <c r="C1" s="2" t="s">
        <v>5</v>
      </c>
      <c r="D1" s="2" t="s">
        <v>13</v>
      </c>
      <c r="E1" s="2" t="s">
        <v>14</v>
      </c>
      <c r="F1" s="2" t="s">
        <v>15</v>
      </c>
      <c r="G1" s="2" t="s">
        <v>16</v>
      </c>
    </row>
    <row r="2" spans="1:9" x14ac:dyDescent="0.25">
      <c r="A2" s="11">
        <v>11</v>
      </c>
      <c r="B2" s="3">
        <v>113.300758</v>
      </c>
      <c r="C2" s="8">
        <v>23.008192399999999</v>
      </c>
      <c r="D2" s="3">
        <v>1785</v>
      </c>
      <c r="E2" s="13">
        <v>1785</v>
      </c>
      <c r="F2" s="13">
        <v>6</v>
      </c>
      <c r="G2" s="19">
        <f>SUBTOTAL(2,A5:A250)</f>
        <v>23</v>
      </c>
    </row>
    <row r="3" spans="1:9" x14ac:dyDescent="0.25">
      <c r="A3" s="3"/>
      <c r="B3" s="3"/>
      <c r="C3" s="3"/>
      <c r="D3" s="3"/>
    </row>
    <row r="4" spans="1:9" ht="14.25" x14ac:dyDescent="0.2">
      <c r="A4" s="2" t="s">
        <v>0</v>
      </c>
      <c r="B4" s="2" t="s">
        <v>1</v>
      </c>
      <c r="C4" s="2" t="s">
        <v>2</v>
      </c>
      <c r="D4" s="2" t="s">
        <v>3</v>
      </c>
      <c r="E4" s="2" t="s">
        <v>7</v>
      </c>
      <c r="F4" s="2" t="s">
        <v>8</v>
      </c>
      <c r="G4" s="2" t="s">
        <v>13</v>
      </c>
      <c r="H4" s="2" t="s">
        <v>14</v>
      </c>
      <c r="I4" s="24" t="s">
        <v>20</v>
      </c>
    </row>
    <row r="5" spans="1:9" x14ac:dyDescent="0.25">
      <c r="A5" s="3">
        <v>1384</v>
      </c>
      <c r="B5" s="3">
        <v>113.3017783</v>
      </c>
      <c r="C5" s="3">
        <v>23.007670959999999</v>
      </c>
      <c r="D5" s="3">
        <v>11</v>
      </c>
      <c r="E5" s="13">
        <f t="shared" ref="E5:E36" si="0">SQRT((B5-$B$2)^2+(C5-$C$2)^2)</f>
        <v>1.1458236180086083E-3</v>
      </c>
      <c r="F5" s="13">
        <f t="shared" ref="F5:F36" si="1">SQRT(1/E5)</f>
        <v>29.542083076438484</v>
      </c>
      <c r="G5" s="14">
        <f>F5/$F$74*$D$2</f>
        <v>163.41028017256988</v>
      </c>
      <c r="H5" s="14">
        <f>F5/$F$74*$E$2</f>
        <v>163.41028017256988</v>
      </c>
      <c r="I5" s="25" t="str">
        <f>IF(MOD(ROW()-1,3)=1,"选中","")</f>
        <v>选中</v>
      </c>
    </row>
    <row r="6" spans="1:9" hidden="1" x14ac:dyDescent="0.25">
      <c r="A6" s="3">
        <v>1359</v>
      </c>
      <c r="B6" s="3">
        <v>113.3004938</v>
      </c>
      <c r="C6" s="3">
        <v>23.006971490000002</v>
      </c>
      <c r="D6" s="3">
        <v>11</v>
      </c>
      <c r="E6" s="13">
        <f t="shared" si="0"/>
        <v>1.2491688709277702E-3</v>
      </c>
      <c r="F6" s="13">
        <f t="shared" si="1"/>
        <v>28.293679091249661</v>
      </c>
      <c r="G6" s="14" t="e">
        <f>F6/$F$124*$D$2</f>
        <v>#DIV/0!</v>
      </c>
      <c r="H6" s="14" t="e">
        <f>F6/$F$124*$E$2</f>
        <v>#DIV/0!</v>
      </c>
      <c r="I6" s="25" t="str">
        <f t="shared" ref="I6:I69" si="2">IF(MOD(ROW()-1,3)=1,"选中","")</f>
        <v/>
      </c>
    </row>
    <row r="7" spans="1:9" hidden="1" x14ac:dyDescent="0.25">
      <c r="A7" s="3">
        <v>1358</v>
      </c>
      <c r="B7" s="3">
        <v>113.3007262</v>
      </c>
      <c r="C7" s="3">
        <v>23.00960495</v>
      </c>
      <c r="D7" s="3">
        <v>11</v>
      </c>
      <c r="E7" s="13">
        <f t="shared" si="0"/>
        <v>1.4129079030509306E-3</v>
      </c>
      <c r="F7" s="13">
        <f t="shared" si="1"/>
        <v>26.603763157181742</v>
      </c>
      <c r="G7" s="14" t="e">
        <f>F7/$F$124*$D$2</f>
        <v>#DIV/0!</v>
      </c>
      <c r="H7" s="14" t="e">
        <f>F7/$F$124*$E$2</f>
        <v>#DIV/0!</v>
      </c>
      <c r="I7" s="25" t="str">
        <f t="shared" si="2"/>
        <v/>
      </c>
    </row>
    <row r="8" spans="1:9" x14ac:dyDescent="0.25">
      <c r="A8" s="3">
        <v>1369</v>
      </c>
      <c r="B8" s="3">
        <v>113.30167640000001</v>
      </c>
      <c r="C8" s="3">
        <v>23.00977323</v>
      </c>
      <c r="D8" s="3">
        <v>11</v>
      </c>
      <c r="E8" s="13">
        <f t="shared" si="0"/>
        <v>1.8282456205093553E-3</v>
      </c>
      <c r="F8" s="13">
        <f t="shared" si="1"/>
        <v>23.387442303935288</v>
      </c>
      <c r="G8" s="14">
        <f>F8/$F$74*$D$2</f>
        <v>129.36624981783845</v>
      </c>
      <c r="H8" s="14">
        <f>F8/$F$74*$E$2</f>
        <v>129.36624981783845</v>
      </c>
      <c r="I8" s="25" t="str">
        <f t="shared" si="2"/>
        <v>选中</v>
      </c>
    </row>
    <row r="9" spans="1:9" hidden="1" x14ac:dyDescent="0.25">
      <c r="A9" s="3">
        <v>1373</v>
      </c>
      <c r="B9" s="3">
        <v>113.3017083</v>
      </c>
      <c r="C9" s="3">
        <v>23.01030295</v>
      </c>
      <c r="D9" s="3">
        <v>11</v>
      </c>
      <c r="E9" s="13">
        <f t="shared" si="0"/>
        <v>2.3146255404501077E-3</v>
      </c>
      <c r="F9" s="13">
        <f t="shared" si="1"/>
        <v>20.78545948560016</v>
      </c>
      <c r="G9" s="14" t="e">
        <f>F9/$F$124*$D$2</f>
        <v>#DIV/0!</v>
      </c>
      <c r="H9" s="14" t="e">
        <f>F9/$F$124*$E$2</f>
        <v>#DIV/0!</v>
      </c>
      <c r="I9" s="25" t="str">
        <f t="shared" si="2"/>
        <v/>
      </c>
    </row>
    <row r="10" spans="1:9" hidden="1" x14ac:dyDescent="0.25">
      <c r="A10" s="3">
        <v>1398</v>
      </c>
      <c r="B10" s="3">
        <v>113.3017083</v>
      </c>
      <c r="C10" s="3">
        <v>23.01030295</v>
      </c>
      <c r="D10" s="3">
        <v>11</v>
      </c>
      <c r="E10" s="13">
        <f t="shared" si="0"/>
        <v>2.3146255404501077E-3</v>
      </c>
      <c r="F10" s="13">
        <f t="shared" si="1"/>
        <v>20.78545948560016</v>
      </c>
      <c r="G10" s="14" t="e">
        <f>F10/$F$124*$D$2</f>
        <v>#DIV/0!</v>
      </c>
      <c r="H10" s="14" t="e">
        <f>F10/$F$124*$E$2</f>
        <v>#DIV/0!</v>
      </c>
      <c r="I10" s="25" t="str">
        <f t="shared" si="2"/>
        <v/>
      </c>
    </row>
    <row r="11" spans="1:9" x14ac:dyDescent="0.25">
      <c r="A11" s="3">
        <v>1385</v>
      </c>
      <c r="B11" s="3">
        <v>113.30185</v>
      </c>
      <c r="C11" s="3">
        <v>23.0103027</v>
      </c>
      <c r="D11" s="3">
        <v>11</v>
      </c>
      <c r="E11" s="13">
        <f t="shared" si="0"/>
        <v>2.3760955557399739E-3</v>
      </c>
      <c r="F11" s="13">
        <f t="shared" si="1"/>
        <v>20.514835977484918</v>
      </c>
      <c r="G11" s="14">
        <f>F11/$F$74*$D$2</f>
        <v>113.47659831912149</v>
      </c>
      <c r="H11" s="14">
        <f>F11/$F$74*$E$2</f>
        <v>113.47659831912149</v>
      </c>
      <c r="I11" s="25" t="str">
        <f t="shared" si="2"/>
        <v>选中</v>
      </c>
    </row>
    <row r="12" spans="1:9" hidden="1" x14ac:dyDescent="0.25">
      <c r="A12" s="3">
        <v>1353</v>
      </c>
      <c r="B12" s="3">
        <v>113.2992629</v>
      </c>
      <c r="C12" s="3">
        <v>23.010158229999998</v>
      </c>
      <c r="D12" s="3">
        <v>11</v>
      </c>
      <c r="E12" s="13">
        <f t="shared" si="0"/>
        <v>2.4697796660628248E-3</v>
      </c>
      <c r="F12" s="13">
        <f t="shared" si="1"/>
        <v>20.121988415814183</v>
      </c>
      <c r="G12" s="14" t="e">
        <f>F12/$F$124*$D$2</f>
        <v>#DIV/0!</v>
      </c>
      <c r="H12" s="14" t="e">
        <f>F12/$F$124*$E$2</f>
        <v>#DIV/0!</v>
      </c>
      <c r="I12" s="25" t="str">
        <f t="shared" si="2"/>
        <v/>
      </c>
    </row>
    <row r="13" spans="1:9" hidden="1" x14ac:dyDescent="0.25">
      <c r="A13" s="3">
        <v>1396</v>
      </c>
      <c r="B13" s="3">
        <v>113.30276619999999</v>
      </c>
      <c r="C13" s="3">
        <v>23.010464030000001</v>
      </c>
      <c r="D13" s="3">
        <v>11</v>
      </c>
      <c r="E13" s="13">
        <f t="shared" si="0"/>
        <v>3.0320240923975336E-3</v>
      </c>
      <c r="F13" s="13">
        <f t="shared" si="1"/>
        <v>18.160745654428592</v>
      </c>
      <c r="G13" s="14" t="e">
        <f>F13/$F$124*$D$2</f>
        <v>#DIV/0!</v>
      </c>
      <c r="H13" s="14" t="e">
        <f>F13/$F$124*$E$2</f>
        <v>#DIV/0!</v>
      </c>
      <c r="I13" s="25" t="str">
        <f t="shared" si="2"/>
        <v/>
      </c>
    </row>
    <row r="14" spans="1:9" x14ac:dyDescent="0.25">
      <c r="A14" s="3">
        <v>1382</v>
      </c>
      <c r="B14" s="3">
        <v>113.3019597</v>
      </c>
      <c r="C14" s="3">
        <v>23.011154139999999</v>
      </c>
      <c r="D14" s="3">
        <v>11</v>
      </c>
      <c r="E14" s="13">
        <f t="shared" si="0"/>
        <v>3.1962457223419804E-3</v>
      </c>
      <c r="F14" s="13">
        <f t="shared" si="1"/>
        <v>17.688048488056843</v>
      </c>
      <c r="G14" s="14">
        <f>F14/$F$74*$D$2</f>
        <v>97.840390999531024</v>
      </c>
      <c r="H14" s="14">
        <f>F14/$F$74*$E$2</f>
        <v>97.840390999531024</v>
      </c>
      <c r="I14" s="25" t="str">
        <f t="shared" si="2"/>
        <v>选中</v>
      </c>
    </row>
    <row r="15" spans="1:9" hidden="1" x14ac:dyDescent="0.25">
      <c r="A15" s="3">
        <v>1351</v>
      </c>
      <c r="B15" s="3">
        <v>113.29851530000001</v>
      </c>
      <c r="C15" s="3">
        <v>23.01049635</v>
      </c>
      <c r="D15" s="3">
        <v>11</v>
      </c>
      <c r="E15" s="13">
        <f t="shared" si="0"/>
        <v>3.2152587598033504E-3</v>
      </c>
      <c r="F15" s="13">
        <f t="shared" si="1"/>
        <v>17.635672893817514</v>
      </c>
      <c r="G15" s="14" t="e">
        <f>F15/$F$124*$D$2</f>
        <v>#DIV/0!</v>
      </c>
      <c r="H15" s="14" t="e">
        <f>F15/$F$124*$E$2</f>
        <v>#DIV/0!</v>
      </c>
      <c r="I15" s="25" t="str">
        <f t="shared" si="2"/>
        <v/>
      </c>
    </row>
    <row r="16" spans="1:9" hidden="1" x14ac:dyDescent="0.25">
      <c r="A16" s="3">
        <v>1383</v>
      </c>
      <c r="B16" s="3">
        <v>113.3020975</v>
      </c>
      <c r="C16" s="3">
        <v>23.011378799999999</v>
      </c>
      <c r="D16" s="3">
        <v>11</v>
      </c>
      <c r="E16" s="13">
        <f t="shared" si="0"/>
        <v>3.4565018747289111E-3</v>
      </c>
      <c r="F16" s="13">
        <f t="shared" si="1"/>
        <v>17.009110463075736</v>
      </c>
      <c r="G16" s="14" t="e">
        <f>F16/$F$124*$D$2</f>
        <v>#DIV/0!</v>
      </c>
      <c r="H16" s="14" t="e">
        <f>F16/$F$124*$E$2</f>
        <v>#DIV/0!</v>
      </c>
      <c r="I16" s="25" t="str">
        <f t="shared" si="2"/>
        <v/>
      </c>
    </row>
    <row r="17" spans="1:9" x14ac:dyDescent="0.25">
      <c r="A17" s="3">
        <v>1390</v>
      </c>
      <c r="B17" s="3">
        <v>113.3030567</v>
      </c>
      <c r="C17" s="3">
        <v>23.011011280000002</v>
      </c>
      <c r="D17" s="3">
        <v>11</v>
      </c>
      <c r="E17" s="13">
        <f t="shared" si="0"/>
        <v>3.6373212869369302E-3</v>
      </c>
      <c r="F17" s="13">
        <f t="shared" si="1"/>
        <v>16.580940767733154</v>
      </c>
      <c r="G17" s="14">
        <f>F17/$F$74*$D$2</f>
        <v>91.716490315506562</v>
      </c>
      <c r="H17" s="14">
        <f>F17/$F$74*$E$2</f>
        <v>91.716490315506562</v>
      </c>
      <c r="I17" s="25" t="str">
        <f t="shared" si="2"/>
        <v>选中</v>
      </c>
    </row>
    <row r="18" spans="1:9" hidden="1" x14ac:dyDescent="0.25">
      <c r="A18" s="3">
        <v>1391</v>
      </c>
      <c r="B18" s="3">
        <v>113.3020356</v>
      </c>
      <c r="C18" s="3">
        <v>23.011705769999999</v>
      </c>
      <c r="D18" s="3">
        <v>11</v>
      </c>
      <c r="E18" s="13">
        <f t="shared" si="0"/>
        <v>3.7384529576936143E-3</v>
      </c>
      <c r="F18" s="13">
        <f t="shared" si="1"/>
        <v>16.355131485130645</v>
      </c>
      <c r="G18" s="14" t="e">
        <f>F18/$F$124*$D$2</f>
        <v>#DIV/0!</v>
      </c>
      <c r="H18" s="14" t="e">
        <f>F18/$F$124*$E$2</f>
        <v>#DIV/0!</v>
      </c>
      <c r="I18" s="25" t="str">
        <f t="shared" si="2"/>
        <v/>
      </c>
    </row>
    <row r="19" spans="1:9" hidden="1" x14ac:dyDescent="0.25">
      <c r="A19" s="3">
        <v>1375</v>
      </c>
      <c r="B19" s="3">
        <v>113.3013873</v>
      </c>
      <c r="C19" s="3">
        <v>23.00442005</v>
      </c>
      <c r="D19" s="3">
        <v>11</v>
      </c>
      <c r="E19" s="13">
        <f t="shared" si="0"/>
        <v>3.8244794433344846E-3</v>
      </c>
      <c r="F19" s="13">
        <f t="shared" si="1"/>
        <v>16.170142030085721</v>
      </c>
      <c r="G19" s="14" t="e">
        <f>F19/$F$124*$D$2</f>
        <v>#DIV/0!</v>
      </c>
      <c r="H19" s="14" t="e">
        <f>F19/$F$124*$E$2</f>
        <v>#DIV/0!</v>
      </c>
      <c r="I19" s="25" t="str">
        <f t="shared" si="2"/>
        <v/>
      </c>
    </row>
    <row r="20" spans="1:9" x14ac:dyDescent="0.25">
      <c r="A20" s="3">
        <v>1352</v>
      </c>
      <c r="B20" s="3">
        <v>113.2981679</v>
      </c>
      <c r="C20" s="3">
        <v>23.01122462</v>
      </c>
      <c r="D20" s="3">
        <v>11</v>
      </c>
      <c r="E20" s="13">
        <f t="shared" si="0"/>
        <v>3.9878535753511274E-3</v>
      </c>
      <c r="F20" s="13">
        <f t="shared" si="1"/>
        <v>15.835449592804142</v>
      </c>
      <c r="G20" s="14">
        <f>F20/$F$74*$D$2</f>
        <v>87.592850102115946</v>
      </c>
      <c r="H20" s="14">
        <f>F20/$F$74*$E$2</f>
        <v>87.592850102115946</v>
      </c>
      <c r="I20" s="25" t="str">
        <f t="shared" si="2"/>
        <v>选中</v>
      </c>
    </row>
    <row r="21" spans="1:9" hidden="1" x14ac:dyDescent="0.25">
      <c r="A21" s="3">
        <v>1392</v>
      </c>
      <c r="B21" s="3">
        <v>113.3018794</v>
      </c>
      <c r="C21" s="3">
        <v>23.004307239999999</v>
      </c>
      <c r="D21" s="3">
        <v>11</v>
      </c>
      <c r="E21" s="13">
        <f t="shared" si="0"/>
        <v>4.0437613907846476E-3</v>
      </c>
      <c r="F21" s="13">
        <f t="shared" si="1"/>
        <v>15.725600530814972</v>
      </c>
      <c r="G21" s="14" t="e">
        <f>F21/$F$124*$D$2</f>
        <v>#DIV/0!</v>
      </c>
      <c r="H21" s="14" t="e">
        <f>F21/$F$124*$E$2</f>
        <v>#DIV/0!</v>
      </c>
      <c r="I21" s="25" t="str">
        <f t="shared" si="2"/>
        <v/>
      </c>
    </row>
    <row r="22" spans="1:9" hidden="1" x14ac:dyDescent="0.25">
      <c r="A22" s="3">
        <v>1374</v>
      </c>
      <c r="B22" s="3">
        <v>113.3014711</v>
      </c>
      <c r="C22" s="3">
        <v>23.004189010000001</v>
      </c>
      <c r="D22" s="3">
        <v>11</v>
      </c>
      <c r="E22" s="13">
        <f t="shared" si="0"/>
        <v>4.0664041980697126E-3</v>
      </c>
      <c r="F22" s="13">
        <f t="shared" si="1"/>
        <v>15.681757274586603</v>
      </c>
      <c r="G22" s="14" t="e">
        <f>F22/$F$124*$D$2</f>
        <v>#DIV/0!</v>
      </c>
      <c r="H22" s="14" t="e">
        <f>F22/$F$124*$E$2</f>
        <v>#DIV/0!</v>
      </c>
      <c r="I22" s="25" t="str">
        <f t="shared" si="2"/>
        <v/>
      </c>
    </row>
    <row r="23" spans="1:9" x14ac:dyDescent="0.25">
      <c r="A23" s="3">
        <v>1395</v>
      </c>
      <c r="B23" s="3">
        <v>113.3035766</v>
      </c>
      <c r="C23" s="3">
        <v>23.01140019</v>
      </c>
      <c r="D23" s="3">
        <v>11</v>
      </c>
      <c r="E23" s="13">
        <f t="shared" si="0"/>
        <v>4.2701782918391461E-3</v>
      </c>
      <c r="F23" s="13">
        <f t="shared" si="1"/>
        <v>15.303014712819543</v>
      </c>
      <c r="G23" s="14">
        <f>F23/$F$74*$D$2</f>
        <v>84.647718146227433</v>
      </c>
      <c r="H23" s="14">
        <f>F23/$F$74*$E$2</f>
        <v>84.647718146227433</v>
      </c>
      <c r="I23" s="25" t="str">
        <f t="shared" si="2"/>
        <v>选中</v>
      </c>
    </row>
    <row r="24" spans="1:9" hidden="1" x14ac:dyDescent="0.25">
      <c r="A24" s="3">
        <v>1370</v>
      </c>
      <c r="B24" s="3">
        <v>113.3012576</v>
      </c>
      <c r="C24" s="3">
        <v>23.00388551</v>
      </c>
      <c r="D24" s="3">
        <v>11</v>
      </c>
      <c r="E24" s="13">
        <f t="shared" si="0"/>
        <v>4.3357700160509879E-3</v>
      </c>
      <c r="F24" s="13">
        <f t="shared" si="1"/>
        <v>15.186821245003777</v>
      </c>
      <c r="G24" s="14" t="e">
        <f>F24/$F$124*$D$2</f>
        <v>#DIV/0!</v>
      </c>
      <c r="H24" s="14" t="e">
        <f>F24/$F$124*$E$2</f>
        <v>#DIV/0!</v>
      </c>
      <c r="I24" s="25" t="str">
        <f t="shared" si="2"/>
        <v/>
      </c>
    </row>
    <row r="25" spans="1:9" hidden="1" x14ac:dyDescent="0.25">
      <c r="A25" s="3">
        <v>1393</v>
      </c>
      <c r="B25" s="3">
        <v>113.3019413</v>
      </c>
      <c r="C25" s="3">
        <v>23.003774369999999</v>
      </c>
      <c r="D25" s="3">
        <v>11</v>
      </c>
      <c r="E25" s="13">
        <f t="shared" si="0"/>
        <v>4.5737498806653377E-3</v>
      </c>
      <c r="F25" s="13">
        <f t="shared" si="1"/>
        <v>14.786445756211489</v>
      </c>
      <c r="G25" s="14" t="e">
        <f>F25/$F$124*$D$2</f>
        <v>#DIV/0!</v>
      </c>
      <c r="H25" s="14" t="e">
        <f>F25/$F$124*$E$2</f>
        <v>#DIV/0!</v>
      </c>
      <c r="I25" s="25" t="str">
        <f t="shared" si="2"/>
        <v/>
      </c>
    </row>
    <row r="26" spans="1:9" x14ac:dyDescent="0.25">
      <c r="A26" s="3">
        <v>1380</v>
      </c>
      <c r="B26" s="3">
        <v>113.3037712</v>
      </c>
      <c r="C26" s="3">
        <v>23.011770680000001</v>
      </c>
      <c r="D26" s="3">
        <v>11</v>
      </c>
      <c r="E26" s="13">
        <f t="shared" si="0"/>
        <v>4.6779762716807824E-3</v>
      </c>
      <c r="F26" s="13">
        <f t="shared" si="1"/>
        <v>14.620795163299224</v>
      </c>
      <c r="G26" s="14">
        <f>F26/$F$74*$D$2</f>
        <v>80.874061175665574</v>
      </c>
      <c r="H26" s="14">
        <f>F26/$F$74*$E$2</f>
        <v>80.874061175665574</v>
      </c>
      <c r="I26" s="25" t="str">
        <f t="shared" si="2"/>
        <v>选中</v>
      </c>
    </row>
    <row r="27" spans="1:9" hidden="1" x14ac:dyDescent="0.25">
      <c r="A27" s="3">
        <v>1366</v>
      </c>
      <c r="B27" s="3">
        <v>113.2997249</v>
      </c>
      <c r="C27" s="3">
        <v>23.012797299999999</v>
      </c>
      <c r="D27" s="3">
        <v>11</v>
      </c>
      <c r="E27" s="13">
        <f t="shared" si="0"/>
        <v>4.7193643237203996E-3</v>
      </c>
      <c r="F27" s="13">
        <f t="shared" si="1"/>
        <v>14.556542993560029</v>
      </c>
      <c r="G27" s="14" t="e">
        <f>F27/$F$124*$D$2</f>
        <v>#DIV/0!</v>
      </c>
      <c r="H27" s="14" t="e">
        <f>F27/$F$124*$E$2</f>
        <v>#DIV/0!</v>
      </c>
      <c r="I27" s="25" t="str">
        <f t="shared" si="2"/>
        <v/>
      </c>
    </row>
    <row r="28" spans="1:9" hidden="1" x14ac:dyDescent="0.25">
      <c r="A28" s="3">
        <v>1631</v>
      </c>
      <c r="B28" s="3">
        <v>113.3004901</v>
      </c>
      <c r="C28" s="3">
        <v>23.003319080000001</v>
      </c>
      <c r="D28" s="3">
        <v>11</v>
      </c>
      <c r="E28" s="13">
        <f t="shared" si="0"/>
        <v>4.8806780504739933E-3</v>
      </c>
      <c r="F28" s="13">
        <f t="shared" si="1"/>
        <v>14.313963967176537</v>
      </c>
      <c r="G28" s="14" t="e">
        <f>F28/$F$124*$D$2</f>
        <v>#DIV/0!</v>
      </c>
      <c r="H28" s="14" t="e">
        <f>F28/$F$124*$E$2</f>
        <v>#DIV/0!</v>
      </c>
      <c r="I28" s="25" t="str">
        <f t="shared" si="2"/>
        <v/>
      </c>
    </row>
    <row r="29" spans="1:9" x14ac:dyDescent="0.25">
      <c r="A29" s="3">
        <v>1365</v>
      </c>
      <c r="B29" s="3">
        <v>113.298597</v>
      </c>
      <c r="C29" s="3">
        <v>23.012623290000001</v>
      </c>
      <c r="D29" s="3">
        <v>11</v>
      </c>
      <c r="E29" s="13">
        <f t="shared" si="0"/>
        <v>4.9297776006753695E-3</v>
      </c>
      <c r="F29" s="13">
        <f t="shared" si="1"/>
        <v>14.242503550834694</v>
      </c>
      <c r="G29" s="14">
        <f>F29/$F$74*$D$2</f>
        <v>78.781563560659393</v>
      </c>
      <c r="H29" s="14">
        <f>F29/$F$74*$E$2</f>
        <v>78.781563560659393</v>
      </c>
      <c r="I29" s="25" t="str">
        <f t="shared" si="2"/>
        <v>选中</v>
      </c>
    </row>
    <row r="30" spans="1:9" hidden="1" x14ac:dyDescent="0.25">
      <c r="A30" s="3">
        <v>1372</v>
      </c>
      <c r="B30" s="3">
        <v>113.298598</v>
      </c>
      <c r="C30" s="3">
        <v>23.012656270000001</v>
      </c>
      <c r="D30" s="3">
        <v>11</v>
      </c>
      <c r="E30" s="13">
        <f t="shared" si="0"/>
        <v>4.9590054826481331E-3</v>
      </c>
      <c r="F30" s="13">
        <f t="shared" si="1"/>
        <v>14.200469578091301</v>
      </c>
      <c r="G30" s="14" t="e">
        <f>F30/$F$124*$D$2</f>
        <v>#DIV/0!</v>
      </c>
      <c r="H30" s="14" t="e">
        <f>F30/$F$124*$E$2</f>
        <v>#DIV/0!</v>
      </c>
      <c r="I30" s="25" t="str">
        <f t="shared" si="2"/>
        <v/>
      </c>
    </row>
    <row r="31" spans="1:9" hidden="1" x14ac:dyDescent="0.25">
      <c r="A31" s="3">
        <v>1355</v>
      </c>
      <c r="B31" s="3">
        <v>113.2982177</v>
      </c>
      <c r="C31" s="3">
        <v>23.01248399</v>
      </c>
      <c r="D31" s="3">
        <v>11</v>
      </c>
      <c r="E31" s="13">
        <f t="shared" si="0"/>
        <v>4.9870701637478787E-3</v>
      </c>
      <c r="F31" s="13">
        <f t="shared" si="1"/>
        <v>14.160456714490733</v>
      </c>
      <c r="G31" s="14" t="e">
        <f>F31/$F$124*$D$2</f>
        <v>#DIV/0!</v>
      </c>
      <c r="H31" s="14" t="e">
        <f>F31/$F$124*$E$2</f>
        <v>#DIV/0!</v>
      </c>
      <c r="I31" s="25" t="str">
        <f t="shared" si="2"/>
        <v/>
      </c>
    </row>
    <row r="32" spans="1:9" x14ac:dyDescent="0.25">
      <c r="A32" s="3">
        <v>1364</v>
      </c>
      <c r="B32" s="3">
        <v>113.2980809</v>
      </c>
      <c r="C32" s="3">
        <v>23.01273011</v>
      </c>
      <c r="D32" s="3">
        <v>11</v>
      </c>
      <c r="E32" s="13">
        <f t="shared" si="0"/>
        <v>5.2685554428237233E-3</v>
      </c>
      <c r="F32" s="13">
        <f t="shared" si="1"/>
        <v>13.776986177542412</v>
      </c>
      <c r="G32" s="14">
        <f>F32/$F$74*$D$2</f>
        <v>76.206581823655171</v>
      </c>
      <c r="H32" s="14">
        <f>F32/$F$74*$E$2</f>
        <v>76.206581823655171</v>
      </c>
      <c r="I32" s="25" t="str">
        <f t="shared" si="2"/>
        <v>选中</v>
      </c>
    </row>
    <row r="33" spans="1:9" hidden="1" x14ac:dyDescent="0.25">
      <c r="A33" s="3">
        <v>1362</v>
      </c>
      <c r="B33" s="3">
        <v>113.298543</v>
      </c>
      <c r="C33" s="3">
        <v>23.01298122</v>
      </c>
      <c r="D33" s="3">
        <v>11</v>
      </c>
      <c r="E33" s="13">
        <f t="shared" si="0"/>
        <v>5.2762697042935611E-3</v>
      </c>
      <c r="F33" s="13">
        <f t="shared" si="1"/>
        <v>13.766911052986066</v>
      </c>
      <c r="G33" s="14" t="e">
        <f>F33/$F$124*$D$2</f>
        <v>#DIV/0!</v>
      </c>
      <c r="H33" s="14" t="e">
        <f>F33/$F$124*$E$2</f>
        <v>#DIV/0!</v>
      </c>
      <c r="I33" s="25" t="str">
        <f t="shared" si="2"/>
        <v/>
      </c>
    </row>
    <row r="34" spans="1:9" hidden="1" x14ac:dyDescent="0.25">
      <c r="A34" s="3">
        <v>1356</v>
      </c>
      <c r="B34" s="3">
        <v>113.2972565</v>
      </c>
      <c r="C34" s="3">
        <v>23.012311669999999</v>
      </c>
      <c r="D34" s="3">
        <v>11</v>
      </c>
      <c r="E34" s="13">
        <f t="shared" si="0"/>
        <v>5.4063747172105828E-3</v>
      </c>
      <c r="F34" s="13">
        <f t="shared" si="1"/>
        <v>13.600251146628757</v>
      </c>
      <c r="G34" s="14" t="e">
        <f>F34/$F$124*$D$2</f>
        <v>#DIV/0!</v>
      </c>
      <c r="H34" s="14" t="e">
        <f>F34/$F$124*$E$2</f>
        <v>#DIV/0!</v>
      </c>
      <c r="I34" s="25" t="str">
        <f t="shared" si="2"/>
        <v/>
      </c>
    </row>
    <row r="35" spans="1:9" x14ac:dyDescent="0.25">
      <c r="A35" s="3">
        <v>1360</v>
      </c>
      <c r="B35" s="3">
        <v>113.2970598</v>
      </c>
      <c r="C35" s="3">
        <v>23.012197050000001</v>
      </c>
      <c r="D35" s="3">
        <v>11</v>
      </c>
      <c r="E35" s="13">
        <f t="shared" si="0"/>
        <v>5.4510462172445611E-3</v>
      </c>
      <c r="F35" s="13">
        <f t="shared" si="1"/>
        <v>13.544409255761295</v>
      </c>
      <c r="G35" s="14">
        <f>F35/$F$74*$D$2</f>
        <v>74.920096376722086</v>
      </c>
      <c r="H35" s="14">
        <f>F35/$F$74*$E$2</f>
        <v>74.920096376722086</v>
      </c>
      <c r="I35" s="25" t="str">
        <f t="shared" si="2"/>
        <v>选中</v>
      </c>
    </row>
    <row r="36" spans="1:9" hidden="1" x14ac:dyDescent="0.25">
      <c r="A36" s="3">
        <v>1381</v>
      </c>
      <c r="B36" s="3">
        <v>113.30432209999999</v>
      </c>
      <c r="C36" s="3">
        <v>23.01235745</v>
      </c>
      <c r="D36" s="3">
        <v>11</v>
      </c>
      <c r="E36" s="13">
        <f t="shared" si="0"/>
        <v>5.4818291028128864E-3</v>
      </c>
      <c r="F36" s="13">
        <f t="shared" si="1"/>
        <v>13.50632680541324</v>
      </c>
      <c r="G36" s="14" t="e">
        <f>F36/$F$124*$D$2</f>
        <v>#DIV/0!</v>
      </c>
      <c r="H36" s="14" t="e">
        <f>F36/$F$124*$E$2</f>
        <v>#DIV/0!</v>
      </c>
      <c r="I36" s="25" t="str">
        <f t="shared" si="2"/>
        <v/>
      </c>
    </row>
    <row r="37" spans="1:9" hidden="1" x14ac:dyDescent="0.25">
      <c r="A37" s="3">
        <v>1371</v>
      </c>
      <c r="B37" s="3">
        <v>113.2970558</v>
      </c>
      <c r="C37" s="3">
        <v>23.01224204</v>
      </c>
      <c r="D37" s="3">
        <v>11</v>
      </c>
      <c r="E37" s="13">
        <f t="shared" ref="E37:E72" si="3">SQRT((B37-$B$2)^2+(C37-$C$2)^2)</f>
        <v>5.4868815341376567E-3</v>
      </c>
      <c r="F37" s="13">
        <f t="shared" ref="F37:F68" si="4">SQRT(1/E37)</f>
        <v>13.500106923993322</v>
      </c>
      <c r="G37" s="14" t="e">
        <f>F37/$F$124*$D$2</f>
        <v>#DIV/0!</v>
      </c>
      <c r="H37" s="14" t="e">
        <f>F37/$F$124*$E$2</f>
        <v>#DIV/0!</v>
      </c>
      <c r="I37" s="25" t="str">
        <f t="shared" si="2"/>
        <v/>
      </c>
    </row>
    <row r="38" spans="1:9" x14ac:dyDescent="0.25">
      <c r="A38" s="3">
        <v>1015</v>
      </c>
      <c r="B38" s="3">
        <v>113.30091849999999</v>
      </c>
      <c r="C38" s="3">
        <v>23.014013720000001</v>
      </c>
      <c r="D38" s="3">
        <v>11</v>
      </c>
      <c r="E38" s="13">
        <f t="shared" si="3"/>
        <v>5.8235321577568026E-3</v>
      </c>
      <c r="F38" s="13">
        <f t="shared" si="4"/>
        <v>13.104086795604097</v>
      </c>
      <c r="G38" s="14">
        <f>F38/$F$74*$D$2</f>
        <v>72.484478807223425</v>
      </c>
      <c r="H38" s="14">
        <f>F38/$F$74*$E$2</f>
        <v>72.484478807223425</v>
      </c>
      <c r="I38" s="25" t="str">
        <f t="shared" si="2"/>
        <v>选中</v>
      </c>
    </row>
    <row r="39" spans="1:9" hidden="1" x14ac:dyDescent="0.25">
      <c r="A39" s="3">
        <v>1389</v>
      </c>
      <c r="B39" s="3">
        <v>113.30400469999999</v>
      </c>
      <c r="C39" s="3">
        <v>23.013120690000001</v>
      </c>
      <c r="D39" s="3">
        <v>11</v>
      </c>
      <c r="E39" s="13">
        <f t="shared" si="3"/>
        <v>5.9016186943977563E-3</v>
      </c>
      <c r="F39" s="13">
        <f t="shared" si="4"/>
        <v>13.017105566655268</v>
      </c>
      <c r="G39" s="14" t="e">
        <f>F39/$F$124*$D$2</f>
        <v>#DIV/0!</v>
      </c>
      <c r="H39" s="14" t="e">
        <f>F39/$F$124*$E$2</f>
        <v>#DIV/0!</v>
      </c>
      <c r="I39" s="25" t="str">
        <f t="shared" si="2"/>
        <v/>
      </c>
    </row>
    <row r="40" spans="1:9" hidden="1" x14ac:dyDescent="0.25">
      <c r="A40" s="3">
        <v>1399</v>
      </c>
      <c r="B40" s="3">
        <v>113.30400469999999</v>
      </c>
      <c r="C40" s="3">
        <v>23.013120690000001</v>
      </c>
      <c r="D40" s="3">
        <v>11</v>
      </c>
      <c r="E40" s="13">
        <f t="shared" si="3"/>
        <v>5.9016186943977563E-3</v>
      </c>
      <c r="F40" s="13">
        <f t="shared" si="4"/>
        <v>13.017105566655268</v>
      </c>
      <c r="G40" s="14" t="e">
        <f>F40/$F$124*$D$2</f>
        <v>#DIV/0!</v>
      </c>
      <c r="H40" s="14" t="e">
        <f>F40/$F$124*$E$2</f>
        <v>#DIV/0!</v>
      </c>
      <c r="I40" s="25" t="str">
        <f t="shared" si="2"/>
        <v/>
      </c>
    </row>
    <row r="41" spans="1:9" x14ac:dyDescent="0.25">
      <c r="A41" s="3">
        <v>1386</v>
      </c>
      <c r="B41" s="3">
        <v>113.3046095</v>
      </c>
      <c r="C41" s="3">
        <v>23.012724779999999</v>
      </c>
      <c r="D41" s="3">
        <v>11</v>
      </c>
      <c r="E41" s="13">
        <f t="shared" si="3"/>
        <v>5.9478164660970488E-3</v>
      </c>
      <c r="F41" s="13">
        <f t="shared" si="4"/>
        <v>12.966453907155508</v>
      </c>
      <c r="G41" s="14">
        <f>F41/$F$74*$D$2</f>
        <v>71.723170648819334</v>
      </c>
      <c r="H41" s="14">
        <f>F41/$F$74*$E$2</f>
        <v>71.723170648819334</v>
      </c>
      <c r="I41" s="25" t="str">
        <f t="shared" si="2"/>
        <v>选中</v>
      </c>
    </row>
    <row r="42" spans="1:9" hidden="1" x14ac:dyDescent="0.25">
      <c r="A42" s="3">
        <v>1377</v>
      </c>
      <c r="B42" s="3">
        <v>113.3063033</v>
      </c>
      <c r="C42" s="3">
        <v>23.011633209999999</v>
      </c>
      <c r="D42" s="3">
        <v>11</v>
      </c>
      <c r="E42" s="13">
        <f t="shared" si="3"/>
        <v>6.5260650890135935E-3</v>
      </c>
      <c r="F42" s="13">
        <f t="shared" si="4"/>
        <v>12.378678954564199</v>
      </c>
      <c r="G42" s="14" t="e">
        <f>F42/$F$124*$D$2</f>
        <v>#DIV/0!</v>
      </c>
      <c r="H42" s="14" t="e">
        <f>F42/$F$124*$E$2</f>
        <v>#DIV/0!</v>
      </c>
      <c r="I42" s="25" t="str">
        <f t="shared" si="2"/>
        <v/>
      </c>
    </row>
    <row r="43" spans="1:9" hidden="1" x14ac:dyDescent="0.25">
      <c r="A43" s="3">
        <v>1397</v>
      </c>
      <c r="B43" s="3">
        <v>113.3051165</v>
      </c>
      <c r="C43" s="3">
        <v>23.01307972</v>
      </c>
      <c r="D43" s="3">
        <v>11</v>
      </c>
      <c r="E43" s="13">
        <f t="shared" si="3"/>
        <v>6.5484669222935967E-3</v>
      </c>
      <c r="F43" s="13">
        <f t="shared" si="4"/>
        <v>12.357487531275764</v>
      </c>
      <c r="G43" s="14" t="e">
        <f>F43/$F$124*$D$2</f>
        <v>#DIV/0!</v>
      </c>
      <c r="H43" s="14" t="e">
        <f>F43/$F$124*$E$2</f>
        <v>#DIV/0!</v>
      </c>
      <c r="I43" s="25" t="str">
        <f t="shared" si="2"/>
        <v/>
      </c>
    </row>
    <row r="44" spans="1:9" x14ac:dyDescent="0.25">
      <c r="A44" s="3">
        <v>1394</v>
      </c>
      <c r="B44" s="3">
        <v>113.30548779999999</v>
      </c>
      <c r="C44" s="3">
        <v>23.01278018</v>
      </c>
      <c r="D44" s="3">
        <v>11</v>
      </c>
      <c r="E44" s="13">
        <f t="shared" si="3"/>
        <v>6.5892892915961239E-3</v>
      </c>
      <c r="F44" s="13">
        <f t="shared" si="4"/>
        <v>12.319149127443335</v>
      </c>
      <c r="G44" s="14">
        <f>F44/$F$74*$D$2</f>
        <v>68.142642656391729</v>
      </c>
      <c r="H44" s="14">
        <f>F44/$F$74*$E$2</f>
        <v>68.142642656391729</v>
      </c>
      <c r="I44" s="25" t="str">
        <f t="shared" si="2"/>
        <v>选中</v>
      </c>
    </row>
    <row r="45" spans="1:9" hidden="1" x14ac:dyDescent="0.25">
      <c r="A45" s="3">
        <v>1140</v>
      </c>
      <c r="B45" s="3">
        <v>113.30456049999999</v>
      </c>
      <c r="C45" s="3">
        <v>23.01389936</v>
      </c>
      <c r="D45" s="3">
        <v>11</v>
      </c>
      <c r="E45" s="13">
        <f t="shared" si="3"/>
        <v>6.8577254750794058E-3</v>
      </c>
      <c r="F45" s="13">
        <f t="shared" si="4"/>
        <v>12.075634295554776</v>
      </c>
      <c r="G45" s="14" t="e">
        <f>F45/$F$124*$D$2</f>
        <v>#DIV/0!</v>
      </c>
      <c r="H45" s="14" t="e">
        <f>F45/$F$124*$E$2</f>
        <v>#DIV/0!</v>
      </c>
      <c r="I45" s="25" t="str">
        <f t="shared" si="2"/>
        <v/>
      </c>
    </row>
    <row r="46" spans="1:9" hidden="1" x14ac:dyDescent="0.25">
      <c r="A46" s="3">
        <v>1376</v>
      </c>
      <c r="B46" s="3">
        <v>113.30703029999999</v>
      </c>
      <c r="C46" s="3">
        <v>23.00527464</v>
      </c>
      <c r="D46" s="3">
        <v>11</v>
      </c>
      <c r="E46" s="13">
        <f t="shared" si="3"/>
        <v>6.9177359524264835E-3</v>
      </c>
      <c r="F46" s="13">
        <f t="shared" si="4"/>
        <v>12.023142914674228</v>
      </c>
      <c r="G46" s="14" t="e">
        <f>F46/$F$124*$D$2</f>
        <v>#DIV/0!</v>
      </c>
      <c r="H46" s="14" t="e">
        <f>F46/$F$124*$E$2</f>
        <v>#DIV/0!</v>
      </c>
      <c r="I46" s="25" t="str">
        <f t="shared" si="2"/>
        <v/>
      </c>
    </row>
    <row r="47" spans="1:9" x14ac:dyDescent="0.25">
      <c r="A47" s="3">
        <v>1136</v>
      </c>
      <c r="B47" s="3">
        <v>113.3044427</v>
      </c>
      <c r="C47" s="3">
        <v>23.0143004</v>
      </c>
      <c r="D47" s="3">
        <v>11</v>
      </c>
      <c r="E47" s="13">
        <f t="shared" si="3"/>
        <v>7.133349710337189E-3</v>
      </c>
      <c r="F47" s="13">
        <f t="shared" si="4"/>
        <v>11.840041978034851</v>
      </c>
      <c r="G47" s="14">
        <f>F47/$F$74*$D$2</f>
        <v>65.492489878913304</v>
      </c>
      <c r="H47" s="14">
        <f>F47/$F$74*$E$2</f>
        <v>65.492489878913304</v>
      </c>
      <c r="I47" s="25" t="str">
        <f t="shared" si="2"/>
        <v>选中</v>
      </c>
    </row>
    <row r="48" spans="1:9" hidden="1" x14ac:dyDescent="0.25">
      <c r="A48" s="3">
        <v>1361</v>
      </c>
      <c r="B48" s="3">
        <v>113.2940842</v>
      </c>
      <c r="C48" s="3">
        <v>23.011279300000002</v>
      </c>
      <c r="D48" s="3">
        <v>11</v>
      </c>
      <c r="E48" s="13">
        <f t="shared" si="3"/>
        <v>7.3531325331479859E-3</v>
      </c>
      <c r="F48" s="13">
        <f t="shared" si="4"/>
        <v>11.661752044997435</v>
      </c>
      <c r="G48" s="14" t="e">
        <f>F48/$F$124*$D$2</f>
        <v>#DIV/0!</v>
      </c>
      <c r="H48" s="14" t="e">
        <f>F48/$F$124*$E$2</f>
        <v>#DIV/0!</v>
      </c>
      <c r="I48" s="25" t="str">
        <f t="shared" si="2"/>
        <v/>
      </c>
    </row>
    <row r="49" spans="1:9" hidden="1" x14ac:dyDescent="0.25">
      <c r="A49" s="3">
        <v>1628</v>
      </c>
      <c r="B49" s="3">
        <v>113.2959175</v>
      </c>
      <c r="C49" s="3">
        <v>23.002619079999999</v>
      </c>
      <c r="D49" s="3">
        <v>11</v>
      </c>
      <c r="E49" s="13">
        <f t="shared" si="3"/>
        <v>7.3818924451932427E-3</v>
      </c>
      <c r="F49" s="13">
        <f t="shared" si="4"/>
        <v>11.639012735600796</v>
      </c>
      <c r="G49" s="14" t="e">
        <f>F49/$F$124*$D$2</f>
        <v>#DIV/0!</v>
      </c>
      <c r="H49" s="14" t="e">
        <f>F49/$F$124*$E$2</f>
        <v>#DIV/0!</v>
      </c>
      <c r="I49" s="25" t="str">
        <f t="shared" si="2"/>
        <v/>
      </c>
    </row>
    <row r="50" spans="1:9" x14ac:dyDescent="0.25">
      <c r="A50" s="3">
        <v>1354</v>
      </c>
      <c r="B50" s="3">
        <v>113.2939085</v>
      </c>
      <c r="C50" s="3">
        <v>23.0110037</v>
      </c>
      <c r="D50" s="3">
        <v>11</v>
      </c>
      <c r="E50" s="13">
        <f t="shared" si="3"/>
        <v>7.4039893260339218E-3</v>
      </c>
      <c r="F50" s="13">
        <f t="shared" si="4"/>
        <v>11.62163169660581</v>
      </c>
      <c r="G50" s="14">
        <f>F50/$F$74*$D$2</f>
        <v>64.28436636275697</v>
      </c>
      <c r="H50" s="14">
        <f>F50/$F$74*$E$2</f>
        <v>64.28436636275697</v>
      </c>
      <c r="I50" s="25" t="str">
        <f t="shared" si="2"/>
        <v>选中</v>
      </c>
    </row>
    <row r="51" spans="1:9" hidden="1" x14ac:dyDescent="0.25">
      <c r="A51" s="3">
        <v>1138</v>
      </c>
      <c r="B51" s="3">
        <v>113.3056474</v>
      </c>
      <c r="C51" s="3">
        <v>23.01394239</v>
      </c>
      <c r="D51" s="3">
        <v>11</v>
      </c>
      <c r="E51" s="13">
        <f t="shared" si="3"/>
        <v>7.5477557830180659E-3</v>
      </c>
      <c r="F51" s="13">
        <f t="shared" si="4"/>
        <v>11.510417600289694</v>
      </c>
      <c r="G51" s="14" t="e">
        <f>F51/$F$124*$D$2</f>
        <v>#DIV/0!</v>
      </c>
      <c r="H51" s="14" t="e">
        <f>F51/$F$124*$E$2</f>
        <v>#DIV/0!</v>
      </c>
      <c r="I51" s="25" t="str">
        <f t="shared" si="2"/>
        <v/>
      </c>
    </row>
    <row r="52" spans="1:9" hidden="1" x14ac:dyDescent="0.25">
      <c r="A52" s="3">
        <v>1387</v>
      </c>
      <c r="B52" s="3">
        <v>113.30596679999999</v>
      </c>
      <c r="C52" s="3">
        <v>23.013693920000001</v>
      </c>
      <c r="D52" s="3">
        <v>11</v>
      </c>
      <c r="E52" s="13">
        <f t="shared" si="3"/>
        <v>7.576167880290122E-3</v>
      </c>
      <c r="F52" s="13">
        <f t="shared" si="4"/>
        <v>11.488814179061437</v>
      </c>
      <c r="G52" s="14" t="e">
        <f>F52/$F$124*$D$2</f>
        <v>#DIV/0!</v>
      </c>
      <c r="H52" s="14" t="e">
        <f>F52/$F$124*$E$2</f>
        <v>#DIV/0!</v>
      </c>
      <c r="I52" s="25" t="str">
        <f t="shared" si="2"/>
        <v/>
      </c>
    </row>
    <row r="53" spans="1:9" x14ac:dyDescent="0.25">
      <c r="A53" s="3">
        <v>1357</v>
      </c>
      <c r="B53" s="3">
        <v>113.29293730000001</v>
      </c>
      <c r="C53" s="3">
        <v>23.010759350000001</v>
      </c>
      <c r="D53" s="3">
        <v>11</v>
      </c>
      <c r="E53" s="13">
        <f t="shared" si="3"/>
        <v>8.2311955870610631E-3</v>
      </c>
      <c r="F53" s="13">
        <f t="shared" si="4"/>
        <v>11.022206400478392</v>
      </c>
      <c r="G53" s="14">
        <f>F53/$F$74*$D$2</f>
        <v>60.96868089368354</v>
      </c>
      <c r="H53" s="14">
        <f>F53/$F$74*$E$2</f>
        <v>60.96868089368354</v>
      </c>
      <c r="I53" s="25" t="str">
        <f t="shared" si="2"/>
        <v>选中</v>
      </c>
    </row>
    <row r="54" spans="1:9" hidden="1" x14ac:dyDescent="0.25">
      <c r="A54" s="3">
        <v>1363</v>
      </c>
      <c r="B54" s="3">
        <v>113.2929252</v>
      </c>
      <c r="C54" s="3">
        <v>23.011422079999999</v>
      </c>
      <c r="D54" s="3">
        <v>11</v>
      </c>
      <c r="E54" s="13">
        <f t="shared" si="3"/>
        <v>8.4725196218389497E-3</v>
      </c>
      <c r="F54" s="13">
        <f t="shared" si="4"/>
        <v>10.864098846057548</v>
      </c>
      <c r="G54" s="14" t="e">
        <f>F54/$F$124*$D$2</f>
        <v>#DIV/0!</v>
      </c>
      <c r="H54" s="14" t="e">
        <f>F54/$F$124*$E$2</f>
        <v>#DIV/0!</v>
      </c>
      <c r="I54" s="25" t="str">
        <f t="shared" si="2"/>
        <v/>
      </c>
    </row>
    <row r="55" spans="1:9" hidden="1" x14ac:dyDescent="0.25">
      <c r="A55" s="3">
        <v>1378</v>
      </c>
      <c r="B55" s="3">
        <v>113.3092056</v>
      </c>
      <c r="C55" s="3">
        <v>23.010819260000002</v>
      </c>
      <c r="D55" s="3">
        <v>11</v>
      </c>
      <c r="E55" s="13">
        <f t="shared" si="3"/>
        <v>8.8466004329097805E-3</v>
      </c>
      <c r="F55" s="13">
        <f t="shared" si="4"/>
        <v>10.631922295315523</v>
      </c>
      <c r="G55" s="14" t="e">
        <f>F55/$F$124*$D$2</f>
        <v>#DIV/0!</v>
      </c>
      <c r="H55" s="14" t="e">
        <f>F55/$F$124*$E$2</f>
        <v>#DIV/0!</v>
      </c>
      <c r="I55" s="25" t="str">
        <f t="shared" si="2"/>
        <v/>
      </c>
    </row>
    <row r="56" spans="1:9" x14ac:dyDescent="0.25">
      <c r="A56" s="3">
        <v>1014</v>
      </c>
      <c r="B56" s="3">
        <v>113.3014044</v>
      </c>
      <c r="C56" s="3">
        <v>23.017484369999998</v>
      </c>
      <c r="D56" s="3">
        <v>11</v>
      </c>
      <c r="E56" s="13">
        <f t="shared" si="3"/>
        <v>9.3144264150233289E-3</v>
      </c>
      <c r="F56" s="13">
        <f t="shared" si="4"/>
        <v>10.361483552793338</v>
      </c>
      <c r="G56" s="14">
        <f>F56/$F$74*$D$2</f>
        <v>57.313931654191208</v>
      </c>
      <c r="H56" s="14">
        <f>F56/$F$74*$E$2</f>
        <v>57.313931654191208</v>
      </c>
      <c r="I56" s="25" t="str">
        <f t="shared" si="2"/>
        <v>选中</v>
      </c>
    </row>
    <row r="57" spans="1:9" hidden="1" x14ac:dyDescent="0.25">
      <c r="A57" s="3">
        <v>1018</v>
      </c>
      <c r="B57" s="3">
        <v>113.3014044</v>
      </c>
      <c r="C57" s="3">
        <v>23.017484369999998</v>
      </c>
      <c r="D57" s="3">
        <v>11</v>
      </c>
      <c r="E57" s="13">
        <f t="shared" si="3"/>
        <v>9.3144264150233289E-3</v>
      </c>
      <c r="F57" s="13">
        <f t="shared" si="4"/>
        <v>10.361483552793338</v>
      </c>
      <c r="G57" s="14" t="e">
        <f>F57/$F$124*$D$2</f>
        <v>#DIV/0!</v>
      </c>
      <c r="H57" s="14" t="e">
        <f>F57/$F$124*$E$2</f>
        <v>#DIV/0!</v>
      </c>
      <c r="I57" s="25" t="str">
        <f t="shared" si="2"/>
        <v/>
      </c>
    </row>
    <row r="58" spans="1:9" hidden="1" x14ac:dyDescent="0.25">
      <c r="A58" s="3">
        <v>1379</v>
      </c>
      <c r="B58" s="3">
        <v>113.3106397</v>
      </c>
      <c r="C58" s="3">
        <v>23.01057471</v>
      </c>
      <c r="D58" s="3">
        <v>11</v>
      </c>
      <c r="E58" s="13">
        <f t="shared" si="3"/>
        <v>1.016481164734442E-2</v>
      </c>
      <c r="F58" s="13">
        <f t="shared" si="4"/>
        <v>9.9185989932228367</v>
      </c>
      <c r="G58" s="14" t="e">
        <f>F58/$F$124*$D$2</f>
        <v>#DIV/0!</v>
      </c>
      <c r="H58" s="14" t="e">
        <f>F58/$F$124*$E$2</f>
        <v>#DIV/0!</v>
      </c>
      <c r="I58" s="25" t="str">
        <f t="shared" si="2"/>
        <v/>
      </c>
    </row>
    <row r="59" spans="1:9" x14ac:dyDescent="0.25">
      <c r="A59" s="3">
        <v>1007</v>
      </c>
      <c r="B59" s="3">
        <v>113.29701849999999</v>
      </c>
      <c r="C59" s="3">
        <v>23.01774172</v>
      </c>
      <c r="D59" s="3">
        <v>11</v>
      </c>
      <c r="E59" s="13">
        <f t="shared" si="3"/>
        <v>1.0255406998871059E-2</v>
      </c>
      <c r="F59" s="13">
        <f t="shared" si="4"/>
        <v>9.8746918002528581</v>
      </c>
      <c r="G59" s="14">
        <f>F59/$F$74*$D$2</f>
        <v>54.621271950320178</v>
      </c>
      <c r="H59" s="14">
        <f>F59/$F$74*$E$2</f>
        <v>54.621271950320178</v>
      </c>
      <c r="I59" s="25" t="str">
        <f t="shared" si="2"/>
        <v>选中</v>
      </c>
    </row>
    <row r="60" spans="1:9" hidden="1" x14ac:dyDescent="0.25">
      <c r="A60" s="3">
        <v>1009</v>
      </c>
      <c r="B60" s="3">
        <v>113.2977412</v>
      </c>
      <c r="C60" s="3">
        <v>23.018215309999999</v>
      </c>
      <c r="D60" s="3">
        <v>11</v>
      </c>
      <c r="E60" s="13">
        <f t="shared" si="3"/>
        <v>1.0467082072291436E-2</v>
      </c>
      <c r="F60" s="13">
        <f t="shared" si="4"/>
        <v>9.7743342246739591</v>
      </c>
      <c r="G60" s="14" t="e">
        <f>F60/$F$124*$D$2</f>
        <v>#DIV/0!</v>
      </c>
      <c r="H60" s="14" t="e">
        <f>F60/$F$124*$E$2</f>
        <v>#DIV/0!</v>
      </c>
      <c r="I60" s="25" t="str">
        <f t="shared" si="2"/>
        <v/>
      </c>
    </row>
    <row r="61" spans="1:9" hidden="1" x14ac:dyDescent="0.25">
      <c r="A61" s="3">
        <v>1633</v>
      </c>
      <c r="B61" s="3">
        <v>113.30283009999999</v>
      </c>
      <c r="C61" s="3">
        <v>22.996591909999999</v>
      </c>
      <c r="D61" s="3">
        <v>11</v>
      </c>
      <c r="E61" s="13">
        <f t="shared" si="3"/>
        <v>1.1784098041430749E-2</v>
      </c>
      <c r="F61" s="13">
        <f t="shared" si="4"/>
        <v>9.2119553958919767</v>
      </c>
      <c r="G61" s="14" t="e">
        <f>F61/$F$124*$D$2</f>
        <v>#DIV/0!</v>
      </c>
      <c r="H61" s="14" t="e">
        <f>F61/$F$124*$E$2</f>
        <v>#DIV/0!</v>
      </c>
      <c r="I61" s="25" t="str">
        <f t="shared" si="2"/>
        <v/>
      </c>
    </row>
    <row r="62" spans="1:9" x14ac:dyDescent="0.25">
      <c r="A62" s="3">
        <v>1627</v>
      </c>
      <c r="B62" s="3">
        <v>113.2998228</v>
      </c>
      <c r="C62" s="3">
        <v>22.996414210000001</v>
      </c>
      <c r="D62" s="3">
        <v>11</v>
      </c>
      <c r="E62" s="13">
        <f t="shared" si="3"/>
        <v>1.1815259570404886E-2</v>
      </c>
      <c r="F62" s="13">
        <f t="shared" si="4"/>
        <v>9.1997995843693428</v>
      </c>
      <c r="G62" s="14">
        <f>F62/$F$74*$D$2</f>
        <v>50.888145691130624</v>
      </c>
      <c r="H62" s="14">
        <f>F62/$F$74*$E$2</f>
        <v>50.888145691130624</v>
      </c>
      <c r="I62" s="25" t="str">
        <f t="shared" si="2"/>
        <v>选中</v>
      </c>
    </row>
    <row r="63" spans="1:9" hidden="1" x14ac:dyDescent="0.25">
      <c r="A63" s="3">
        <v>1629</v>
      </c>
      <c r="B63" s="3">
        <v>113.3007111</v>
      </c>
      <c r="C63" s="3">
        <v>22.99590091</v>
      </c>
      <c r="D63" s="3">
        <v>11</v>
      </c>
      <c r="E63" s="13">
        <f t="shared" si="3"/>
        <v>1.2291579476620459E-2</v>
      </c>
      <c r="F63" s="13">
        <f t="shared" si="4"/>
        <v>9.0197843266837179</v>
      </c>
      <c r="G63" s="14" t="e">
        <f>F63/$F$124*$D$2</f>
        <v>#DIV/0!</v>
      </c>
      <c r="H63" s="14" t="e">
        <f>F63/$F$124*$E$2</f>
        <v>#DIV/0!</v>
      </c>
      <c r="I63" s="25" t="str">
        <f t="shared" si="2"/>
        <v/>
      </c>
    </row>
    <row r="64" spans="1:9" hidden="1" x14ac:dyDescent="0.25">
      <c r="A64" s="3">
        <v>1626</v>
      </c>
      <c r="B64" s="3">
        <v>113.2981389</v>
      </c>
      <c r="C64" s="3">
        <v>22.996024240000001</v>
      </c>
      <c r="D64" s="3">
        <v>11</v>
      </c>
      <c r="E64" s="13">
        <f t="shared" si="3"/>
        <v>1.2446839060403028E-2</v>
      </c>
      <c r="F64" s="13">
        <f t="shared" si="4"/>
        <v>8.9633522272195183</v>
      </c>
      <c r="G64" s="14" t="e">
        <f>F64/$F$124*$D$2</f>
        <v>#DIV/0!</v>
      </c>
      <c r="H64" s="14" t="e">
        <f>F64/$F$124*$E$2</f>
        <v>#DIV/0!</v>
      </c>
      <c r="I64" s="25" t="str">
        <f t="shared" si="2"/>
        <v/>
      </c>
    </row>
    <row r="65" spans="1:9" x14ac:dyDescent="0.25">
      <c r="A65" s="3">
        <v>1630</v>
      </c>
      <c r="B65" s="3">
        <v>113.2967225</v>
      </c>
      <c r="C65" s="3">
        <v>22.996345460000001</v>
      </c>
      <c r="D65" s="3">
        <v>11</v>
      </c>
      <c r="E65" s="13">
        <f t="shared" si="3"/>
        <v>1.2515400417627831E-2</v>
      </c>
      <c r="F65" s="13">
        <f t="shared" si="4"/>
        <v>8.9387671750786186</v>
      </c>
      <c r="G65" s="14">
        <f>F65/$F$74*$D$2</f>
        <v>49.444260402948693</v>
      </c>
      <c r="H65" s="14">
        <f>F65/$F$74*$E$2</f>
        <v>49.444260402948693</v>
      </c>
      <c r="I65" s="25" t="str">
        <f t="shared" si="2"/>
        <v>选中</v>
      </c>
    </row>
    <row r="66" spans="1:9" hidden="1" x14ac:dyDescent="0.25">
      <c r="A66" s="3">
        <v>1624</v>
      </c>
      <c r="B66" s="3">
        <v>113.2969192</v>
      </c>
      <c r="C66" s="3">
        <v>22.99618121</v>
      </c>
      <c r="D66" s="3">
        <v>11</v>
      </c>
      <c r="E66" s="13">
        <f t="shared" si="3"/>
        <v>1.2609721275906689E-2</v>
      </c>
      <c r="F66" s="13">
        <f t="shared" si="4"/>
        <v>8.9052733840619478</v>
      </c>
      <c r="G66" s="14" t="e">
        <f>F66/$F$124*$D$2</f>
        <v>#DIV/0!</v>
      </c>
      <c r="H66" s="14" t="e">
        <f>F66/$F$124*$E$2</f>
        <v>#DIV/0!</v>
      </c>
      <c r="I66" s="25" t="str">
        <f t="shared" si="2"/>
        <v/>
      </c>
    </row>
    <row r="67" spans="1:9" hidden="1" x14ac:dyDescent="0.25">
      <c r="A67" s="3">
        <v>1625</v>
      </c>
      <c r="B67" s="3">
        <v>113.2962823</v>
      </c>
      <c r="C67" s="3">
        <v>22.996158269999999</v>
      </c>
      <c r="D67" s="3">
        <v>11</v>
      </c>
      <c r="E67" s="13">
        <f t="shared" si="3"/>
        <v>1.2839477222492478E-2</v>
      </c>
      <c r="F67" s="13">
        <f t="shared" si="4"/>
        <v>8.825236030736054</v>
      </c>
      <c r="G67" s="14" t="e">
        <f>F67/$F$124*$D$2</f>
        <v>#DIV/0!</v>
      </c>
      <c r="H67" s="14" t="e">
        <f>F67/$F$124*$E$2</f>
        <v>#DIV/0!</v>
      </c>
      <c r="I67" s="25" t="str">
        <f t="shared" si="2"/>
        <v/>
      </c>
    </row>
    <row r="68" spans="1:9" x14ac:dyDescent="0.25">
      <c r="A68" s="3">
        <v>1632</v>
      </c>
      <c r="B68" s="3">
        <v>113.3020478</v>
      </c>
      <c r="C68" s="3">
        <v>22.993721529999998</v>
      </c>
      <c r="D68" s="3">
        <v>11</v>
      </c>
      <c r="E68" s="13">
        <f t="shared" si="3"/>
        <v>1.4528236733922471E-2</v>
      </c>
      <c r="F68" s="13">
        <f t="shared" si="4"/>
        <v>8.2964737997083411</v>
      </c>
      <c r="G68" s="14">
        <f>F68/$F$74*$D$2</f>
        <v>45.891452696373925</v>
      </c>
      <c r="H68" s="14">
        <f>F68/$F$74*$E$2</f>
        <v>45.891452696373925</v>
      </c>
      <c r="I68" s="25" t="str">
        <f t="shared" si="2"/>
        <v>选中</v>
      </c>
    </row>
    <row r="69" spans="1:9" hidden="1" x14ac:dyDescent="0.25">
      <c r="A69" s="3">
        <v>1809</v>
      </c>
      <c r="B69" s="3">
        <v>113.3020478</v>
      </c>
      <c r="C69" s="3">
        <v>22.993721529999998</v>
      </c>
      <c r="D69" s="3">
        <v>11</v>
      </c>
      <c r="E69" s="13">
        <f t="shared" si="3"/>
        <v>1.4528236733922471E-2</v>
      </c>
      <c r="F69" s="13">
        <f t="shared" ref="F69:F72" si="5">SQRT(1/E69)</f>
        <v>8.2964737997083411</v>
      </c>
      <c r="G69" s="14" t="e">
        <f>F69/$F$124*$D$2</f>
        <v>#DIV/0!</v>
      </c>
      <c r="H69" s="14" t="e">
        <f>F69/$F$124*$E$2</f>
        <v>#DIV/0!</v>
      </c>
      <c r="I69" s="25" t="str">
        <f t="shared" si="2"/>
        <v/>
      </c>
    </row>
    <row r="70" spans="1:9" hidden="1" x14ac:dyDescent="0.25">
      <c r="A70" s="3">
        <v>1798</v>
      </c>
      <c r="B70" s="3">
        <v>113.3003171</v>
      </c>
      <c r="C70" s="3">
        <v>22.993442649999999</v>
      </c>
      <c r="D70" s="3">
        <v>11</v>
      </c>
      <c r="E70" s="13">
        <f t="shared" si="3"/>
        <v>1.4756338227097569E-2</v>
      </c>
      <c r="F70" s="13">
        <f t="shared" si="5"/>
        <v>8.2321011765122822</v>
      </c>
      <c r="G70" s="14" t="e">
        <f>F70/$F$124*$D$2</f>
        <v>#DIV/0!</v>
      </c>
      <c r="H70" s="14" t="e">
        <f>F70/$F$124*$E$2</f>
        <v>#DIV/0!</v>
      </c>
      <c r="I70" s="25" t="str">
        <f t="shared" ref="I70:I72" si="6">IF(MOD(ROW()-1,3)=1,"选中","")</f>
        <v/>
      </c>
    </row>
    <row r="71" spans="1:9" x14ac:dyDescent="0.25">
      <c r="A71" s="3">
        <v>1794</v>
      </c>
      <c r="B71" s="3">
        <v>113.2973276</v>
      </c>
      <c r="C71" s="3">
        <v>22.993416719999999</v>
      </c>
      <c r="D71" s="3">
        <v>11</v>
      </c>
      <c r="E71" s="13">
        <f t="shared" si="3"/>
        <v>1.5168663870703418E-2</v>
      </c>
      <c r="F71" s="13">
        <f t="shared" si="5"/>
        <v>8.1194448474046332</v>
      </c>
      <c r="G71" s="14">
        <f>F71/$F$74*$D$2</f>
        <v>44.912227547634245</v>
      </c>
      <c r="H71" s="14">
        <f>F71/$F$74*$E$2</f>
        <v>44.912227547634245</v>
      </c>
      <c r="I71" s="25" t="str">
        <f t="shared" si="6"/>
        <v>选中</v>
      </c>
    </row>
    <row r="72" spans="1:9" hidden="1" x14ac:dyDescent="0.25">
      <c r="A72" s="3">
        <v>1797</v>
      </c>
      <c r="B72" s="3">
        <v>113.2920649</v>
      </c>
      <c r="C72" s="3">
        <v>22.99320831</v>
      </c>
      <c r="D72" s="3">
        <v>11</v>
      </c>
      <c r="E72" s="13">
        <f t="shared" si="3"/>
        <v>1.7323190835931385E-2</v>
      </c>
      <c r="F72" s="13">
        <f t="shared" si="5"/>
        <v>7.5977684730260302</v>
      </c>
      <c r="G72" s="14" t="e">
        <f>F72/$F$124*$D$2</f>
        <v>#DIV/0!</v>
      </c>
      <c r="H72" s="14" t="e">
        <f>F72/$F$124*$E$2</f>
        <v>#DIV/0!</v>
      </c>
      <c r="I72" s="25" t="str">
        <f t="shared" si="6"/>
        <v/>
      </c>
    </row>
    <row r="73" spans="1:9" x14ac:dyDescent="0.25">
      <c r="A73" s="3"/>
      <c r="B73" s="3"/>
      <c r="C73" s="3"/>
      <c r="D73" s="3"/>
      <c r="G73" s="14"/>
      <c r="H73" s="14"/>
    </row>
    <row r="74" spans="1:9" x14ac:dyDescent="0.25">
      <c r="A74" s="3"/>
      <c r="B74" s="3"/>
      <c r="C74" s="3"/>
      <c r="D74" s="3"/>
      <c r="F74" s="13">
        <f>SUBTOTAL(9,F5:F72)</f>
        <v>322.70073973163909</v>
      </c>
      <c r="G74" s="13">
        <f>SUBTOTAL(9,G5:G72)</f>
        <v>1785.0000000000005</v>
      </c>
      <c r="H74" s="13">
        <f>SUBTOTAL(9,H5:H72)</f>
        <v>1785.0000000000005</v>
      </c>
    </row>
    <row r="75" spans="1:9" x14ac:dyDescent="0.25">
      <c r="A75" s="3"/>
      <c r="B75" s="3"/>
      <c r="C75" s="3"/>
      <c r="D75" s="3"/>
      <c r="G75" s="14"/>
      <c r="H75" s="14"/>
    </row>
    <row r="76" spans="1:9" x14ac:dyDescent="0.25">
      <c r="A76" s="3"/>
      <c r="B76" s="3"/>
      <c r="C76" s="3"/>
      <c r="D76" s="3"/>
      <c r="G76" s="14"/>
      <c r="H76" s="14"/>
    </row>
    <row r="77" spans="1:9" x14ac:dyDescent="0.25">
      <c r="A77" s="3"/>
      <c r="B77" s="3"/>
      <c r="C77" s="3"/>
      <c r="D77" s="3"/>
      <c r="G77" s="14"/>
      <c r="H77" s="14"/>
    </row>
    <row r="78" spans="1:9" x14ac:dyDescent="0.25">
      <c r="A78" s="3"/>
      <c r="B78" s="3"/>
      <c r="C78" s="3"/>
      <c r="D78" s="3"/>
      <c r="G78" s="14"/>
      <c r="H78" s="14"/>
    </row>
    <row r="79" spans="1:9" x14ac:dyDescent="0.25">
      <c r="A79" s="3"/>
      <c r="B79" s="3"/>
      <c r="C79" s="3"/>
      <c r="D79" s="3"/>
      <c r="G79" s="14"/>
      <c r="H79" s="14"/>
    </row>
    <row r="80" spans="1:9" x14ac:dyDescent="0.25">
      <c r="A80" s="3"/>
      <c r="B80" s="3"/>
      <c r="C80" s="3"/>
      <c r="D80" s="3"/>
      <c r="G80" s="14"/>
      <c r="H80" s="14"/>
    </row>
    <row r="81" spans="1:8" x14ac:dyDescent="0.25">
      <c r="A81" s="3"/>
      <c r="B81" s="3"/>
      <c r="C81" s="3"/>
      <c r="D81" s="3"/>
      <c r="G81" s="14"/>
      <c r="H81" s="14"/>
    </row>
    <row r="82" spans="1:8" x14ac:dyDescent="0.25">
      <c r="A82" s="3"/>
      <c r="B82" s="3"/>
      <c r="C82" s="3"/>
      <c r="D82" s="3"/>
      <c r="G82" s="14"/>
      <c r="H82" s="14"/>
    </row>
    <row r="83" spans="1:8" x14ac:dyDescent="0.25">
      <c r="A83" s="3"/>
      <c r="B83" s="3"/>
      <c r="C83" s="3"/>
      <c r="D83" s="3"/>
      <c r="G83" s="14"/>
      <c r="H83" s="14"/>
    </row>
    <row r="84" spans="1:8" x14ac:dyDescent="0.25">
      <c r="A84" s="3"/>
      <c r="B84" s="3"/>
      <c r="C84" s="3"/>
      <c r="D84" s="3"/>
      <c r="G84" s="14"/>
      <c r="H84" s="14"/>
    </row>
    <row r="85" spans="1:8" x14ac:dyDescent="0.25">
      <c r="A85" s="3"/>
      <c r="B85" s="3"/>
      <c r="C85" s="3"/>
      <c r="D85" s="3"/>
      <c r="G85" s="14"/>
      <c r="H85" s="14"/>
    </row>
    <row r="86" spans="1:8" x14ac:dyDescent="0.25">
      <c r="A86" s="3"/>
      <c r="B86" s="3"/>
      <c r="C86" s="3"/>
      <c r="D86" s="3"/>
      <c r="G86" s="14"/>
      <c r="H86" s="14"/>
    </row>
    <row r="87" spans="1:8" x14ac:dyDescent="0.25">
      <c r="A87" s="3"/>
      <c r="B87" s="3"/>
      <c r="C87" s="3"/>
      <c r="D87" s="3"/>
      <c r="G87" s="14"/>
      <c r="H87" s="14"/>
    </row>
    <row r="88" spans="1:8" x14ac:dyDescent="0.25">
      <c r="A88" s="3"/>
      <c r="B88" s="3"/>
      <c r="C88" s="3"/>
      <c r="D88" s="3"/>
      <c r="G88" s="14"/>
      <c r="H88" s="14"/>
    </row>
    <row r="89" spans="1:8" x14ac:dyDescent="0.25">
      <c r="A89" s="3"/>
      <c r="B89" s="3"/>
      <c r="C89" s="3"/>
      <c r="D89" s="3"/>
      <c r="G89" s="14"/>
      <c r="H89" s="14"/>
    </row>
    <row r="90" spans="1:8" x14ac:dyDescent="0.25">
      <c r="A90" s="3"/>
      <c r="B90" s="3"/>
      <c r="C90" s="3"/>
      <c r="D90" s="3"/>
      <c r="G90" s="14"/>
      <c r="H90" s="14"/>
    </row>
    <row r="91" spans="1:8" x14ac:dyDescent="0.25">
      <c r="A91" s="3"/>
      <c r="B91" s="3"/>
      <c r="C91" s="3"/>
      <c r="D91" s="3"/>
      <c r="G91" s="14"/>
      <c r="H91" s="14"/>
    </row>
    <row r="92" spans="1:8" x14ac:dyDescent="0.25">
      <c r="A92" s="3"/>
      <c r="B92" s="3"/>
      <c r="C92" s="3"/>
      <c r="D92" s="3"/>
      <c r="G92" s="14"/>
      <c r="H92" s="14"/>
    </row>
    <row r="93" spans="1:8" x14ac:dyDescent="0.25">
      <c r="A93" s="3"/>
      <c r="B93" s="3"/>
      <c r="C93" s="3"/>
      <c r="D93" s="3"/>
      <c r="G93" s="14"/>
      <c r="H93" s="14"/>
    </row>
    <row r="94" spans="1:8" x14ac:dyDescent="0.25">
      <c r="A94" s="3"/>
      <c r="B94" s="3"/>
      <c r="C94" s="3"/>
      <c r="D94" s="3"/>
      <c r="G94" s="14"/>
      <c r="H94" s="14"/>
    </row>
    <row r="95" spans="1:8" x14ac:dyDescent="0.25">
      <c r="A95" s="3"/>
      <c r="B95" s="3"/>
      <c r="C95" s="3"/>
      <c r="D95" s="3"/>
      <c r="G95" s="14"/>
      <c r="H95" s="14"/>
    </row>
    <row r="96" spans="1:8" x14ac:dyDescent="0.25">
      <c r="A96" s="3"/>
      <c r="B96" s="3"/>
      <c r="C96" s="3"/>
      <c r="D96" s="3"/>
      <c r="G96" s="14"/>
      <c r="H96" s="14"/>
    </row>
    <row r="97" spans="1:8" x14ac:dyDescent="0.25">
      <c r="A97" s="3"/>
      <c r="B97" s="3"/>
      <c r="C97" s="3"/>
      <c r="D97" s="3"/>
      <c r="G97" s="14"/>
      <c r="H97" s="14"/>
    </row>
    <row r="98" spans="1:8" x14ac:dyDescent="0.25">
      <c r="A98" s="3"/>
      <c r="B98" s="3"/>
      <c r="C98" s="3"/>
      <c r="D98" s="3"/>
      <c r="G98" s="14"/>
      <c r="H98" s="14"/>
    </row>
    <row r="99" spans="1:8" x14ac:dyDescent="0.25">
      <c r="A99" s="3"/>
      <c r="B99" s="3"/>
      <c r="C99" s="3"/>
      <c r="D99" s="3"/>
      <c r="G99" s="14"/>
      <c r="H99" s="14"/>
    </row>
    <row r="100" spans="1:8" x14ac:dyDescent="0.25">
      <c r="A100" s="3"/>
      <c r="B100" s="3"/>
      <c r="C100" s="3"/>
      <c r="D100" s="3"/>
      <c r="G100" s="14"/>
      <c r="H100" s="14"/>
    </row>
    <row r="101" spans="1:8" x14ac:dyDescent="0.25">
      <c r="A101" s="3"/>
      <c r="B101" s="3"/>
      <c r="C101" s="3"/>
      <c r="D101" s="3"/>
      <c r="G101" s="14"/>
      <c r="H101" s="14"/>
    </row>
    <row r="102" spans="1:8" x14ac:dyDescent="0.25">
      <c r="A102" s="3"/>
      <c r="B102" s="3"/>
      <c r="C102" s="3"/>
      <c r="D102" s="3"/>
      <c r="G102" s="14"/>
      <c r="H102" s="14"/>
    </row>
    <row r="103" spans="1:8" x14ac:dyDescent="0.25">
      <c r="A103" s="3"/>
      <c r="B103" s="3"/>
      <c r="C103" s="3"/>
      <c r="D103" s="3"/>
      <c r="G103" s="14"/>
      <c r="H103" s="14"/>
    </row>
    <row r="104" spans="1:8" x14ac:dyDescent="0.25">
      <c r="A104" s="3"/>
      <c r="B104" s="3"/>
      <c r="C104" s="3"/>
      <c r="D104" s="3"/>
      <c r="G104" s="14"/>
      <c r="H104" s="14"/>
    </row>
    <row r="105" spans="1:8" x14ac:dyDescent="0.25">
      <c r="A105" s="3"/>
      <c r="B105" s="3"/>
      <c r="C105" s="3"/>
      <c r="D105" s="3"/>
      <c r="G105" s="14"/>
      <c r="H105" s="14"/>
    </row>
    <row r="106" spans="1:8" x14ac:dyDescent="0.25">
      <c r="A106" s="3"/>
      <c r="B106" s="3"/>
      <c r="C106" s="3"/>
      <c r="D106" s="3"/>
      <c r="G106" s="14"/>
      <c r="H106" s="14"/>
    </row>
    <row r="107" spans="1:8" x14ac:dyDescent="0.25">
      <c r="A107" s="3"/>
      <c r="B107" s="3"/>
      <c r="C107" s="3"/>
      <c r="D107" s="3"/>
      <c r="G107" s="14"/>
      <c r="H107" s="14"/>
    </row>
    <row r="108" spans="1:8" x14ac:dyDescent="0.25">
      <c r="A108" s="3"/>
      <c r="B108" s="3"/>
      <c r="C108" s="3"/>
      <c r="D108" s="3"/>
      <c r="G108" s="14"/>
      <c r="H108" s="14"/>
    </row>
    <row r="109" spans="1:8" x14ac:dyDescent="0.25">
      <c r="A109" s="3"/>
      <c r="B109" s="3"/>
      <c r="C109" s="3"/>
      <c r="D109" s="3"/>
      <c r="G109" s="14"/>
      <c r="H109" s="14"/>
    </row>
    <row r="110" spans="1:8" x14ac:dyDescent="0.25">
      <c r="A110" s="3"/>
      <c r="B110" s="3"/>
      <c r="C110" s="3"/>
      <c r="D110" s="3"/>
      <c r="G110" s="14"/>
      <c r="H110" s="14"/>
    </row>
    <row r="111" spans="1:8" x14ac:dyDescent="0.25">
      <c r="A111" s="3"/>
      <c r="B111" s="3"/>
      <c r="C111" s="3"/>
      <c r="D111" s="3"/>
      <c r="G111" s="14"/>
      <c r="H111" s="14"/>
    </row>
    <row r="112" spans="1:8" x14ac:dyDescent="0.25">
      <c r="A112" s="3"/>
      <c r="B112" s="3"/>
      <c r="C112" s="3"/>
      <c r="D112" s="3"/>
      <c r="G112" s="14"/>
      <c r="H112" s="14"/>
    </row>
    <row r="113" spans="1:8" x14ac:dyDescent="0.25">
      <c r="A113" s="3"/>
      <c r="B113" s="3"/>
      <c r="C113" s="3"/>
      <c r="D113" s="3"/>
      <c r="G113" s="14"/>
      <c r="H113" s="14"/>
    </row>
    <row r="114" spans="1:8" x14ac:dyDescent="0.25">
      <c r="A114" s="3"/>
      <c r="B114" s="3"/>
      <c r="C114" s="3"/>
      <c r="D114" s="3"/>
      <c r="G114" s="14"/>
      <c r="H114" s="14"/>
    </row>
    <row r="115" spans="1:8" x14ac:dyDescent="0.25">
      <c r="A115" s="3"/>
      <c r="B115" s="3"/>
      <c r="C115" s="3"/>
      <c r="D115" s="3"/>
      <c r="G115" s="14"/>
      <c r="H115" s="14"/>
    </row>
    <row r="116" spans="1:8" x14ac:dyDescent="0.25">
      <c r="A116" s="3"/>
      <c r="B116" s="3"/>
      <c r="C116" s="3"/>
      <c r="D116" s="3"/>
      <c r="G116" s="14"/>
      <c r="H116" s="14"/>
    </row>
    <row r="117" spans="1:8" x14ac:dyDescent="0.25">
      <c r="A117" s="3"/>
      <c r="B117" s="3"/>
      <c r="C117" s="3"/>
      <c r="D117" s="3"/>
      <c r="G117" s="14"/>
      <c r="H117" s="14"/>
    </row>
    <row r="118" spans="1:8" x14ac:dyDescent="0.25">
      <c r="A118" s="3"/>
      <c r="B118" s="3"/>
      <c r="C118" s="3"/>
      <c r="D118" s="3"/>
      <c r="G118" s="14"/>
      <c r="H118" s="14"/>
    </row>
    <row r="119" spans="1:8" x14ac:dyDescent="0.25">
      <c r="A119" s="3"/>
      <c r="B119" s="3"/>
      <c r="C119" s="3"/>
      <c r="D119" s="3"/>
      <c r="G119" s="14"/>
      <c r="H119" s="14"/>
    </row>
    <row r="120" spans="1:8" x14ac:dyDescent="0.25">
      <c r="A120" s="3"/>
      <c r="B120" s="3"/>
      <c r="C120" s="3"/>
      <c r="D120" s="3"/>
      <c r="G120" s="14"/>
      <c r="H120" s="14"/>
    </row>
    <row r="121" spans="1:8" x14ac:dyDescent="0.25">
      <c r="A121" s="3"/>
      <c r="B121" s="3"/>
      <c r="C121" s="3"/>
      <c r="D121" s="3"/>
      <c r="G121" s="14"/>
      <c r="H121" s="14"/>
    </row>
    <row r="122" spans="1:8" x14ac:dyDescent="0.25">
      <c r="A122" s="3"/>
      <c r="B122" s="3"/>
      <c r="C122" s="3"/>
      <c r="D122" s="3"/>
      <c r="G122" s="14"/>
      <c r="H122" s="14"/>
    </row>
    <row r="123" spans="1:8" x14ac:dyDescent="0.25">
      <c r="A123" s="3"/>
      <c r="B123" s="3"/>
      <c r="C123" s="3"/>
      <c r="D123" s="3"/>
      <c r="G123" s="14"/>
      <c r="H123" s="14"/>
    </row>
    <row r="124" spans="1:8" x14ac:dyDescent="0.25">
      <c r="A124" s="3"/>
      <c r="B124" s="3"/>
      <c r="C124" s="3"/>
      <c r="D124" s="3"/>
      <c r="G124" s="14"/>
      <c r="H124" s="14"/>
    </row>
    <row r="125" spans="1:8" x14ac:dyDescent="0.25">
      <c r="A125" s="3"/>
      <c r="B125" s="3"/>
      <c r="C125" s="3"/>
      <c r="D125" s="3"/>
      <c r="G125" s="14"/>
      <c r="H125" s="14"/>
    </row>
    <row r="126" spans="1:8" x14ac:dyDescent="0.25">
      <c r="A126" s="18"/>
      <c r="B126" s="3"/>
      <c r="C126" s="3"/>
      <c r="D126" s="3"/>
      <c r="G126" s="14"/>
      <c r="H126" s="14"/>
    </row>
    <row r="127" spans="1:8" x14ac:dyDescent="0.25">
      <c r="A127" s="3"/>
      <c r="B127" s="3"/>
      <c r="C127" s="3"/>
      <c r="D127" s="3"/>
      <c r="G127" s="14"/>
      <c r="H127" s="14"/>
    </row>
    <row r="128" spans="1:8" x14ac:dyDescent="0.25">
      <c r="A128" s="3"/>
      <c r="B128" s="3"/>
      <c r="C128" s="3"/>
      <c r="D128" s="3"/>
      <c r="G128" s="14"/>
      <c r="H128" s="14"/>
    </row>
    <row r="129" spans="1:8" x14ac:dyDescent="0.25">
      <c r="A129" s="3"/>
      <c r="B129" s="3"/>
      <c r="C129" s="3"/>
      <c r="D129" s="3"/>
      <c r="G129" s="14"/>
      <c r="H129" s="14"/>
    </row>
    <row r="130" spans="1:8" x14ac:dyDescent="0.25">
      <c r="A130" s="3"/>
      <c r="B130" s="3"/>
      <c r="C130" s="3"/>
      <c r="D130" s="3"/>
      <c r="G130" s="14"/>
      <c r="H130" s="14"/>
    </row>
    <row r="131" spans="1:8" x14ac:dyDescent="0.25">
      <c r="A131" s="3"/>
      <c r="B131" s="3"/>
      <c r="C131" s="3"/>
      <c r="D131" s="3"/>
      <c r="G131" s="14"/>
      <c r="H131" s="14"/>
    </row>
    <row r="132" spans="1:8" x14ac:dyDescent="0.25">
      <c r="A132" s="3"/>
      <c r="B132" s="3"/>
      <c r="C132" s="3"/>
      <c r="D132" s="3"/>
      <c r="G132" s="14"/>
      <c r="H132" s="14"/>
    </row>
    <row r="133" spans="1:8" x14ac:dyDescent="0.25">
      <c r="A133" s="3"/>
      <c r="B133" s="3"/>
      <c r="C133" s="3"/>
      <c r="D133" s="3"/>
      <c r="G133" s="14"/>
      <c r="H133" s="14"/>
    </row>
    <row r="134" spans="1:8" x14ac:dyDescent="0.25">
      <c r="A134" s="3"/>
      <c r="B134" s="3"/>
      <c r="C134" s="3"/>
      <c r="D134" s="3"/>
      <c r="G134" s="14"/>
      <c r="H134" s="14"/>
    </row>
    <row r="135" spans="1:8" x14ac:dyDescent="0.25">
      <c r="A135" s="3"/>
      <c r="B135" s="3"/>
      <c r="C135" s="3"/>
      <c r="D135" s="3"/>
      <c r="G135" s="14"/>
      <c r="H135" s="14"/>
    </row>
    <row r="136" spans="1:8" x14ac:dyDescent="0.25">
      <c r="A136" s="3"/>
      <c r="B136" s="3"/>
      <c r="C136" s="3"/>
      <c r="D136" s="3"/>
      <c r="G136" s="14"/>
      <c r="H136" s="14"/>
    </row>
    <row r="137" spans="1:8" x14ac:dyDescent="0.25">
      <c r="A137" s="3"/>
      <c r="B137" s="3"/>
      <c r="C137" s="3"/>
      <c r="D137" s="3"/>
      <c r="G137" s="14"/>
      <c r="H137" s="14"/>
    </row>
    <row r="138" spans="1:8" x14ac:dyDescent="0.25">
      <c r="A138" s="3"/>
      <c r="B138" s="3"/>
      <c r="C138" s="3"/>
      <c r="D138" s="3"/>
      <c r="G138" s="14"/>
      <c r="H138" s="14"/>
    </row>
    <row r="139" spans="1:8" x14ac:dyDescent="0.25">
      <c r="A139" s="3"/>
      <c r="B139" s="3"/>
      <c r="C139" s="3"/>
      <c r="D139" s="3"/>
      <c r="G139" s="14"/>
      <c r="H139" s="14"/>
    </row>
    <row r="140" spans="1:8" x14ac:dyDescent="0.25">
      <c r="A140" s="3"/>
      <c r="B140" s="3"/>
      <c r="C140" s="3"/>
      <c r="D140" s="3"/>
      <c r="G140" s="14"/>
      <c r="H140" s="14"/>
    </row>
    <row r="141" spans="1:8" x14ac:dyDescent="0.25">
      <c r="A141" s="3"/>
      <c r="B141" s="3"/>
      <c r="C141" s="3"/>
      <c r="D141" s="3"/>
      <c r="G141" s="14"/>
      <c r="H141" s="14"/>
    </row>
    <row r="142" spans="1:8" x14ac:dyDescent="0.25">
      <c r="A142" s="3"/>
      <c r="B142" s="3"/>
      <c r="C142" s="3"/>
      <c r="D142" s="3"/>
      <c r="G142" s="14"/>
      <c r="H142" s="14"/>
    </row>
    <row r="143" spans="1:8" x14ac:dyDescent="0.25">
      <c r="A143" s="3"/>
      <c r="B143" s="3"/>
      <c r="C143" s="3"/>
      <c r="D143" s="3"/>
      <c r="G143" s="14"/>
      <c r="H143" s="14"/>
    </row>
    <row r="144" spans="1:8" x14ac:dyDescent="0.25">
      <c r="A144" s="3"/>
      <c r="B144" s="3"/>
      <c r="C144" s="3"/>
      <c r="D144" s="3"/>
      <c r="G144" s="14"/>
      <c r="H144" s="14"/>
    </row>
    <row r="145" spans="1:8" x14ac:dyDescent="0.25">
      <c r="A145" s="3"/>
      <c r="B145" s="3"/>
      <c r="C145" s="3"/>
      <c r="D145" s="3"/>
      <c r="G145" s="14"/>
      <c r="H145" s="14"/>
    </row>
    <row r="146" spans="1:8" x14ac:dyDescent="0.25">
      <c r="A146" s="3"/>
      <c r="B146" s="3"/>
      <c r="C146" s="3"/>
      <c r="D146" s="3"/>
      <c r="G146" s="14"/>
      <c r="H146" s="14"/>
    </row>
    <row r="147" spans="1:8" x14ac:dyDescent="0.25">
      <c r="A147" s="3"/>
      <c r="B147" s="3"/>
      <c r="C147" s="3"/>
      <c r="D147" s="3"/>
      <c r="G147" s="14"/>
      <c r="H147" s="14"/>
    </row>
    <row r="148" spans="1:8" x14ac:dyDescent="0.25">
      <c r="A148" s="3"/>
      <c r="B148" s="3"/>
      <c r="C148" s="3"/>
      <c r="D148" s="3"/>
      <c r="G148" s="14"/>
      <c r="H148" s="14"/>
    </row>
    <row r="149" spans="1:8" x14ac:dyDescent="0.25">
      <c r="A149" s="3"/>
      <c r="B149" s="3"/>
      <c r="C149" s="3"/>
      <c r="D149" s="3"/>
      <c r="G149" s="14"/>
      <c r="H149" s="14"/>
    </row>
    <row r="150" spans="1:8" x14ac:dyDescent="0.25">
      <c r="A150" s="3"/>
      <c r="B150" s="3"/>
      <c r="C150" s="3"/>
      <c r="D150" s="3"/>
      <c r="G150" s="14"/>
      <c r="H150" s="14"/>
    </row>
    <row r="151" spans="1:8" x14ac:dyDescent="0.25">
      <c r="A151" s="3"/>
      <c r="B151" s="3"/>
      <c r="C151" s="3"/>
      <c r="D151" s="3"/>
      <c r="G151" s="14"/>
      <c r="H151" s="14"/>
    </row>
    <row r="152" spans="1:8" x14ac:dyDescent="0.25">
      <c r="A152" s="3"/>
      <c r="B152" s="3"/>
      <c r="C152" s="3"/>
      <c r="D152" s="3"/>
      <c r="G152" s="14"/>
      <c r="H152" s="14"/>
    </row>
    <row r="153" spans="1:8" x14ac:dyDescent="0.25">
      <c r="A153" s="3"/>
      <c r="B153" s="3"/>
      <c r="C153" s="3"/>
      <c r="D153" s="3"/>
      <c r="G153" s="14"/>
      <c r="H153" s="14"/>
    </row>
    <row r="154" spans="1:8" x14ac:dyDescent="0.25">
      <c r="A154" s="3"/>
      <c r="B154" s="3"/>
      <c r="C154" s="3"/>
      <c r="D154" s="3"/>
      <c r="G154" s="14"/>
      <c r="H154" s="14"/>
    </row>
    <row r="155" spans="1:8" x14ac:dyDescent="0.25">
      <c r="A155" s="3"/>
      <c r="B155" s="3"/>
      <c r="C155" s="3"/>
      <c r="D155" s="3"/>
      <c r="G155" s="14"/>
      <c r="H155" s="14"/>
    </row>
    <row r="156" spans="1:8" x14ac:dyDescent="0.25">
      <c r="A156" s="3"/>
      <c r="B156" s="3"/>
      <c r="C156" s="3"/>
      <c r="D156" s="3"/>
      <c r="G156" s="14"/>
      <c r="H156" s="14"/>
    </row>
    <row r="157" spans="1:8" x14ac:dyDescent="0.25">
      <c r="A157" s="3"/>
      <c r="B157" s="3"/>
      <c r="C157" s="3"/>
      <c r="D157" s="3"/>
      <c r="G157" s="14"/>
      <c r="H157" s="14"/>
    </row>
    <row r="158" spans="1:8" x14ac:dyDescent="0.25">
      <c r="A158" s="3"/>
      <c r="B158" s="3"/>
      <c r="C158" s="3"/>
      <c r="D158" s="3"/>
      <c r="G158" s="14"/>
      <c r="H158" s="14"/>
    </row>
    <row r="159" spans="1:8" x14ac:dyDescent="0.25">
      <c r="A159" s="3"/>
      <c r="B159" s="3"/>
      <c r="C159" s="3"/>
      <c r="D159" s="3"/>
      <c r="G159" s="14"/>
      <c r="H159" s="14"/>
    </row>
    <row r="160" spans="1:8" x14ac:dyDescent="0.25">
      <c r="A160" s="3"/>
      <c r="B160" s="3"/>
      <c r="C160" s="3"/>
      <c r="D160" s="3"/>
      <c r="G160" s="14"/>
      <c r="H160" s="14"/>
    </row>
    <row r="161" spans="1:8" x14ac:dyDescent="0.25">
      <c r="A161" s="3"/>
      <c r="B161" s="3"/>
      <c r="C161" s="3"/>
      <c r="D161" s="3"/>
      <c r="G161" s="14"/>
      <c r="H161" s="14"/>
    </row>
    <row r="162" spans="1:8" x14ac:dyDescent="0.25">
      <c r="A162" s="3"/>
      <c r="B162" s="3"/>
      <c r="C162" s="3"/>
      <c r="D162" s="3"/>
      <c r="G162" s="14"/>
      <c r="H162" s="14"/>
    </row>
    <row r="163" spans="1:8" x14ac:dyDescent="0.25">
      <c r="A163" s="3"/>
      <c r="B163" s="3"/>
      <c r="C163" s="3"/>
      <c r="D163" s="3"/>
      <c r="G163" s="14"/>
      <c r="H163" s="14"/>
    </row>
    <row r="164" spans="1:8" x14ac:dyDescent="0.25">
      <c r="A164" s="3"/>
      <c r="B164" s="3"/>
      <c r="C164" s="3"/>
      <c r="D164" s="3"/>
      <c r="G164" s="14"/>
      <c r="H164" s="14"/>
    </row>
    <row r="165" spans="1:8" x14ac:dyDescent="0.25">
      <c r="A165" s="3"/>
      <c r="B165" s="3"/>
      <c r="C165" s="3"/>
      <c r="D165" s="3"/>
      <c r="G165" s="14"/>
      <c r="H165" s="14"/>
    </row>
    <row r="166" spans="1:8" x14ac:dyDescent="0.25">
      <c r="A166" s="3"/>
      <c r="B166" s="3"/>
      <c r="C166" s="3"/>
      <c r="D166" s="3"/>
      <c r="G166" s="14"/>
      <c r="H166" s="14"/>
    </row>
    <row r="167" spans="1:8" x14ac:dyDescent="0.25">
      <c r="A167" s="3"/>
      <c r="B167" s="3"/>
      <c r="C167" s="3"/>
      <c r="D167" s="3"/>
      <c r="G167" s="14"/>
      <c r="H167" s="14"/>
    </row>
    <row r="168" spans="1:8" x14ac:dyDescent="0.25">
      <c r="A168" s="3"/>
      <c r="B168" s="3"/>
      <c r="C168" s="3"/>
      <c r="D168" s="3"/>
      <c r="G168" s="14"/>
      <c r="H168" s="14"/>
    </row>
    <row r="169" spans="1:8" x14ac:dyDescent="0.25">
      <c r="A169" s="3"/>
      <c r="B169" s="3"/>
      <c r="C169" s="3"/>
      <c r="D169" s="3"/>
      <c r="G169" s="14"/>
      <c r="H169" s="14"/>
    </row>
    <row r="170" spans="1:8" x14ac:dyDescent="0.25">
      <c r="A170" s="3"/>
      <c r="B170" s="3"/>
      <c r="C170" s="3"/>
      <c r="D170" s="3"/>
      <c r="G170" s="14"/>
      <c r="H170" s="14"/>
    </row>
    <row r="171" spans="1:8" x14ac:dyDescent="0.25">
      <c r="A171" s="3"/>
      <c r="B171" s="3"/>
      <c r="C171" s="3"/>
      <c r="D171" s="3"/>
      <c r="G171" s="14"/>
      <c r="H171" s="14"/>
    </row>
    <row r="172" spans="1:8" x14ac:dyDescent="0.25">
      <c r="A172" s="3"/>
      <c r="B172" s="3"/>
      <c r="C172" s="3"/>
      <c r="D172" s="3"/>
      <c r="G172" s="14"/>
      <c r="H172" s="14"/>
    </row>
    <row r="173" spans="1:8" x14ac:dyDescent="0.25">
      <c r="A173" s="3"/>
      <c r="B173" s="3"/>
      <c r="C173" s="3"/>
      <c r="D173" s="3"/>
      <c r="G173" s="14"/>
      <c r="H173" s="14"/>
    </row>
    <row r="174" spans="1:8" x14ac:dyDescent="0.25">
      <c r="A174" s="3"/>
      <c r="B174" s="3"/>
      <c r="C174" s="3"/>
      <c r="D174" s="3"/>
      <c r="G174" s="14"/>
      <c r="H174" s="14"/>
    </row>
    <row r="175" spans="1:8" x14ac:dyDescent="0.25">
      <c r="A175" s="3"/>
      <c r="B175" s="3"/>
      <c r="C175" s="3"/>
      <c r="D175" s="3"/>
      <c r="G175" s="14"/>
      <c r="H175" s="14"/>
    </row>
    <row r="176" spans="1:8" x14ac:dyDescent="0.25">
      <c r="A176" s="3"/>
      <c r="B176" s="3"/>
      <c r="C176" s="3"/>
      <c r="D176" s="3"/>
      <c r="G176" s="14"/>
      <c r="H176" s="14"/>
    </row>
    <row r="177" spans="1:8" x14ac:dyDescent="0.25">
      <c r="A177" s="3"/>
      <c r="B177" s="3"/>
      <c r="C177" s="3"/>
      <c r="D177" s="3"/>
      <c r="G177" s="14"/>
      <c r="H177" s="14"/>
    </row>
    <row r="178" spans="1:8" x14ac:dyDescent="0.25">
      <c r="A178" s="3"/>
      <c r="B178" s="3"/>
      <c r="C178" s="3"/>
      <c r="D178" s="3"/>
      <c r="G178" s="14"/>
      <c r="H178" s="14"/>
    </row>
    <row r="179" spans="1:8" x14ac:dyDescent="0.25">
      <c r="A179" s="3"/>
      <c r="B179" s="3"/>
      <c r="C179" s="3"/>
      <c r="D179" s="3"/>
      <c r="G179" s="14"/>
      <c r="H179" s="14"/>
    </row>
    <row r="180" spans="1:8" x14ac:dyDescent="0.25">
      <c r="A180" s="3"/>
      <c r="B180" s="3"/>
      <c r="C180" s="3"/>
      <c r="D180" s="3"/>
      <c r="G180" s="14"/>
      <c r="H180" s="14"/>
    </row>
    <row r="181" spans="1:8" x14ac:dyDescent="0.25">
      <c r="A181" s="3"/>
      <c r="B181" s="3"/>
      <c r="C181" s="3"/>
      <c r="D181" s="3"/>
      <c r="G181" s="14"/>
      <c r="H181" s="14"/>
    </row>
    <row r="182" spans="1:8" x14ac:dyDescent="0.25">
      <c r="A182" s="3"/>
      <c r="B182" s="3"/>
      <c r="C182" s="3"/>
      <c r="D182" s="3"/>
      <c r="G182" s="14"/>
      <c r="H182" s="14"/>
    </row>
    <row r="183" spans="1:8" x14ac:dyDescent="0.25">
      <c r="A183" s="3"/>
      <c r="B183" s="3"/>
      <c r="C183" s="3"/>
      <c r="D183" s="3"/>
      <c r="G183" s="14"/>
      <c r="H183" s="14"/>
    </row>
    <row r="184" spans="1:8" x14ac:dyDescent="0.25">
      <c r="A184" s="3"/>
      <c r="B184" s="3"/>
      <c r="C184" s="3"/>
      <c r="D184" s="3"/>
      <c r="G184" s="14"/>
      <c r="H184" s="14"/>
    </row>
    <row r="185" spans="1:8" x14ac:dyDescent="0.25">
      <c r="A185" s="3"/>
      <c r="B185" s="3"/>
      <c r="C185" s="3"/>
      <c r="D185" s="3"/>
      <c r="G185" s="14"/>
      <c r="H185" s="14"/>
    </row>
    <row r="186" spans="1:8" x14ac:dyDescent="0.25">
      <c r="A186" s="3"/>
      <c r="B186" s="3"/>
      <c r="C186" s="3"/>
      <c r="D186" s="3"/>
      <c r="G186" s="14"/>
      <c r="H186" s="14"/>
    </row>
    <row r="187" spans="1:8" x14ac:dyDescent="0.25">
      <c r="A187" s="3"/>
      <c r="B187" s="3"/>
      <c r="C187" s="3"/>
      <c r="D187" s="3"/>
      <c r="G187" s="14"/>
      <c r="H187" s="14"/>
    </row>
    <row r="188" spans="1:8" x14ac:dyDescent="0.25">
      <c r="A188" s="3"/>
      <c r="B188" s="3"/>
      <c r="C188" s="3"/>
      <c r="D188" s="3"/>
      <c r="G188" s="14"/>
      <c r="H188" s="14"/>
    </row>
    <row r="189" spans="1:8" x14ac:dyDescent="0.25">
      <c r="A189" s="3"/>
      <c r="B189" s="3"/>
      <c r="C189" s="3"/>
      <c r="D189" s="3"/>
      <c r="G189" s="14"/>
      <c r="H189" s="14"/>
    </row>
    <row r="190" spans="1:8" x14ac:dyDescent="0.25">
      <c r="A190" s="3"/>
      <c r="B190" s="3"/>
      <c r="C190" s="3"/>
      <c r="D190" s="3"/>
      <c r="G190" s="14"/>
      <c r="H190" s="14"/>
    </row>
    <row r="191" spans="1:8" x14ac:dyDescent="0.25">
      <c r="A191" s="3"/>
      <c r="B191" s="3"/>
      <c r="C191" s="3"/>
      <c r="D191" s="3"/>
      <c r="G191" s="14"/>
      <c r="H191" s="14"/>
    </row>
    <row r="192" spans="1:8" x14ac:dyDescent="0.25">
      <c r="A192" s="3"/>
      <c r="B192" s="3"/>
      <c r="C192" s="3"/>
      <c r="D192" s="3"/>
      <c r="G192" s="14"/>
      <c r="H192" s="14"/>
    </row>
    <row r="193" spans="1:8" x14ac:dyDescent="0.25">
      <c r="A193" s="3"/>
      <c r="B193" s="3"/>
      <c r="C193" s="3"/>
      <c r="D193" s="3"/>
      <c r="G193" s="14"/>
      <c r="H193" s="14"/>
    </row>
    <row r="194" spans="1:8" x14ac:dyDescent="0.25">
      <c r="A194" s="3"/>
      <c r="B194" s="3"/>
      <c r="C194" s="3"/>
      <c r="D194" s="3"/>
      <c r="G194" s="14"/>
      <c r="H194" s="14"/>
    </row>
    <row r="195" spans="1:8" x14ac:dyDescent="0.25">
      <c r="A195" s="3"/>
      <c r="B195" s="3"/>
      <c r="C195" s="3"/>
      <c r="D195" s="3"/>
      <c r="G195" s="14"/>
      <c r="H195" s="14"/>
    </row>
    <row r="196" spans="1:8" x14ac:dyDescent="0.25">
      <c r="A196" s="3"/>
      <c r="B196" s="3"/>
      <c r="C196" s="3"/>
      <c r="D196" s="3"/>
      <c r="G196" s="14"/>
      <c r="H196" s="14"/>
    </row>
    <row r="197" spans="1:8" x14ac:dyDescent="0.25">
      <c r="A197" s="3"/>
      <c r="B197" s="3"/>
      <c r="C197" s="3"/>
      <c r="D197" s="3"/>
      <c r="G197" s="14"/>
      <c r="H197" s="14"/>
    </row>
    <row r="198" spans="1:8" x14ac:dyDescent="0.25">
      <c r="A198" s="3"/>
      <c r="B198" s="3"/>
      <c r="C198" s="3"/>
      <c r="D198" s="3"/>
      <c r="G198" s="14"/>
      <c r="H198" s="14"/>
    </row>
    <row r="199" spans="1:8" x14ac:dyDescent="0.25">
      <c r="A199" s="3"/>
      <c r="B199" s="3"/>
      <c r="C199" s="3"/>
      <c r="D199" s="3"/>
      <c r="G199" s="14"/>
      <c r="H199" s="14"/>
    </row>
    <row r="200" spans="1:8" x14ac:dyDescent="0.25">
      <c r="A200" s="3"/>
      <c r="B200" s="3"/>
      <c r="C200" s="3"/>
      <c r="D200" s="3"/>
      <c r="G200" s="14"/>
      <c r="H200" s="14"/>
    </row>
    <row r="201" spans="1:8" x14ac:dyDescent="0.25">
      <c r="A201" s="3"/>
      <c r="B201" s="3"/>
      <c r="C201" s="3"/>
      <c r="D201" s="3"/>
      <c r="G201" s="14"/>
      <c r="H201" s="14"/>
    </row>
    <row r="202" spans="1:8" x14ac:dyDescent="0.25">
      <c r="A202" s="3"/>
      <c r="B202" s="3"/>
      <c r="C202" s="3"/>
      <c r="D202" s="3"/>
      <c r="G202" s="14"/>
      <c r="H202" s="14"/>
    </row>
    <row r="203" spans="1:8" x14ac:dyDescent="0.25">
      <c r="A203" s="3"/>
      <c r="B203" s="3"/>
      <c r="C203" s="3"/>
      <c r="D203" s="3"/>
      <c r="G203" s="14"/>
      <c r="H203" s="14"/>
    </row>
    <row r="204" spans="1:8" x14ac:dyDescent="0.25">
      <c r="A204" s="3"/>
      <c r="B204" s="3"/>
      <c r="C204" s="3"/>
      <c r="D204" s="3"/>
      <c r="G204" s="14"/>
      <c r="H204" s="14"/>
    </row>
    <row r="205" spans="1:8" x14ac:dyDescent="0.25">
      <c r="A205" s="3"/>
      <c r="B205" s="3"/>
      <c r="C205" s="3"/>
      <c r="D205" s="3"/>
      <c r="G205" s="14"/>
      <c r="H205" s="14"/>
    </row>
    <row r="206" spans="1:8" x14ac:dyDescent="0.25">
      <c r="A206" s="3"/>
      <c r="B206" s="3"/>
      <c r="C206" s="3"/>
      <c r="D206" s="3"/>
      <c r="G206" s="14"/>
      <c r="H206" s="14"/>
    </row>
    <row r="207" spans="1:8" x14ac:dyDescent="0.25">
      <c r="A207" s="3"/>
      <c r="B207" s="3"/>
      <c r="C207" s="3"/>
      <c r="D207" s="3"/>
      <c r="G207" s="14"/>
      <c r="H207" s="14"/>
    </row>
    <row r="208" spans="1:8" x14ac:dyDescent="0.25">
      <c r="A208" s="3"/>
      <c r="B208" s="3"/>
      <c r="C208" s="3"/>
      <c r="D208" s="3"/>
      <c r="G208" s="14"/>
      <c r="H208" s="14"/>
    </row>
    <row r="209" spans="1:8" x14ac:dyDescent="0.25">
      <c r="A209" s="3"/>
      <c r="B209" s="3"/>
      <c r="C209" s="3"/>
      <c r="D209" s="3"/>
      <c r="G209" s="14"/>
      <c r="H209" s="14"/>
    </row>
    <row r="210" spans="1:8" x14ac:dyDescent="0.25">
      <c r="A210" s="3"/>
      <c r="B210" s="3"/>
      <c r="C210" s="3"/>
      <c r="D210" s="3"/>
      <c r="G210" s="14"/>
      <c r="H210" s="14"/>
    </row>
    <row r="211" spans="1:8" x14ac:dyDescent="0.25">
      <c r="A211" s="3"/>
      <c r="B211" s="3"/>
      <c r="C211" s="3"/>
      <c r="D211" s="3"/>
      <c r="G211" s="14"/>
      <c r="H211" s="14"/>
    </row>
    <row r="212" spans="1:8" x14ac:dyDescent="0.25">
      <c r="A212" s="3"/>
      <c r="B212" s="3"/>
      <c r="C212" s="3"/>
      <c r="D212" s="3"/>
      <c r="G212" s="14"/>
      <c r="H212" s="14"/>
    </row>
    <row r="213" spans="1:8" x14ac:dyDescent="0.25">
      <c r="A213" s="3"/>
      <c r="B213" s="3"/>
      <c r="C213" s="3"/>
      <c r="D213" s="3"/>
      <c r="G213" s="14"/>
      <c r="H213" s="14"/>
    </row>
    <row r="214" spans="1:8" x14ac:dyDescent="0.25">
      <c r="A214" s="3"/>
      <c r="B214" s="3"/>
      <c r="C214" s="3"/>
      <c r="D214" s="3"/>
      <c r="G214" s="14"/>
      <c r="H214" s="14"/>
    </row>
    <row r="215" spans="1:8" x14ac:dyDescent="0.25">
      <c r="A215" s="3"/>
      <c r="B215" s="3"/>
      <c r="C215" s="3"/>
      <c r="D215" s="3"/>
      <c r="G215" s="14"/>
      <c r="H215" s="14"/>
    </row>
    <row r="216" spans="1:8" x14ac:dyDescent="0.25">
      <c r="A216" s="3"/>
      <c r="B216" s="3"/>
      <c r="C216" s="3"/>
      <c r="D216" s="3"/>
      <c r="G216" s="14"/>
      <c r="H216" s="14"/>
    </row>
    <row r="217" spans="1:8" x14ac:dyDescent="0.25">
      <c r="A217" s="3"/>
      <c r="B217" s="3"/>
      <c r="C217" s="3"/>
      <c r="D217" s="3"/>
      <c r="G217" s="14"/>
      <c r="H217" s="14"/>
    </row>
    <row r="218" spans="1:8" x14ac:dyDescent="0.25">
      <c r="A218" s="3"/>
      <c r="B218" s="3"/>
      <c r="C218" s="3"/>
      <c r="D218" s="3"/>
      <c r="G218" s="14"/>
      <c r="H218" s="14"/>
    </row>
    <row r="219" spans="1:8" x14ac:dyDescent="0.25">
      <c r="A219" s="3"/>
      <c r="B219" s="3"/>
      <c r="C219" s="3"/>
      <c r="D219" s="3"/>
      <c r="G219" s="14"/>
      <c r="H219" s="14"/>
    </row>
    <row r="220" spans="1:8" x14ac:dyDescent="0.25">
      <c r="A220" s="3"/>
      <c r="B220" s="3"/>
      <c r="C220" s="3"/>
      <c r="D220" s="3"/>
      <c r="G220" s="14"/>
      <c r="H220" s="14"/>
    </row>
    <row r="221" spans="1:8" x14ac:dyDescent="0.25">
      <c r="A221" s="3"/>
      <c r="B221" s="3"/>
      <c r="C221" s="3"/>
      <c r="D221" s="3"/>
      <c r="G221" s="14"/>
      <c r="H221" s="14"/>
    </row>
    <row r="222" spans="1:8" x14ac:dyDescent="0.25">
      <c r="A222" s="3"/>
      <c r="B222" s="3"/>
      <c r="C222" s="3"/>
      <c r="D222" s="3"/>
      <c r="G222" s="14"/>
      <c r="H222" s="14"/>
    </row>
    <row r="223" spans="1:8" x14ac:dyDescent="0.25">
      <c r="A223" s="3"/>
      <c r="B223" s="3"/>
      <c r="C223" s="3"/>
      <c r="D223" s="3"/>
      <c r="G223" s="14"/>
      <c r="H223" s="14"/>
    </row>
    <row r="224" spans="1:8" x14ac:dyDescent="0.25">
      <c r="A224" s="3"/>
      <c r="B224" s="3"/>
      <c r="C224" s="3"/>
      <c r="D224" s="3"/>
      <c r="G224" s="14"/>
      <c r="H224" s="14"/>
    </row>
    <row r="225" spans="1:8" x14ac:dyDescent="0.25">
      <c r="A225" s="3"/>
      <c r="B225" s="3"/>
      <c r="C225" s="3"/>
      <c r="D225" s="3"/>
      <c r="G225" s="14"/>
      <c r="H225" s="14"/>
    </row>
    <row r="226" spans="1:8" x14ac:dyDescent="0.25">
      <c r="A226" s="3"/>
      <c r="B226" s="3"/>
      <c r="C226" s="3"/>
      <c r="D226" s="3"/>
      <c r="G226" s="14"/>
      <c r="H226" s="14"/>
    </row>
    <row r="227" spans="1:8" x14ac:dyDescent="0.25">
      <c r="A227" s="3"/>
      <c r="B227" s="3"/>
      <c r="C227" s="3"/>
      <c r="D227" s="3"/>
      <c r="G227" s="14"/>
      <c r="H227" s="14"/>
    </row>
    <row r="228" spans="1:8" x14ac:dyDescent="0.25">
      <c r="A228" s="3"/>
      <c r="B228" s="3"/>
      <c r="C228" s="3"/>
      <c r="D228" s="3"/>
      <c r="G228" s="14"/>
      <c r="H228" s="14"/>
    </row>
    <row r="229" spans="1:8" x14ac:dyDescent="0.25">
      <c r="A229" s="3"/>
      <c r="B229" s="3"/>
      <c r="C229" s="3"/>
      <c r="D229" s="3"/>
      <c r="G229" s="14"/>
      <c r="H229" s="14"/>
    </row>
    <row r="230" spans="1:8" x14ac:dyDescent="0.25">
      <c r="A230" s="3"/>
      <c r="B230" s="3"/>
      <c r="C230" s="3"/>
      <c r="D230" s="3"/>
      <c r="G230" s="14"/>
      <c r="H230" s="14"/>
    </row>
    <row r="231" spans="1:8" x14ac:dyDescent="0.25">
      <c r="A231" s="3"/>
      <c r="B231" s="3"/>
      <c r="C231" s="3"/>
      <c r="D231" s="3"/>
      <c r="G231" s="14"/>
      <c r="H231" s="14"/>
    </row>
    <row r="232" spans="1:8" x14ac:dyDescent="0.25">
      <c r="A232" s="3"/>
      <c r="B232" s="3"/>
      <c r="C232" s="3"/>
      <c r="D232" s="3"/>
      <c r="G232" s="14"/>
      <c r="H232" s="14"/>
    </row>
    <row r="233" spans="1:8" x14ac:dyDescent="0.25">
      <c r="A233" s="3"/>
      <c r="B233" s="3"/>
      <c r="C233" s="3"/>
      <c r="D233" s="3"/>
      <c r="G233" s="14"/>
      <c r="H233" s="14"/>
    </row>
    <row r="234" spans="1:8" x14ac:dyDescent="0.25">
      <c r="A234" s="3"/>
      <c r="B234" s="3"/>
      <c r="C234" s="3"/>
      <c r="D234" s="3"/>
      <c r="G234" s="14"/>
      <c r="H234" s="14"/>
    </row>
    <row r="235" spans="1:8" x14ac:dyDescent="0.25">
      <c r="A235" s="3"/>
      <c r="B235" s="3"/>
      <c r="C235" s="3"/>
      <c r="D235" s="3"/>
      <c r="G235" s="14"/>
      <c r="H235" s="14"/>
    </row>
    <row r="236" spans="1:8" x14ac:dyDescent="0.25">
      <c r="A236" s="3"/>
      <c r="B236" s="3"/>
      <c r="C236" s="3"/>
      <c r="D236" s="3"/>
      <c r="G236" s="14"/>
      <c r="H236" s="14"/>
    </row>
    <row r="237" spans="1:8" x14ac:dyDescent="0.25">
      <c r="A237" s="3"/>
      <c r="B237" s="3"/>
      <c r="C237" s="3"/>
      <c r="D237" s="3"/>
      <c r="G237" s="14"/>
      <c r="H237" s="14"/>
    </row>
    <row r="238" spans="1:8" x14ac:dyDescent="0.25">
      <c r="A238" s="3"/>
      <c r="B238" s="3"/>
      <c r="C238" s="3"/>
      <c r="D238" s="3"/>
      <c r="G238" s="14"/>
      <c r="H238" s="14"/>
    </row>
    <row r="239" spans="1:8" x14ac:dyDescent="0.25">
      <c r="A239" s="3"/>
      <c r="B239" s="3"/>
      <c r="C239" s="3"/>
      <c r="D239" s="3"/>
      <c r="G239" s="14"/>
      <c r="H239" s="14"/>
    </row>
    <row r="240" spans="1:8" x14ac:dyDescent="0.25">
      <c r="A240" s="3"/>
      <c r="B240" s="3"/>
      <c r="C240" s="3"/>
      <c r="D240" s="3"/>
      <c r="G240" s="14"/>
      <c r="H240" s="14"/>
    </row>
    <row r="241" spans="1:8" x14ac:dyDescent="0.25">
      <c r="A241" s="3"/>
      <c r="B241" s="3"/>
      <c r="C241" s="3"/>
      <c r="D241" s="3"/>
      <c r="G241" s="14"/>
      <c r="H241" s="14"/>
    </row>
    <row r="242" spans="1:8" x14ac:dyDescent="0.25">
      <c r="A242" s="3"/>
      <c r="B242" s="3"/>
      <c r="C242" s="3"/>
      <c r="D242" s="3"/>
      <c r="G242" s="14"/>
      <c r="H242" s="14"/>
    </row>
    <row r="243" spans="1:8" x14ac:dyDescent="0.25">
      <c r="A243" s="3"/>
      <c r="B243" s="3"/>
      <c r="C243" s="3"/>
      <c r="D243" s="3"/>
      <c r="G243" s="14"/>
      <c r="H243" s="14"/>
    </row>
    <row r="244" spans="1:8" x14ac:dyDescent="0.25">
      <c r="A244" s="3"/>
      <c r="B244" s="3"/>
      <c r="C244" s="3"/>
      <c r="D244" s="3"/>
      <c r="G244" s="14"/>
      <c r="H244" s="14"/>
    </row>
    <row r="245" spans="1:8" x14ac:dyDescent="0.25">
      <c r="A245" s="3"/>
      <c r="B245" s="3"/>
      <c r="C245" s="3"/>
      <c r="D245" s="3"/>
      <c r="G245" s="14"/>
      <c r="H245" s="14"/>
    </row>
    <row r="247" spans="1:8" x14ac:dyDescent="0.25">
      <c r="A247" s="3"/>
      <c r="G247" s="14"/>
      <c r="H247" s="14"/>
    </row>
  </sheetData>
  <phoneticPr fontId="1" type="noConversion"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44D56B-230B-4C9D-BC68-8CFBDE9DEB08}">
  <sheetPr/>
  <dimension ref="A1:I247"/>
  <sheetViews>
    <sheetView zoomScale="115" zoomScaleNormal="115" workbookViewId="0">
      <selection activeCell="A5" sqref="A5:H98"/>
    </sheetView>
  </sheetViews>
  <sheetFormatPr defaultRowHeight="15" x14ac:dyDescent="0.25"/>
  <cols>
    <col min="1" max="1" width="8.875" style="4" customWidth="1"/>
    <col min="2" max="3" width="15.125" style="4" customWidth="1"/>
    <col min="4" max="4" width="10.25" style="4" customWidth="1"/>
    <col min="5" max="5" width="12" style="13" customWidth="1"/>
    <col min="6" max="6" width="15" style="13" customWidth="1"/>
    <col min="7" max="7" width="13.875" customWidth="1"/>
    <col min="8" max="8" width="11.125" customWidth="1"/>
    <col min="11" max="12" width="15.125" customWidth="1"/>
    <col min="13" max="13" width="11.125" customWidth="1"/>
  </cols>
  <sheetData>
    <row r="1" spans="1:9" ht="14.25" x14ac:dyDescent="0.2">
      <c r="A1" s="2" t="s">
        <v>12</v>
      </c>
      <c r="B1" s="2" t="s">
        <v>4</v>
      </c>
      <c r="C1" s="2" t="s">
        <v>5</v>
      </c>
      <c r="D1" s="2" t="s">
        <v>13</v>
      </c>
      <c r="E1" s="2" t="s">
        <v>14</v>
      </c>
      <c r="F1" s="2" t="s">
        <v>15</v>
      </c>
      <c r="G1" s="2" t="s">
        <v>16</v>
      </c>
    </row>
    <row r="2" spans="1:9" x14ac:dyDescent="0.25">
      <c r="A2" s="11">
        <v>12</v>
      </c>
      <c r="B2" s="3">
        <v>113.434842</v>
      </c>
      <c r="C2" s="8">
        <v>22.957812100000002</v>
      </c>
      <c r="D2" s="3">
        <v>1750</v>
      </c>
      <c r="E2" s="13">
        <v>1785</v>
      </c>
      <c r="F2" s="13">
        <v>5</v>
      </c>
      <c r="G2" s="19">
        <f>SUBTOTAL(2,A5:A250)</f>
        <v>32</v>
      </c>
    </row>
    <row r="3" spans="1:9" x14ac:dyDescent="0.25">
      <c r="A3" s="3"/>
      <c r="B3" s="3"/>
      <c r="C3" s="3"/>
      <c r="D3" s="3"/>
    </row>
    <row r="4" spans="1:9" ht="14.25" x14ac:dyDescent="0.2">
      <c r="A4" s="2" t="s">
        <v>0</v>
      </c>
      <c r="B4" s="2" t="s">
        <v>1</v>
      </c>
      <c r="C4" s="2" t="s">
        <v>2</v>
      </c>
      <c r="D4" s="2" t="s">
        <v>3</v>
      </c>
      <c r="E4" s="2" t="s">
        <v>7</v>
      </c>
      <c r="F4" s="2" t="s">
        <v>8</v>
      </c>
      <c r="G4" s="2" t="s">
        <v>13</v>
      </c>
      <c r="H4" s="2" t="s">
        <v>14</v>
      </c>
      <c r="I4" s="24" t="s">
        <v>20</v>
      </c>
    </row>
    <row r="5" spans="1:9" x14ac:dyDescent="0.25">
      <c r="A5" s="3">
        <v>2798</v>
      </c>
      <c r="B5" s="3">
        <v>113.43513280000001</v>
      </c>
      <c r="C5" s="3">
        <v>22.9569832</v>
      </c>
      <c r="D5" s="3">
        <v>12</v>
      </c>
      <c r="E5" s="13">
        <f t="shared" ref="E5:E36" si="0">SQRT((B5-$B$2)^2+(C5-$C$2)^2)</f>
        <v>8.7843033303972528E-4</v>
      </c>
      <c r="F5" s="13">
        <f t="shared" ref="F5:F36" si="1">SQRT(1/E5)</f>
        <v>33.740097870106368</v>
      </c>
      <c r="G5" s="14">
        <f>F5/$F$101*$D$2</f>
        <v>139.95644644304176</v>
      </c>
      <c r="H5" s="14">
        <f>F5/$F$101*$E$2</f>
        <v>142.75557537190261</v>
      </c>
      <c r="I5" s="25" t="str">
        <f>IF(MOD(ROW()-1,3)=1,"选中","")</f>
        <v>选中</v>
      </c>
    </row>
    <row r="6" spans="1:9" hidden="1" x14ac:dyDescent="0.25">
      <c r="A6" s="3">
        <v>2787</v>
      </c>
      <c r="B6" s="3">
        <v>113.4355597</v>
      </c>
      <c r="C6" s="3">
        <v>22.95707788</v>
      </c>
      <c r="D6" s="3">
        <v>12</v>
      </c>
      <c r="E6" s="13">
        <f t="shared" si="0"/>
        <v>1.0267289313135709E-3</v>
      </c>
      <c r="F6" s="13">
        <f t="shared" si="1"/>
        <v>31.208442855767231</v>
      </c>
      <c r="G6" s="14" t="e">
        <f>F6/$F$124*$D$2</f>
        <v>#DIV/0!</v>
      </c>
      <c r="H6" s="14" t="e">
        <f>F6/$F$124*$E$2</f>
        <v>#DIV/0!</v>
      </c>
      <c r="I6" s="25" t="str">
        <f t="shared" ref="I6:I69" si="2">IF(MOD(ROW()-1,3)=1,"选中","")</f>
        <v/>
      </c>
    </row>
    <row r="7" spans="1:9" hidden="1" x14ac:dyDescent="0.25">
      <c r="A7" s="3">
        <v>2788</v>
      </c>
      <c r="B7" s="3">
        <v>113.43420089999999</v>
      </c>
      <c r="C7" s="3">
        <v>22.958865849999999</v>
      </c>
      <c r="D7" s="3">
        <v>12</v>
      </c>
      <c r="E7" s="13">
        <f t="shared" si="0"/>
        <v>1.2334497446213021E-3</v>
      </c>
      <c r="F7" s="13">
        <f t="shared" si="1"/>
        <v>28.473396137504931</v>
      </c>
      <c r="G7" s="14" t="e">
        <f>F7/$F$124*$D$2</f>
        <v>#DIV/0!</v>
      </c>
      <c r="H7" s="14" t="e">
        <f>F7/$F$124*$E$2</f>
        <v>#DIV/0!</v>
      </c>
      <c r="I7" s="25" t="str">
        <f t="shared" si="2"/>
        <v/>
      </c>
    </row>
    <row r="8" spans="1:9" x14ac:dyDescent="0.25">
      <c r="A8" s="3">
        <v>2786</v>
      </c>
      <c r="B8" s="3">
        <v>113.43489219999999</v>
      </c>
      <c r="C8" s="3">
        <v>22.9590839</v>
      </c>
      <c r="D8" s="3">
        <v>12</v>
      </c>
      <c r="E8" s="13">
        <f t="shared" si="0"/>
        <v>1.2727903519407435E-3</v>
      </c>
      <c r="F8" s="13">
        <f t="shared" si="1"/>
        <v>28.029900925349242</v>
      </c>
      <c r="G8" s="14">
        <f>F8/$F$101*$D$2</f>
        <v>116.27012294881767</v>
      </c>
      <c r="H8" s="14">
        <f>F8/$F$101*$E$2</f>
        <v>118.59552540779403</v>
      </c>
      <c r="I8" s="25" t="str">
        <f t="shared" si="2"/>
        <v>选中</v>
      </c>
    </row>
    <row r="9" spans="1:9" hidden="1" x14ac:dyDescent="0.25">
      <c r="A9" s="3">
        <v>2789</v>
      </c>
      <c r="B9" s="3">
        <v>113.4343834</v>
      </c>
      <c r="C9" s="3">
        <v>22.956527149999999</v>
      </c>
      <c r="D9" s="3">
        <v>12</v>
      </c>
      <c r="E9" s="13">
        <f t="shared" si="0"/>
        <v>1.3643351723485963E-3</v>
      </c>
      <c r="F9" s="13">
        <f t="shared" si="1"/>
        <v>27.073191943741044</v>
      </c>
      <c r="G9" s="14" t="e">
        <f>F9/$F$124*$D$2</f>
        <v>#DIV/0!</v>
      </c>
      <c r="H9" s="14" t="e">
        <f>F9/$F$124*$E$2</f>
        <v>#DIV/0!</v>
      </c>
      <c r="I9" s="25" t="str">
        <f t="shared" si="2"/>
        <v/>
      </c>
    </row>
    <row r="10" spans="1:9" hidden="1" x14ac:dyDescent="0.25">
      <c r="A10" s="3">
        <v>2781</v>
      </c>
      <c r="B10" s="3">
        <v>113.4336078</v>
      </c>
      <c r="C10" s="3">
        <v>22.95848204</v>
      </c>
      <c r="D10" s="3">
        <v>12</v>
      </c>
      <c r="E10" s="13">
        <f t="shared" si="0"/>
        <v>1.4043038288044675E-3</v>
      </c>
      <c r="F10" s="13">
        <f t="shared" si="1"/>
        <v>26.685138427941471</v>
      </c>
      <c r="G10" s="14" t="e">
        <f>F10/$F$124*$D$2</f>
        <v>#DIV/0!</v>
      </c>
      <c r="H10" s="14" t="e">
        <f>F10/$F$124*$E$2</f>
        <v>#DIV/0!</v>
      </c>
      <c r="I10" s="25" t="str">
        <f t="shared" si="2"/>
        <v/>
      </c>
    </row>
    <row r="11" spans="1:9" x14ac:dyDescent="0.25">
      <c r="A11" s="3">
        <v>2785</v>
      </c>
      <c r="B11" s="3">
        <v>113.43316</v>
      </c>
      <c r="C11" s="3">
        <v>22.957104910000002</v>
      </c>
      <c r="D11" s="3">
        <v>12</v>
      </c>
      <c r="E11" s="13">
        <f t="shared" si="0"/>
        <v>1.8246209732730909E-3</v>
      </c>
      <c r="F11" s="13">
        <f t="shared" si="1"/>
        <v>23.41066059725949</v>
      </c>
      <c r="G11" s="14">
        <f>F11/$F$101*$D$2</f>
        <v>97.109168997980944</v>
      </c>
      <c r="H11" s="14">
        <f>F11/$F$101*$E$2</f>
        <v>99.05135237794056</v>
      </c>
      <c r="I11" s="25" t="str">
        <f t="shared" si="2"/>
        <v>选中</v>
      </c>
    </row>
    <row r="12" spans="1:9" hidden="1" x14ac:dyDescent="0.25">
      <c r="A12" s="3">
        <v>2797</v>
      </c>
      <c r="B12" s="3">
        <v>113.43289540000001</v>
      </c>
      <c r="C12" s="3">
        <v>22.958299969999999</v>
      </c>
      <c r="D12" s="3">
        <v>12</v>
      </c>
      <c r="E12" s="13">
        <f t="shared" si="0"/>
        <v>2.0068055951894823E-3</v>
      </c>
      <c r="F12" s="13">
        <f t="shared" si="1"/>
        <v>22.322732159944586</v>
      </c>
      <c r="G12" s="14" t="e">
        <f>F12/$F$124*$D$2</f>
        <v>#DIV/0!</v>
      </c>
      <c r="H12" s="14" t="e">
        <f>F12/$F$124*$E$2</f>
        <v>#DIV/0!</v>
      </c>
      <c r="I12" s="25" t="str">
        <f t="shared" si="2"/>
        <v/>
      </c>
    </row>
    <row r="13" spans="1:9" hidden="1" x14ac:dyDescent="0.25">
      <c r="A13" s="3">
        <v>2784</v>
      </c>
      <c r="B13" s="3">
        <v>113.43707569999999</v>
      </c>
      <c r="C13" s="3">
        <v>22.958440929999998</v>
      </c>
      <c r="D13" s="3">
        <v>12</v>
      </c>
      <c r="E13" s="13">
        <f t="shared" si="0"/>
        <v>2.3205264184780485E-3</v>
      </c>
      <c r="F13" s="13">
        <f t="shared" si="1"/>
        <v>20.759014939895842</v>
      </c>
      <c r="G13" s="14" t="e">
        <f>F13/$F$124*$D$2</f>
        <v>#DIV/0!</v>
      </c>
      <c r="H13" s="14" t="e">
        <f>F13/$F$124*$E$2</f>
        <v>#DIV/0!</v>
      </c>
      <c r="I13" s="25" t="str">
        <f t="shared" si="2"/>
        <v/>
      </c>
    </row>
    <row r="14" spans="1:9" x14ac:dyDescent="0.25">
      <c r="A14" s="3">
        <v>2783</v>
      </c>
      <c r="B14" s="3">
        <v>113.43406950000001</v>
      </c>
      <c r="C14" s="3">
        <v>22.960021139999998</v>
      </c>
      <c r="D14" s="3">
        <v>12</v>
      </c>
      <c r="E14" s="13">
        <f t="shared" si="0"/>
        <v>2.3402166505647223E-3</v>
      </c>
      <c r="F14" s="13">
        <f t="shared" si="1"/>
        <v>20.671498844303549</v>
      </c>
      <c r="G14" s="14">
        <f>F14/$F$101*$D$2</f>
        <v>85.746921423824816</v>
      </c>
      <c r="H14" s="14">
        <f>F14/$F$101*$E$2</f>
        <v>87.461859852301316</v>
      </c>
      <c r="I14" s="25" t="str">
        <f t="shared" si="2"/>
        <v>选中</v>
      </c>
    </row>
    <row r="15" spans="1:9" hidden="1" x14ac:dyDescent="0.25">
      <c r="A15" s="3">
        <v>2782</v>
      </c>
      <c r="B15" s="3">
        <v>113.4336988</v>
      </c>
      <c r="C15" s="3">
        <v>22.960042519999998</v>
      </c>
      <c r="D15" s="3">
        <v>12</v>
      </c>
      <c r="E15" s="13">
        <f t="shared" si="0"/>
        <v>2.50632791477642E-3</v>
      </c>
      <c r="F15" s="13">
        <f t="shared" si="1"/>
        <v>19.974736290770561</v>
      </c>
      <c r="G15" s="14" t="e">
        <f>F15/$F$124*$D$2</f>
        <v>#DIV/0!</v>
      </c>
      <c r="H15" s="14" t="e">
        <f>F15/$F$124*$E$2</f>
        <v>#DIV/0!</v>
      </c>
      <c r="I15" s="25" t="str">
        <f t="shared" si="2"/>
        <v/>
      </c>
    </row>
    <row r="16" spans="1:9" hidden="1" x14ac:dyDescent="0.25">
      <c r="A16" s="3">
        <v>2801</v>
      </c>
      <c r="B16" s="3">
        <v>113.43774620000001</v>
      </c>
      <c r="C16" s="3">
        <v>22.957012729999999</v>
      </c>
      <c r="D16" s="3">
        <v>12</v>
      </c>
      <c r="E16" s="13">
        <f t="shared" si="0"/>
        <v>3.0122035185098962E-3</v>
      </c>
      <c r="F16" s="13">
        <f t="shared" si="1"/>
        <v>18.220397368295746</v>
      </c>
      <c r="G16" s="14" t="e">
        <f>F16/$F$124*$D$2</f>
        <v>#DIV/0!</v>
      </c>
      <c r="H16" s="14" t="e">
        <f>F16/$F$124*$E$2</f>
        <v>#DIV/0!</v>
      </c>
      <c r="I16" s="25" t="str">
        <f t="shared" si="2"/>
        <v/>
      </c>
    </row>
    <row r="17" spans="1:9" x14ac:dyDescent="0.25">
      <c r="A17" s="3">
        <v>2793</v>
      </c>
      <c r="B17" s="3">
        <v>113.4336096</v>
      </c>
      <c r="C17" s="3">
        <v>22.960574149999999</v>
      </c>
      <c r="D17" s="3">
        <v>12</v>
      </c>
      <c r="E17" s="13">
        <f t="shared" si="0"/>
        <v>3.0245214435514513E-3</v>
      </c>
      <c r="F17" s="13">
        <f t="shared" si="1"/>
        <v>18.183256538653435</v>
      </c>
      <c r="G17" s="14">
        <f>F17/$F$101*$D$2</f>
        <v>75.425506461464096</v>
      </c>
      <c r="H17" s="14">
        <f>F17/$F$101*$E$2</f>
        <v>76.934016590693375</v>
      </c>
      <c r="I17" s="25" t="str">
        <f t="shared" si="2"/>
        <v>选中</v>
      </c>
    </row>
    <row r="18" spans="1:9" hidden="1" x14ac:dyDescent="0.25">
      <c r="A18" s="3">
        <v>2794</v>
      </c>
      <c r="B18" s="3">
        <v>113.4338164</v>
      </c>
      <c r="C18" s="3">
        <v>22.95474398</v>
      </c>
      <c r="D18" s="3">
        <v>12</v>
      </c>
      <c r="E18" s="13">
        <f t="shared" si="0"/>
        <v>3.2349985617341859E-3</v>
      </c>
      <c r="F18" s="13">
        <f t="shared" si="1"/>
        <v>17.581784558232069</v>
      </c>
      <c r="G18" s="14" t="e">
        <f>F18/$F$124*$D$2</f>
        <v>#DIV/0!</v>
      </c>
      <c r="H18" s="14" t="e">
        <f>F18/$F$124*$E$2</f>
        <v>#DIV/0!</v>
      </c>
      <c r="I18" s="25" t="str">
        <f t="shared" si="2"/>
        <v/>
      </c>
    </row>
    <row r="19" spans="1:9" hidden="1" x14ac:dyDescent="0.25">
      <c r="A19" s="3">
        <v>2791</v>
      </c>
      <c r="B19" s="3">
        <v>113.43443619999999</v>
      </c>
      <c r="C19" s="3">
        <v>22.96109328</v>
      </c>
      <c r="D19" s="3">
        <v>12</v>
      </c>
      <c r="E19" s="13">
        <f t="shared" si="0"/>
        <v>3.3061784332363482E-3</v>
      </c>
      <c r="F19" s="13">
        <f t="shared" si="1"/>
        <v>17.391492576117088</v>
      </c>
      <c r="G19" s="14" t="e">
        <f>F19/$F$124*$D$2</f>
        <v>#DIV/0!</v>
      </c>
      <c r="H19" s="14" t="e">
        <f>F19/$F$124*$E$2</f>
        <v>#DIV/0!</v>
      </c>
      <c r="I19" s="25" t="str">
        <f t="shared" si="2"/>
        <v/>
      </c>
    </row>
    <row r="20" spans="1:9" x14ac:dyDescent="0.25">
      <c r="A20" s="3">
        <v>2796</v>
      </c>
      <c r="B20" s="3">
        <v>113.432581</v>
      </c>
      <c r="C20" s="3">
        <v>22.95528676</v>
      </c>
      <c r="D20" s="3">
        <v>12</v>
      </c>
      <c r="E20" s="13">
        <f t="shared" si="0"/>
        <v>3.3896110566890374E-3</v>
      </c>
      <c r="F20" s="13">
        <f t="shared" si="1"/>
        <v>17.176120022521811</v>
      </c>
      <c r="G20" s="14">
        <f>F20/$F$101*$D$2</f>
        <v>71.247828956690356</v>
      </c>
      <c r="H20" s="14">
        <f>F20/$F$101*$E$2</f>
        <v>72.672785535824161</v>
      </c>
      <c r="I20" s="25" t="str">
        <f t="shared" si="2"/>
        <v>选中</v>
      </c>
    </row>
    <row r="21" spans="1:9" hidden="1" x14ac:dyDescent="0.25">
      <c r="A21" s="3">
        <v>2764</v>
      </c>
      <c r="B21" s="3">
        <v>113.43147879999999</v>
      </c>
      <c r="C21" s="3">
        <v>22.958634610000001</v>
      </c>
      <c r="D21" s="3">
        <v>12</v>
      </c>
      <c r="E21" s="13">
        <f t="shared" si="0"/>
        <v>3.462316701309023E-3</v>
      </c>
      <c r="F21" s="13">
        <f t="shared" si="1"/>
        <v>16.994821390489662</v>
      </c>
      <c r="G21" s="14" t="e">
        <f>F21/$F$124*$D$2</f>
        <v>#DIV/0!</v>
      </c>
      <c r="H21" s="14" t="e">
        <f>F21/$F$124*$E$2</f>
        <v>#DIV/0!</v>
      </c>
      <c r="I21" s="25" t="str">
        <f t="shared" si="2"/>
        <v/>
      </c>
    </row>
    <row r="22" spans="1:9" hidden="1" x14ac:dyDescent="0.25">
      <c r="A22" s="3">
        <v>2772</v>
      </c>
      <c r="B22" s="3">
        <v>113.4314347</v>
      </c>
      <c r="C22" s="3">
        <v>22.958843460000001</v>
      </c>
      <c r="D22" s="3">
        <v>12</v>
      </c>
      <c r="E22" s="13">
        <f t="shared" si="0"/>
        <v>3.5599714520822951E-3</v>
      </c>
      <c r="F22" s="13">
        <f t="shared" si="1"/>
        <v>16.760105279280314</v>
      </c>
      <c r="G22" s="14" t="e">
        <f>F22/$F$124*$D$2</f>
        <v>#DIV/0!</v>
      </c>
      <c r="H22" s="14" t="e">
        <f>F22/$F$124*$E$2</f>
        <v>#DIV/0!</v>
      </c>
      <c r="I22" s="25" t="str">
        <f t="shared" si="2"/>
        <v/>
      </c>
    </row>
    <row r="23" spans="1:9" x14ac:dyDescent="0.25">
      <c r="A23" s="3">
        <v>2779</v>
      </c>
      <c r="B23" s="3">
        <v>113.43105509999999</v>
      </c>
      <c r="C23" s="3">
        <v>22.957541429999999</v>
      </c>
      <c r="D23" s="3">
        <v>12</v>
      </c>
      <c r="E23" s="13">
        <f t="shared" si="0"/>
        <v>3.7965607935296422E-3</v>
      </c>
      <c r="F23" s="13">
        <f t="shared" si="1"/>
        <v>16.229488059828785</v>
      </c>
      <c r="G23" s="14">
        <f>F23/$F$101*$D$2</f>
        <v>67.321128859436016</v>
      </c>
      <c r="H23" s="14">
        <f>F23/$F$101*$E$2</f>
        <v>68.667551436624734</v>
      </c>
      <c r="I23" s="25" t="str">
        <f t="shared" si="2"/>
        <v>选中</v>
      </c>
    </row>
    <row r="24" spans="1:9" hidden="1" x14ac:dyDescent="0.25">
      <c r="A24" s="3">
        <v>2792</v>
      </c>
      <c r="B24" s="3">
        <v>113.4345754</v>
      </c>
      <c r="C24" s="3">
        <v>22.9615993</v>
      </c>
      <c r="D24" s="3">
        <v>12</v>
      </c>
      <c r="E24" s="13">
        <f t="shared" si="0"/>
        <v>3.7965720591061785E-3</v>
      </c>
      <c r="F24" s="13">
        <f t="shared" si="1"/>
        <v>16.229463980913298</v>
      </c>
      <c r="G24" s="14" t="e">
        <f>F24/$F$124*$D$2</f>
        <v>#DIV/0!</v>
      </c>
      <c r="H24" s="14" t="e">
        <f>F24/$F$124*$E$2</f>
        <v>#DIV/0!</v>
      </c>
      <c r="I24" s="25" t="str">
        <f t="shared" si="2"/>
        <v/>
      </c>
    </row>
    <row r="25" spans="1:9" hidden="1" x14ac:dyDescent="0.25">
      <c r="A25" s="3">
        <v>2746</v>
      </c>
      <c r="B25" s="3">
        <v>113.4313167</v>
      </c>
      <c r="C25" s="3">
        <v>22.956111440000001</v>
      </c>
      <c r="D25" s="3">
        <v>12</v>
      </c>
      <c r="E25" s="13">
        <f t="shared" si="0"/>
        <v>3.9140751813999813E-3</v>
      </c>
      <c r="F25" s="13">
        <f t="shared" si="1"/>
        <v>15.983998066345823</v>
      </c>
      <c r="G25" s="14" t="e">
        <f>F25/$F$124*$D$2</f>
        <v>#DIV/0!</v>
      </c>
      <c r="H25" s="14" t="e">
        <f>F25/$F$124*$E$2</f>
        <v>#DIV/0!</v>
      </c>
      <c r="I25" s="25" t="str">
        <f t="shared" si="2"/>
        <v/>
      </c>
    </row>
    <row r="26" spans="1:9" x14ac:dyDescent="0.25">
      <c r="A26" s="3">
        <v>2759</v>
      </c>
      <c r="B26" s="3">
        <v>113.43083369999999</v>
      </c>
      <c r="C26" s="3">
        <v>22.958061879999999</v>
      </c>
      <c r="D26" s="3">
        <v>12</v>
      </c>
      <c r="E26" s="13">
        <f t="shared" si="0"/>
        <v>4.01607506633963E-3</v>
      </c>
      <c r="F26" s="13">
        <f t="shared" si="1"/>
        <v>15.779712602379057</v>
      </c>
      <c r="G26" s="14">
        <f>F26/$F$101*$D$2</f>
        <v>65.455426662474395</v>
      </c>
      <c r="H26" s="14">
        <f>F26/$F$101*$E$2</f>
        <v>66.76453519572388</v>
      </c>
      <c r="I26" s="25" t="str">
        <f t="shared" si="2"/>
        <v>选中</v>
      </c>
    </row>
    <row r="27" spans="1:9" hidden="1" x14ac:dyDescent="0.25">
      <c r="A27" s="3">
        <v>2771</v>
      </c>
      <c r="B27" s="3">
        <v>113.4313077</v>
      </c>
      <c r="C27" s="3">
        <v>22.955763579999999</v>
      </c>
      <c r="D27" s="3">
        <v>12</v>
      </c>
      <c r="E27" s="13">
        <f t="shared" si="0"/>
        <v>4.0850594463726179E-3</v>
      </c>
      <c r="F27" s="13">
        <f t="shared" si="1"/>
        <v>15.645909346514703</v>
      </c>
      <c r="G27" s="14" t="e">
        <f>F27/$F$124*$D$2</f>
        <v>#DIV/0!</v>
      </c>
      <c r="H27" s="14" t="e">
        <f>F27/$F$124*$E$2</f>
        <v>#DIV/0!</v>
      </c>
      <c r="I27" s="25" t="str">
        <f t="shared" si="2"/>
        <v/>
      </c>
    </row>
    <row r="28" spans="1:9" hidden="1" x14ac:dyDescent="0.25">
      <c r="A28" s="3">
        <v>2777</v>
      </c>
      <c r="B28" s="3">
        <v>113.4313708</v>
      </c>
      <c r="C28" s="3">
        <v>22.9554638</v>
      </c>
      <c r="D28" s="3">
        <v>12</v>
      </c>
      <c r="E28" s="13">
        <f t="shared" si="0"/>
        <v>4.1909118733343374E-3</v>
      </c>
      <c r="F28" s="13">
        <f t="shared" si="1"/>
        <v>15.447056523724426</v>
      </c>
      <c r="G28" s="14" t="e">
        <f>F28/$F$124*$D$2</f>
        <v>#DIV/0!</v>
      </c>
      <c r="H28" s="14" t="e">
        <f>F28/$F$124*$E$2</f>
        <v>#DIV/0!</v>
      </c>
      <c r="I28" s="25" t="str">
        <f t="shared" si="2"/>
        <v/>
      </c>
    </row>
    <row r="29" spans="1:9" x14ac:dyDescent="0.25">
      <c r="A29" s="3">
        <v>2773</v>
      </c>
      <c r="B29" s="3">
        <v>113.43155179999999</v>
      </c>
      <c r="C29" s="3">
        <v>22.960637869999999</v>
      </c>
      <c r="D29" s="3">
        <v>12</v>
      </c>
      <c r="E29" s="13">
        <f t="shared" si="0"/>
        <v>4.3370948955432495E-3</v>
      </c>
      <c r="F29" s="13">
        <f t="shared" si="1"/>
        <v>15.184501461215419</v>
      </c>
      <c r="G29" s="14">
        <f>F29/$F$101*$D$2</f>
        <v>62.986446385023058</v>
      </c>
      <c r="H29" s="14">
        <f>F29/$F$101*$E$2</f>
        <v>64.246175312723523</v>
      </c>
      <c r="I29" s="25" t="str">
        <f t="shared" si="2"/>
        <v>选中</v>
      </c>
    </row>
    <row r="30" spans="1:9" hidden="1" x14ac:dyDescent="0.25">
      <c r="A30" s="3">
        <v>2763</v>
      </c>
      <c r="B30" s="3">
        <v>113.4305863</v>
      </c>
      <c r="C30" s="3">
        <v>22.956110339999999</v>
      </c>
      <c r="D30" s="3">
        <v>12</v>
      </c>
      <c r="E30" s="13">
        <f t="shared" si="0"/>
        <v>4.5833360762248844E-3</v>
      </c>
      <c r="F30" s="13">
        <f t="shared" si="1"/>
        <v>14.770974497682646</v>
      </c>
      <c r="G30" s="14" t="e">
        <f>F30/$F$124*$D$2</f>
        <v>#DIV/0!</v>
      </c>
      <c r="H30" s="14" t="e">
        <f>F30/$F$124*$E$2</f>
        <v>#DIV/0!</v>
      </c>
      <c r="I30" s="25" t="str">
        <f t="shared" si="2"/>
        <v/>
      </c>
    </row>
    <row r="31" spans="1:9" hidden="1" x14ac:dyDescent="0.25">
      <c r="A31" s="3">
        <v>2799</v>
      </c>
      <c r="B31" s="3">
        <v>113.43223450000001</v>
      </c>
      <c r="C31" s="3">
        <v>22.954017759999999</v>
      </c>
      <c r="D31" s="3">
        <v>12</v>
      </c>
      <c r="E31" s="13">
        <f t="shared" si="0"/>
        <v>4.6039192310030159E-3</v>
      </c>
      <c r="F31" s="13">
        <f t="shared" si="1"/>
        <v>14.737918549263533</v>
      </c>
      <c r="G31" s="14" t="e">
        <f>F31/$F$124*$D$2</f>
        <v>#DIV/0!</v>
      </c>
      <c r="H31" s="14" t="e">
        <f>F31/$F$124*$E$2</f>
        <v>#DIV/0!</v>
      </c>
      <c r="I31" s="25" t="str">
        <f t="shared" si="2"/>
        <v/>
      </c>
    </row>
    <row r="32" spans="1:9" x14ac:dyDescent="0.25">
      <c r="A32" s="3">
        <v>2776</v>
      </c>
      <c r="B32" s="3">
        <v>113.4302106</v>
      </c>
      <c r="C32" s="3">
        <v>22.956866460000001</v>
      </c>
      <c r="D32" s="3">
        <v>12</v>
      </c>
      <c r="E32" s="13">
        <f t="shared" si="0"/>
        <v>4.7269547247331322E-3</v>
      </c>
      <c r="F32" s="13">
        <f t="shared" si="1"/>
        <v>14.544851069674563</v>
      </c>
      <c r="G32" s="14">
        <f>F32/$F$101*$D$2</f>
        <v>60.333128777273146</v>
      </c>
      <c r="H32" s="14">
        <f>F32/$F$101*$E$2</f>
        <v>61.539791352818611</v>
      </c>
      <c r="I32" s="25" t="str">
        <f t="shared" si="2"/>
        <v>选中</v>
      </c>
    </row>
    <row r="33" spans="1:9" hidden="1" x14ac:dyDescent="0.25">
      <c r="A33" s="3">
        <v>2760</v>
      </c>
      <c r="B33" s="3">
        <v>113.4300234</v>
      </c>
      <c r="C33" s="3">
        <v>22.956095510000001</v>
      </c>
      <c r="D33" s="3">
        <v>12</v>
      </c>
      <c r="E33" s="13">
        <f t="shared" si="0"/>
        <v>5.1152309027230353E-3</v>
      </c>
      <c r="F33" s="13">
        <f t="shared" si="1"/>
        <v>13.981938214695695</v>
      </c>
      <c r="G33" s="14" t="e">
        <f>F33/$F$124*$D$2</f>
        <v>#DIV/0!</v>
      </c>
      <c r="H33" s="14" t="e">
        <f>F33/$F$124*$E$2</f>
        <v>#DIV/0!</v>
      </c>
      <c r="I33" s="25" t="str">
        <f t="shared" si="2"/>
        <v/>
      </c>
    </row>
    <row r="34" spans="1:9" hidden="1" x14ac:dyDescent="0.25">
      <c r="A34" s="3">
        <v>2790</v>
      </c>
      <c r="B34" s="3">
        <v>113.4389515</v>
      </c>
      <c r="C34" s="3">
        <v>22.960927229999999</v>
      </c>
      <c r="D34" s="3">
        <v>12</v>
      </c>
      <c r="E34" s="13">
        <f t="shared" si="0"/>
        <v>5.1567455984246873E-3</v>
      </c>
      <c r="F34" s="13">
        <f t="shared" si="1"/>
        <v>13.925543258373496</v>
      </c>
      <c r="G34" s="14" t="e">
        <f>F34/$F$124*$D$2</f>
        <v>#DIV/0!</v>
      </c>
      <c r="H34" s="14" t="e">
        <f>F34/$F$124*$E$2</f>
        <v>#DIV/0!</v>
      </c>
      <c r="I34" s="25" t="str">
        <f t="shared" si="2"/>
        <v/>
      </c>
    </row>
    <row r="35" spans="1:9" x14ac:dyDescent="0.25">
      <c r="A35" s="3">
        <v>2775</v>
      </c>
      <c r="B35" s="3">
        <v>113.4302919</v>
      </c>
      <c r="C35" s="3">
        <v>22.955079340000001</v>
      </c>
      <c r="D35" s="3">
        <v>12</v>
      </c>
      <c r="E35" s="13">
        <f t="shared" si="0"/>
        <v>5.3076724868468417E-3</v>
      </c>
      <c r="F35" s="13">
        <f t="shared" si="1"/>
        <v>13.726124750983491</v>
      </c>
      <c r="G35" s="14">
        <f>F35/$F$101*$D$2</f>
        <v>56.936990846241279</v>
      </c>
      <c r="H35" s="14">
        <f>F35/$F$101*$E$2</f>
        <v>58.075730663166105</v>
      </c>
      <c r="I35" s="25" t="str">
        <f t="shared" si="2"/>
        <v>选中</v>
      </c>
    </row>
    <row r="36" spans="1:9" hidden="1" x14ac:dyDescent="0.25">
      <c r="A36" s="3">
        <v>2762</v>
      </c>
      <c r="B36" s="3">
        <v>113.43062810000001</v>
      </c>
      <c r="C36" s="3">
        <v>22.961067280000002</v>
      </c>
      <c r="D36" s="3">
        <v>12</v>
      </c>
      <c r="E36" s="13">
        <f t="shared" si="0"/>
        <v>5.3247676045409921E-3</v>
      </c>
      <c r="F36" s="13">
        <f t="shared" si="1"/>
        <v>13.704073238723309</v>
      </c>
      <c r="G36" s="14" t="e">
        <f>F36/$F$124*$D$2</f>
        <v>#DIV/0!</v>
      </c>
      <c r="H36" s="14" t="e">
        <f>F36/$F$124*$E$2</f>
        <v>#DIV/0!</v>
      </c>
      <c r="I36" s="25" t="str">
        <f t="shared" si="2"/>
        <v/>
      </c>
    </row>
    <row r="37" spans="1:9" hidden="1" x14ac:dyDescent="0.25">
      <c r="A37" s="3">
        <v>2778</v>
      </c>
      <c r="B37" s="3">
        <v>113.4310353</v>
      </c>
      <c r="C37" s="3">
        <v>22.954010910000001</v>
      </c>
      <c r="D37" s="3">
        <v>12</v>
      </c>
      <c r="E37" s="13">
        <f t="shared" ref="E37:E68" si="3">SQRT((B37-$B$2)^2+(C37-$C$2)^2)</f>
        <v>5.37959202041323E-3</v>
      </c>
      <c r="F37" s="13">
        <f t="shared" ref="F37:F68" si="4">SQRT(1/E37)</f>
        <v>13.634064042045454</v>
      </c>
      <c r="G37" s="14" t="e">
        <f>F37/$F$124*$D$2</f>
        <v>#DIV/0!</v>
      </c>
      <c r="H37" s="14" t="e">
        <f>F37/$F$124*$E$2</f>
        <v>#DIV/0!</v>
      </c>
      <c r="I37" s="25" t="str">
        <f t="shared" si="2"/>
        <v/>
      </c>
    </row>
    <row r="38" spans="1:9" x14ac:dyDescent="0.25">
      <c r="A38" s="3">
        <v>2770</v>
      </c>
      <c r="B38" s="3">
        <v>113.43000240000001</v>
      </c>
      <c r="C38" s="3">
        <v>22.95519986</v>
      </c>
      <c r="D38" s="3">
        <v>12</v>
      </c>
      <c r="E38" s="13">
        <f t="shared" si="3"/>
        <v>5.4995932556486373E-3</v>
      </c>
      <c r="F38" s="13">
        <f t="shared" si="4"/>
        <v>13.4844958714407</v>
      </c>
      <c r="G38" s="14">
        <f>F38/$F$101*$D$2</f>
        <v>55.934696203557827</v>
      </c>
      <c r="H38" s="14">
        <f>F38/$F$101*$E$2</f>
        <v>57.053390127628987</v>
      </c>
      <c r="I38" s="25" t="str">
        <f t="shared" si="2"/>
        <v>选中</v>
      </c>
    </row>
    <row r="39" spans="1:9" hidden="1" x14ac:dyDescent="0.25">
      <c r="A39" s="3">
        <v>3283</v>
      </c>
      <c r="B39" s="3">
        <v>113.4333847</v>
      </c>
      <c r="C39" s="3">
        <v>22.952403270000001</v>
      </c>
      <c r="D39" s="3">
        <v>12</v>
      </c>
      <c r="E39" s="13">
        <f t="shared" si="3"/>
        <v>5.6017109224681871E-3</v>
      </c>
      <c r="F39" s="13">
        <f t="shared" si="4"/>
        <v>13.361021209405203</v>
      </c>
      <c r="G39" s="14" t="e">
        <f>F39/$F$124*$D$2</f>
        <v>#DIV/0!</v>
      </c>
      <c r="H39" s="14" t="e">
        <f>F39/$F$124*$E$2</f>
        <v>#DIV/0!</v>
      </c>
      <c r="I39" s="25" t="str">
        <f t="shared" si="2"/>
        <v/>
      </c>
    </row>
    <row r="40" spans="1:9" hidden="1" x14ac:dyDescent="0.25">
      <c r="A40" s="3">
        <v>2749</v>
      </c>
      <c r="B40" s="3">
        <v>113.4293119</v>
      </c>
      <c r="C40" s="3">
        <v>22.958759329999999</v>
      </c>
      <c r="D40" s="3">
        <v>12</v>
      </c>
      <c r="E40" s="13">
        <f t="shared" si="3"/>
        <v>5.610637279570967E-3</v>
      </c>
      <c r="F40" s="13">
        <f t="shared" si="4"/>
        <v>13.350388484879804</v>
      </c>
      <c r="G40" s="14" t="e">
        <f>F40/$F$124*$D$2</f>
        <v>#DIV/0!</v>
      </c>
      <c r="H40" s="14" t="e">
        <f>F40/$F$124*$E$2</f>
        <v>#DIV/0!</v>
      </c>
      <c r="I40" s="25" t="str">
        <f t="shared" si="2"/>
        <v/>
      </c>
    </row>
    <row r="41" spans="1:9" x14ac:dyDescent="0.25">
      <c r="A41" s="3">
        <v>3287</v>
      </c>
      <c r="B41" s="3">
        <v>113.4320372</v>
      </c>
      <c r="C41" s="3">
        <v>22.95290692</v>
      </c>
      <c r="D41" s="3">
        <v>12</v>
      </c>
      <c r="E41" s="13">
        <f t="shared" si="3"/>
        <v>5.650459616036E-3</v>
      </c>
      <c r="F41" s="13">
        <f t="shared" si="4"/>
        <v>13.303261019113</v>
      </c>
      <c r="G41" s="14">
        <f>F41/$F$101*$D$2</f>
        <v>55.182920497362034</v>
      </c>
      <c r="H41" s="14">
        <f>F41/$F$101*$E$2</f>
        <v>56.286578907309277</v>
      </c>
      <c r="I41" s="25" t="str">
        <f t="shared" si="2"/>
        <v>选中</v>
      </c>
    </row>
    <row r="42" spans="1:9" hidden="1" x14ac:dyDescent="0.25">
      <c r="A42" s="3">
        <v>2755</v>
      </c>
      <c r="B42" s="3">
        <v>113.42982670000001</v>
      </c>
      <c r="C42" s="3">
        <v>22.96073024</v>
      </c>
      <c r="D42" s="3">
        <v>12</v>
      </c>
      <c r="E42" s="13">
        <f t="shared" si="3"/>
        <v>5.8024800860974135E-3</v>
      </c>
      <c r="F42" s="13">
        <f t="shared" si="4"/>
        <v>13.127836847530693</v>
      </c>
      <c r="G42" s="14" t="e">
        <f>F42/$F$124*$D$2</f>
        <v>#DIV/0!</v>
      </c>
      <c r="H42" s="14" t="e">
        <f>F42/$F$124*$E$2</f>
        <v>#DIV/0!</v>
      </c>
      <c r="I42" s="25" t="str">
        <f t="shared" si="2"/>
        <v/>
      </c>
    </row>
    <row r="43" spans="1:9" hidden="1" x14ac:dyDescent="0.25">
      <c r="A43" s="3">
        <v>2774</v>
      </c>
      <c r="B43" s="3">
        <v>113.4307197</v>
      </c>
      <c r="C43" s="3">
        <v>22.95370956</v>
      </c>
      <c r="D43" s="3">
        <v>12</v>
      </c>
      <c r="E43" s="13">
        <f t="shared" si="3"/>
        <v>5.8158569223857514E-3</v>
      </c>
      <c r="F43" s="13">
        <f t="shared" si="4"/>
        <v>13.112730731539633</v>
      </c>
      <c r="G43" s="14" t="e">
        <f>F43/$F$124*$D$2</f>
        <v>#DIV/0!</v>
      </c>
      <c r="H43" s="14" t="e">
        <f>F43/$F$124*$E$2</f>
        <v>#DIV/0!</v>
      </c>
      <c r="I43" s="25" t="str">
        <f t="shared" si="2"/>
        <v/>
      </c>
    </row>
    <row r="44" spans="1:9" x14ac:dyDescent="0.25">
      <c r="A44" s="3">
        <v>3284</v>
      </c>
      <c r="B44" s="3">
        <v>113.4328087</v>
      </c>
      <c r="C44" s="3">
        <v>22.952335380000001</v>
      </c>
      <c r="D44" s="3">
        <v>12</v>
      </c>
      <c r="E44" s="13">
        <f t="shared" si="3"/>
        <v>5.8419834686894252E-3</v>
      </c>
      <c r="F44" s="13">
        <f t="shared" si="4"/>
        <v>13.083376466765118</v>
      </c>
      <c r="G44" s="14">
        <f>F44/$F$101*$D$2</f>
        <v>54.270822948243946</v>
      </c>
      <c r="H44" s="14">
        <f>F44/$F$101*$E$2</f>
        <v>55.356239407208825</v>
      </c>
      <c r="I44" s="25" t="str">
        <f t="shared" si="2"/>
        <v>选中</v>
      </c>
    </row>
    <row r="45" spans="1:9" hidden="1" x14ac:dyDescent="0.25">
      <c r="A45" s="3">
        <v>2753</v>
      </c>
      <c r="B45" s="3">
        <v>113.42910670000001</v>
      </c>
      <c r="C45" s="3">
        <v>22.956339069999999</v>
      </c>
      <c r="D45" s="3">
        <v>12</v>
      </c>
      <c r="E45" s="13">
        <f t="shared" si="3"/>
        <v>5.921442684927716E-3</v>
      </c>
      <c r="F45" s="13">
        <f t="shared" si="4"/>
        <v>12.995297763110786</v>
      </c>
      <c r="G45" s="14" t="e">
        <f>F45/$F$124*$D$2</f>
        <v>#DIV/0!</v>
      </c>
      <c r="H45" s="14" t="e">
        <f>F45/$F$124*$E$2</f>
        <v>#DIV/0!</v>
      </c>
      <c r="I45" s="25" t="str">
        <f t="shared" si="2"/>
        <v/>
      </c>
    </row>
    <row r="46" spans="1:9" hidden="1" x14ac:dyDescent="0.25">
      <c r="A46" s="3">
        <v>2751</v>
      </c>
      <c r="B46" s="3">
        <v>113.4290965</v>
      </c>
      <c r="C46" s="3">
        <v>22.959319780000001</v>
      </c>
      <c r="D46" s="3">
        <v>12</v>
      </c>
      <c r="E46" s="13">
        <f t="shared" si="3"/>
        <v>5.940022662619773E-3</v>
      </c>
      <c r="F46" s="13">
        <f t="shared" si="4"/>
        <v>12.974957651324091</v>
      </c>
      <c r="G46" s="14" t="e">
        <f>F46/$F$124*$D$2</f>
        <v>#DIV/0!</v>
      </c>
      <c r="H46" s="14" t="e">
        <f>F46/$F$124*$E$2</f>
        <v>#DIV/0!</v>
      </c>
      <c r="I46" s="25" t="str">
        <f t="shared" si="2"/>
        <v/>
      </c>
    </row>
    <row r="47" spans="1:9" x14ac:dyDescent="0.25">
      <c r="A47" s="3">
        <v>2754</v>
      </c>
      <c r="B47" s="3">
        <v>113.42902359999999</v>
      </c>
      <c r="C47" s="3">
        <v>22.956073060000001</v>
      </c>
      <c r="D47" s="3">
        <v>12</v>
      </c>
      <c r="E47" s="13">
        <f t="shared" si="3"/>
        <v>6.072729096684098E-3</v>
      </c>
      <c r="F47" s="13">
        <f t="shared" si="4"/>
        <v>12.832404654758188</v>
      </c>
      <c r="G47" s="14">
        <f>F47/$F$101*$D$2</f>
        <v>53.229773123756566</v>
      </c>
      <c r="H47" s="14">
        <f>F47/$F$101*$E$2</f>
        <v>54.294368586231698</v>
      </c>
      <c r="I47" s="25" t="str">
        <f t="shared" si="2"/>
        <v>选中</v>
      </c>
    </row>
    <row r="48" spans="1:9" hidden="1" x14ac:dyDescent="0.25">
      <c r="A48" s="3">
        <v>3281</v>
      </c>
      <c r="B48" s="3">
        <v>113.4347044</v>
      </c>
      <c r="C48" s="3">
        <v>22.95145784</v>
      </c>
      <c r="D48" s="3">
        <v>12</v>
      </c>
      <c r="E48" s="13">
        <f t="shared" si="3"/>
        <v>6.3557496731404791E-3</v>
      </c>
      <c r="F48" s="13">
        <f t="shared" si="4"/>
        <v>12.543438594592974</v>
      </c>
      <c r="G48" s="14" t="e">
        <f>F48/$F$124*$D$2</f>
        <v>#DIV/0!</v>
      </c>
      <c r="H48" s="14" t="e">
        <f>F48/$F$124*$E$2</f>
        <v>#DIV/0!</v>
      </c>
      <c r="I48" s="25" t="str">
        <f t="shared" si="2"/>
        <v/>
      </c>
    </row>
    <row r="49" spans="1:9" hidden="1" x14ac:dyDescent="0.25">
      <c r="A49" s="3">
        <v>2745</v>
      </c>
      <c r="B49" s="3">
        <v>113.4284475</v>
      </c>
      <c r="C49" s="3">
        <v>22.958294299999999</v>
      </c>
      <c r="D49" s="3">
        <v>12</v>
      </c>
      <c r="E49" s="13">
        <f t="shared" si="3"/>
        <v>6.4126552293089813E-3</v>
      </c>
      <c r="F49" s="13">
        <f t="shared" si="4"/>
        <v>12.487659675744126</v>
      </c>
      <c r="G49" s="14" t="e">
        <f>F49/$F$124*$D$2</f>
        <v>#DIV/0!</v>
      </c>
      <c r="H49" s="14" t="e">
        <f>F49/$F$124*$E$2</f>
        <v>#DIV/0!</v>
      </c>
      <c r="I49" s="25" t="str">
        <f t="shared" si="2"/>
        <v/>
      </c>
    </row>
    <row r="50" spans="1:9" x14ac:dyDescent="0.25">
      <c r="A50" s="3">
        <v>2800</v>
      </c>
      <c r="B50" s="3">
        <v>113.43887119999999</v>
      </c>
      <c r="C50" s="3">
        <v>22.962866259999998</v>
      </c>
      <c r="D50" s="3">
        <v>12</v>
      </c>
      <c r="E50" s="13">
        <f t="shared" si="3"/>
        <v>6.4636666022848755E-3</v>
      </c>
      <c r="F50" s="13">
        <f t="shared" si="4"/>
        <v>12.438285650326677</v>
      </c>
      <c r="G50" s="14">
        <f>F50/$F$101*$D$2</f>
        <v>51.594938051604188</v>
      </c>
      <c r="H50" s="14">
        <f>F50/$F$101*$E$2</f>
        <v>52.626836812636277</v>
      </c>
      <c r="I50" s="25" t="str">
        <f t="shared" si="2"/>
        <v>选中</v>
      </c>
    </row>
    <row r="51" spans="1:9" hidden="1" x14ac:dyDescent="0.25">
      <c r="A51" s="3">
        <v>2765</v>
      </c>
      <c r="B51" s="3">
        <v>113.4290428</v>
      </c>
      <c r="C51" s="3">
        <v>22.954697679999999</v>
      </c>
      <c r="D51" s="3">
        <v>12</v>
      </c>
      <c r="E51" s="13">
        <f t="shared" si="3"/>
        <v>6.5825779582470347E-3</v>
      </c>
      <c r="F51" s="13">
        <f t="shared" si="4"/>
        <v>12.32542758353282</v>
      </c>
      <c r="G51" s="14" t="e">
        <f>F51/$F$124*$D$2</f>
        <v>#DIV/0!</v>
      </c>
      <c r="H51" s="14" t="e">
        <f>F51/$F$124*$E$2</f>
        <v>#DIV/0!</v>
      </c>
      <c r="I51" s="25" t="str">
        <f t="shared" si="2"/>
        <v/>
      </c>
    </row>
    <row r="52" spans="1:9" hidden="1" x14ac:dyDescent="0.25">
      <c r="A52" s="3">
        <v>2767</v>
      </c>
      <c r="B52" s="3">
        <v>113.4290498</v>
      </c>
      <c r="C52" s="3">
        <v>22.95430386</v>
      </c>
      <c r="D52" s="3">
        <v>12</v>
      </c>
      <c r="E52" s="13">
        <f t="shared" si="3"/>
        <v>6.7718039500296607E-3</v>
      </c>
      <c r="F52" s="13">
        <f t="shared" si="4"/>
        <v>12.152001425597302</v>
      </c>
      <c r="G52" s="14" t="e">
        <f>F52/$F$124*$D$2</f>
        <v>#DIV/0!</v>
      </c>
      <c r="H52" s="14" t="e">
        <f>F52/$F$124*$E$2</f>
        <v>#DIV/0!</v>
      </c>
      <c r="I52" s="25" t="str">
        <f t="shared" si="2"/>
        <v/>
      </c>
    </row>
    <row r="53" spans="1:9" x14ac:dyDescent="0.25">
      <c r="A53" s="3">
        <v>2795</v>
      </c>
      <c r="B53" s="3">
        <v>113.44106410000001</v>
      </c>
      <c r="C53" s="3">
        <v>22.96054036</v>
      </c>
      <c r="D53" s="3">
        <v>12</v>
      </c>
      <c r="E53" s="13">
        <f t="shared" si="3"/>
        <v>6.7939628375209577E-3</v>
      </c>
      <c r="F53" s="13">
        <f t="shared" si="4"/>
        <v>12.132168026347923</v>
      </c>
      <c r="G53" s="14">
        <f>F53/$F$101*$D$2</f>
        <v>50.325139279514303</v>
      </c>
      <c r="H53" s="14">
        <f>F53/$F$101*$E$2</f>
        <v>51.331642065104589</v>
      </c>
      <c r="I53" s="25" t="str">
        <f t="shared" si="2"/>
        <v>选中</v>
      </c>
    </row>
    <row r="54" spans="1:9" hidden="1" x14ac:dyDescent="0.25">
      <c r="A54" s="3">
        <v>3280</v>
      </c>
      <c r="B54" s="3">
        <v>113.4344299</v>
      </c>
      <c r="C54" s="3">
        <v>22.950947599999999</v>
      </c>
      <c r="D54" s="3">
        <v>12</v>
      </c>
      <c r="E54" s="13">
        <f t="shared" si="3"/>
        <v>6.8768587785440777E-3</v>
      </c>
      <c r="F54" s="13">
        <f t="shared" si="4"/>
        <v>12.05882373453038</v>
      </c>
      <c r="G54" s="14" t="e">
        <f>F54/$F$124*$D$2</f>
        <v>#DIV/0!</v>
      </c>
      <c r="H54" s="14" t="e">
        <f>F54/$F$124*$E$2</f>
        <v>#DIV/0!</v>
      </c>
      <c r="I54" s="25" t="str">
        <f t="shared" si="2"/>
        <v/>
      </c>
    </row>
    <row r="55" spans="1:9" hidden="1" x14ac:dyDescent="0.25">
      <c r="A55" s="3">
        <v>2744</v>
      </c>
      <c r="B55" s="3">
        <v>113.4281579</v>
      </c>
      <c r="C55" s="3">
        <v>22.959597330000001</v>
      </c>
      <c r="D55" s="3">
        <v>12</v>
      </c>
      <c r="E55" s="13">
        <f t="shared" si="3"/>
        <v>6.9183985836978462E-3</v>
      </c>
      <c r="F55" s="13">
        <f t="shared" si="4"/>
        <v>12.022567123820897</v>
      </c>
      <c r="G55" s="14" t="e">
        <f>F55/$F$124*$D$2</f>
        <v>#DIV/0!</v>
      </c>
      <c r="H55" s="14" t="e">
        <f>F55/$F$124*$E$2</f>
        <v>#DIV/0!</v>
      </c>
      <c r="I55" s="25" t="str">
        <f t="shared" si="2"/>
        <v/>
      </c>
    </row>
    <row r="56" spans="1:9" x14ac:dyDescent="0.25">
      <c r="A56" s="3">
        <v>2742</v>
      </c>
      <c r="B56" s="3">
        <v>113.42808479999999</v>
      </c>
      <c r="C56" s="3">
        <v>22.959316350000002</v>
      </c>
      <c r="D56" s="3">
        <v>12</v>
      </c>
      <c r="E56" s="13">
        <f t="shared" si="3"/>
        <v>6.9226093276041692E-3</v>
      </c>
      <c r="F56" s="13">
        <f t="shared" si="4"/>
        <v>12.018910146420634</v>
      </c>
      <c r="G56" s="14">
        <f>F56/$F$101*$D$2</f>
        <v>49.855337132901681</v>
      </c>
      <c r="H56" s="14">
        <f>F56/$F$101*$E$2</f>
        <v>50.852443875559715</v>
      </c>
      <c r="I56" s="25" t="str">
        <f t="shared" si="2"/>
        <v>选中</v>
      </c>
    </row>
    <row r="57" spans="1:9" hidden="1" x14ac:dyDescent="0.25">
      <c r="A57" s="3">
        <v>2761</v>
      </c>
      <c r="B57" s="3">
        <v>113.4279597</v>
      </c>
      <c r="C57" s="3">
        <v>22.958758419999999</v>
      </c>
      <c r="D57" s="3">
        <v>12</v>
      </c>
      <c r="E57" s="13">
        <f t="shared" si="3"/>
        <v>6.9470551194305901E-3</v>
      </c>
      <c r="F57" s="13">
        <f t="shared" si="4"/>
        <v>11.997745012592292</v>
      </c>
      <c r="G57" s="14" t="e">
        <f>F57/$F$124*$D$2</f>
        <v>#DIV/0!</v>
      </c>
      <c r="H57" s="14" t="e">
        <f>F57/$F$124*$E$2</f>
        <v>#DIV/0!</v>
      </c>
      <c r="I57" s="25" t="str">
        <f t="shared" si="2"/>
        <v/>
      </c>
    </row>
    <row r="58" spans="1:9" hidden="1" x14ac:dyDescent="0.25">
      <c r="A58" s="3">
        <v>2752</v>
      </c>
      <c r="B58" s="3">
        <v>113.42814009999999</v>
      </c>
      <c r="C58" s="3">
        <v>22.955946869999998</v>
      </c>
      <c r="D58" s="3">
        <v>12</v>
      </c>
      <c r="E58" s="13">
        <f t="shared" si="3"/>
        <v>6.9566189031058014E-3</v>
      </c>
      <c r="F58" s="13">
        <f t="shared" si="4"/>
        <v>11.989495078008227</v>
      </c>
      <c r="G58" s="14" t="e">
        <f>F58/$F$124*$D$2</f>
        <v>#DIV/0!</v>
      </c>
      <c r="H58" s="14" t="e">
        <f>F58/$F$124*$E$2</f>
        <v>#DIV/0!</v>
      </c>
      <c r="I58" s="25" t="str">
        <f t="shared" si="2"/>
        <v/>
      </c>
    </row>
    <row r="59" spans="1:9" x14ac:dyDescent="0.25">
      <c r="A59" s="3">
        <v>3279</v>
      </c>
      <c r="B59" s="3">
        <v>113.4355741</v>
      </c>
      <c r="C59" s="3">
        <v>22.950777599999999</v>
      </c>
      <c r="D59" s="3">
        <v>12</v>
      </c>
      <c r="E59" s="13">
        <f t="shared" si="3"/>
        <v>7.0724932421342597E-3</v>
      </c>
      <c r="F59" s="13">
        <f t="shared" si="4"/>
        <v>11.890872692015472</v>
      </c>
      <c r="G59" s="14">
        <f>F59/$F$101*$D$2</f>
        <v>49.324228207280093</v>
      </c>
      <c r="H59" s="14">
        <f>F59/$F$101*$E$2</f>
        <v>50.310712771425692</v>
      </c>
      <c r="I59" s="25" t="str">
        <f t="shared" si="2"/>
        <v>选中</v>
      </c>
    </row>
    <row r="60" spans="1:9" hidden="1" x14ac:dyDescent="0.25">
      <c r="A60" s="3">
        <v>2750</v>
      </c>
      <c r="B60" s="3">
        <v>113.4272955</v>
      </c>
      <c r="C60" s="3">
        <v>22.959832039999998</v>
      </c>
      <c r="D60" s="3">
        <v>12</v>
      </c>
      <c r="E60" s="13">
        <f t="shared" si="3"/>
        <v>7.8121584631676688E-3</v>
      </c>
      <c r="F60" s="13">
        <f t="shared" si="4"/>
        <v>11.313955806175795</v>
      </c>
      <c r="G60" s="14" t="e">
        <f>F60/$F$124*$D$2</f>
        <v>#DIV/0!</v>
      </c>
      <c r="H60" s="14" t="e">
        <f>F60/$F$124*$E$2</f>
        <v>#DIV/0!</v>
      </c>
      <c r="I60" s="25" t="str">
        <f t="shared" si="2"/>
        <v/>
      </c>
    </row>
    <row r="61" spans="1:9" hidden="1" x14ac:dyDescent="0.25">
      <c r="A61" s="3">
        <v>2747</v>
      </c>
      <c r="B61" s="3">
        <v>113.42691600000001</v>
      </c>
      <c r="C61" s="3">
        <v>22.957394570000002</v>
      </c>
      <c r="D61" s="3">
        <v>12</v>
      </c>
      <c r="E61" s="13">
        <f t="shared" si="3"/>
        <v>7.9369898135793811E-3</v>
      </c>
      <c r="F61" s="13">
        <f t="shared" si="4"/>
        <v>11.224631405266004</v>
      </c>
      <c r="G61" s="14" t="e">
        <f>F61/$F$124*$D$2</f>
        <v>#DIV/0!</v>
      </c>
      <c r="H61" s="14" t="e">
        <f>F61/$F$124*$E$2</f>
        <v>#DIV/0!</v>
      </c>
      <c r="I61" s="25" t="str">
        <f t="shared" si="2"/>
        <v/>
      </c>
    </row>
    <row r="62" spans="1:9" x14ac:dyDescent="0.25">
      <c r="A62" s="3">
        <v>2743</v>
      </c>
      <c r="B62" s="3">
        <v>113.426967</v>
      </c>
      <c r="C62" s="3">
        <v>22.958869010000001</v>
      </c>
      <c r="D62" s="3">
        <v>12</v>
      </c>
      <c r="E62" s="13">
        <f t="shared" si="3"/>
        <v>7.9456078274776926E-3</v>
      </c>
      <c r="F62" s="13">
        <f t="shared" si="4"/>
        <v>11.218542489486772</v>
      </c>
      <c r="G62" s="14">
        <f>F62/$F$101*$D$2</f>
        <v>46.535352302281098</v>
      </c>
      <c r="H62" s="14">
        <f>F62/$F$101*$E$2</f>
        <v>47.466059348326723</v>
      </c>
      <c r="I62" s="25" t="str">
        <f t="shared" si="2"/>
        <v>选中</v>
      </c>
    </row>
    <row r="63" spans="1:9" hidden="1" x14ac:dyDescent="0.25">
      <c r="A63" s="3">
        <v>2768</v>
      </c>
      <c r="B63" s="3">
        <v>113.42703539999999</v>
      </c>
      <c r="C63" s="3">
        <v>22.955205670000002</v>
      </c>
      <c r="D63" s="3">
        <v>12</v>
      </c>
      <c r="E63" s="13">
        <f t="shared" si="3"/>
        <v>8.2302175490715102E-3</v>
      </c>
      <c r="F63" s="13">
        <f t="shared" si="4"/>
        <v>11.02286129303006</v>
      </c>
      <c r="G63" s="14" t="e">
        <f>F63/$F$124*$D$2</f>
        <v>#DIV/0!</v>
      </c>
      <c r="H63" s="14" t="e">
        <f>F63/$F$124*$E$2</f>
        <v>#DIV/0!</v>
      </c>
      <c r="I63" s="25" t="str">
        <f t="shared" si="2"/>
        <v/>
      </c>
    </row>
    <row r="64" spans="1:9" hidden="1" x14ac:dyDescent="0.25">
      <c r="A64" s="3">
        <v>2748</v>
      </c>
      <c r="B64" s="3">
        <v>113.4266547</v>
      </c>
      <c r="C64" s="3">
        <v>22.956346669999999</v>
      </c>
      <c r="D64" s="3">
        <v>12</v>
      </c>
      <c r="E64" s="13">
        <f t="shared" si="3"/>
        <v>8.3174134425889057E-3</v>
      </c>
      <c r="F64" s="13">
        <f t="shared" si="4"/>
        <v>10.964929786110895</v>
      </c>
      <c r="G64" s="14" t="e">
        <f>F64/$F$124*$D$2</f>
        <v>#DIV/0!</v>
      </c>
      <c r="H64" s="14" t="e">
        <f>F64/$F$124*$E$2</f>
        <v>#DIV/0!</v>
      </c>
      <c r="I64" s="25" t="str">
        <f t="shared" si="2"/>
        <v/>
      </c>
    </row>
    <row r="65" spans="1:9" x14ac:dyDescent="0.25">
      <c r="A65" s="3">
        <v>3278</v>
      </c>
      <c r="B65" s="3">
        <v>113.4367927</v>
      </c>
      <c r="C65" s="3">
        <v>22.949488250000002</v>
      </c>
      <c r="D65" s="3">
        <v>12</v>
      </c>
      <c r="E65" s="13">
        <f t="shared" si="3"/>
        <v>8.5493689423535753E-3</v>
      </c>
      <c r="F65" s="13">
        <f t="shared" si="4"/>
        <v>10.815160538290263</v>
      </c>
      <c r="G65" s="14">
        <f>F65/$F$101*$D$2</f>
        <v>44.86209383497998</v>
      </c>
      <c r="H65" s="14">
        <f>F65/$F$101*$E$2</f>
        <v>45.759335711679576</v>
      </c>
      <c r="I65" s="25" t="str">
        <f t="shared" si="2"/>
        <v>选中</v>
      </c>
    </row>
    <row r="66" spans="1:9" hidden="1" x14ac:dyDescent="0.25">
      <c r="A66" s="3">
        <v>2757</v>
      </c>
      <c r="B66" s="3">
        <v>113.42567819999999</v>
      </c>
      <c r="C66" s="3">
        <v>22.955472759999999</v>
      </c>
      <c r="D66" s="3">
        <v>12</v>
      </c>
      <c r="E66" s="13">
        <f t="shared" si="3"/>
        <v>9.4576816438173544E-3</v>
      </c>
      <c r="F66" s="13">
        <f t="shared" si="4"/>
        <v>10.282711580407106</v>
      </c>
      <c r="G66" s="14" t="e">
        <f>F66/$F$124*$D$2</f>
        <v>#DIV/0!</v>
      </c>
      <c r="H66" s="14" t="e">
        <f>F66/$F$124*$E$2</f>
        <v>#DIV/0!</v>
      </c>
      <c r="I66" s="25" t="str">
        <f t="shared" si="2"/>
        <v/>
      </c>
    </row>
    <row r="67" spans="1:9" hidden="1" x14ac:dyDescent="0.25">
      <c r="A67" s="3">
        <v>3282</v>
      </c>
      <c r="B67" s="3">
        <v>113.4404485</v>
      </c>
      <c r="C67" s="3">
        <v>22.949687820000001</v>
      </c>
      <c r="D67" s="3">
        <v>12</v>
      </c>
      <c r="E67" s="13">
        <f t="shared" si="3"/>
        <v>9.8710064212519429E-3</v>
      </c>
      <c r="F67" s="13">
        <f t="shared" si="4"/>
        <v>10.065127548746808</v>
      </c>
      <c r="G67" s="14" t="e">
        <f>F67/$F$124*$D$2</f>
        <v>#DIV/0!</v>
      </c>
      <c r="H67" s="14" t="e">
        <f>F67/$F$124*$E$2</f>
        <v>#DIV/0!</v>
      </c>
      <c r="I67" s="25" t="str">
        <f t="shared" si="2"/>
        <v/>
      </c>
    </row>
    <row r="68" spans="1:9" x14ac:dyDescent="0.25">
      <c r="A68" s="3">
        <v>2758</v>
      </c>
      <c r="B68" s="3">
        <v>113.42519950000001</v>
      </c>
      <c r="C68" s="3">
        <v>22.955099310000001</v>
      </c>
      <c r="D68" s="3">
        <v>12</v>
      </c>
      <c r="E68" s="13">
        <f t="shared" si="3"/>
        <v>1.0016837616437017E-2</v>
      </c>
      <c r="F68" s="13">
        <f t="shared" si="4"/>
        <v>9.991591808335853</v>
      </c>
      <c r="G68" s="14">
        <f>F68/$F$101*$D$2</f>
        <v>41.445869220286383</v>
      </c>
      <c r="H68" s="14">
        <f>F68/$F$101*$E$2</f>
        <v>42.27478660469211</v>
      </c>
      <c r="I68" s="25" t="str">
        <f t="shared" si="2"/>
        <v>选中</v>
      </c>
    </row>
    <row r="69" spans="1:9" hidden="1" x14ac:dyDescent="0.25">
      <c r="A69" s="3">
        <v>2371</v>
      </c>
      <c r="B69" s="3">
        <v>113.4272771</v>
      </c>
      <c r="C69" s="3">
        <v>22.964588979999998</v>
      </c>
      <c r="D69" s="3">
        <v>12</v>
      </c>
      <c r="E69" s="13">
        <f t="shared" ref="E69:E99" si="5">SQRT((B69-$B$2)^2+(C69-$C$2)^2)</f>
        <v>1.0156466636800416E-2</v>
      </c>
      <c r="F69" s="13">
        <f t="shared" ref="F69:F99" si="6">SQRT(1/E69)</f>
        <v>9.9226729404459952</v>
      </c>
      <c r="G69" s="14" t="e">
        <f>F69/$F$124*$D$2</f>
        <v>#DIV/0!</v>
      </c>
      <c r="H69" s="14" t="e">
        <f>F69/$F$124*$E$2</f>
        <v>#DIV/0!</v>
      </c>
      <c r="I69" s="25" t="str">
        <f t="shared" si="2"/>
        <v/>
      </c>
    </row>
    <row r="70" spans="1:9" hidden="1" x14ac:dyDescent="0.25">
      <c r="A70" s="3">
        <v>3285</v>
      </c>
      <c r="B70" s="3">
        <v>113.4316508</v>
      </c>
      <c r="C70" s="3">
        <v>22.947792499999998</v>
      </c>
      <c r="D70" s="3">
        <v>12</v>
      </c>
      <c r="E70" s="13">
        <f t="shared" si="5"/>
        <v>1.0515519083720332E-2</v>
      </c>
      <c r="F70" s="13">
        <f t="shared" si="6"/>
        <v>9.751796773685447</v>
      </c>
      <c r="G70" s="14" t="e">
        <f>F70/$F$124*$D$2</f>
        <v>#DIV/0!</v>
      </c>
      <c r="H70" s="14" t="e">
        <f>F70/$F$124*$E$2</f>
        <v>#DIV/0!</v>
      </c>
      <c r="I70" s="25" t="str">
        <f t="shared" ref="I70:I99" si="7">IF(MOD(ROW()-1,3)=1,"选中","")</f>
        <v/>
      </c>
    </row>
    <row r="71" spans="1:9" x14ac:dyDescent="0.25">
      <c r="A71" s="3">
        <v>3288</v>
      </c>
      <c r="B71" s="3">
        <v>113.4423388</v>
      </c>
      <c r="C71" s="3">
        <v>22.949571509999998</v>
      </c>
      <c r="D71" s="3">
        <v>12</v>
      </c>
      <c r="E71" s="13">
        <f t="shared" si="5"/>
        <v>1.1140436875999568E-2</v>
      </c>
      <c r="F71" s="13">
        <f t="shared" si="6"/>
        <v>9.4743383196093589</v>
      </c>
      <c r="G71" s="14">
        <f>F71/$F$101*$D$2</f>
        <v>39.300263108794752</v>
      </c>
      <c r="H71" s="14">
        <f>F71/$F$101*$E$2</f>
        <v>40.08626837097065</v>
      </c>
      <c r="I71" s="25" t="str">
        <f t="shared" si="7"/>
        <v>选中</v>
      </c>
    </row>
    <row r="72" spans="1:9" hidden="1" x14ac:dyDescent="0.25">
      <c r="A72" s="3">
        <v>2756</v>
      </c>
      <c r="B72" s="3">
        <v>113.4237182</v>
      </c>
      <c r="C72" s="3">
        <v>22.956334949999999</v>
      </c>
      <c r="D72" s="3">
        <v>12</v>
      </c>
      <c r="E72" s="13">
        <f t="shared" si="5"/>
        <v>1.1221448149087864E-2</v>
      </c>
      <c r="F72" s="13">
        <f t="shared" si="6"/>
        <v>9.4400772117525005</v>
      </c>
      <c r="G72" s="14" t="e">
        <f>F72/$F$124*$D$2</f>
        <v>#DIV/0!</v>
      </c>
      <c r="H72" s="14" t="e">
        <f>F72/$F$124*$E$2</f>
        <v>#DIV/0!</v>
      </c>
      <c r="I72" s="25" t="str">
        <f t="shared" si="7"/>
        <v/>
      </c>
    </row>
    <row r="73" spans="1:9" hidden="1" x14ac:dyDescent="0.25">
      <c r="A73" s="3">
        <v>2780</v>
      </c>
      <c r="B73" s="3">
        <v>113.4236923</v>
      </c>
      <c r="C73" s="3">
        <v>22.95526937</v>
      </c>
      <c r="D73" s="3">
        <v>12</v>
      </c>
      <c r="E73" s="13">
        <f t="shared" si="5"/>
        <v>1.1435964582972625E-2</v>
      </c>
      <c r="F73" s="13">
        <f t="shared" si="6"/>
        <v>9.3511193316641918</v>
      </c>
      <c r="G73" s="14" t="e">
        <f>F73/$F$124*$D$2</f>
        <v>#DIV/0!</v>
      </c>
      <c r="H73" s="14" t="e">
        <f>F73/$F$124*$E$2</f>
        <v>#DIV/0!</v>
      </c>
      <c r="I73" s="25" t="str">
        <f t="shared" si="7"/>
        <v/>
      </c>
    </row>
    <row r="74" spans="1:9" x14ac:dyDescent="0.25">
      <c r="A74" s="3">
        <v>2370</v>
      </c>
      <c r="B74" s="3">
        <v>113.4289737</v>
      </c>
      <c r="C74" s="3">
        <v>22.968063860000001</v>
      </c>
      <c r="D74" s="3">
        <v>12</v>
      </c>
      <c r="E74" s="13">
        <f t="shared" si="5"/>
        <v>1.1812515734915176E-2</v>
      </c>
      <c r="F74" s="13">
        <f t="shared" si="6"/>
        <v>9.2008679965296221</v>
      </c>
      <c r="G74" s="14">
        <f>F74/$F$101*$D$2</f>
        <v>38.165887779676893</v>
      </c>
      <c r="H74" s="14">
        <f>F74/$F$101*$E$2</f>
        <v>38.929205535270434</v>
      </c>
      <c r="I74" s="25" t="str">
        <f t="shared" si="7"/>
        <v>选中</v>
      </c>
    </row>
    <row r="75" spans="1:9" hidden="1" x14ac:dyDescent="0.25">
      <c r="A75" s="3">
        <v>2766</v>
      </c>
      <c r="B75" s="3">
        <v>113.4224344</v>
      </c>
      <c r="C75" s="3">
        <v>22.956018570000001</v>
      </c>
      <c r="D75" s="3">
        <v>12</v>
      </c>
      <c r="E75" s="13">
        <f t="shared" si="5"/>
        <v>1.2536558045212328E-2</v>
      </c>
      <c r="F75" s="13">
        <f t="shared" si="6"/>
        <v>8.931221125826827</v>
      </c>
      <c r="G75" s="14" t="e">
        <f>F75/$F$124*$D$2</f>
        <v>#DIV/0!</v>
      </c>
      <c r="H75" s="14" t="e">
        <f>F75/$F$124*$E$2</f>
        <v>#DIV/0!</v>
      </c>
      <c r="I75" s="25" t="str">
        <f t="shared" si="7"/>
        <v/>
      </c>
    </row>
    <row r="76" spans="1:9" hidden="1" x14ac:dyDescent="0.25">
      <c r="A76" s="3">
        <v>2769</v>
      </c>
      <c r="B76" s="3">
        <v>113.422119</v>
      </c>
      <c r="C76" s="3">
        <v>22.955620379999999</v>
      </c>
      <c r="D76" s="3">
        <v>12</v>
      </c>
      <c r="E76" s="13">
        <f t="shared" si="5"/>
        <v>1.2910397575544345E-2</v>
      </c>
      <c r="F76" s="13">
        <f t="shared" si="6"/>
        <v>8.8009629297274579</v>
      </c>
      <c r="G76" s="14" t="e">
        <f>F76/$F$124*$D$2</f>
        <v>#DIV/0!</v>
      </c>
      <c r="H76" s="14" t="e">
        <f>F76/$F$124*$E$2</f>
        <v>#DIV/0!</v>
      </c>
      <c r="I76" s="25" t="str">
        <f t="shared" si="7"/>
        <v/>
      </c>
    </row>
    <row r="77" spans="1:9" x14ac:dyDescent="0.25">
      <c r="A77" s="3">
        <v>3286</v>
      </c>
      <c r="B77" s="3">
        <v>113.4372509</v>
      </c>
      <c r="C77" s="3">
        <v>22.945071930000001</v>
      </c>
      <c r="D77" s="3">
        <v>12</v>
      </c>
      <c r="E77" s="13">
        <f t="shared" si="5"/>
        <v>1.296590647964418E-2</v>
      </c>
      <c r="F77" s="13">
        <f t="shared" si="6"/>
        <v>8.7821036313461818</v>
      </c>
      <c r="G77" s="14">
        <f>F77/$F$101*$D$2</f>
        <v>36.428821910049479</v>
      </c>
      <c r="H77" s="14">
        <f>F77/$F$101*$E$2</f>
        <v>37.157398348250467</v>
      </c>
      <c r="I77" s="25" t="str">
        <f t="shared" si="7"/>
        <v>选中</v>
      </c>
    </row>
    <row r="78" spans="1:9" hidden="1" x14ac:dyDescent="0.25">
      <c r="A78" s="3">
        <v>2737</v>
      </c>
      <c r="B78" s="3">
        <v>113.420615</v>
      </c>
      <c r="C78" s="3">
        <v>22.955956579999999</v>
      </c>
      <c r="D78" s="3">
        <v>12</v>
      </c>
      <c r="E78" s="13">
        <f t="shared" si="5"/>
        <v>1.4347490493830705E-2</v>
      </c>
      <c r="F78" s="13">
        <f t="shared" si="6"/>
        <v>8.3485687357145046</v>
      </c>
      <c r="G78" s="14" t="e">
        <f>F78/$F$124*$D$2</f>
        <v>#DIV/0!</v>
      </c>
      <c r="H78" s="14" t="e">
        <f>F78/$F$124*$E$2</f>
        <v>#DIV/0!</v>
      </c>
      <c r="I78" s="25" t="str">
        <f t="shared" si="7"/>
        <v/>
      </c>
    </row>
    <row r="79" spans="1:9" hidden="1" x14ac:dyDescent="0.25">
      <c r="A79" s="3">
        <v>2802</v>
      </c>
      <c r="B79" s="3">
        <v>113.4502438</v>
      </c>
      <c r="C79" s="3">
        <v>22.95557857</v>
      </c>
      <c r="D79" s="3">
        <v>12</v>
      </c>
      <c r="E79" s="13">
        <f t="shared" si="5"/>
        <v>1.5562907809939259E-2</v>
      </c>
      <c r="F79" s="13">
        <f t="shared" si="6"/>
        <v>8.0159431337389844</v>
      </c>
      <c r="G79" s="14" t="e">
        <f>F79/$F$124*$D$2</f>
        <v>#DIV/0!</v>
      </c>
      <c r="H79" s="14" t="e">
        <f>F79/$F$124*$E$2</f>
        <v>#DIV/0!</v>
      </c>
      <c r="I79" s="25" t="str">
        <f t="shared" si="7"/>
        <v/>
      </c>
    </row>
    <row r="80" spans="1:9" x14ac:dyDescent="0.25">
      <c r="A80" s="3">
        <v>2734</v>
      </c>
      <c r="B80" s="3">
        <v>113.419059</v>
      </c>
      <c r="C80" s="3">
        <v>22.955824020000001</v>
      </c>
      <c r="D80" s="3">
        <v>12</v>
      </c>
      <c r="E80" s="13">
        <f t="shared" si="5"/>
        <v>1.59077198581811E-2</v>
      </c>
      <c r="F80" s="13">
        <f t="shared" si="6"/>
        <v>7.928591323441486</v>
      </c>
      <c r="G80" s="14">
        <f>F80/$F$101*$D$2</f>
        <v>32.888389097150707</v>
      </c>
      <c r="H80" s="14">
        <f>F80/$F$101*$E$2</f>
        <v>33.546156879093722</v>
      </c>
      <c r="I80" s="25" t="str">
        <f t="shared" si="7"/>
        <v>选中</v>
      </c>
    </row>
    <row r="81" spans="1:9" hidden="1" x14ac:dyDescent="0.25">
      <c r="A81" s="3">
        <v>18</v>
      </c>
      <c r="B81" s="3">
        <v>113.4354766</v>
      </c>
      <c r="C81" s="3">
        <v>22.94145339</v>
      </c>
      <c r="D81" s="3">
        <v>12</v>
      </c>
      <c r="E81" s="13">
        <f t="shared" si="5"/>
        <v>1.6371014324841636E-2</v>
      </c>
      <c r="F81" s="13">
        <f t="shared" si="6"/>
        <v>7.8155978678289717</v>
      </c>
      <c r="G81" s="14" t="e">
        <f>F81/$F$124*$D$2</f>
        <v>#DIV/0!</v>
      </c>
      <c r="H81" s="14" t="e">
        <f>F81/$F$124*$E$2</f>
        <v>#DIV/0!</v>
      </c>
      <c r="I81" s="25" t="str">
        <f t="shared" si="7"/>
        <v/>
      </c>
    </row>
    <row r="82" spans="1:9" hidden="1" x14ac:dyDescent="0.25">
      <c r="A82" s="3">
        <v>2736</v>
      </c>
      <c r="B82" s="3">
        <v>113.4164991</v>
      </c>
      <c r="C82" s="3">
        <v>22.95476506</v>
      </c>
      <c r="D82" s="3">
        <v>12</v>
      </c>
      <c r="E82" s="13">
        <f t="shared" si="5"/>
        <v>1.8594258069949632E-2</v>
      </c>
      <c r="F82" s="13">
        <f t="shared" si="6"/>
        <v>7.3334877839751531</v>
      </c>
      <c r="G82" s="14" t="e">
        <f>F82/$F$124*$D$2</f>
        <v>#DIV/0!</v>
      </c>
      <c r="H82" s="14" t="e">
        <f>F82/$F$124*$E$2</f>
        <v>#DIV/0!</v>
      </c>
      <c r="I82" s="25" t="str">
        <f t="shared" si="7"/>
        <v/>
      </c>
    </row>
    <row r="83" spans="1:9" x14ac:dyDescent="0.25">
      <c r="A83" s="3">
        <v>17</v>
      </c>
      <c r="B83" s="3">
        <v>113.42764339999999</v>
      </c>
      <c r="C83" s="3">
        <v>22.940604700000002</v>
      </c>
      <c r="D83" s="3">
        <v>12</v>
      </c>
      <c r="E83" s="13">
        <f t="shared" si="5"/>
        <v>1.865246516469455E-2</v>
      </c>
      <c r="F83" s="13">
        <f t="shared" si="6"/>
        <v>7.3220363604785721</v>
      </c>
      <c r="G83" s="14">
        <f>F83/$F$101*$D$2</f>
        <v>30.372353799461372</v>
      </c>
      <c r="H83" s="14">
        <f>F83/$F$101*$E$2</f>
        <v>30.9798008754506</v>
      </c>
      <c r="I83" s="25" t="str">
        <f t="shared" si="7"/>
        <v>选中</v>
      </c>
    </row>
    <row r="84" spans="1:9" hidden="1" x14ac:dyDescent="0.25">
      <c r="A84" s="3">
        <v>2805</v>
      </c>
      <c r="B84" s="3">
        <v>113.4536389</v>
      </c>
      <c r="C84" s="3">
        <v>22.95484866</v>
      </c>
      <c r="D84" s="3">
        <v>12</v>
      </c>
      <c r="E84" s="13">
        <f t="shared" si="5"/>
        <v>1.9029067928922356E-2</v>
      </c>
      <c r="F84" s="13">
        <f t="shared" si="6"/>
        <v>7.2492193626740695</v>
      </c>
      <c r="G84" s="14" t="e">
        <f>F84/$F$124*$D$2</f>
        <v>#DIV/0!</v>
      </c>
      <c r="H84" s="14" t="e">
        <f>F84/$F$124*$E$2</f>
        <v>#DIV/0!</v>
      </c>
      <c r="I84" s="25" t="str">
        <f t="shared" si="7"/>
        <v/>
      </c>
    </row>
    <row r="85" spans="1:9" hidden="1" x14ac:dyDescent="0.25">
      <c r="A85" s="3">
        <v>2372</v>
      </c>
      <c r="B85" s="3">
        <v>113.4512826</v>
      </c>
      <c r="C85" s="3">
        <v>22.968558349999999</v>
      </c>
      <c r="D85" s="3">
        <v>12</v>
      </c>
      <c r="E85" s="13">
        <f t="shared" si="5"/>
        <v>1.9641161305337593E-2</v>
      </c>
      <c r="F85" s="13">
        <f t="shared" si="6"/>
        <v>7.135368697617408</v>
      </c>
      <c r="G85" s="14" t="e">
        <f>F85/$F$124*$D$2</f>
        <v>#DIV/0!</v>
      </c>
      <c r="H85" s="14" t="e">
        <f>F85/$F$124*$E$2</f>
        <v>#DIV/0!</v>
      </c>
      <c r="I85" s="25" t="str">
        <f t="shared" si="7"/>
        <v/>
      </c>
    </row>
    <row r="86" spans="1:9" x14ac:dyDescent="0.25">
      <c r="A86" s="3">
        <v>2803</v>
      </c>
      <c r="B86" s="3">
        <v>113.45515279999999</v>
      </c>
      <c r="C86" s="3">
        <v>22.958137839999999</v>
      </c>
      <c r="D86" s="3">
        <v>12</v>
      </c>
      <c r="E86" s="13">
        <f t="shared" si="5"/>
        <v>2.0313411904138493E-2</v>
      </c>
      <c r="F86" s="13">
        <f t="shared" si="6"/>
        <v>7.0163066620925676</v>
      </c>
      <c r="G86" s="14">
        <f>F86/$F$101*$D$2</f>
        <v>29.104164171709321</v>
      </c>
      <c r="H86" s="14">
        <f>F86/$F$101*$E$2</f>
        <v>29.686247455143505</v>
      </c>
      <c r="I86" s="25" t="str">
        <f t="shared" si="7"/>
        <v>选中</v>
      </c>
    </row>
    <row r="87" spans="1:9" hidden="1" x14ac:dyDescent="0.25">
      <c r="A87" s="3">
        <v>2373</v>
      </c>
      <c r="B87" s="3">
        <v>113.4530815</v>
      </c>
      <c r="C87" s="3">
        <v>22.967977739999998</v>
      </c>
      <c r="D87" s="3">
        <v>12</v>
      </c>
      <c r="E87" s="13">
        <f t="shared" si="5"/>
        <v>2.0881082272221272E-2</v>
      </c>
      <c r="F87" s="13">
        <f t="shared" si="6"/>
        <v>6.9202773075711548</v>
      </c>
      <c r="G87" s="14" t="e">
        <f>F87/$F$124*$D$2</f>
        <v>#DIV/0!</v>
      </c>
      <c r="H87" s="14" t="e">
        <f>F87/$F$124*$E$2</f>
        <v>#DIV/0!</v>
      </c>
      <c r="I87" s="25" t="str">
        <f t="shared" si="7"/>
        <v/>
      </c>
    </row>
    <row r="88" spans="1:9" hidden="1" x14ac:dyDescent="0.25">
      <c r="A88" s="3">
        <v>2148</v>
      </c>
      <c r="B88" s="3">
        <v>113.44460719999999</v>
      </c>
      <c r="C88" s="3">
        <v>22.978024869999999</v>
      </c>
      <c r="D88" s="3">
        <v>12</v>
      </c>
      <c r="E88" s="13">
        <f t="shared" si="5"/>
        <v>2.2448055642139197E-2</v>
      </c>
      <c r="F88" s="13">
        <f t="shared" si="6"/>
        <v>6.6743754773019743</v>
      </c>
      <c r="G88" s="14" t="e">
        <f>F88/$F$124*$D$2</f>
        <v>#DIV/0!</v>
      </c>
      <c r="H88" s="14" t="e">
        <f>F88/$F$124*$E$2</f>
        <v>#DIV/0!</v>
      </c>
      <c r="I88" s="25" t="str">
        <f t="shared" si="7"/>
        <v/>
      </c>
    </row>
    <row r="89" spans="1:9" x14ac:dyDescent="0.25">
      <c r="A89" s="3">
        <v>2804</v>
      </c>
      <c r="B89" s="3">
        <v>113.4594438</v>
      </c>
      <c r="C89" s="3">
        <v>22.961206059999999</v>
      </c>
      <c r="D89" s="3">
        <v>12</v>
      </c>
      <c r="E89" s="13">
        <f t="shared" si="5"/>
        <v>2.4834804765118255E-2</v>
      </c>
      <c r="F89" s="13">
        <f t="shared" si="6"/>
        <v>6.3455551781610584</v>
      </c>
      <c r="G89" s="14">
        <f>F89/$F$101*$D$2</f>
        <v>26.321836909386082</v>
      </c>
      <c r="H89" s="14">
        <f>F89/$F$101*$E$2</f>
        <v>26.848273647573805</v>
      </c>
      <c r="I89" s="25" t="str">
        <f t="shared" si="7"/>
        <v>选中</v>
      </c>
    </row>
    <row r="90" spans="1:9" hidden="1" x14ac:dyDescent="0.25">
      <c r="A90" s="3">
        <v>2808</v>
      </c>
      <c r="B90" s="3">
        <v>113.4599695</v>
      </c>
      <c r="C90" s="3">
        <v>22.959355169999998</v>
      </c>
      <c r="D90" s="3">
        <v>12</v>
      </c>
      <c r="E90" s="13">
        <f t="shared" si="5"/>
        <v>2.5174835079394459E-2</v>
      </c>
      <c r="F90" s="13">
        <f t="shared" si="6"/>
        <v>6.3025555605845165</v>
      </c>
      <c r="G90" s="14" t="e">
        <f>F90/$F$124*$D$2</f>
        <v>#DIV/0!</v>
      </c>
      <c r="H90" s="14" t="e">
        <f>F90/$F$124*$E$2</f>
        <v>#DIV/0!</v>
      </c>
      <c r="I90" s="25" t="str">
        <f t="shared" si="7"/>
        <v/>
      </c>
    </row>
    <row r="91" spans="1:9" hidden="1" x14ac:dyDescent="0.25">
      <c r="A91" s="3">
        <v>2150</v>
      </c>
      <c r="B91" s="3">
        <v>113.4540664</v>
      </c>
      <c r="C91" s="3">
        <v>22.979117259999999</v>
      </c>
      <c r="D91" s="3">
        <v>12</v>
      </c>
      <c r="E91" s="13">
        <f t="shared" si="5"/>
        <v>2.8696470131105552E-2</v>
      </c>
      <c r="F91" s="13">
        <f t="shared" si="6"/>
        <v>5.903176393753097</v>
      </c>
      <c r="G91" s="14" t="e">
        <f>F91/$F$124*$D$2</f>
        <v>#DIV/0!</v>
      </c>
      <c r="H91" s="14" t="e">
        <f>F91/$F$124*$E$2</f>
        <v>#DIV/0!</v>
      </c>
      <c r="I91" s="25" t="str">
        <f t="shared" si="7"/>
        <v/>
      </c>
    </row>
    <row r="92" spans="1:9" x14ac:dyDescent="0.25">
      <c r="A92" s="3">
        <v>2149</v>
      </c>
      <c r="B92" s="3">
        <v>113.4541385</v>
      </c>
      <c r="C92" s="3">
        <v>22.980461850000001</v>
      </c>
      <c r="D92" s="3">
        <v>12</v>
      </c>
      <c r="E92" s="13">
        <f t="shared" si="5"/>
        <v>2.9755101870306375E-2</v>
      </c>
      <c r="F92" s="13">
        <f t="shared" si="6"/>
        <v>5.7972132916097578</v>
      </c>
      <c r="G92" s="14">
        <f>F92/$F$101*$D$2</f>
        <v>24.047273801328579</v>
      </c>
      <c r="H92" s="14">
        <f>F92/$F$101*$E$2</f>
        <v>24.528219277355149</v>
      </c>
      <c r="I92" s="25" t="str">
        <f t="shared" si="7"/>
        <v>选中</v>
      </c>
    </row>
    <row r="93" spans="1:9" hidden="1" x14ac:dyDescent="0.25">
      <c r="A93" s="3">
        <v>4175</v>
      </c>
      <c r="B93" s="3">
        <v>113.4267849</v>
      </c>
      <c r="C93" s="3">
        <v>22.92746108</v>
      </c>
      <c r="D93" s="3">
        <v>12</v>
      </c>
      <c r="E93" s="13">
        <f t="shared" si="5"/>
        <v>3.1402249528505233E-2</v>
      </c>
      <c r="F93" s="13">
        <f t="shared" si="6"/>
        <v>5.6431243438163747</v>
      </c>
      <c r="G93" s="14" t="e">
        <f>F93/$F$124*$D$2</f>
        <v>#DIV/0!</v>
      </c>
      <c r="H93" s="14" t="e">
        <f>F93/$F$124*$E$2</f>
        <v>#DIV/0!</v>
      </c>
      <c r="I93" s="25" t="str">
        <f t="shared" si="7"/>
        <v/>
      </c>
    </row>
    <row r="94" spans="1:9" hidden="1" x14ac:dyDescent="0.25">
      <c r="A94" s="3">
        <v>1944</v>
      </c>
      <c r="B94" s="3">
        <v>113.4555431</v>
      </c>
      <c r="C94" s="3">
        <v>22.984395500000002</v>
      </c>
      <c r="D94" s="3">
        <v>12</v>
      </c>
      <c r="E94" s="13">
        <f t="shared" si="5"/>
        <v>3.3692917605482743E-2</v>
      </c>
      <c r="F94" s="13">
        <f t="shared" si="6"/>
        <v>5.4479196047045839</v>
      </c>
      <c r="G94" s="14" t="e">
        <f>F94/$F$124*$D$2</f>
        <v>#DIV/0!</v>
      </c>
      <c r="H94" s="14" t="e">
        <f>F94/$F$124*$E$2</f>
        <v>#DIV/0!</v>
      </c>
      <c r="I94" s="25" t="str">
        <f t="shared" si="7"/>
        <v/>
      </c>
    </row>
    <row r="95" spans="1:9" x14ac:dyDescent="0.25">
      <c r="A95" s="3">
        <v>1942</v>
      </c>
      <c r="B95" s="3">
        <v>113.4520421</v>
      </c>
      <c r="C95" s="3">
        <v>22.990888470000002</v>
      </c>
      <c r="D95" s="3">
        <v>12</v>
      </c>
      <c r="E95" s="13">
        <f t="shared" si="5"/>
        <v>3.7281224394952128E-2</v>
      </c>
      <c r="F95" s="13">
        <f t="shared" si="6"/>
        <v>5.1791073918431927</v>
      </c>
      <c r="G95" s="14">
        <f>F95/$F$101*$D$2</f>
        <v>21.483324354891042</v>
      </c>
      <c r="H95" s="14">
        <f>F95/$F$101*$E$2</f>
        <v>21.912990841988865</v>
      </c>
      <c r="I95" s="25" t="str">
        <f t="shared" si="7"/>
        <v>选中</v>
      </c>
    </row>
    <row r="96" spans="1:9" hidden="1" x14ac:dyDescent="0.25">
      <c r="A96" s="3">
        <v>19</v>
      </c>
      <c r="B96" s="3">
        <v>113.4638017</v>
      </c>
      <c r="C96" s="3">
        <v>22.933351089999999</v>
      </c>
      <c r="D96" s="3">
        <v>12</v>
      </c>
      <c r="E96" s="13">
        <f t="shared" si="5"/>
        <v>3.7907851882035444E-2</v>
      </c>
      <c r="F96" s="13">
        <f t="shared" si="6"/>
        <v>5.1361229622102567</v>
      </c>
      <c r="G96" s="14" t="e">
        <f>F96/$F$124*$D$2</f>
        <v>#DIV/0!</v>
      </c>
      <c r="H96" s="14" t="e">
        <f>F96/$F$124*$E$2</f>
        <v>#DIV/0!</v>
      </c>
      <c r="I96" s="25" t="str">
        <f t="shared" si="7"/>
        <v/>
      </c>
    </row>
    <row r="97" spans="1:9" hidden="1" x14ac:dyDescent="0.25">
      <c r="A97" s="3">
        <v>1943</v>
      </c>
      <c r="B97" s="3">
        <v>113.4531631</v>
      </c>
      <c r="C97" s="3">
        <v>22.991527789999999</v>
      </c>
      <c r="D97" s="3">
        <v>12</v>
      </c>
      <c r="E97" s="13">
        <f t="shared" si="5"/>
        <v>3.8372000956240535E-2</v>
      </c>
      <c r="F97" s="13">
        <f t="shared" si="6"/>
        <v>5.1049650918049556</v>
      </c>
      <c r="G97" s="14" t="e">
        <f>F97/$F$124*$D$2</f>
        <v>#DIV/0!</v>
      </c>
      <c r="H97" s="14" t="e">
        <f>F97/$F$124*$E$2</f>
        <v>#DIV/0!</v>
      </c>
      <c r="I97" s="25" t="str">
        <f t="shared" si="7"/>
        <v/>
      </c>
    </row>
    <row r="98" spans="1:9" x14ac:dyDescent="0.25">
      <c r="A98" s="3">
        <v>1775</v>
      </c>
      <c r="B98" s="3">
        <v>113.4449396</v>
      </c>
      <c r="C98" s="3">
        <v>22.997337219999999</v>
      </c>
      <c r="D98" s="3">
        <v>12</v>
      </c>
      <c r="E98" s="13">
        <f t="shared" si="5"/>
        <v>4.0794566265301105E-2</v>
      </c>
      <c r="F98" s="13">
        <f t="shared" si="6"/>
        <v>4.9510674168760929</v>
      </c>
      <c r="G98" s="14">
        <f>F98/$F$101*$D$2</f>
        <v>20.537397503516001</v>
      </c>
      <c r="H98" s="14">
        <f>F98/$F$101*$E$2</f>
        <v>20.948145453586321</v>
      </c>
      <c r="I98" s="25" t="str">
        <f t="shared" si="7"/>
        <v>选中</v>
      </c>
    </row>
    <row r="99" spans="1:9" hidden="1" x14ac:dyDescent="0.25">
      <c r="A99" s="3">
        <v>21</v>
      </c>
      <c r="B99" s="3">
        <v>113.4577609</v>
      </c>
      <c r="C99" s="3">
        <v>22.917836189999999</v>
      </c>
      <c r="D99" s="3">
        <v>12</v>
      </c>
      <c r="E99" s="13">
        <f t="shared" si="5"/>
        <v>4.6079815077081233E-2</v>
      </c>
      <c r="F99" s="13">
        <f t="shared" si="6"/>
        <v>4.6584843005787526</v>
      </c>
      <c r="G99" s="14" t="e">
        <f>F99/$F$124*$D$2</f>
        <v>#DIV/0!</v>
      </c>
      <c r="H99" s="14" t="e">
        <f>F99/$F$124*$E$2</f>
        <v>#DIV/0!</v>
      </c>
      <c r="I99" s="25" t="str">
        <f t="shared" si="7"/>
        <v/>
      </c>
    </row>
    <row r="100" spans="1:9" x14ac:dyDescent="0.25">
      <c r="A100" s="3"/>
      <c r="B100" s="3"/>
      <c r="C100" s="3"/>
      <c r="D100" s="3"/>
      <c r="G100" s="14"/>
      <c r="H100" s="14"/>
    </row>
    <row r="101" spans="1:9" x14ac:dyDescent="0.25">
      <c r="A101" s="3"/>
      <c r="B101" s="3"/>
      <c r="C101" s="3"/>
      <c r="D101" s="3"/>
      <c r="F101" s="13">
        <f>SUBTOTAL(9,F5:F99)</f>
        <v>421.88246967756373</v>
      </c>
      <c r="G101" s="13">
        <f>SUBTOTAL(9,G5:G99)</f>
        <v>1750</v>
      </c>
      <c r="H101" s="13">
        <f>SUBTOTAL(9,H5:H99)</f>
        <v>1785</v>
      </c>
    </row>
    <row r="102" spans="1:9" x14ac:dyDescent="0.25">
      <c r="A102" s="3"/>
      <c r="B102" s="3"/>
      <c r="C102" s="3"/>
      <c r="D102" s="3"/>
      <c r="G102" s="14"/>
      <c r="H102" s="14"/>
    </row>
    <row r="103" spans="1:9" x14ac:dyDescent="0.25">
      <c r="A103" s="3"/>
      <c r="B103" s="3"/>
      <c r="C103" s="3"/>
      <c r="D103" s="3"/>
      <c r="G103" s="14"/>
      <c r="H103" s="14"/>
    </row>
    <row r="104" spans="1:9" x14ac:dyDescent="0.25">
      <c r="A104" s="3"/>
      <c r="B104" s="3"/>
      <c r="C104" s="3"/>
      <c r="D104" s="3"/>
      <c r="G104" s="14"/>
      <c r="H104" s="14"/>
    </row>
    <row r="105" spans="1:9" x14ac:dyDescent="0.25">
      <c r="A105" s="3"/>
      <c r="B105" s="3"/>
      <c r="C105" s="3"/>
      <c r="D105" s="3"/>
      <c r="G105" s="14"/>
      <c r="H105" s="14"/>
    </row>
    <row r="106" spans="1:9" x14ac:dyDescent="0.25">
      <c r="A106" s="3"/>
      <c r="B106" s="3"/>
      <c r="C106" s="3"/>
      <c r="D106" s="3"/>
      <c r="G106" s="14"/>
      <c r="H106" s="14"/>
    </row>
    <row r="107" spans="1:9" x14ac:dyDescent="0.25">
      <c r="A107" s="3"/>
      <c r="B107" s="3"/>
      <c r="C107" s="3"/>
      <c r="D107" s="3"/>
      <c r="G107" s="14"/>
      <c r="H107" s="14"/>
    </row>
    <row r="108" spans="1:9" x14ac:dyDescent="0.25">
      <c r="A108" s="3"/>
      <c r="B108" s="3"/>
      <c r="C108" s="3"/>
      <c r="D108" s="3"/>
      <c r="G108" s="14"/>
      <c r="H108" s="14"/>
    </row>
    <row r="109" spans="1:9" x14ac:dyDescent="0.25">
      <c r="A109" s="3"/>
      <c r="B109" s="3"/>
      <c r="C109" s="3"/>
      <c r="D109" s="3"/>
      <c r="G109" s="14"/>
      <c r="H109" s="14"/>
    </row>
    <row r="110" spans="1:9" x14ac:dyDescent="0.25">
      <c r="A110" s="3"/>
      <c r="B110" s="3"/>
      <c r="C110" s="3"/>
      <c r="D110" s="3"/>
      <c r="G110" s="14"/>
      <c r="H110" s="14"/>
    </row>
    <row r="111" spans="1:9" x14ac:dyDescent="0.25">
      <c r="A111" s="3"/>
      <c r="B111" s="3"/>
      <c r="C111" s="3"/>
      <c r="D111" s="3"/>
      <c r="G111" s="14"/>
      <c r="H111" s="14"/>
    </row>
    <row r="112" spans="1:9" x14ac:dyDescent="0.25">
      <c r="A112" s="3"/>
      <c r="B112" s="3"/>
      <c r="C112" s="3"/>
      <c r="D112" s="3"/>
      <c r="G112" s="14"/>
      <c r="H112" s="14"/>
    </row>
    <row r="113" spans="1:8" x14ac:dyDescent="0.25">
      <c r="A113" s="3"/>
      <c r="B113" s="3"/>
      <c r="C113" s="3"/>
      <c r="D113" s="3"/>
      <c r="G113" s="14"/>
      <c r="H113" s="14"/>
    </row>
    <row r="114" spans="1:8" x14ac:dyDescent="0.25">
      <c r="A114" s="3"/>
      <c r="B114" s="3"/>
      <c r="C114" s="3"/>
      <c r="D114" s="3"/>
      <c r="G114" s="14"/>
      <c r="H114" s="14"/>
    </row>
    <row r="115" spans="1:8" x14ac:dyDescent="0.25">
      <c r="A115" s="3"/>
      <c r="B115" s="3"/>
      <c r="C115" s="3"/>
      <c r="D115" s="3"/>
      <c r="G115" s="14"/>
      <c r="H115" s="14"/>
    </row>
    <row r="116" spans="1:8" x14ac:dyDescent="0.25">
      <c r="A116" s="3"/>
      <c r="B116" s="3"/>
      <c r="C116" s="3"/>
      <c r="D116" s="3"/>
      <c r="G116" s="14"/>
      <c r="H116" s="14"/>
    </row>
    <row r="117" spans="1:8" x14ac:dyDescent="0.25">
      <c r="A117" s="3"/>
      <c r="B117" s="3"/>
      <c r="C117" s="3"/>
      <c r="D117" s="3"/>
      <c r="G117" s="14"/>
      <c r="H117" s="14"/>
    </row>
    <row r="118" spans="1:8" x14ac:dyDescent="0.25">
      <c r="A118" s="3"/>
      <c r="B118" s="3"/>
      <c r="C118" s="3"/>
      <c r="D118" s="3"/>
      <c r="G118" s="14"/>
      <c r="H118" s="14"/>
    </row>
    <row r="119" spans="1:8" x14ac:dyDescent="0.25">
      <c r="A119" s="3"/>
      <c r="B119" s="3"/>
      <c r="C119" s="3"/>
      <c r="D119" s="3"/>
      <c r="G119" s="14"/>
      <c r="H119" s="14"/>
    </row>
    <row r="120" spans="1:8" x14ac:dyDescent="0.25">
      <c r="A120" s="3"/>
      <c r="B120" s="3"/>
      <c r="C120" s="3"/>
      <c r="D120" s="3"/>
      <c r="G120" s="14"/>
      <c r="H120" s="14"/>
    </row>
    <row r="121" spans="1:8" x14ac:dyDescent="0.25">
      <c r="A121" s="3"/>
      <c r="B121" s="3"/>
      <c r="C121" s="3"/>
      <c r="D121" s="3"/>
      <c r="G121" s="14"/>
      <c r="H121" s="14"/>
    </row>
    <row r="122" spans="1:8" x14ac:dyDescent="0.25">
      <c r="A122" s="3"/>
      <c r="B122" s="3"/>
      <c r="C122" s="3"/>
      <c r="D122" s="3"/>
      <c r="G122" s="14"/>
      <c r="H122" s="14"/>
    </row>
    <row r="123" spans="1:8" x14ac:dyDescent="0.25">
      <c r="A123" s="3"/>
      <c r="B123" s="3"/>
      <c r="C123" s="3"/>
      <c r="D123" s="3"/>
      <c r="G123" s="14"/>
      <c r="H123" s="14"/>
    </row>
    <row r="124" spans="1:8" x14ac:dyDescent="0.25">
      <c r="A124" s="3"/>
      <c r="B124" s="3"/>
      <c r="C124" s="3"/>
      <c r="D124" s="3"/>
      <c r="G124" s="14"/>
      <c r="H124" s="14"/>
    </row>
    <row r="125" spans="1:8" x14ac:dyDescent="0.25">
      <c r="A125" s="3"/>
      <c r="B125" s="3"/>
      <c r="C125" s="3"/>
      <c r="D125" s="3"/>
      <c r="G125" s="14"/>
      <c r="H125" s="14"/>
    </row>
    <row r="126" spans="1:8" x14ac:dyDescent="0.25">
      <c r="A126" s="18"/>
      <c r="B126" s="3"/>
      <c r="C126" s="3"/>
      <c r="D126" s="3"/>
      <c r="G126" s="14"/>
      <c r="H126" s="14"/>
    </row>
    <row r="127" spans="1:8" x14ac:dyDescent="0.25">
      <c r="A127" s="3"/>
      <c r="B127" s="3"/>
      <c r="C127" s="3"/>
      <c r="D127" s="3"/>
      <c r="G127" s="14"/>
      <c r="H127" s="14"/>
    </row>
    <row r="128" spans="1:8" x14ac:dyDescent="0.25">
      <c r="A128" s="3"/>
      <c r="B128" s="3"/>
      <c r="C128" s="3"/>
      <c r="D128" s="3"/>
      <c r="G128" s="14"/>
      <c r="H128" s="14"/>
    </row>
    <row r="129" spans="1:8" x14ac:dyDescent="0.25">
      <c r="A129" s="3"/>
      <c r="B129" s="3"/>
      <c r="C129" s="3"/>
      <c r="D129" s="3"/>
      <c r="G129" s="14"/>
      <c r="H129" s="14"/>
    </row>
    <row r="130" spans="1:8" x14ac:dyDescent="0.25">
      <c r="A130" s="3"/>
      <c r="B130" s="3"/>
      <c r="C130" s="3"/>
      <c r="D130" s="3"/>
      <c r="G130" s="14"/>
      <c r="H130" s="14"/>
    </row>
    <row r="131" spans="1:8" x14ac:dyDescent="0.25">
      <c r="A131" s="3"/>
      <c r="B131" s="3"/>
      <c r="C131" s="3"/>
      <c r="D131" s="3"/>
      <c r="G131" s="14"/>
      <c r="H131" s="14"/>
    </row>
    <row r="132" spans="1:8" x14ac:dyDescent="0.25">
      <c r="A132" s="3"/>
      <c r="B132" s="3"/>
      <c r="C132" s="3"/>
      <c r="D132" s="3"/>
      <c r="G132" s="14"/>
      <c r="H132" s="14"/>
    </row>
    <row r="133" spans="1:8" x14ac:dyDescent="0.25">
      <c r="A133" s="3"/>
      <c r="B133" s="3"/>
      <c r="C133" s="3"/>
      <c r="D133" s="3"/>
      <c r="G133" s="14"/>
      <c r="H133" s="14"/>
    </row>
    <row r="134" spans="1:8" x14ac:dyDescent="0.25">
      <c r="A134" s="3"/>
      <c r="B134" s="3"/>
      <c r="C134" s="3"/>
      <c r="D134" s="3"/>
      <c r="G134" s="14"/>
      <c r="H134" s="14"/>
    </row>
    <row r="135" spans="1:8" x14ac:dyDescent="0.25">
      <c r="A135" s="3"/>
      <c r="B135" s="3"/>
      <c r="C135" s="3"/>
      <c r="D135" s="3"/>
      <c r="G135" s="14"/>
      <c r="H135" s="14"/>
    </row>
    <row r="136" spans="1:8" x14ac:dyDescent="0.25">
      <c r="A136" s="3"/>
      <c r="B136" s="3"/>
      <c r="C136" s="3"/>
      <c r="D136" s="3"/>
      <c r="G136" s="14"/>
      <c r="H136" s="14"/>
    </row>
    <row r="137" spans="1:8" x14ac:dyDescent="0.25">
      <c r="A137" s="3"/>
      <c r="B137" s="3"/>
      <c r="C137" s="3"/>
      <c r="D137" s="3"/>
      <c r="G137" s="14"/>
      <c r="H137" s="14"/>
    </row>
    <row r="138" spans="1:8" x14ac:dyDescent="0.25">
      <c r="A138" s="3"/>
      <c r="B138" s="3"/>
      <c r="C138" s="3"/>
      <c r="D138" s="3"/>
      <c r="G138" s="14"/>
      <c r="H138" s="14"/>
    </row>
    <row r="139" spans="1:8" x14ac:dyDescent="0.25">
      <c r="A139" s="3"/>
      <c r="B139" s="3"/>
      <c r="C139" s="3"/>
      <c r="D139" s="3"/>
      <c r="G139" s="14"/>
      <c r="H139" s="14"/>
    </row>
    <row r="140" spans="1:8" x14ac:dyDescent="0.25">
      <c r="A140" s="3"/>
      <c r="B140" s="3"/>
      <c r="C140" s="3"/>
      <c r="D140" s="3"/>
      <c r="G140" s="14"/>
      <c r="H140" s="14"/>
    </row>
    <row r="141" spans="1:8" x14ac:dyDescent="0.25">
      <c r="A141" s="3"/>
      <c r="B141" s="3"/>
      <c r="C141" s="3"/>
      <c r="D141" s="3"/>
      <c r="G141" s="14"/>
      <c r="H141" s="14"/>
    </row>
    <row r="142" spans="1:8" x14ac:dyDescent="0.25">
      <c r="A142" s="3"/>
      <c r="B142" s="3"/>
      <c r="C142" s="3"/>
      <c r="D142" s="3"/>
      <c r="G142" s="14"/>
      <c r="H142" s="14"/>
    </row>
    <row r="143" spans="1:8" x14ac:dyDescent="0.25">
      <c r="A143" s="3"/>
      <c r="B143" s="3"/>
      <c r="C143" s="3"/>
      <c r="D143" s="3"/>
      <c r="G143" s="14"/>
      <c r="H143" s="14"/>
    </row>
    <row r="144" spans="1:8" x14ac:dyDescent="0.25">
      <c r="A144" s="3"/>
      <c r="B144" s="3"/>
      <c r="C144" s="3"/>
      <c r="D144" s="3"/>
      <c r="G144" s="14"/>
      <c r="H144" s="14"/>
    </row>
    <row r="145" spans="1:8" x14ac:dyDescent="0.25">
      <c r="A145" s="3"/>
      <c r="B145" s="3"/>
      <c r="C145" s="3"/>
      <c r="D145" s="3"/>
      <c r="G145" s="14"/>
      <c r="H145" s="14"/>
    </row>
    <row r="146" spans="1:8" x14ac:dyDescent="0.25">
      <c r="A146" s="3"/>
      <c r="B146" s="3"/>
      <c r="C146" s="3"/>
      <c r="D146" s="3"/>
      <c r="G146" s="14"/>
      <c r="H146" s="14"/>
    </row>
    <row r="147" spans="1:8" x14ac:dyDescent="0.25">
      <c r="A147" s="3"/>
      <c r="B147" s="3"/>
      <c r="C147" s="3"/>
      <c r="D147" s="3"/>
      <c r="G147" s="14"/>
      <c r="H147" s="14"/>
    </row>
    <row r="148" spans="1:8" x14ac:dyDescent="0.25">
      <c r="A148" s="3"/>
      <c r="B148" s="3"/>
      <c r="C148" s="3"/>
      <c r="D148" s="3"/>
      <c r="G148" s="14"/>
      <c r="H148" s="14"/>
    </row>
    <row r="149" spans="1:8" x14ac:dyDescent="0.25">
      <c r="A149" s="3"/>
      <c r="B149" s="3"/>
      <c r="C149" s="3"/>
      <c r="D149" s="3"/>
      <c r="G149" s="14"/>
      <c r="H149" s="14"/>
    </row>
    <row r="150" spans="1:8" x14ac:dyDescent="0.25">
      <c r="A150" s="3"/>
      <c r="B150" s="3"/>
      <c r="C150" s="3"/>
      <c r="D150" s="3"/>
      <c r="G150" s="14"/>
      <c r="H150" s="14"/>
    </row>
    <row r="151" spans="1:8" x14ac:dyDescent="0.25">
      <c r="A151" s="3"/>
      <c r="B151" s="3"/>
      <c r="C151" s="3"/>
      <c r="D151" s="3"/>
      <c r="G151" s="14"/>
      <c r="H151" s="14"/>
    </row>
    <row r="152" spans="1:8" x14ac:dyDescent="0.25">
      <c r="A152" s="3"/>
      <c r="B152" s="3"/>
      <c r="C152" s="3"/>
      <c r="D152" s="3"/>
      <c r="G152" s="14"/>
      <c r="H152" s="14"/>
    </row>
    <row r="153" spans="1:8" x14ac:dyDescent="0.25">
      <c r="A153" s="3"/>
      <c r="B153" s="3"/>
      <c r="C153" s="3"/>
      <c r="D153" s="3"/>
      <c r="G153" s="14"/>
      <c r="H153" s="14"/>
    </row>
    <row r="154" spans="1:8" x14ac:dyDescent="0.25">
      <c r="A154" s="3"/>
      <c r="B154" s="3"/>
      <c r="C154" s="3"/>
      <c r="D154" s="3"/>
      <c r="G154" s="14"/>
      <c r="H154" s="14"/>
    </row>
    <row r="155" spans="1:8" x14ac:dyDescent="0.25">
      <c r="A155" s="3"/>
      <c r="B155" s="3"/>
      <c r="C155" s="3"/>
      <c r="D155" s="3"/>
      <c r="G155" s="14"/>
      <c r="H155" s="14"/>
    </row>
    <row r="156" spans="1:8" x14ac:dyDescent="0.25">
      <c r="A156" s="3"/>
      <c r="B156" s="3"/>
      <c r="C156" s="3"/>
      <c r="D156" s="3"/>
      <c r="G156" s="14"/>
      <c r="H156" s="14"/>
    </row>
    <row r="157" spans="1:8" x14ac:dyDescent="0.25">
      <c r="A157" s="3"/>
      <c r="B157" s="3"/>
      <c r="C157" s="3"/>
      <c r="D157" s="3"/>
      <c r="G157" s="14"/>
      <c r="H157" s="14"/>
    </row>
    <row r="158" spans="1:8" x14ac:dyDescent="0.25">
      <c r="A158" s="3"/>
      <c r="B158" s="3"/>
      <c r="C158" s="3"/>
      <c r="D158" s="3"/>
      <c r="G158" s="14"/>
      <c r="H158" s="14"/>
    </row>
    <row r="159" spans="1:8" x14ac:dyDescent="0.25">
      <c r="A159" s="3"/>
      <c r="B159" s="3"/>
      <c r="C159" s="3"/>
      <c r="D159" s="3"/>
      <c r="G159" s="14"/>
      <c r="H159" s="14"/>
    </row>
    <row r="160" spans="1:8" x14ac:dyDescent="0.25">
      <c r="A160" s="3"/>
      <c r="B160" s="3"/>
      <c r="C160" s="3"/>
      <c r="D160" s="3"/>
      <c r="G160" s="14"/>
      <c r="H160" s="14"/>
    </row>
    <row r="161" spans="1:8" x14ac:dyDescent="0.25">
      <c r="A161" s="3"/>
      <c r="B161" s="3"/>
      <c r="C161" s="3"/>
      <c r="D161" s="3"/>
      <c r="G161" s="14"/>
      <c r="H161" s="14"/>
    </row>
    <row r="162" spans="1:8" x14ac:dyDescent="0.25">
      <c r="A162" s="3"/>
      <c r="B162" s="3"/>
      <c r="C162" s="3"/>
      <c r="D162" s="3"/>
      <c r="G162" s="14"/>
      <c r="H162" s="14"/>
    </row>
    <row r="163" spans="1:8" x14ac:dyDescent="0.25">
      <c r="A163" s="3"/>
      <c r="B163" s="3"/>
      <c r="C163" s="3"/>
      <c r="D163" s="3"/>
      <c r="G163" s="14"/>
      <c r="H163" s="14"/>
    </row>
    <row r="164" spans="1:8" x14ac:dyDescent="0.25">
      <c r="A164" s="3"/>
      <c r="B164" s="3"/>
      <c r="C164" s="3"/>
      <c r="D164" s="3"/>
      <c r="G164" s="14"/>
      <c r="H164" s="14"/>
    </row>
    <row r="165" spans="1:8" x14ac:dyDescent="0.25">
      <c r="A165" s="3"/>
      <c r="B165" s="3"/>
      <c r="C165" s="3"/>
      <c r="D165" s="3"/>
      <c r="G165" s="14"/>
      <c r="H165" s="14"/>
    </row>
    <row r="166" spans="1:8" x14ac:dyDescent="0.25">
      <c r="A166" s="3"/>
      <c r="B166" s="3"/>
      <c r="C166" s="3"/>
      <c r="D166" s="3"/>
      <c r="G166" s="14"/>
      <c r="H166" s="14"/>
    </row>
    <row r="167" spans="1:8" x14ac:dyDescent="0.25">
      <c r="A167" s="3"/>
      <c r="B167" s="3"/>
      <c r="C167" s="3"/>
      <c r="D167" s="3"/>
      <c r="G167" s="14"/>
      <c r="H167" s="14"/>
    </row>
    <row r="168" spans="1:8" x14ac:dyDescent="0.25">
      <c r="A168" s="3"/>
      <c r="B168" s="3"/>
      <c r="C168" s="3"/>
      <c r="D168" s="3"/>
      <c r="G168" s="14"/>
      <c r="H168" s="14"/>
    </row>
    <row r="169" spans="1:8" x14ac:dyDescent="0.25">
      <c r="A169" s="3"/>
      <c r="B169" s="3"/>
      <c r="C169" s="3"/>
      <c r="D169" s="3"/>
      <c r="G169" s="14"/>
      <c r="H169" s="14"/>
    </row>
    <row r="170" spans="1:8" x14ac:dyDescent="0.25">
      <c r="A170" s="3"/>
      <c r="B170" s="3"/>
      <c r="C170" s="3"/>
      <c r="D170" s="3"/>
      <c r="G170" s="14"/>
      <c r="H170" s="14"/>
    </row>
    <row r="171" spans="1:8" x14ac:dyDescent="0.25">
      <c r="A171" s="3"/>
      <c r="B171" s="3"/>
      <c r="C171" s="3"/>
      <c r="D171" s="3"/>
      <c r="G171" s="14"/>
      <c r="H171" s="14"/>
    </row>
    <row r="172" spans="1:8" x14ac:dyDescent="0.25">
      <c r="A172" s="3"/>
      <c r="B172" s="3"/>
      <c r="C172" s="3"/>
      <c r="D172" s="3"/>
      <c r="G172" s="14"/>
      <c r="H172" s="14"/>
    </row>
    <row r="173" spans="1:8" x14ac:dyDescent="0.25">
      <c r="A173" s="3"/>
      <c r="B173" s="3"/>
      <c r="C173" s="3"/>
      <c r="D173" s="3"/>
      <c r="G173" s="14"/>
      <c r="H173" s="14"/>
    </row>
    <row r="174" spans="1:8" x14ac:dyDescent="0.25">
      <c r="A174" s="3"/>
      <c r="B174" s="3"/>
      <c r="C174" s="3"/>
      <c r="D174" s="3"/>
      <c r="G174" s="14"/>
      <c r="H174" s="14"/>
    </row>
    <row r="175" spans="1:8" x14ac:dyDescent="0.25">
      <c r="A175" s="3"/>
      <c r="B175" s="3"/>
      <c r="C175" s="3"/>
      <c r="D175" s="3"/>
      <c r="G175" s="14"/>
      <c r="H175" s="14"/>
    </row>
    <row r="176" spans="1:8" x14ac:dyDescent="0.25">
      <c r="A176" s="3"/>
      <c r="B176" s="3"/>
      <c r="C176" s="3"/>
      <c r="D176" s="3"/>
      <c r="G176" s="14"/>
      <c r="H176" s="14"/>
    </row>
    <row r="177" spans="1:8" x14ac:dyDescent="0.25">
      <c r="A177" s="3"/>
      <c r="B177" s="3"/>
      <c r="C177" s="3"/>
      <c r="D177" s="3"/>
      <c r="G177" s="14"/>
      <c r="H177" s="14"/>
    </row>
    <row r="178" spans="1:8" x14ac:dyDescent="0.25">
      <c r="A178" s="3"/>
      <c r="B178" s="3"/>
      <c r="C178" s="3"/>
      <c r="D178" s="3"/>
      <c r="G178" s="14"/>
      <c r="H178" s="14"/>
    </row>
    <row r="179" spans="1:8" x14ac:dyDescent="0.25">
      <c r="A179" s="3"/>
      <c r="B179" s="3"/>
      <c r="C179" s="3"/>
      <c r="D179" s="3"/>
      <c r="G179" s="14"/>
      <c r="H179" s="14"/>
    </row>
    <row r="180" spans="1:8" x14ac:dyDescent="0.25">
      <c r="A180" s="3"/>
      <c r="B180" s="3"/>
      <c r="C180" s="3"/>
      <c r="D180" s="3"/>
      <c r="G180" s="14"/>
      <c r="H180" s="14"/>
    </row>
    <row r="181" spans="1:8" x14ac:dyDescent="0.25">
      <c r="A181" s="3"/>
      <c r="B181" s="3"/>
      <c r="C181" s="3"/>
      <c r="D181" s="3"/>
      <c r="G181" s="14"/>
      <c r="H181" s="14"/>
    </row>
    <row r="182" spans="1:8" x14ac:dyDescent="0.25">
      <c r="A182" s="3"/>
      <c r="B182" s="3"/>
      <c r="C182" s="3"/>
      <c r="D182" s="3"/>
      <c r="G182" s="14"/>
      <c r="H182" s="14"/>
    </row>
    <row r="183" spans="1:8" x14ac:dyDescent="0.25">
      <c r="A183" s="3"/>
      <c r="B183" s="3"/>
      <c r="C183" s="3"/>
      <c r="D183" s="3"/>
      <c r="G183" s="14"/>
      <c r="H183" s="14"/>
    </row>
    <row r="184" spans="1:8" x14ac:dyDescent="0.25">
      <c r="A184" s="3"/>
      <c r="B184" s="3"/>
      <c r="C184" s="3"/>
      <c r="D184" s="3"/>
      <c r="G184" s="14"/>
      <c r="H184" s="14"/>
    </row>
    <row r="185" spans="1:8" x14ac:dyDescent="0.25">
      <c r="A185" s="3"/>
      <c r="B185" s="3"/>
      <c r="C185" s="3"/>
      <c r="D185" s="3"/>
      <c r="G185" s="14"/>
      <c r="H185" s="14"/>
    </row>
    <row r="186" spans="1:8" x14ac:dyDescent="0.25">
      <c r="A186" s="3"/>
      <c r="B186" s="3"/>
      <c r="C186" s="3"/>
      <c r="D186" s="3"/>
      <c r="G186" s="14"/>
      <c r="H186" s="14"/>
    </row>
    <row r="187" spans="1:8" x14ac:dyDescent="0.25">
      <c r="A187" s="3"/>
      <c r="B187" s="3"/>
      <c r="C187" s="3"/>
      <c r="D187" s="3"/>
      <c r="G187" s="14"/>
      <c r="H187" s="14"/>
    </row>
    <row r="188" spans="1:8" x14ac:dyDescent="0.25">
      <c r="A188" s="3"/>
      <c r="B188" s="3"/>
      <c r="C188" s="3"/>
      <c r="D188" s="3"/>
      <c r="G188" s="14"/>
      <c r="H188" s="14"/>
    </row>
    <row r="189" spans="1:8" x14ac:dyDescent="0.25">
      <c r="A189" s="3"/>
      <c r="B189" s="3"/>
      <c r="C189" s="3"/>
      <c r="D189" s="3"/>
      <c r="G189" s="14"/>
      <c r="H189" s="14"/>
    </row>
    <row r="190" spans="1:8" x14ac:dyDescent="0.25">
      <c r="A190" s="3"/>
      <c r="B190" s="3"/>
      <c r="C190" s="3"/>
      <c r="D190" s="3"/>
      <c r="G190" s="14"/>
      <c r="H190" s="14"/>
    </row>
    <row r="191" spans="1:8" x14ac:dyDescent="0.25">
      <c r="A191" s="3"/>
      <c r="B191" s="3"/>
      <c r="C191" s="3"/>
      <c r="D191" s="3"/>
      <c r="G191" s="14"/>
      <c r="H191" s="14"/>
    </row>
    <row r="192" spans="1:8" x14ac:dyDescent="0.25">
      <c r="A192" s="3"/>
      <c r="B192" s="3"/>
      <c r="C192" s="3"/>
      <c r="D192" s="3"/>
      <c r="G192" s="14"/>
      <c r="H192" s="14"/>
    </row>
    <row r="193" spans="1:8" x14ac:dyDescent="0.25">
      <c r="A193" s="3"/>
      <c r="B193" s="3"/>
      <c r="C193" s="3"/>
      <c r="D193" s="3"/>
      <c r="G193" s="14"/>
      <c r="H193" s="14"/>
    </row>
    <row r="194" spans="1:8" x14ac:dyDescent="0.25">
      <c r="A194" s="3"/>
      <c r="B194" s="3"/>
      <c r="C194" s="3"/>
      <c r="D194" s="3"/>
      <c r="G194" s="14"/>
      <c r="H194" s="14"/>
    </row>
    <row r="195" spans="1:8" x14ac:dyDescent="0.25">
      <c r="A195" s="3"/>
      <c r="B195" s="3"/>
      <c r="C195" s="3"/>
      <c r="D195" s="3"/>
      <c r="G195" s="14"/>
      <c r="H195" s="14"/>
    </row>
    <row r="196" spans="1:8" x14ac:dyDescent="0.25">
      <c r="A196" s="3"/>
      <c r="B196" s="3"/>
      <c r="C196" s="3"/>
      <c r="D196" s="3"/>
      <c r="G196" s="14"/>
      <c r="H196" s="14"/>
    </row>
    <row r="197" spans="1:8" x14ac:dyDescent="0.25">
      <c r="A197" s="3"/>
      <c r="B197" s="3"/>
      <c r="C197" s="3"/>
      <c r="D197" s="3"/>
      <c r="G197" s="14"/>
      <c r="H197" s="14"/>
    </row>
    <row r="198" spans="1:8" x14ac:dyDescent="0.25">
      <c r="A198" s="3"/>
      <c r="B198" s="3"/>
      <c r="C198" s="3"/>
      <c r="D198" s="3"/>
      <c r="G198" s="14"/>
      <c r="H198" s="14"/>
    </row>
    <row r="199" spans="1:8" x14ac:dyDescent="0.25">
      <c r="A199" s="3"/>
      <c r="B199" s="3"/>
      <c r="C199" s="3"/>
      <c r="D199" s="3"/>
      <c r="G199" s="14"/>
      <c r="H199" s="14"/>
    </row>
    <row r="200" spans="1:8" x14ac:dyDescent="0.25">
      <c r="A200" s="3"/>
      <c r="B200" s="3"/>
      <c r="C200" s="3"/>
      <c r="D200" s="3"/>
      <c r="G200" s="14"/>
      <c r="H200" s="14"/>
    </row>
    <row r="201" spans="1:8" x14ac:dyDescent="0.25">
      <c r="A201" s="3"/>
      <c r="B201" s="3"/>
      <c r="C201" s="3"/>
      <c r="D201" s="3"/>
      <c r="G201" s="14"/>
      <c r="H201" s="14"/>
    </row>
    <row r="202" spans="1:8" x14ac:dyDescent="0.25">
      <c r="A202" s="3"/>
      <c r="B202" s="3"/>
      <c r="C202" s="3"/>
      <c r="D202" s="3"/>
      <c r="G202" s="14"/>
      <c r="H202" s="14"/>
    </row>
    <row r="203" spans="1:8" x14ac:dyDescent="0.25">
      <c r="A203" s="3"/>
      <c r="B203" s="3"/>
      <c r="C203" s="3"/>
      <c r="D203" s="3"/>
      <c r="G203" s="14"/>
      <c r="H203" s="14"/>
    </row>
    <row r="204" spans="1:8" x14ac:dyDescent="0.25">
      <c r="A204" s="3"/>
      <c r="B204" s="3"/>
      <c r="C204" s="3"/>
      <c r="D204" s="3"/>
      <c r="G204" s="14"/>
      <c r="H204" s="14"/>
    </row>
    <row r="205" spans="1:8" x14ac:dyDescent="0.25">
      <c r="A205" s="3"/>
      <c r="B205" s="3"/>
      <c r="C205" s="3"/>
      <c r="D205" s="3"/>
      <c r="G205" s="14"/>
      <c r="H205" s="14"/>
    </row>
    <row r="206" spans="1:8" x14ac:dyDescent="0.25">
      <c r="A206" s="3"/>
      <c r="B206" s="3"/>
      <c r="C206" s="3"/>
      <c r="D206" s="3"/>
      <c r="G206" s="14"/>
      <c r="H206" s="14"/>
    </row>
    <row r="207" spans="1:8" x14ac:dyDescent="0.25">
      <c r="A207" s="3"/>
      <c r="B207" s="3"/>
      <c r="C207" s="3"/>
      <c r="D207" s="3"/>
      <c r="G207" s="14"/>
      <c r="H207" s="14"/>
    </row>
    <row r="208" spans="1:8" x14ac:dyDescent="0.25">
      <c r="A208" s="3"/>
      <c r="B208" s="3"/>
      <c r="C208" s="3"/>
      <c r="D208" s="3"/>
      <c r="G208" s="14"/>
      <c r="H208" s="14"/>
    </row>
    <row r="209" spans="1:8" x14ac:dyDescent="0.25">
      <c r="A209" s="3"/>
      <c r="B209" s="3"/>
      <c r="C209" s="3"/>
      <c r="D209" s="3"/>
      <c r="G209" s="14"/>
      <c r="H209" s="14"/>
    </row>
    <row r="210" spans="1:8" x14ac:dyDescent="0.25">
      <c r="A210" s="3"/>
      <c r="B210" s="3"/>
      <c r="C210" s="3"/>
      <c r="D210" s="3"/>
      <c r="G210" s="14"/>
      <c r="H210" s="14"/>
    </row>
    <row r="211" spans="1:8" x14ac:dyDescent="0.25">
      <c r="A211" s="3"/>
      <c r="B211" s="3"/>
      <c r="C211" s="3"/>
      <c r="D211" s="3"/>
      <c r="G211" s="14"/>
      <c r="H211" s="14"/>
    </row>
    <row r="212" spans="1:8" x14ac:dyDescent="0.25">
      <c r="A212" s="3"/>
      <c r="B212" s="3"/>
      <c r="C212" s="3"/>
      <c r="D212" s="3"/>
      <c r="G212" s="14"/>
      <c r="H212" s="14"/>
    </row>
    <row r="213" spans="1:8" x14ac:dyDescent="0.25">
      <c r="A213" s="3"/>
      <c r="B213" s="3"/>
      <c r="C213" s="3"/>
      <c r="D213" s="3"/>
      <c r="G213" s="14"/>
      <c r="H213" s="14"/>
    </row>
    <row r="214" spans="1:8" x14ac:dyDescent="0.25">
      <c r="A214" s="3"/>
      <c r="B214" s="3"/>
      <c r="C214" s="3"/>
      <c r="D214" s="3"/>
      <c r="G214" s="14"/>
      <c r="H214" s="14"/>
    </row>
    <row r="215" spans="1:8" x14ac:dyDescent="0.25">
      <c r="A215" s="3"/>
      <c r="B215" s="3"/>
      <c r="C215" s="3"/>
      <c r="D215" s="3"/>
      <c r="G215" s="14"/>
      <c r="H215" s="14"/>
    </row>
    <row r="216" spans="1:8" x14ac:dyDescent="0.25">
      <c r="A216" s="3"/>
      <c r="B216" s="3"/>
      <c r="C216" s="3"/>
      <c r="D216" s="3"/>
      <c r="G216" s="14"/>
      <c r="H216" s="14"/>
    </row>
    <row r="217" spans="1:8" x14ac:dyDescent="0.25">
      <c r="A217" s="3"/>
      <c r="B217" s="3"/>
      <c r="C217" s="3"/>
      <c r="D217" s="3"/>
      <c r="G217" s="14"/>
      <c r="H217" s="14"/>
    </row>
    <row r="218" spans="1:8" x14ac:dyDescent="0.25">
      <c r="A218" s="3"/>
      <c r="B218" s="3"/>
      <c r="C218" s="3"/>
      <c r="D218" s="3"/>
      <c r="G218" s="14"/>
      <c r="H218" s="14"/>
    </row>
    <row r="219" spans="1:8" x14ac:dyDescent="0.25">
      <c r="A219" s="3"/>
      <c r="B219" s="3"/>
      <c r="C219" s="3"/>
      <c r="D219" s="3"/>
      <c r="G219" s="14"/>
      <c r="H219" s="14"/>
    </row>
    <row r="220" spans="1:8" x14ac:dyDescent="0.25">
      <c r="A220" s="3"/>
      <c r="B220" s="3"/>
      <c r="C220" s="3"/>
      <c r="D220" s="3"/>
      <c r="G220" s="14"/>
      <c r="H220" s="14"/>
    </row>
    <row r="221" spans="1:8" x14ac:dyDescent="0.25">
      <c r="A221" s="3"/>
      <c r="B221" s="3"/>
      <c r="C221" s="3"/>
      <c r="D221" s="3"/>
      <c r="G221" s="14"/>
      <c r="H221" s="14"/>
    </row>
    <row r="222" spans="1:8" x14ac:dyDescent="0.25">
      <c r="A222" s="3"/>
      <c r="B222" s="3"/>
      <c r="C222" s="3"/>
      <c r="D222" s="3"/>
      <c r="G222" s="14"/>
      <c r="H222" s="14"/>
    </row>
    <row r="223" spans="1:8" x14ac:dyDescent="0.25">
      <c r="A223" s="3"/>
      <c r="B223" s="3"/>
      <c r="C223" s="3"/>
      <c r="D223" s="3"/>
      <c r="G223" s="14"/>
      <c r="H223" s="14"/>
    </row>
    <row r="224" spans="1:8" x14ac:dyDescent="0.25">
      <c r="A224" s="3"/>
      <c r="B224" s="3"/>
      <c r="C224" s="3"/>
      <c r="D224" s="3"/>
      <c r="G224" s="14"/>
      <c r="H224" s="14"/>
    </row>
    <row r="225" spans="1:8" x14ac:dyDescent="0.25">
      <c r="A225" s="3"/>
      <c r="B225" s="3"/>
      <c r="C225" s="3"/>
      <c r="D225" s="3"/>
      <c r="G225" s="14"/>
      <c r="H225" s="14"/>
    </row>
    <row r="226" spans="1:8" x14ac:dyDescent="0.25">
      <c r="A226" s="3"/>
      <c r="B226" s="3"/>
      <c r="C226" s="3"/>
      <c r="D226" s="3"/>
      <c r="G226" s="14"/>
      <c r="H226" s="14"/>
    </row>
    <row r="227" spans="1:8" x14ac:dyDescent="0.25">
      <c r="A227" s="3"/>
      <c r="B227" s="3"/>
      <c r="C227" s="3"/>
      <c r="D227" s="3"/>
      <c r="G227" s="14"/>
      <c r="H227" s="14"/>
    </row>
    <row r="228" spans="1:8" x14ac:dyDescent="0.25">
      <c r="A228" s="3"/>
      <c r="B228" s="3"/>
      <c r="C228" s="3"/>
      <c r="D228" s="3"/>
      <c r="G228" s="14"/>
      <c r="H228" s="14"/>
    </row>
    <row r="229" spans="1:8" x14ac:dyDescent="0.25">
      <c r="A229" s="3"/>
      <c r="B229" s="3"/>
      <c r="C229" s="3"/>
      <c r="D229" s="3"/>
      <c r="G229" s="14"/>
      <c r="H229" s="14"/>
    </row>
    <row r="230" spans="1:8" x14ac:dyDescent="0.25">
      <c r="A230" s="3"/>
      <c r="B230" s="3"/>
      <c r="C230" s="3"/>
      <c r="D230" s="3"/>
      <c r="G230" s="14"/>
      <c r="H230" s="14"/>
    </row>
    <row r="231" spans="1:8" x14ac:dyDescent="0.25">
      <c r="A231" s="3"/>
      <c r="B231" s="3"/>
      <c r="C231" s="3"/>
      <c r="D231" s="3"/>
      <c r="G231" s="14"/>
      <c r="H231" s="14"/>
    </row>
    <row r="232" spans="1:8" x14ac:dyDescent="0.25">
      <c r="A232" s="3"/>
      <c r="B232" s="3"/>
      <c r="C232" s="3"/>
      <c r="D232" s="3"/>
      <c r="G232" s="14"/>
      <c r="H232" s="14"/>
    </row>
    <row r="233" spans="1:8" x14ac:dyDescent="0.25">
      <c r="A233" s="3"/>
      <c r="B233" s="3"/>
      <c r="C233" s="3"/>
      <c r="D233" s="3"/>
      <c r="G233" s="14"/>
      <c r="H233" s="14"/>
    </row>
    <row r="234" spans="1:8" x14ac:dyDescent="0.25">
      <c r="A234" s="3"/>
      <c r="B234" s="3"/>
      <c r="C234" s="3"/>
      <c r="D234" s="3"/>
      <c r="G234" s="14"/>
      <c r="H234" s="14"/>
    </row>
    <row r="235" spans="1:8" x14ac:dyDescent="0.25">
      <c r="A235" s="3"/>
      <c r="B235" s="3"/>
      <c r="C235" s="3"/>
      <c r="D235" s="3"/>
      <c r="G235" s="14"/>
      <c r="H235" s="14"/>
    </row>
    <row r="236" spans="1:8" x14ac:dyDescent="0.25">
      <c r="A236" s="3"/>
      <c r="B236" s="3"/>
      <c r="C236" s="3"/>
      <c r="D236" s="3"/>
      <c r="G236" s="14"/>
      <c r="H236" s="14"/>
    </row>
    <row r="237" spans="1:8" x14ac:dyDescent="0.25">
      <c r="A237" s="3"/>
      <c r="B237" s="3"/>
      <c r="C237" s="3"/>
      <c r="D237" s="3"/>
      <c r="G237" s="14"/>
      <c r="H237" s="14"/>
    </row>
    <row r="238" spans="1:8" x14ac:dyDescent="0.25">
      <c r="A238" s="3"/>
      <c r="B238" s="3"/>
      <c r="C238" s="3"/>
      <c r="D238" s="3"/>
      <c r="G238" s="14"/>
      <c r="H238" s="14"/>
    </row>
    <row r="239" spans="1:8" x14ac:dyDescent="0.25">
      <c r="A239" s="3"/>
      <c r="B239" s="3"/>
      <c r="C239" s="3"/>
      <c r="D239" s="3"/>
      <c r="G239" s="14"/>
      <c r="H239" s="14"/>
    </row>
    <row r="240" spans="1:8" x14ac:dyDescent="0.25">
      <c r="A240" s="3"/>
      <c r="B240" s="3"/>
      <c r="C240" s="3"/>
      <c r="D240" s="3"/>
      <c r="G240" s="14"/>
      <c r="H240" s="14"/>
    </row>
    <row r="241" spans="1:8" x14ac:dyDescent="0.25">
      <c r="A241" s="3"/>
      <c r="B241" s="3"/>
      <c r="C241" s="3"/>
      <c r="D241" s="3"/>
      <c r="G241" s="14"/>
      <c r="H241" s="14"/>
    </row>
    <row r="242" spans="1:8" x14ac:dyDescent="0.25">
      <c r="A242" s="3"/>
      <c r="B242" s="3"/>
      <c r="C242" s="3"/>
      <c r="D242" s="3"/>
      <c r="G242" s="14"/>
      <c r="H242" s="14"/>
    </row>
    <row r="243" spans="1:8" x14ac:dyDescent="0.25">
      <c r="A243" s="3"/>
      <c r="B243" s="3"/>
      <c r="C243" s="3"/>
      <c r="D243" s="3"/>
      <c r="G243" s="14"/>
      <c r="H243" s="14"/>
    </row>
    <row r="244" spans="1:8" x14ac:dyDescent="0.25">
      <c r="A244" s="3"/>
      <c r="B244" s="3"/>
      <c r="C244" s="3"/>
      <c r="D244" s="3"/>
      <c r="G244" s="14"/>
      <c r="H244" s="14"/>
    </row>
    <row r="245" spans="1:8" x14ac:dyDescent="0.25">
      <c r="A245" s="3"/>
      <c r="B245" s="3"/>
      <c r="C245" s="3"/>
      <c r="D245" s="3"/>
      <c r="G245" s="14"/>
      <c r="H245" s="14"/>
    </row>
    <row r="247" spans="1:8" x14ac:dyDescent="0.25">
      <c r="A247" s="3"/>
      <c r="G247" s="14"/>
      <c r="H247" s="14"/>
    </row>
  </sheetData>
  <phoneticPr fontId="1" type="noConversion"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AAF4CA-84D1-4E16-AD60-9A157132CC1F}">
  <sheetPr/>
  <dimension ref="A1:I247"/>
  <sheetViews>
    <sheetView zoomScale="115" zoomScaleNormal="115" workbookViewId="0">
      <selection activeCell="A5" sqref="A5:H35"/>
    </sheetView>
  </sheetViews>
  <sheetFormatPr defaultRowHeight="15" x14ac:dyDescent="0.25"/>
  <cols>
    <col min="1" max="1" width="8.875" style="4" customWidth="1"/>
    <col min="2" max="3" width="15.125" style="4" customWidth="1"/>
    <col min="4" max="4" width="10.25" style="4" customWidth="1"/>
    <col min="5" max="5" width="12" style="13" customWidth="1"/>
    <col min="6" max="6" width="15" style="13" customWidth="1"/>
    <col min="7" max="7" width="13.875" customWidth="1"/>
    <col min="8" max="8" width="11.125" customWidth="1"/>
    <col min="11" max="12" width="15.125" customWidth="1"/>
    <col min="13" max="13" width="11.125" customWidth="1"/>
  </cols>
  <sheetData>
    <row r="1" spans="1:9" ht="14.25" x14ac:dyDescent="0.2">
      <c r="A1" s="2" t="s">
        <v>12</v>
      </c>
      <c r="B1" s="2" t="s">
        <v>4</v>
      </c>
      <c r="C1" s="2" t="s">
        <v>5</v>
      </c>
      <c r="D1" s="2" t="s">
        <v>13</v>
      </c>
      <c r="E1" s="2" t="s">
        <v>14</v>
      </c>
      <c r="F1" s="2" t="s">
        <v>15</v>
      </c>
      <c r="G1" s="2" t="s">
        <v>16</v>
      </c>
    </row>
    <row r="2" spans="1:9" x14ac:dyDescent="0.25">
      <c r="A2" s="11">
        <v>13</v>
      </c>
      <c r="B2" s="3">
        <v>113.34311649999999</v>
      </c>
      <c r="C2" s="8">
        <v>23.031605039999999</v>
      </c>
      <c r="D2" s="3">
        <v>0</v>
      </c>
      <c r="E2" s="13">
        <v>1715</v>
      </c>
      <c r="F2" s="13">
        <v>8</v>
      </c>
      <c r="G2" s="19">
        <f>SUBTOTAL(2,A5:A250)</f>
        <v>11</v>
      </c>
    </row>
    <row r="3" spans="1:9" x14ac:dyDescent="0.25">
      <c r="A3" s="3"/>
      <c r="B3" s="3"/>
      <c r="C3" s="3"/>
      <c r="D3" s="3"/>
    </row>
    <row r="4" spans="1:9" ht="14.25" x14ac:dyDescent="0.2">
      <c r="A4" s="2" t="s">
        <v>0</v>
      </c>
      <c r="B4" s="2" t="s">
        <v>1</v>
      </c>
      <c r="C4" s="2" t="s">
        <v>2</v>
      </c>
      <c r="D4" s="2" t="s">
        <v>3</v>
      </c>
      <c r="E4" s="2" t="s">
        <v>7</v>
      </c>
      <c r="F4" s="2" t="s">
        <v>8</v>
      </c>
      <c r="G4" s="2" t="s">
        <v>13</v>
      </c>
      <c r="H4" s="2" t="s">
        <v>14</v>
      </c>
      <c r="I4" s="24" t="s">
        <v>20</v>
      </c>
    </row>
    <row r="5" spans="1:9" x14ac:dyDescent="0.25">
      <c r="A5" s="3">
        <v>960</v>
      </c>
      <c r="B5" s="3">
        <v>113.3411967</v>
      </c>
      <c r="C5" s="3">
        <v>23.029695019999998</v>
      </c>
      <c r="D5" s="3">
        <v>13</v>
      </c>
      <c r="E5" s="13">
        <f t="shared" ref="E5:E36" si="0">SQRT((B5-$B$2)^2+(C5-$C$2)^2)</f>
        <v>2.7081005225778249E-3</v>
      </c>
      <c r="F5" s="13">
        <f t="shared" ref="F5:F36" si="1">SQRT(1/E5)</f>
        <v>19.216204395418288</v>
      </c>
      <c r="G5" s="14">
        <f>F5/$F$38*$D$2</f>
        <v>0</v>
      </c>
      <c r="H5" s="14">
        <f>F5/$F$38*$E$2</f>
        <v>219.37334027992574</v>
      </c>
      <c r="I5" s="25" t="str">
        <f>IF(MOD(ROW()-1,3)=1,"选中","")</f>
        <v>选中</v>
      </c>
    </row>
    <row r="6" spans="1:9" hidden="1" x14ac:dyDescent="0.25">
      <c r="A6" s="3">
        <v>966</v>
      </c>
      <c r="B6" s="3">
        <v>113.3410181</v>
      </c>
      <c r="C6" s="3">
        <v>23.029811290000001</v>
      </c>
      <c r="D6" s="3">
        <v>13</v>
      </c>
      <c r="E6" s="13">
        <f t="shared" si="0"/>
        <v>2.760583565564737E-3</v>
      </c>
      <c r="F6" s="13">
        <f t="shared" si="1"/>
        <v>19.032662694382378</v>
      </c>
      <c r="G6" s="14" t="e">
        <f>F6/$F$124*$D$2</f>
        <v>#DIV/0!</v>
      </c>
      <c r="H6" s="14" t="e">
        <f>F6/$F$124*$E$2</f>
        <v>#DIV/0!</v>
      </c>
      <c r="I6" s="25" t="str">
        <f t="shared" ref="I6:I36" si="2">IF(MOD(ROW()-1,3)=1,"选中","")</f>
        <v/>
      </c>
    </row>
    <row r="7" spans="1:9" hidden="1" x14ac:dyDescent="0.25">
      <c r="A7" s="3">
        <v>970</v>
      </c>
      <c r="B7" s="3">
        <v>113.3459367</v>
      </c>
      <c r="C7" s="3">
        <v>23.033506129999999</v>
      </c>
      <c r="D7" s="3">
        <v>13</v>
      </c>
      <c r="E7" s="13">
        <f t="shared" si="0"/>
        <v>3.401127934687853E-3</v>
      </c>
      <c r="F7" s="13">
        <f t="shared" si="1"/>
        <v>17.147014527677893</v>
      </c>
      <c r="G7" s="14" t="e">
        <f>F7/$F$124*$D$2</f>
        <v>#DIV/0!</v>
      </c>
      <c r="H7" s="14" t="e">
        <f>F7/$F$124*$E$2</f>
        <v>#DIV/0!</v>
      </c>
      <c r="I7" s="25" t="str">
        <f t="shared" si="2"/>
        <v/>
      </c>
    </row>
    <row r="8" spans="1:9" x14ac:dyDescent="0.25">
      <c r="A8" s="3">
        <v>583</v>
      </c>
      <c r="B8" s="3">
        <v>113.3421546</v>
      </c>
      <c r="C8" s="3">
        <v>23.035021029999999</v>
      </c>
      <c r="D8" s="3">
        <v>13</v>
      </c>
      <c r="E8" s="13">
        <f t="shared" si="0"/>
        <v>3.5488363290084968E-3</v>
      </c>
      <c r="F8" s="13">
        <f t="shared" si="1"/>
        <v>16.786378633948104</v>
      </c>
      <c r="G8" s="14">
        <f>F8/$F$38*$D$2</f>
        <v>0</v>
      </c>
      <c r="H8" s="14">
        <f>F8/$F$38*$E$2</f>
        <v>191.63430385923587</v>
      </c>
      <c r="I8" s="25" t="str">
        <f t="shared" si="2"/>
        <v>选中</v>
      </c>
    </row>
    <row r="9" spans="1:9" hidden="1" x14ac:dyDescent="0.25">
      <c r="A9" s="3">
        <v>577</v>
      </c>
      <c r="B9" s="3">
        <v>113.3407632</v>
      </c>
      <c r="C9" s="3">
        <v>23.034491729999999</v>
      </c>
      <c r="D9" s="3">
        <v>13</v>
      </c>
      <c r="E9" s="13">
        <f t="shared" si="0"/>
        <v>3.7243791490774061E-3</v>
      </c>
      <c r="F9" s="13">
        <f t="shared" si="1"/>
        <v>16.38600400630542</v>
      </c>
      <c r="G9" s="14" t="e">
        <f>F9/$F$124*$D$2</f>
        <v>#DIV/0!</v>
      </c>
      <c r="H9" s="14" t="e">
        <f>F9/$F$124*$E$2</f>
        <v>#DIV/0!</v>
      </c>
      <c r="I9" s="25" t="str">
        <f t="shared" si="2"/>
        <v/>
      </c>
    </row>
    <row r="10" spans="1:9" hidden="1" x14ac:dyDescent="0.25">
      <c r="A10" s="3">
        <v>963</v>
      </c>
      <c r="B10" s="3">
        <v>113.3397253</v>
      </c>
      <c r="C10" s="3">
        <v>23.03343104</v>
      </c>
      <c r="D10" s="3">
        <v>13</v>
      </c>
      <c r="E10" s="13">
        <f t="shared" si="0"/>
        <v>3.8515598710101972E-3</v>
      </c>
      <c r="F10" s="13">
        <f t="shared" si="1"/>
        <v>16.11319538946826</v>
      </c>
      <c r="G10" s="14" t="e">
        <f>F10/$F$124*$D$2</f>
        <v>#DIV/0!</v>
      </c>
      <c r="H10" s="14" t="e">
        <f>F10/$F$124*$E$2</f>
        <v>#DIV/0!</v>
      </c>
      <c r="I10" s="25" t="str">
        <f t="shared" si="2"/>
        <v/>
      </c>
    </row>
    <row r="11" spans="1:9" x14ac:dyDescent="0.25">
      <c r="A11" s="3">
        <v>578</v>
      </c>
      <c r="B11" s="3">
        <v>113.3450283</v>
      </c>
      <c r="C11" s="3">
        <v>23.035017029999999</v>
      </c>
      <c r="D11" s="3">
        <v>13</v>
      </c>
      <c r="E11" s="13">
        <f t="shared" si="0"/>
        <v>3.9110938367812051E-3</v>
      </c>
      <c r="F11" s="13">
        <f t="shared" si="1"/>
        <v>15.990089038679368</v>
      </c>
      <c r="G11" s="14">
        <f>F11/$F$38*$D$2</f>
        <v>0</v>
      </c>
      <c r="H11" s="14">
        <f>F11/$F$38*$E$2</f>
        <v>182.54381414806781</v>
      </c>
      <c r="I11" s="25" t="str">
        <f t="shared" si="2"/>
        <v>选中</v>
      </c>
    </row>
    <row r="12" spans="1:9" hidden="1" x14ac:dyDescent="0.25">
      <c r="A12" s="3">
        <v>969</v>
      </c>
      <c r="B12" s="3">
        <v>113.3451934</v>
      </c>
      <c r="C12" s="3">
        <v>23.028207680000001</v>
      </c>
      <c r="D12" s="3">
        <v>13</v>
      </c>
      <c r="E12" s="13">
        <f t="shared" si="0"/>
        <v>3.9819051444763146E-3</v>
      </c>
      <c r="F12" s="13">
        <f t="shared" si="1"/>
        <v>15.847273194954541</v>
      </c>
      <c r="G12" s="14" t="e">
        <f>F12/$F$124*$D$2</f>
        <v>#DIV/0!</v>
      </c>
      <c r="H12" s="14" t="e">
        <f>F12/$F$124*$E$2</f>
        <v>#DIV/0!</v>
      </c>
      <c r="I12" s="25" t="str">
        <f t="shared" si="2"/>
        <v/>
      </c>
    </row>
    <row r="13" spans="1:9" hidden="1" x14ac:dyDescent="0.25">
      <c r="A13" s="3">
        <v>580</v>
      </c>
      <c r="B13" s="3">
        <v>113.3432624</v>
      </c>
      <c r="C13" s="3">
        <v>23.036010659999999</v>
      </c>
      <c r="D13" s="3">
        <v>13</v>
      </c>
      <c r="E13" s="13">
        <f t="shared" si="0"/>
        <v>4.4080352079358415E-3</v>
      </c>
      <c r="F13" s="13">
        <f t="shared" si="1"/>
        <v>15.061820676840462</v>
      </c>
      <c r="G13" s="14" t="e">
        <f>F13/$F$124*$D$2</f>
        <v>#DIV/0!</v>
      </c>
      <c r="H13" s="14" t="e">
        <f>F13/$F$124*$E$2</f>
        <v>#DIV/0!</v>
      </c>
      <c r="I13" s="25" t="str">
        <f t="shared" si="2"/>
        <v/>
      </c>
    </row>
    <row r="14" spans="1:9" x14ac:dyDescent="0.25">
      <c r="A14" s="3">
        <v>956</v>
      </c>
      <c r="B14" s="3">
        <v>113.3391946</v>
      </c>
      <c r="C14" s="3">
        <v>23.02928979</v>
      </c>
      <c r="D14" s="3">
        <v>13</v>
      </c>
      <c r="E14" s="13">
        <f t="shared" si="0"/>
        <v>4.5543036978721455E-3</v>
      </c>
      <c r="F14" s="13">
        <f t="shared" si="1"/>
        <v>14.817980065484559</v>
      </c>
      <c r="G14" s="14">
        <f>F14/$F$38*$D$2</f>
        <v>0</v>
      </c>
      <c r="H14" s="14">
        <f>F14/$F$38*$E$2</f>
        <v>169.16294790982533</v>
      </c>
      <c r="I14" s="25" t="str">
        <f t="shared" si="2"/>
        <v>选中</v>
      </c>
    </row>
    <row r="15" spans="1:9" hidden="1" x14ac:dyDescent="0.25">
      <c r="A15" s="3">
        <v>973</v>
      </c>
      <c r="B15" s="3">
        <v>113.3441634</v>
      </c>
      <c r="C15" s="3">
        <v>23.02679307</v>
      </c>
      <c r="D15" s="3">
        <v>13</v>
      </c>
      <c r="E15" s="13">
        <f t="shared" si="0"/>
        <v>4.9245360076761724E-3</v>
      </c>
      <c r="F15" s="13">
        <f t="shared" si="1"/>
        <v>14.250081275151784</v>
      </c>
      <c r="G15" s="14" t="e">
        <f>F15/$F$124*$D$2</f>
        <v>#DIV/0!</v>
      </c>
      <c r="H15" s="14" t="e">
        <f>F15/$F$124*$E$2</f>
        <v>#DIV/0!</v>
      </c>
      <c r="I15" s="25" t="str">
        <f t="shared" si="2"/>
        <v/>
      </c>
    </row>
    <row r="16" spans="1:9" hidden="1" x14ac:dyDescent="0.25">
      <c r="A16" s="3">
        <v>955</v>
      </c>
      <c r="B16" s="3">
        <v>113.33884930000001</v>
      </c>
      <c r="C16" s="3">
        <v>23.02890558</v>
      </c>
      <c r="D16" s="3">
        <v>13</v>
      </c>
      <c r="E16" s="13">
        <f t="shared" si="0"/>
        <v>5.0493643294459165E-3</v>
      </c>
      <c r="F16" s="13">
        <f t="shared" si="1"/>
        <v>14.072836634149292</v>
      </c>
      <c r="G16" s="14" t="e">
        <f>F16/$F$124*$D$2</f>
        <v>#DIV/0!</v>
      </c>
      <c r="H16" s="14" t="e">
        <f>F16/$F$124*$E$2</f>
        <v>#DIV/0!</v>
      </c>
      <c r="I16" s="25" t="str">
        <f t="shared" si="2"/>
        <v/>
      </c>
    </row>
    <row r="17" spans="1:9" x14ac:dyDescent="0.25">
      <c r="A17" s="3">
        <v>572</v>
      </c>
      <c r="B17" s="3">
        <v>113.3409108</v>
      </c>
      <c r="C17" s="3">
        <v>23.036168740000001</v>
      </c>
      <c r="D17" s="3">
        <v>13</v>
      </c>
      <c r="E17" s="13">
        <f t="shared" si="0"/>
        <v>5.0687740312600794E-3</v>
      </c>
      <c r="F17" s="13">
        <f t="shared" si="1"/>
        <v>14.045866448287233</v>
      </c>
      <c r="G17" s="14">
        <f>F17/$F$38*$D$2</f>
        <v>0</v>
      </c>
      <c r="H17" s="14">
        <f>F17/$F$38*$E$2</f>
        <v>160.34845261227434</v>
      </c>
      <c r="I17" s="25" t="str">
        <f t="shared" si="2"/>
        <v>选中</v>
      </c>
    </row>
    <row r="18" spans="1:9" hidden="1" x14ac:dyDescent="0.25">
      <c r="A18" s="3">
        <v>972</v>
      </c>
      <c r="B18" s="3">
        <v>113.3467706</v>
      </c>
      <c r="C18" s="3">
        <v>23.027835159999999</v>
      </c>
      <c r="D18" s="3">
        <v>13</v>
      </c>
      <c r="E18" s="13">
        <f t="shared" si="0"/>
        <v>5.2501849514509672E-3</v>
      </c>
      <c r="F18" s="13">
        <f t="shared" si="1"/>
        <v>13.801068091124408</v>
      </c>
      <c r="G18" s="14" t="e">
        <f>F18/$F$124*$D$2</f>
        <v>#DIV/0!</v>
      </c>
      <c r="H18" s="14" t="e">
        <f>F18/$F$124*$E$2</f>
        <v>#DIV/0!</v>
      </c>
      <c r="I18" s="25" t="str">
        <f t="shared" si="2"/>
        <v/>
      </c>
    </row>
    <row r="19" spans="1:9" hidden="1" x14ac:dyDescent="0.25">
      <c r="A19" s="3">
        <v>971</v>
      </c>
      <c r="B19" s="3">
        <v>113.348022</v>
      </c>
      <c r="C19" s="3">
        <v>23.033568599999999</v>
      </c>
      <c r="D19" s="3">
        <v>13</v>
      </c>
      <c r="E19" s="13">
        <f t="shared" si="0"/>
        <v>5.2838904344872407E-3</v>
      </c>
      <c r="F19" s="13">
        <f t="shared" si="1"/>
        <v>13.756979756003462</v>
      </c>
      <c r="G19" s="14" t="e">
        <f>F19/$F$124*$D$2</f>
        <v>#DIV/0!</v>
      </c>
      <c r="H19" s="14" t="e">
        <f>F19/$F$124*$E$2</f>
        <v>#DIV/0!</v>
      </c>
      <c r="I19" s="25" t="str">
        <f t="shared" si="2"/>
        <v/>
      </c>
    </row>
    <row r="20" spans="1:9" x14ac:dyDescent="0.25">
      <c r="A20" s="3">
        <v>962</v>
      </c>
      <c r="B20" s="3">
        <v>113.3377244</v>
      </c>
      <c r="C20" s="3">
        <v>23.030034130000001</v>
      </c>
      <c r="D20" s="3">
        <v>13</v>
      </c>
      <c r="E20" s="13">
        <f t="shared" si="0"/>
        <v>5.6162710616596365E-3</v>
      </c>
      <c r="F20" s="13">
        <f t="shared" si="1"/>
        <v>13.343690797919445</v>
      </c>
      <c r="G20" s="14">
        <f>F20/$F$38*$D$2</f>
        <v>0</v>
      </c>
      <c r="H20" s="14">
        <f>F20/$F$38*$E$2</f>
        <v>152.33237333279195</v>
      </c>
      <c r="I20" s="25" t="str">
        <f t="shared" si="2"/>
        <v>选中</v>
      </c>
    </row>
    <row r="21" spans="1:9" hidden="1" x14ac:dyDescent="0.25">
      <c r="A21" s="3">
        <v>968</v>
      </c>
      <c r="B21" s="3">
        <v>113.3480593</v>
      </c>
      <c r="C21" s="3">
        <v>23.028766610000002</v>
      </c>
      <c r="D21" s="3">
        <v>13</v>
      </c>
      <c r="E21" s="13">
        <f t="shared" si="0"/>
        <v>5.6998207607760407E-3</v>
      </c>
      <c r="F21" s="13">
        <f t="shared" si="1"/>
        <v>13.245531828326749</v>
      </c>
      <c r="G21" s="14" t="e">
        <f>F21/$F$124*$D$2</f>
        <v>#DIV/0!</v>
      </c>
      <c r="H21" s="14" t="e">
        <f>F21/$F$124*$E$2</f>
        <v>#DIV/0!</v>
      </c>
      <c r="I21" s="25" t="str">
        <f t="shared" si="2"/>
        <v/>
      </c>
    </row>
    <row r="22" spans="1:9" hidden="1" x14ac:dyDescent="0.25">
      <c r="A22" s="3">
        <v>565</v>
      </c>
      <c r="B22" s="3">
        <v>113.3397411</v>
      </c>
      <c r="C22" s="3">
        <v>23.036223809999999</v>
      </c>
      <c r="D22" s="3">
        <v>13</v>
      </c>
      <c r="E22" s="13">
        <f t="shared" si="0"/>
        <v>5.720695890613004E-3</v>
      </c>
      <c r="F22" s="13">
        <f t="shared" si="1"/>
        <v>13.221342909170293</v>
      </c>
      <c r="G22" s="14" t="e">
        <f>F22/$F$124*$D$2</f>
        <v>#DIV/0!</v>
      </c>
      <c r="H22" s="14" t="e">
        <f>F22/$F$124*$E$2</f>
        <v>#DIV/0!</v>
      </c>
      <c r="I22" s="25" t="str">
        <f t="shared" si="2"/>
        <v/>
      </c>
    </row>
    <row r="23" spans="1:9" x14ac:dyDescent="0.25">
      <c r="A23" s="3">
        <v>564</v>
      </c>
      <c r="B23" s="3">
        <v>113.33827599999999</v>
      </c>
      <c r="C23" s="3">
        <v>23.034692119999999</v>
      </c>
      <c r="D23" s="3">
        <v>13</v>
      </c>
      <c r="E23" s="13">
        <f t="shared" si="0"/>
        <v>5.7411238600472547E-3</v>
      </c>
      <c r="F23" s="13">
        <f t="shared" si="1"/>
        <v>13.197799969065139</v>
      </c>
      <c r="G23" s="14">
        <f>F23/$F$38*$D$2</f>
        <v>0</v>
      </c>
      <c r="H23" s="14">
        <f>F23/$F$38*$E$2</f>
        <v>150.66687489286033</v>
      </c>
      <c r="I23" s="25" t="str">
        <f t="shared" si="2"/>
        <v>选中</v>
      </c>
    </row>
    <row r="24" spans="1:9" hidden="1" x14ac:dyDescent="0.25">
      <c r="A24" s="3">
        <v>581</v>
      </c>
      <c r="B24" s="3">
        <v>113.3476945</v>
      </c>
      <c r="C24" s="3">
        <v>23.035240420000001</v>
      </c>
      <c r="D24" s="3">
        <v>13</v>
      </c>
      <c r="E24" s="13">
        <f t="shared" si="0"/>
        <v>5.8458593674926033E-3</v>
      </c>
      <c r="F24" s="13">
        <f t="shared" si="1"/>
        <v>13.079038503075884</v>
      </c>
      <c r="G24" s="14" t="e">
        <f>F24/$F$124*$D$2</f>
        <v>#DIV/0!</v>
      </c>
      <c r="H24" s="14" t="e">
        <f>F24/$F$124*$E$2</f>
        <v>#DIV/0!</v>
      </c>
      <c r="I24" s="25" t="str">
        <f t="shared" si="2"/>
        <v/>
      </c>
    </row>
    <row r="25" spans="1:9" hidden="1" x14ac:dyDescent="0.25">
      <c r="A25" s="3">
        <v>579</v>
      </c>
      <c r="B25" s="3">
        <v>113.3459934</v>
      </c>
      <c r="C25" s="3">
        <v>23.03674264</v>
      </c>
      <c r="D25" s="3">
        <v>13</v>
      </c>
      <c r="E25" s="13">
        <f t="shared" si="0"/>
        <v>5.8882499411994178E-3</v>
      </c>
      <c r="F25" s="13">
        <f t="shared" si="1"/>
        <v>13.031874284840637</v>
      </c>
      <c r="G25" s="14" t="e">
        <f>F25/$F$124*$D$2</f>
        <v>#DIV/0!</v>
      </c>
      <c r="H25" s="14" t="e">
        <f>F25/$F$124*$E$2</f>
        <v>#DIV/0!</v>
      </c>
      <c r="I25" s="25" t="str">
        <f t="shared" si="2"/>
        <v/>
      </c>
    </row>
    <row r="26" spans="1:9" x14ac:dyDescent="0.25">
      <c r="A26" s="3">
        <v>965</v>
      </c>
      <c r="B26" s="3">
        <v>113.3386098</v>
      </c>
      <c r="C26" s="3">
        <v>23.027034820000001</v>
      </c>
      <c r="D26" s="3">
        <v>13</v>
      </c>
      <c r="E26" s="13">
        <f t="shared" si="0"/>
        <v>6.418508840713712E-3</v>
      </c>
      <c r="F26" s="13">
        <f t="shared" si="1"/>
        <v>12.481964070842574</v>
      </c>
      <c r="G26" s="14">
        <f>F26/$F$38*$D$2</f>
        <v>0</v>
      </c>
      <c r="H26" s="14">
        <f>F26/$F$38*$E$2</f>
        <v>142.49484940572475</v>
      </c>
      <c r="I26" s="25" t="str">
        <f t="shared" si="2"/>
        <v>选中</v>
      </c>
    </row>
    <row r="27" spans="1:9" hidden="1" x14ac:dyDescent="0.25">
      <c r="A27" s="3">
        <v>953</v>
      </c>
      <c r="B27" s="3">
        <v>113.3376087</v>
      </c>
      <c r="C27" s="3">
        <v>23.027960239999999</v>
      </c>
      <c r="D27" s="3">
        <v>13</v>
      </c>
      <c r="E27" s="13">
        <f t="shared" si="0"/>
        <v>6.6045762831452356E-3</v>
      </c>
      <c r="F27" s="13">
        <f t="shared" si="1"/>
        <v>12.304883880132234</v>
      </c>
      <c r="G27" s="14" t="e">
        <f>F27/$F$124*$D$2</f>
        <v>#DIV/0!</v>
      </c>
      <c r="H27" s="14" t="e">
        <f>F27/$F$124*$E$2</f>
        <v>#DIV/0!</v>
      </c>
      <c r="I27" s="25" t="str">
        <f t="shared" si="2"/>
        <v/>
      </c>
    </row>
    <row r="28" spans="1:9" hidden="1" x14ac:dyDescent="0.25">
      <c r="A28" s="3">
        <v>582</v>
      </c>
      <c r="B28" s="3">
        <v>113.3494535</v>
      </c>
      <c r="C28" s="3">
        <v>23.03445086</v>
      </c>
      <c r="D28" s="3">
        <v>13</v>
      </c>
      <c r="E28" s="13">
        <f t="shared" si="0"/>
        <v>6.9466726187745074E-3</v>
      </c>
      <c r="F28" s="13">
        <f t="shared" si="1"/>
        <v>11.998075320526754</v>
      </c>
      <c r="G28" s="14" t="e">
        <f>F28/$F$124*$D$2</f>
        <v>#DIV/0!</v>
      </c>
      <c r="H28" s="14" t="e">
        <f>F28/$F$124*$E$2</f>
        <v>#DIV/0!</v>
      </c>
      <c r="I28" s="25" t="str">
        <f t="shared" si="2"/>
        <v/>
      </c>
    </row>
    <row r="29" spans="1:9" x14ac:dyDescent="0.25">
      <c r="A29" s="3">
        <v>575</v>
      </c>
      <c r="B29" s="3">
        <v>113.3373297</v>
      </c>
      <c r="C29" s="3">
        <v>23.036325139999999</v>
      </c>
      <c r="D29" s="3">
        <v>13</v>
      </c>
      <c r="E29" s="13">
        <f t="shared" si="0"/>
        <v>7.4676902888343435E-3</v>
      </c>
      <c r="F29" s="13">
        <f t="shared" si="1"/>
        <v>11.571958061430479</v>
      </c>
      <c r="G29" s="14">
        <f>F29/$F$38*$D$2</f>
        <v>0</v>
      </c>
      <c r="H29" s="14">
        <f>F29/$F$38*$E$2</f>
        <v>132.10616629996352</v>
      </c>
      <c r="I29" s="25" t="str">
        <f t="shared" si="2"/>
        <v>选中</v>
      </c>
    </row>
    <row r="30" spans="1:9" hidden="1" x14ac:dyDescent="0.25">
      <c r="A30" s="3">
        <v>952</v>
      </c>
      <c r="B30" s="3">
        <v>113.3365328</v>
      </c>
      <c r="C30" s="3">
        <v>23.028036180000001</v>
      </c>
      <c r="D30" s="3">
        <v>13</v>
      </c>
      <c r="E30" s="13">
        <f t="shared" si="0"/>
        <v>7.4887827708843288E-3</v>
      </c>
      <c r="F30" s="13">
        <f t="shared" si="1"/>
        <v>11.555650108987654</v>
      </c>
      <c r="G30" s="14" t="e">
        <f>F30/$F$124*$D$2</f>
        <v>#DIV/0!</v>
      </c>
      <c r="H30" s="14" t="e">
        <f>F30/$F$124*$E$2</f>
        <v>#DIV/0!</v>
      </c>
      <c r="I30" s="25" t="str">
        <f t="shared" si="2"/>
        <v/>
      </c>
    </row>
    <row r="31" spans="1:9" hidden="1" x14ac:dyDescent="0.25">
      <c r="A31" s="3">
        <v>566</v>
      </c>
      <c r="B31" s="3">
        <v>113.3372598</v>
      </c>
      <c r="C31" s="3">
        <v>23.036718100000002</v>
      </c>
      <c r="D31" s="3">
        <v>13</v>
      </c>
      <c r="E31" s="13">
        <f t="shared" si="0"/>
        <v>7.7745943594232291E-3</v>
      </c>
      <c r="F31" s="13">
        <f t="shared" si="1"/>
        <v>11.341255396711926</v>
      </c>
      <c r="G31" s="14" t="e">
        <f>F31/$F$124*$D$2</f>
        <v>#DIV/0!</v>
      </c>
      <c r="H31" s="14" t="e">
        <f>F31/$F$124*$E$2</f>
        <v>#DIV/0!</v>
      </c>
      <c r="I31" s="25" t="str">
        <f t="shared" si="2"/>
        <v/>
      </c>
    </row>
    <row r="32" spans="1:9" x14ac:dyDescent="0.25">
      <c r="A32" s="3">
        <v>954</v>
      </c>
      <c r="B32" s="3">
        <v>113.3364031</v>
      </c>
      <c r="C32" s="3">
        <v>23.027155799999999</v>
      </c>
      <c r="D32" s="3">
        <v>13</v>
      </c>
      <c r="E32" s="13">
        <f t="shared" si="0"/>
        <v>8.0539106114690256E-3</v>
      </c>
      <c r="F32" s="13">
        <f t="shared" si="1"/>
        <v>11.142858034265632</v>
      </c>
      <c r="G32" s="14">
        <f>F32/$F$38*$D$2</f>
        <v>0</v>
      </c>
      <c r="H32" s="14">
        <f>F32/$F$38*$E$2</f>
        <v>127.20753469008102</v>
      </c>
      <c r="I32" s="25" t="str">
        <f t="shared" si="2"/>
        <v>选中</v>
      </c>
    </row>
    <row r="33" spans="1:9" hidden="1" x14ac:dyDescent="0.25">
      <c r="A33" s="3">
        <v>570</v>
      </c>
      <c r="B33" s="3">
        <v>113.3359674</v>
      </c>
      <c r="C33" s="3">
        <v>23.03640261</v>
      </c>
      <c r="D33" s="3">
        <v>13</v>
      </c>
      <c r="E33" s="13">
        <f t="shared" si="0"/>
        <v>8.6096636818635101E-3</v>
      </c>
      <c r="F33" s="13">
        <f t="shared" si="1"/>
        <v>10.77722392368497</v>
      </c>
      <c r="G33" s="14" t="e">
        <f>F33/$F$124*$D$2</f>
        <v>#DIV/0!</v>
      </c>
      <c r="H33" s="14" t="e">
        <f>F33/$F$124*$E$2</f>
        <v>#DIV/0!</v>
      </c>
      <c r="I33" s="25" t="str">
        <f t="shared" si="2"/>
        <v/>
      </c>
    </row>
    <row r="34" spans="1:9" hidden="1" x14ac:dyDescent="0.25">
      <c r="A34" s="3">
        <v>975</v>
      </c>
      <c r="B34" s="3">
        <v>113.3530799</v>
      </c>
      <c r="C34" s="3">
        <v>23.026674440000001</v>
      </c>
      <c r="D34" s="3">
        <v>13</v>
      </c>
      <c r="E34" s="13">
        <f t="shared" si="0"/>
        <v>1.1116661185808206E-2</v>
      </c>
      <c r="F34" s="13">
        <f t="shared" si="1"/>
        <v>9.4844644993467782</v>
      </c>
      <c r="G34" s="14" t="e">
        <f>F34/$F$124*$D$2</f>
        <v>#DIV/0!</v>
      </c>
      <c r="H34" s="14" t="e">
        <f>F34/$F$124*$E$2</f>
        <v>#DIV/0!</v>
      </c>
      <c r="I34" s="25" t="str">
        <f t="shared" si="2"/>
        <v/>
      </c>
    </row>
    <row r="35" spans="1:9" x14ac:dyDescent="0.25">
      <c r="A35" s="3">
        <v>974</v>
      </c>
      <c r="B35" s="3">
        <v>113.3601559</v>
      </c>
      <c r="C35" s="3">
        <v>23.029512860000001</v>
      </c>
      <c r="D35" s="3">
        <v>13</v>
      </c>
      <c r="E35" s="13">
        <f t="shared" si="0"/>
        <v>1.7167363499164534E-2</v>
      </c>
      <c r="F35" s="13">
        <f t="shared" si="1"/>
        <v>7.6321728680097056</v>
      </c>
      <c r="G35" s="14">
        <f>F35/$F$38*$D$2</f>
        <v>0</v>
      </c>
      <c r="H35" s="14">
        <f>F35/$F$38*$E$2</f>
        <v>87.129342569249076</v>
      </c>
      <c r="I35" s="25" t="str">
        <f t="shared" si="2"/>
        <v>选中</v>
      </c>
    </row>
    <row r="36" spans="1:9" hidden="1" x14ac:dyDescent="0.25">
      <c r="A36" s="3">
        <v>1303</v>
      </c>
      <c r="B36" s="3">
        <v>113.35764810000001</v>
      </c>
      <c r="C36" s="3">
        <v>23.02163779</v>
      </c>
      <c r="D36" s="3">
        <v>13</v>
      </c>
      <c r="E36" s="13">
        <f t="shared" si="0"/>
        <v>1.7621392428603198E-2</v>
      </c>
      <c r="F36" s="13">
        <f t="shared" si="1"/>
        <v>7.5332067778477834</v>
      </c>
      <c r="G36" s="14" t="e">
        <f>F36/$F$124*$D$2</f>
        <v>#DIV/0!</v>
      </c>
      <c r="H36" s="14" t="e">
        <f>F36/$F$124*$E$2</f>
        <v>#DIV/0!</v>
      </c>
      <c r="I36" s="25" t="str">
        <f t="shared" si="2"/>
        <v/>
      </c>
    </row>
    <row r="37" spans="1:9" x14ac:dyDescent="0.25">
      <c r="A37" s="3"/>
      <c r="B37" s="3"/>
      <c r="C37" s="3"/>
      <c r="D37" s="3"/>
      <c r="G37" s="14"/>
      <c r="H37" s="14"/>
    </row>
    <row r="38" spans="1:9" x14ac:dyDescent="0.25">
      <c r="A38" s="3"/>
      <c r="B38" s="3"/>
      <c r="C38" s="3"/>
      <c r="D38" s="3"/>
      <c r="F38" s="13">
        <f>SUBTOTAL(9,F5:F35)</f>
        <v>150.22696238335055</v>
      </c>
      <c r="G38" s="13">
        <f>SUBTOTAL(9,G5:G35)</f>
        <v>0</v>
      </c>
      <c r="H38" s="13">
        <f>SUBTOTAL(9,H5:H35)</f>
        <v>1714.9999999999998</v>
      </c>
    </row>
    <row r="39" spans="1:9" x14ac:dyDescent="0.25">
      <c r="A39" s="3"/>
      <c r="B39" s="3"/>
      <c r="C39" s="3"/>
      <c r="D39" s="3"/>
      <c r="G39" s="14"/>
      <c r="H39" s="14"/>
    </row>
    <row r="40" spans="1:9" x14ac:dyDescent="0.25">
      <c r="A40" s="3"/>
      <c r="B40" s="3"/>
      <c r="C40" s="3"/>
      <c r="D40" s="3"/>
      <c r="G40" s="14"/>
      <c r="H40" s="14"/>
    </row>
    <row r="41" spans="1:9" x14ac:dyDescent="0.25">
      <c r="A41" s="3"/>
      <c r="B41" s="3"/>
      <c r="C41" s="3"/>
      <c r="D41" s="3"/>
      <c r="G41" s="14"/>
      <c r="H41" s="14"/>
    </row>
    <row r="42" spans="1:9" x14ac:dyDescent="0.25">
      <c r="A42" s="3"/>
      <c r="B42" s="3"/>
      <c r="C42" s="3"/>
      <c r="D42" s="3"/>
      <c r="G42" s="14"/>
      <c r="H42" s="14"/>
    </row>
    <row r="43" spans="1:9" x14ac:dyDescent="0.25">
      <c r="A43" s="3"/>
      <c r="B43" s="3"/>
      <c r="C43" s="3"/>
      <c r="D43" s="3"/>
      <c r="G43" s="14"/>
      <c r="H43" s="14"/>
    </row>
    <row r="44" spans="1:9" x14ac:dyDescent="0.25">
      <c r="A44" s="3"/>
      <c r="B44" s="3"/>
      <c r="C44" s="3"/>
      <c r="D44" s="3"/>
      <c r="G44" s="14"/>
      <c r="H44" s="14"/>
    </row>
    <row r="45" spans="1:9" x14ac:dyDescent="0.25">
      <c r="A45" s="3"/>
      <c r="B45" s="3"/>
      <c r="C45" s="3"/>
      <c r="D45" s="3"/>
      <c r="G45" s="14"/>
      <c r="H45" s="14"/>
    </row>
    <row r="46" spans="1:9" x14ac:dyDescent="0.25">
      <c r="A46" s="3"/>
      <c r="B46" s="3"/>
      <c r="C46" s="3"/>
      <c r="D46" s="3"/>
      <c r="G46" s="14"/>
      <c r="H46" s="14"/>
    </row>
    <row r="47" spans="1:9" x14ac:dyDescent="0.25">
      <c r="A47" s="3"/>
      <c r="B47" s="3"/>
      <c r="C47" s="3"/>
      <c r="D47" s="3"/>
      <c r="G47" s="14"/>
      <c r="H47" s="14"/>
    </row>
    <row r="48" spans="1:9" x14ac:dyDescent="0.25">
      <c r="A48" s="3"/>
      <c r="B48" s="3"/>
      <c r="C48" s="3"/>
      <c r="D48" s="3"/>
      <c r="G48" s="14"/>
      <c r="H48" s="14"/>
    </row>
    <row r="49" spans="1:8" x14ac:dyDescent="0.25">
      <c r="A49" s="3"/>
      <c r="B49" s="3"/>
      <c r="C49" s="3"/>
      <c r="D49" s="3"/>
      <c r="G49" s="14"/>
      <c r="H49" s="14"/>
    </row>
    <row r="50" spans="1:8" x14ac:dyDescent="0.25">
      <c r="A50" s="3"/>
      <c r="B50" s="3"/>
      <c r="C50" s="3"/>
      <c r="D50" s="3"/>
      <c r="G50" s="14"/>
      <c r="H50" s="14"/>
    </row>
    <row r="51" spans="1:8" x14ac:dyDescent="0.25">
      <c r="A51" s="3"/>
      <c r="B51" s="3"/>
      <c r="C51" s="3"/>
      <c r="D51" s="3"/>
      <c r="G51" s="14"/>
      <c r="H51" s="14"/>
    </row>
    <row r="52" spans="1:8" x14ac:dyDescent="0.25">
      <c r="A52" s="3"/>
      <c r="B52" s="3"/>
      <c r="C52" s="3"/>
      <c r="D52" s="3"/>
      <c r="G52" s="14"/>
      <c r="H52" s="14"/>
    </row>
    <row r="53" spans="1:8" x14ac:dyDescent="0.25">
      <c r="A53" s="3"/>
      <c r="B53" s="3"/>
      <c r="C53" s="3"/>
      <c r="D53" s="3"/>
      <c r="G53" s="14"/>
      <c r="H53" s="14"/>
    </row>
    <row r="54" spans="1:8" x14ac:dyDescent="0.25">
      <c r="A54" s="3"/>
      <c r="B54" s="3"/>
      <c r="C54" s="3"/>
      <c r="D54" s="3"/>
      <c r="G54" s="14"/>
      <c r="H54" s="14"/>
    </row>
    <row r="55" spans="1:8" x14ac:dyDescent="0.25">
      <c r="A55" s="3"/>
      <c r="B55" s="3"/>
      <c r="C55" s="3"/>
      <c r="D55" s="3"/>
      <c r="G55" s="14"/>
      <c r="H55" s="14"/>
    </row>
    <row r="56" spans="1:8" x14ac:dyDescent="0.25">
      <c r="A56" s="3"/>
      <c r="B56" s="3"/>
      <c r="C56" s="3"/>
      <c r="D56" s="3"/>
      <c r="G56" s="14"/>
      <c r="H56" s="14"/>
    </row>
    <row r="57" spans="1:8" x14ac:dyDescent="0.25">
      <c r="A57" s="3"/>
      <c r="B57" s="3"/>
      <c r="C57" s="3"/>
      <c r="D57" s="3"/>
      <c r="G57" s="14"/>
      <c r="H57" s="14"/>
    </row>
    <row r="58" spans="1:8" x14ac:dyDescent="0.25">
      <c r="A58" s="3"/>
      <c r="B58" s="3"/>
      <c r="C58" s="3"/>
      <c r="D58" s="3"/>
      <c r="G58" s="14"/>
      <c r="H58" s="14"/>
    </row>
    <row r="59" spans="1:8" x14ac:dyDescent="0.25">
      <c r="A59" s="3"/>
      <c r="B59" s="3"/>
      <c r="C59" s="3"/>
      <c r="D59" s="3"/>
      <c r="G59" s="14"/>
      <c r="H59" s="14"/>
    </row>
    <row r="60" spans="1:8" x14ac:dyDescent="0.25">
      <c r="A60" s="3"/>
      <c r="B60" s="3"/>
      <c r="C60" s="3"/>
      <c r="D60" s="3"/>
      <c r="G60" s="14"/>
      <c r="H60" s="14"/>
    </row>
    <row r="61" spans="1:8" x14ac:dyDescent="0.25">
      <c r="A61" s="3"/>
      <c r="B61" s="3"/>
      <c r="C61" s="3"/>
      <c r="D61" s="3"/>
      <c r="G61" s="14"/>
      <c r="H61" s="14"/>
    </row>
    <row r="62" spans="1:8" x14ac:dyDescent="0.25">
      <c r="A62" s="3"/>
      <c r="B62" s="3"/>
      <c r="C62" s="3"/>
      <c r="D62" s="3"/>
      <c r="G62" s="14"/>
      <c r="H62" s="14"/>
    </row>
    <row r="63" spans="1:8" x14ac:dyDescent="0.25">
      <c r="A63" s="3"/>
      <c r="B63" s="3"/>
      <c r="C63" s="3"/>
      <c r="D63" s="3"/>
      <c r="G63" s="14"/>
      <c r="H63" s="14"/>
    </row>
    <row r="64" spans="1:8" x14ac:dyDescent="0.25">
      <c r="A64" s="3"/>
      <c r="B64" s="3"/>
      <c r="C64" s="3"/>
      <c r="D64" s="3"/>
      <c r="G64" s="14"/>
      <c r="H64" s="14"/>
    </row>
    <row r="65" spans="1:8" x14ac:dyDescent="0.25">
      <c r="A65" s="3"/>
      <c r="B65" s="3"/>
      <c r="C65" s="3"/>
      <c r="D65" s="3"/>
      <c r="G65" s="14"/>
      <c r="H65" s="14"/>
    </row>
    <row r="66" spans="1:8" x14ac:dyDescent="0.25">
      <c r="A66" s="3"/>
      <c r="B66" s="3"/>
      <c r="C66" s="3"/>
      <c r="D66" s="3"/>
      <c r="G66" s="14"/>
      <c r="H66" s="14"/>
    </row>
    <row r="67" spans="1:8" x14ac:dyDescent="0.25">
      <c r="A67" s="3"/>
      <c r="B67" s="3"/>
      <c r="C67" s="3"/>
      <c r="D67" s="3"/>
      <c r="G67" s="14"/>
      <c r="H67" s="14"/>
    </row>
    <row r="68" spans="1:8" x14ac:dyDescent="0.25">
      <c r="A68" s="3"/>
      <c r="B68" s="3"/>
      <c r="C68" s="3"/>
      <c r="D68" s="3"/>
      <c r="G68" s="14"/>
      <c r="H68" s="14"/>
    </row>
    <row r="69" spans="1:8" x14ac:dyDescent="0.25">
      <c r="A69" s="3"/>
      <c r="B69" s="3"/>
      <c r="C69" s="3"/>
      <c r="D69" s="3"/>
      <c r="G69" s="14"/>
      <c r="H69" s="14"/>
    </row>
    <row r="70" spans="1:8" x14ac:dyDescent="0.25">
      <c r="A70" s="3"/>
      <c r="B70" s="3"/>
      <c r="C70" s="3"/>
      <c r="D70" s="3"/>
      <c r="G70" s="14"/>
      <c r="H70" s="14"/>
    </row>
    <row r="71" spans="1:8" x14ac:dyDescent="0.25">
      <c r="A71" s="3"/>
      <c r="B71" s="3"/>
      <c r="C71" s="3"/>
      <c r="D71" s="3"/>
      <c r="G71" s="14"/>
      <c r="H71" s="14"/>
    </row>
    <row r="72" spans="1:8" x14ac:dyDescent="0.25">
      <c r="A72" s="3"/>
      <c r="B72" s="3"/>
      <c r="C72" s="3"/>
      <c r="D72" s="3"/>
      <c r="G72" s="14"/>
      <c r="H72" s="14"/>
    </row>
    <row r="73" spans="1:8" x14ac:dyDescent="0.25">
      <c r="A73" s="3"/>
      <c r="B73" s="3"/>
      <c r="C73" s="3"/>
      <c r="D73" s="3"/>
      <c r="G73" s="14"/>
      <c r="H73" s="14"/>
    </row>
    <row r="74" spans="1:8" x14ac:dyDescent="0.25">
      <c r="A74" s="3"/>
      <c r="B74" s="3"/>
      <c r="C74" s="3"/>
      <c r="D74" s="3"/>
      <c r="G74" s="14"/>
      <c r="H74" s="14"/>
    </row>
    <row r="75" spans="1:8" x14ac:dyDescent="0.25">
      <c r="A75" s="3"/>
      <c r="B75" s="3"/>
      <c r="C75" s="3"/>
      <c r="D75" s="3"/>
      <c r="G75" s="14"/>
      <c r="H75" s="14"/>
    </row>
    <row r="76" spans="1:8" x14ac:dyDescent="0.25">
      <c r="A76" s="3"/>
      <c r="B76" s="3"/>
      <c r="C76" s="3"/>
      <c r="D76" s="3"/>
      <c r="G76" s="14"/>
      <c r="H76" s="14"/>
    </row>
    <row r="77" spans="1:8" x14ac:dyDescent="0.25">
      <c r="A77" s="3"/>
      <c r="B77" s="3"/>
      <c r="C77" s="3"/>
      <c r="D77" s="3"/>
      <c r="G77" s="14"/>
      <c r="H77" s="14"/>
    </row>
    <row r="78" spans="1:8" x14ac:dyDescent="0.25">
      <c r="A78" s="3"/>
      <c r="B78" s="3"/>
      <c r="C78" s="3"/>
      <c r="D78" s="3"/>
      <c r="G78" s="14"/>
      <c r="H78" s="14"/>
    </row>
    <row r="79" spans="1:8" x14ac:dyDescent="0.25">
      <c r="A79" s="3"/>
      <c r="B79" s="3"/>
      <c r="C79" s="3"/>
      <c r="D79" s="3"/>
      <c r="G79" s="14"/>
      <c r="H79" s="14"/>
    </row>
    <row r="80" spans="1:8" x14ac:dyDescent="0.25">
      <c r="A80" s="3"/>
      <c r="B80" s="3"/>
      <c r="C80" s="3"/>
      <c r="D80" s="3"/>
      <c r="G80" s="14"/>
      <c r="H80" s="14"/>
    </row>
    <row r="81" spans="1:8" x14ac:dyDescent="0.25">
      <c r="A81" s="3"/>
      <c r="B81" s="3"/>
      <c r="C81" s="3"/>
      <c r="D81" s="3"/>
      <c r="G81" s="14"/>
      <c r="H81" s="14"/>
    </row>
    <row r="82" spans="1:8" x14ac:dyDescent="0.25">
      <c r="A82" s="3"/>
      <c r="B82" s="3"/>
      <c r="C82" s="3"/>
      <c r="D82" s="3"/>
      <c r="G82" s="14"/>
      <c r="H82" s="14"/>
    </row>
    <row r="83" spans="1:8" x14ac:dyDescent="0.25">
      <c r="A83" s="3"/>
      <c r="B83" s="3"/>
      <c r="C83" s="3"/>
      <c r="D83" s="3"/>
      <c r="G83" s="14"/>
      <c r="H83" s="14"/>
    </row>
    <row r="84" spans="1:8" x14ac:dyDescent="0.25">
      <c r="A84" s="3"/>
      <c r="B84" s="3"/>
      <c r="C84" s="3"/>
      <c r="D84" s="3"/>
      <c r="G84" s="14"/>
      <c r="H84" s="14"/>
    </row>
    <row r="85" spans="1:8" x14ac:dyDescent="0.25">
      <c r="A85" s="3"/>
      <c r="B85" s="3"/>
      <c r="C85" s="3"/>
      <c r="D85" s="3"/>
      <c r="G85" s="14"/>
      <c r="H85" s="14"/>
    </row>
    <row r="86" spans="1:8" x14ac:dyDescent="0.25">
      <c r="A86" s="3"/>
      <c r="B86" s="3"/>
      <c r="C86" s="3"/>
      <c r="D86" s="3"/>
      <c r="G86" s="14"/>
      <c r="H86" s="14"/>
    </row>
    <row r="87" spans="1:8" x14ac:dyDescent="0.25">
      <c r="A87" s="3"/>
      <c r="B87" s="3"/>
      <c r="C87" s="3"/>
      <c r="D87" s="3"/>
      <c r="G87" s="14"/>
      <c r="H87" s="14"/>
    </row>
    <row r="88" spans="1:8" x14ac:dyDescent="0.25">
      <c r="A88" s="3"/>
      <c r="B88" s="3"/>
      <c r="C88" s="3"/>
      <c r="D88" s="3"/>
      <c r="G88" s="14"/>
      <c r="H88" s="14"/>
    </row>
    <row r="89" spans="1:8" x14ac:dyDescent="0.25">
      <c r="A89" s="3"/>
      <c r="B89" s="3"/>
      <c r="C89" s="3"/>
      <c r="D89" s="3"/>
      <c r="G89" s="14"/>
      <c r="H89" s="14"/>
    </row>
    <row r="90" spans="1:8" x14ac:dyDescent="0.25">
      <c r="A90" s="3"/>
      <c r="B90" s="3"/>
      <c r="C90" s="3"/>
      <c r="D90" s="3"/>
      <c r="G90" s="14"/>
      <c r="H90" s="14"/>
    </row>
    <row r="91" spans="1:8" x14ac:dyDescent="0.25">
      <c r="A91" s="3"/>
      <c r="B91" s="3"/>
      <c r="C91" s="3"/>
      <c r="D91" s="3"/>
      <c r="G91" s="14"/>
      <c r="H91" s="14"/>
    </row>
    <row r="92" spans="1:8" x14ac:dyDescent="0.25">
      <c r="A92" s="3"/>
      <c r="B92" s="3"/>
      <c r="C92" s="3"/>
      <c r="D92" s="3"/>
      <c r="G92" s="14"/>
      <c r="H92" s="14"/>
    </row>
    <row r="93" spans="1:8" x14ac:dyDescent="0.25">
      <c r="A93" s="3"/>
      <c r="B93" s="3"/>
      <c r="C93" s="3"/>
      <c r="D93" s="3"/>
      <c r="G93" s="14"/>
      <c r="H93" s="14"/>
    </row>
    <row r="94" spans="1:8" x14ac:dyDescent="0.25">
      <c r="A94" s="3"/>
      <c r="B94" s="3"/>
      <c r="C94" s="3"/>
      <c r="D94" s="3"/>
      <c r="G94" s="14"/>
      <c r="H94" s="14"/>
    </row>
    <row r="95" spans="1:8" x14ac:dyDescent="0.25">
      <c r="A95" s="3"/>
      <c r="B95" s="3"/>
      <c r="C95" s="3"/>
      <c r="D95" s="3"/>
      <c r="G95" s="14"/>
      <c r="H95" s="14"/>
    </row>
    <row r="96" spans="1:8" x14ac:dyDescent="0.25">
      <c r="A96" s="3"/>
      <c r="B96" s="3"/>
      <c r="C96" s="3"/>
      <c r="D96" s="3"/>
      <c r="G96" s="14"/>
      <c r="H96" s="14"/>
    </row>
    <row r="97" spans="1:8" x14ac:dyDescent="0.25">
      <c r="A97" s="3"/>
      <c r="B97" s="3"/>
      <c r="C97" s="3"/>
      <c r="D97" s="3"/>
      <c r="G97" s="14"/>
      <c r="H97" s="14"/>
    </row>
    <row r="98" spans="1:8" x14ac:dyDescent="0.25">
      <c r="A98" s="3"/>
      <c r="B98" s="3"/>
      <c r="C98" s="3"/>
      <c r="D98" s="3"/>
      <c r="G98" s="14"/>
      <c r="H98" s="14"/>
    </row>
    <row r="99" spans="1:8" x14ac:dyDescent="0.25">
      <c r="A99" s="3"/>
      <c r="B99" s="3"/>
      <c r="C99" s="3"/>
      <c r="D99" s="3"/>
      <c r="G99" s="14"/>
      <c r="H99" s="14"/>
    </row>
    <row r="100" spans="1:8" x14ac:dyDescent="0.25">
      <c r="A100" s="3"/>
      <c r="B100" s="3"/>
      <c r="C100" s="3"/>
      <c r="D100" s="3"/>
      <c r="G100" s="14"/>
      <c r="H100" s="14"/>
    </row>
    <row r="101" spans="1:8" x14ac:dyDescent="0.25">
      <c r="A101" s="3"/>
      <c r="B101" s="3"/>
      <c r="C101" s="3"/>
      <c r="D101" s="3"/>
      <c r="G101" s="14"/>
      <c r="H101" s="14"/>
    </row>
    <row r="102" spans="1:8" x14ac:dyDescent="0.25">
      <c r="A102" s="3"/>
      <c r="B102" s="3"/>
      <c r="C102" s="3"/>
      <c r="D102" s="3"/>
      <c r="G102" s="14"/>
      <c r="H102" s="14"/>
    </row>
    <row r="103" spans="1:8" x14ac:dyDescent="0.25">
      <c r="A103" s="3"/>
      <c r="B103" s="3"/>
      <c r="C103" s="3"/>
      <c r="D103" s="3"/>
      <c r="G103" s="14"/>
      <c r="H103" s="14"/>
    </row>
    <row r="104" spans="1:8" x14ac:dyDescent="0.25">
      <c r="A104" s="3"/>
      <c r="B104" s="3"/>
      <c r="C104" s="3"/>
      <c r="D104" s="3"/>
      <c r="G104" s="14"/>
      <c r="H104" s="14"/>
    </row>
    <row r="105" spans="1:8" x14ac:dyDescent="0.25">
      <c r="A105" s="3"/>
      <c r="B105" s="3"/>
      <c r="C105" s="3"/>
      <c r="D105" s="3"/>
      <c r="G105" s="14"/>
      <c r="H105" s="14"/>
    </row>
    <row r="106" spans="1:8" x14ac:dyDescent="0.25">
      <c r="A106" s="3"/>
      <c r="B106" s="3"/>
      <c r="C106" s="3"/>
      <c r="D106" s="3"/>
      <c r="G106" s="14"/>
      <c r="H106" s="14"/>
    </row>
    <row r="107" spans="1:8" x14ac:dyDescent="0.25">
      <c r="A107" s="3"/>
      <c r="B107" s="3"/>
      <c r="C107" s="3"/>
      <c r="D107" s="3"/>
      <c r="G107" s="14"/>
      <c r="H107" s="14"/>
    </row>
    <row r="108" spans="1:8" x14ac:dyDescent="0.25">
      <c r="A108" s="3"/>
      <c r="B108" s="3"/>
      <c r="C108" s="3"/>
      <c r="D108" s="3"/>
      <c r="G108" s="14"/>
      <c r="H108" s="14"/>
    </row>
    <row r="109" spans="1:8" x14ac:dyDescent="0.25">
      <c r="A109" s="3"/>
      <c r="B109" s="3"/>
      <c r="C109" s="3"/>
      <c r="D109" s="3"/>
      <c r="G109" s="14"/>
      <c r="H109" s="14"/>
    </row>
    <row r="110" spans="1:8" x14ac:dyDescent="0.25">
      <c r="A110" s="3"/>
      <c r="B110" s="3"/>
      <c r="C110" s="3"/>
      <c r="D110" s="3"/>
      <c r="G110" s="14"/>
      <c r="H110" s="14"/>
    </row>
    <row r="111" spans="1:8" x14ac:dyDescent="0.25">
      <c r="A111" s="3"/>
      <c r="B111" s="3"/>
      <c r="C111" s="3"/>
      <c r="D111" s="3"/>
      <c r="G111" s="14"/>
      <c r="H111" s="14"/>
    </row>
    <row r="112" spans="1:8" x14ac:dyDescent="0.25">
      <c r="A112" s="3"/>
      <c r="B112" s="3"/>
      <c r="C112" s="3"/>
      <c r="D112" s="3"/>
      <c r="G112" s="14"/>
      <c r="H112" s="14"/>
    </row>
    <row r="113" spans="1:8" x14ac:dyDescent="0.25">
      <c r="A113" s="3"/>
      <c r="B113" s="3"/>
      <c r="C113" s="3"/>
      <c r="D113" s="3"/>
      <c r="G113" s="14"/>
      <c r="H113" s="14"/>
    </row>
    <row r="114" spans="1:8" x14ac:dyDescent="0.25">
      <c r="A114" s="3"/>
      <c r="B114" s="3"/>
      <c r="C114" s="3"/>
      <c r="D114" s="3"/>
      <c r="G114" s="14"/>
      <c r="H114" s="14"/>
    </row>
    <row r="115" spans="1:8" x14ac:dyDescent="0.25">
      <c r="A115" s="3"/>
      <c r="B115" s="3"/>
      <c r="C115" s="3"/>
      <c r="D115" s="3"/>
      <c r="G115" s="14"/>
      <c r="H115" s="14"/>
    </row>
    <row r="116" spans="1:8" x14ac:dyDescent="0.25">
      <c r="A116" s="3"/>
      <c r="B116" s="3"/>
      <c r="C116" s="3"/>
      <c r="D116" s="3"/>
      <c r="G116" s="14"/>
      <c r="H116" s="14"/>
    </row>
    <row r="117" spans="1:8" x14ac:dyDescent="0.25">
      <c r="A117" s="3"/>
      <c r="B117" s="3"/>
      <c r="C117" s="3"/>
      <c r="D117" s="3"/>
      <c r="G117" s="14"/>
      <c r="H117" s="14"/>
    </row>
    <row r="118" spans="1:8" x14ac:dyDescent="0.25">
      <c r="A118" s="3"/>
      <c r="B118" s="3"/>
      <c r="C118" s="3"/>
      <c r="D118" s="3"/>
      <c r="G118" s="14"/>
      <c r="H118" s="14"/>
    </row>
    <row r="119" spans="1:8" x14ac:dyDescent="0.25">
      <c r="A119" s="3"/>
      <c r="B119" s="3"/>
      <c r="C119" s="3"/>
      <c r="D119" s="3"/>
      <c r="G119" s="14"/>
      <c r="H119" s="14"/>
    </row>
    <row r="120" spans="1:8" x14ac:dyDescent="0.25">
      <c r="A120" s="3"/>
      <c r="B120" s="3"/>
      <c r="C120" s="3"/>
      <c r="D120" s="3"/>
      <c r="G120" s="14"/>
      <c r="H120" s="14"/>
    </row>
    <row r="121" spans="1:8" x14ac:dyDescent="0.25">
      <c r="A121" s="3"/>
      <c r="B121" s="3"/>
      <c r="C121" s="3"/>
      <c r="D121" s="3"/>
      <c r="G121" s="14"/>
      <c r="H121" s="14"/>
    </row>
    <row r="122" spans="1:8" x14ac:dyDescent="0.25">
      <c r="A122" s="3"/>
      <c r="B122" s="3"/>
      <c r="C122" s="3"/>
      <c r="D122" s="3"/>
      <c r="G122" s="14"/>
      <c r="H122" s="14"/>
    </row>
    <row r="123" spans="1:8" x14ac:dyDescent="0.25">
      <c r="A123" s="3"/>
      <c r="B123" s="3"/>
      <c r="C123" s="3"/>
      <c r="D123" s="3"/>
      <c r="G123" s="14"/>
      <c r="H123" s="14"/>
    </row>
    <row r="124" spans="1:8" x14ac:dyDescent="0.25">
      <c r="A124" s="3"/>
      <c r="B124" s="3"/>
      <c r="C124" s="3"/>
      <c r="D124" s="3"/>
      <c r="G124" s="14"/>
      <c r="H124" s="14"/>
    </row>
    <row r="125" spans="1:8" x14ac:dyDescent="0.25">
      <c r="A125" s="3"/>
      <c r="B125" s="3"/>
      <c r="C125" s="3"/>
      <c r="D125" s="3"/>
      <c r="G125" s="14"/>
      <c r="H125" s="14"/>
    </row>
    <row r="126" spans="1:8" x14ac:dyDescent="0.25">
      <c r="A126" s="18"/>
      <c r="B126" s="3"/>
      <c r="C126" s="3"/>
      <c r="D126" s="3"/>
      <c r="G126" s="14"/>
      <c r="H126" s="14"/>
    </row>
    <row r="127" spans="1:8" x14ac:dyDescent="0.25">
      <c r="A127" s="3"/>
      <c r="B127" s="3"/>
      <c r="C127" s="3"/>
      <c r="D127" s="3"/>
      <c r="G127" s="14"/>
      <c r="H127" s="14"/>
    </row>
    <row r="128" spans="1:8" x14ac:dyDescent="0.25">
      <c r="A128" s="3"/>
      <c r="B128" s="3"/>
      <c r="C128" s="3"/>
      <c r="D128" s="3"/>
      <c r="G128" s="14"/>
      <c r="H128" s="14"/>
    </row>
    <row r="129" spans="1:8" x14ac:dyDescent="0.25">
      <c r="A129" s="3"/>
      <c r="B129" s="3"/>
      <c r="C129" s="3"/>
      <c r="D129" s="3"/>
      <c r="G129" s="14"/>
      <c r="H129" s="14"/>
    </row>
    <row r="130" spans="1:8" x14ac:dyDescent="0.25">
      <c r="A130" s="3"/>
      <c r="B130" s="3"/>
      <c r="C130" s="3"/>
      <c r="D130" s="3"/>
      <c r="G130" s="14"/>
      <c r="H130" s="14"/>
    </row>
    <row r="131" spans="1:8" x14ac:dyDescent="0.25">
      <c r="A131" s="3"/>
      <c r="B131" s="3"/>
      <c r="C131" s="3"/>
      <c r="D131" s="3"/>
      <c r="G131" s="14"/>
      <c r="H131" s="14"/>
    </row>
    <row r="132" spans="1:8" x14ac:dyDescent="0.25">
      <c r="A132" s="3"/>
      <c r="B132" s="3"/>
      <c r="C132" s="3"/>
      <c r="D132" s="3"/>
      <c r="G132" s="14"/>
      <c r="H132" s="14"/>
    </row>
    <row r="133" spans="1:8" x14ac:dyDescent="0.25">
      <c r="A133" s="3"/>
      <c r="B133" s="3"/>
      <c r="C133" s="3"/>
      <c r="D133" s="3"/>
      <c r="G133" s="14"/>
      <c r="H133" s="14"/>
    </row>
    <row r="134" spans="1:8" x14ac:dyDescent="0.25">
      <c r="A134" s="3"/>
      <c r="B134" s="3"/>
      <c r="C134" s="3"/>
      <c r="D134" s="3"/>
      <c r="G134" s="14"/>
      <c r="H134" s="14"/>
    </row>
    <row r="135" spans="1:8" x14ac:dyDescent="0.25">
      <c r="A135" s="3"/>
      <c r="B135" s="3"/>
      <c r="C135" s="3"/>
      <c r="D135" s="3"/>
      <c r="G135" s="14"/>
      <c r="H135" s="14"/>
    </row>
    <row r="136" spans="1:8" x14ac:dyDescent="0.25">
      <c r="A136" s="3"/>
      <c r="B136" s="3"/>
      <c r="C136" s="3"/>
      <c r="D136" s="3"/>
      <c r="G136" s="14"/>
      <c r="H136" s="14"/>
    </row>
    <row r="137" spans="1:8" x14ac:dyDescent="0.25">
      <c r="A137" s="3"/>
      <c r="B137" s="3"/>
      <c r="C137" s="3"/>
      <c r="D137" s="3"/>
      <c r="G137" s="14"/>
      <c r="H137" s="14"/>
    </row>
    <row r="138" spans="1:8" x14ac:dyDescent="0.25">
      <c r="A138" s="3"/>
      <c r="B138" s="3"/>
      <c r="C138" s="3"/>
      <c r="D138" s="3"/>
      <c r="G138" s="14"/>
      <c r="H138" s="14"/>
    </row>
    <row r="139" spans="1:8" x14ac:dyDescent="0.25">
      <c r="A139" s="3"/>
      <c r="B139" s="3"/>
      <c r="C139" s="3"/>
      <c r="D139" s="3"/>
      <c r="G139" s="14"/>
      <c r="H139" s="14"/>
    </row>
    <row r="140" spans="1:8" x14ac:dyDescent="0.25">
      <c r="A140" s="3"/>
      <c r="B140" s="3"/>
      <c r="C140" s="3"/>
      <c r="D140" s="3"/>
      <c r="G140" s="14"/>
      <c r="H140" s="14"/>
    </row>
    <row r="141" spans="1:8" x14ac:dyDescent="0.25">
      <c r="A141" s="3"/>
      <c r="B141" s="3"/>
      <c r="C141" s="3"/>
      <c r="D141" s="3"/>
      <c r="G141" s="14"/>
      <c r="H141" s="14"/>
    </row>
    <row r="142" spans="1:8" x14ac:dyDescent="0.25">
      <c r="A142" s="3"/>
      <c r="B142" s="3"/>
      <c r="C142" s="3"/>
      <c r="D142" s="3"/>
      <c r="G142" s="14"/>
      <c r="H142" s="14"/>
    </row>
    <row r="143" spans="1:8" x14ac:dyDescent="0.25">
      <c r="A143" s="3"/>
      <c r="B143" s="3"/>
      <c r="C143" s="3"/>
      <c r="D143" s="3"/>
      <c r="G143" s="14"/>
      <c r="H143" s="14"/>
    </row>
    <row r="144" spans="1:8" x14ac:dyDescent="0.25">
      <c r="A144" s="3"/>
      <c r="B144" s="3"/>
      <c r="C144" s="3"/>
      <c r="D144" s="3"/>
      <c r="G144" s="14"/>
      <c r="H144" s="14"/>
    </row>
    <row r="145" spans="1:8" x14ac:dyDescent="0.25">
      <c r="A145" s="3"/>
      <c r="B145" s="3"/>
      <c r="C145" s="3"/>
      <c r="D145" s="3"/>
      <c r="G145" s="14"/>
      <c r="H145" s="14"/>
    </row>
    <row r="146" spans="1:8" x14ac:dyDescent="0.25">
      <c r="A146" s="3"/>
      <c r="B146" s="3"/>
      <c r="C146" s="3"/>
      <c r="D146" s="3"/>
      <c r="G146" s="14"/>
      <c r="H146" s="14"/>
    </row>
    <row r="147" spans="1:8" x14ac:dyDescent="0.25">
      <c r="A147" s="3"/>
      <c r="B147" s="3"/>
      <c r="C147" s="3"/>
      <c r="D147" s="3"/>
      <c r="G147" s="14"/>
      <c r="H147" s="14"/>
    </row>
    <row r="148" spans="1:8" x14ac:dyDescent="0.25">
      <c r="A148" s="3"/>
      <c r="B148" s="3"/>
      <c r="C148" s="3"/>
      <c r="D148" s="3"/>
      <c r="G148" s="14"/>
      <c r="H148" s="14"/>
    </row>
    <row r="149" spans="1:8" x14ac:dyDescent="0.25">
      <c r="A149" s="3"/>
      <c r="B149" s="3"/>
      <c r="C149" s="3"/>
      <c r="D149" s="3"/>
      <c r="G149" s="14"/>
      <c r="H149" s="14"/>
    </row>
    <row r="150" spans="1:8" x14ac:dyDescent="0.25">
      <c r="A150" s="3"/>
      <c r="B150" s="3"/>
      <c r="C150" s="3"/>
      <c r="D150" s="3"/>
      <c r="G150" s="14"/>
      <c r="H150" s="14"/>
    </row>
    <row r="151" spans="1:8" x14ac:dyDescent="0.25">
      <c r="A151" s="3"/>
      <c r="B151" s="3"/>
      <c r="C151" s="3"/>
      <c r="D151" s="3"/>
      <c r="G151" s="14"/>
      <c r="H151" s="14"/>
    </row>
    <row r="152" spans="1:8" x14ac:dyDescent="0.25">
      <c r="A152" s="3"/>
      <c r="B152" s="3"/>
      <c r="C152" s="3"/>
      <c r="D152" s="3"/>
      <c r="G152" s="14"/>
      <c r="H152" s="14"/>
    </row>
    <row r="153" spans="1:8" x14ac:dyDescent="0.25">
      <c r="A153" s="3"/>
      <c r="B153" s="3"/>
      <c r="C153" s="3"/>
      <c r="D153" s="3"/>
      <c r="G153" s="14"/>
      <c r="H153" s="14"/>
    </row>
    <row r="154" spans="1:8" x14ac:dyDescent="0.25">
      <c r="A154" s="3"/>
      <c r="B154" s="3"/>
      <c r="C154" s="3"/>
      <c r="D154" s="3"/>
      <c r="G154" s="14"/>
      <c r="H154" s="14"/>
    </row>
    <row r="155" spans="1:8" x14ac:dyDescent="0.25">
      <c r="A155" s="3"/>
      <c r="B155" s="3"/>
      <c r="C155" s="3"/>
      <c r="D155" s="3"/>
      <c r="G155" s="14"/>
      <c r="H155" s="14"/>
    </row>
    <row r="156" spans="1:8" x14ac:dyDescent="0.25">
      <c r="A156" s="3"/>
      <c r="B156" s="3"/>
      <c r="C156" s="3"/>
      <c r="D156" s="3"/>
      <c r="G156" s="14"/>
      <c r="H156" s="14"/>
    </row>
    <row r="157" spans="1:8" x14ac:dyDescent="0.25">
      <c r="A157" s="3"/>
      <c r="B157" s="3"/>
      <c r="C157" s="3"/>
      <c r="D157" s="3"/>
      <c r="G157" s="14"/>
      <c r="H157" s="14"/>
    </row>
    <row r="158" spans="1:8" x14ac:dyDescent="0.25">
      <c r="A158" s="3"/>
      <c r="B158" s="3"/>
      <c r="C158" s="3"/>
      <c r="D158" s="3"/>
      <c r="G158" s="14"/>
      <c r="H158" s="14"/>
    </row>
    <row r="159" spans="1:8" x14ac:dyDescent="0.25">
      <c r="A159" s="3"/>
      <c r="B159" s="3"/>
      <c r="C159" s="3"/>
      <c r="D159" s="3"/>
      <c r="G159" s="14"/>
      <c r="H159" s="14"/>
    </row>
    <row r="160" spans="1:8" x14ac:dyDescent="0.25">
      <c r="A160" s="3"/>
      <c r="B160" s="3"/>
      <c r="C160" s="3"/>
      <c r="D160" s="3"/>
      <c r="G160" s="14"/>
      <c r="H160" s="14"/>
    </row>
    <row r="161" spans="1:8" x14ac:dyDescent="0.25">
      <c r="A161" s="3"/>
      <c r="B161" s="3"/>
      <c r="C161" s="3"/>
      <c r="D161" s="3"/>
      <c r="G161" s="14"/>
      <c r="H161" s="14"/>
    </row>
    <row r="162" spans="1:8" x14ac:dyDescent="0.25">
      <c r="A162" s="3"/>
      <c r="B162" s="3"/>
      <c r="C162" s="3"/>
      <c r="D162" s="3"/>
      <c r="G162" s="14"/>
      <c r="H162" s="14"/>
    </row>
    <row r="163" spans="1:8" x14ac:dyDescent="0.25">
      <c r="A163" s="3"/>
      <c r="B163" s="3"/>
      <c r="C163" s="3"/>
      <c r="D163" s="3"/>
      <c r="G163" s="14"/>
      <c r="H163" s="14"/>
    </row>
    <row r="164" spans="1:8" x14ac:dyDescent="0.25">
      <c r="A164" s="3"/>
      <c r="B164" s="3"/>
      <c r="C164" s="3"/>
      <c r="D164" s="3"/>
      <c r="G164" s="14"/>
      <c r="H164" s="14"/>
    </row>
    <row r="165" spans="1:8" x14ac:dyDescent="0.25">
      <c r="A165" s="3"/>
      <c r="B165" s="3"/>
      <c r="C165" s="3"/>
      <c r="D165" s="3"/>
      <c r="G165" s="14"/>
      <c r="H165" s="14"/>
    </row>
    <row r="166" spans="1:8" x14ac:dyDescent="0.25">
      <c r="A166" s="3"/>
      <c r="B166" s="3"/>
      <c r="C166" s="3"/>
      <c r="D166" s="3"/>
      <c r="G166" s="14"/>
      <c r="H166" s="14"/>
    </row>
    <row r="167" spans="1:8" x14ac:dyDescent="0.25">
      <c r="A167" s="3"/>
      <c r="B167" s="3"/>
      <c r="C167" s="3"/>
      <c r="D167" s="3"/>
      <c r="G167" s="14"/>
      <c r="H167" s="14"/>
    </row>
    <row r="168" spans="1:8" x14ac:dyDescent="0.25">
      <c r="A168" s="3"/>
      <c r="B168" s="3"/>
      <c r="C168" s="3"/>
      <c r="D168" s="3"/>
      <c r="G168" s="14"/>
      <c r="H168" s="14"/>
    </row>
    <row r="169" spans="1:8" x14ac:dyDescent="0.25">
      <c r="A169" s="3"/>
      <c r="B169" s="3"/>
      <c r="C169" s="3"/>
      <c r="D169" s="3"/>
      <c r="G169" s="14"/>
      <c r="H169" s="14"/>
    </row>
    <row r="170" spans="1:8" x14ac:dyDescent="0.25">
      <c r="A170" s="3"/>
      <c r="B170" s="3"/>
      <c r="C170" s="3"/>
      <c r="D170" s="3"/>
      <c r="G170" s="14"/>
      <c r="H170" s="14"/>
    </row>
    <row r="171" spans="1:8" x14ac:dyDescent="0.25">
      <c r="A171" s="3"/>
      <c r="B171" s="3"/>
      <c r="C171" s="3"/>
      <c r="D171" s="3"/>
      <c r="G171" s="14"/>
      <c r="H171" s="14"/>
    </row>
    <row r="172" spans="1:8" x14ac:dyDescent="0.25">
      <c r="A172" s="3"/>
      <c r="B172" s="3"/>
      <c r="C172" s="3"/>
      <c r="D172" s="3"/>
      <c r="G172" s="14"/>
      <c r="H172" s="14"/>
    </row>
    <row r="173" spans="1:8" x14ac:dyDescent="0.25">
      <c r="A173" s="3"/>
      <c r="B173" s="3"/>
      <c r="C173" s="3"/>
      <c r="D173" s="3"/>
      <c r="G173" s="14"/>
      <c r="H173" s="14"/>
    </row>
    <row r="174" spans="1:8" x14ac:dyDescent="0.25">
      <c r="A174" s="3"/>
      <c r="B174" s="3"/>
      <c r="C174" s="3"/>
      <c r="D174" s="3"/>
      <c r="G174" s="14"/>
      <c r="H174" s="14"/>
    </row>
    <row r="175" spans="1:8" x14ac:dyDescent="0.25">
      <c r="A175" s="3"/>
      <c r="B175" s="3"/>
      <c r="C175" s="3"/>
      <c r="D175" s="3"/>
      <c r="G175" s="14"/>
      <c r="H175" s="14"/>
    </row>
    <row r="176" spans="1:8" x14ac:dyDescent="0.25">
      <c r="A176" s="3"/>
      <c r="B176" s="3"/>
      <c r="C176" s="3"/>
      <c r="D176" s="3"/>
      <c r="G176" s="14"/>
      <c r="H176" s="14"/>
    </row>
    <row r="177" spans="1:8" x14ac:dyDescent="0.25">
      <c r="A177" s="3"/>
      <c r="B177" s="3"/>
      <c r="C177" s="3"/>
      <c r="D177" s="3"/>
      <c r="G177" s="14"/>
      <c r="H177" s="14"/>
    </row>
    <row r="178" spans="1:8" x14ac:dyDescent="0.25">
      <c r="A178" s="3"/>
      <c r="B178" s="3"/>
      <c r="C178" s="3"/>
      <c r="D178" s="3"/>
      <c r="G178" s="14"/>
      <c r="H178" s="14"/>
    </row>
    <row r="179" spans="1:8" x14ac:dyDescent="0.25">
      <c r="A179" s="3"/>
      <c r="B179" s="3"/>
      <c r="C179" s="3"/>
      <c r="D179" s="3"/>
      <c r="G179" s="14"/>
      <c r="H179" s="14"/>
    </row>
    <row r="180" spans="1:8" x14ac:dyDescent="0.25">
      <c r="A180" s="3"/>
      <c r="B180" s="3"/>
      <c r="C180" s="3"/>
      <c r="D180" s="3"/>
      <c r="G180" s="14"/>
      <c r="H180" s="14"/>
    </row>
    <row r="181" spans="1:8" x14ac:dyDescent="0.25">
      <c r="A181" s="3"/>
      <c r="B181" s="3"/>
      <c r="C181" s="3"/>
      <c r="D181" s="3"/>
      <c r="G181" s="14"/>
      <c r="H181" s="14"/>
    </row>
    <row r="182" spans="1:8" x14ac:dyDescent="0.25">
      <c r="A182" s="3"/>
      <c r="B182" s="3"/>
      <c r="C182" s="3"/>
      <c r="D182" s="3"/>
      <c r="G182" s="14"/>
      <c r="H182" s="14"/>
    </row>
    <row r="183" spans="1:8" x14ac:dyDescent="0.25">
      <c r="A183" s="3"/>
      <c r="B183" s="3"/>
      <c r="C183" s="3"/>
      <c r="D183" s="3"/>
      <c r="G183" s="14"/>
      <c r="H183" s="14"/>
    </row>
    <row r="184" spans="1:8" x14ac:dyDescent="0.25">
      <c r="A184" s="3"/>
      <c r="B184" s="3"/>
      <c r="C184" s="3"/>
      <c r="D184" s="3"/>
      <c r="G184" s="14"/>
      <c r="H184" s="14"/>
    </row>
    <row r="185" spans="1:8" x14ac:dyDescent="0.25">
      <c r="A185" s="3"/>
      <c r="B185" s="3"/>
      <c r="C185" s="3"/>
      <c r="D185" s="3"/>
      <c r="G185" s="14"/>
      <c r="H185" s="14"/>
    </row>
    <row r="186" spans="1:8" x14ac:dyDescent="0.25">
      <c r="A186" s="3"/>
      <c r="B186" s="3"/>
      <c r="C186" s="3"/>
      <c r="D186" s="3"/>
      <c r="G186" s="14"/>
      <c r="H186" s="14"/>
    </row>
    <row r="187" spans="1:8" x14ac:dyDescent="0.25">
      <c r="A187" s="3"/>
      <c r="B187" s="3"/>
      <c r="C187" s="3"/>
      <c r="D187" s="3"/>
      <c r="G187" s="14"/>
      <c r="H187" s="14"/>
    </row>
    <row r="188" spans="1:8" x14ac:dyDescent="0.25">
      <c r="A188" s="3"/>
      <c r="B188" s="3"/>
      <c r="C188" s="3"/>
      <c r="D188" s="3"/>
      <c r="G188" s="14"/>
      <c r="H188" s="14"/>
    </row>
    <row r="189" spans="1:8" x14ac:dyDescent="0.25">
      <c r="A189" s="3"/>
      <c r="B189" s="3"/>
      <c r="C189" s="3"/>
      <c r="D189" s="3"/>
      <c r="G189" s="14"/>
      <c r="H189" s="14"/>
    </row>
    <row r="190" spans="1:8" x14ac:dyDescent="0.25">
      <c r="A190" s="3"/>
      <c r="B190" s="3"/>
      <c r="C190" s="3"/>
      <c r="D190" s="3"/>
      <c r="G190" s="14"/>
      <c r="H190" s="14"/>
    </row>
    <row r="191" spans="1:8" x14ac:dyDescent="0.25">
      <c r="A191" s="3"/>
      <c r="B191" s="3"/>
      <c r="C191" s="3"/>
      <c r="D191" s="3"/>
      <c r="G191" s="14"/>
      <c r="H191" s="14"/>
    </row>
    <row r="192" spans="1:8" x14ac:dyDescent="0.25">
      <c r="A192" s="3"/>
      <c r="B192" s="3"/>
      <c r="C192" s="3"/>
      <c r="D192" s="3"/>
      <c r="G192" s="14"/>
      <c r="H192" s="14"/>
    </row>
    <row r="193" spans="1:8" x14ac:dyDescent="0.25">
      <c r="A193" s="3"/>
      <c r="B193" s="3"/>
      <c r="C193" s="3"/>
      <c r="D193" s="3"/>
      <c r="G193" s="14"/>
      <c r="H193" s="14"/>
    </row>
    <row r="194" spans="1:8" x14ac:dyDescent="0.25">
      <c r="A194" s="3"/>
      <c r="B194" s="3"/>
      <c r="C194" s="3"/>
      <c r="D194" s="3"/>
      <c r="G194" s="14"/>
      <c r="H194" s="14"/>
    </row>
    <row r="195" spans="1:8" x14ac:dyDescent="0.25">
      <c r="A195" s="3"/>
      <c r="B195" s="3"/>
      <c r="C195" s="3"/>
      <c r="D195" s="3"/>
      <c r="G195" s="14"/>
      <c r="H195" s="14"/>
    </row>
    <row r="196" spans="1:8" x14ac:dyDescent="0.25">
      <c r="A196" s="3"/>
      <c r="B196" s="3"/>
      <c r="C196" s="3"/>
      <c r="D196" s="3"/>
      <c r="G196" s="14"/>
      <c r="H196" s="14"/>
    </row>
    <row r="197" spans="1:8" x14ac:dyDescent="0.25">
      <c r="A197" s="3"/>
      <c r="B197" s="3"/>
      <c r="C197" s="3"/>
      <c r="D197" s="3"/>
      <c r="G197" s="14"/>
      <c r="H197" s="14"/>
    </row>
    <row r="198" spans="1:8" x14ac:dyDescent="0.25">
      <c r="A198" s="3"/>
      <c r="B198" s="3"/>
      <c r="C198" s="3"/>
      <c r="D198" s="3"/>
      <c r="G198" s="14"/>
      <c r="H198" s="14"/>
    </row>
    <row r="199" spans="1:8" x14ac:dyDescent="0.25">
      <c r="A199" s="3"/>
      <c r="B199" s="3"/>
      <c r="C199" s="3"/>
      <c r="D199" s="3"/>
      <c r="G199" s="14"/>
      <c r="H199" s="14"/>
    </row>
    <row r="200" spans="1:8" x14ac:dyDescent="0.25">
      <c r="A200" s="3"/>
      <c r="B200" s="3"/>
      <c r="C200" s="3"/>
      <c r="D200" s="3"/>
      <c r="G200" s="14"/>
      <c r="H200" s="14"/>
    </row>
    <row r="201" spans="1:8" x14ac:dyDescent="0.25">
      <c r="A201" s="3"/>
      <c r="B201" s="3"/>
      <c r="C201" s="3"/>
      <c r="D201" s="3"/>
      <c r="G201" s="14"/>
      <c r="H201" s="14"/>
    </row>
    <row r="202" spans="1:8" x14ac:dyDescent="0.25">
      <c r="A202" s="3"/>
      <c r="B202" s="3"/>
      <c r="C202" s="3"/>
      <c r="D202" s="3"/>
      <c r="G202" s="14"/>
      <c r="H202" s="14"/>
    </row>
    <row r="203" spans="1:8" x14ac:dyDescent="0.25">
      <c r="A203" s="3"/>
      <c r="B203" s="3"/>
      <c r="C203" s="3"/>
      <c r="D203" s="3"/>
      <c r="G203" s="14"/>
      <c r="H203" s="14"/>
    </row>
    <row r="204" spans="1:8" x14ac:dyDescent="0.25">
      <c r="A204" s="3"/>
      <c r="B204" s="3"/>
      <c r="C204" s="3"/>
      <c r="D204" s="3"/>
      <c r="G204" s="14"/>
      <c r="H204" s="14"/>
    </row>
    <row r="205" spans="1:8" x14ac:dyDescent="0.25">
      <c r="A205" s="3"/>
      <c r="B205" s="3"/>
      <c r="C205" s="3"/>
      <c r="D205" s="3"/>
      <c r="G205" s="14"/>
      <c r="H205" s="14"/>
    </row>
    <row r="206" spans="1:8" x14ac:dyDescent="0.25">
      <c r="A206" s="3"/>
      <c r="B206" s="3"/>
      <c r="C206" s="3"/>
      <c r="D206" s="3"/>
      <c r="G206" s="14"/>
      <c r="H206" s="14"/>
    </row>
    <row r="207" spans="1:8" x14ac:dyDescent="0.25">
      <c r="A207" s="3"/>
      <c r="B207" s="3"/>
      <c r="C207" s="3"/>
      <c r="D207" s="3"/>
      <c r="G207" s="14"/>
      <c r="H207" s="14"/>
    </row>
    <row r="208" spans="1:8" x14ac:dyDescent="0.25">
      <c r="A208" s="3"/>
      <c r="B208" s="3"/>
      <c r="C208" s="3"/>
      <c r="D208" s="3"/>
      <c r="G208" s="14"/>
      <c r="H208" s="14"/>
    </row>
    <row r="209" spans="1:8" x14ac:dyDescent="0.25">
      <c r="A209" s="3"/>
      <c r="B209" s="3"/>
      <c r="C209" s="3"/>
      <c r="D209" s="3"/>
      <c r="G209" s="14"/>
      <c r="H209" s="14"/>
    </row>
    <row r="210" spans="1:8" x14ac:dyDescent="0.25">
      <c r="A210" s="3"/>
      <c r="B210" s="3"/>
      <c r="C210" s="3"/>
      <c r="D210" s="3"/>
      <c r="G210" s="14"/>
      <c r="H210" s="14"/>
    </row>
    <row r="211" spans="1:8" x14ac:dyDescent="0.25">
      <c r="A211" s="3"/>
      <c r="B211" s="3"/>
      <c r="C211" s="3"/>
      <c r="D211" s="3"/>
      <c r="G211" s="14"/>
      <c r="H211" s="14"/>
    </row>
    <row r="212" spans="1:8" x14ac:dyDescent="0.25">
      <c r="A212" s="3"/>
      <c r="B212" s="3"/>
      <c r="C212" s="3"/>
      <c r="D212" s="3"/>
      <c r="G212" s="14"/>
      <c r="H212" s="14"/>
    </row>
    <row r="213" spans="1:8" x14ac:dyDescent="0.25">
      <c r="A213" s="3"/>
      <c r="B213" s="3"/>
      <c r="C213" s="3"/>
      <c r="D213" s="3"/>
      <c r="G213" s="14"/>
      <c r="H213" s="14"/>
    </row>
    <row r="214" spans="1:8" x14ac:dyDescent="0.25">
      <c r="A214" s="3"/>
      <c r="B214" s="3"/>
      <c r="C214" s="3"/>
      <c r="D214" s="3"/>
      <c r="G214" s="14"/>
      <c r="H214" s="14"/>
    </row>
    <row r="215" spans="1:8" x14ac:dyDescent="0.25">
      <c r="A215" s="3"/>
      <c r="B215" s="3"/>
      <c r="C215" s="3"/>
      <c r="D215" s="3"/>
      <c r="G215" s="14"/>
      <c r="H215" s="14"/>
    </row>
    <row r="216" spans="1:8" x14ac:dyDescent="0.25">
      <c r="A216" s="3"/>
      <c r="B216" s="3"/>
      <c r="C216" s="3"/>
      <c r="D216" s="3"/>
      <c r="G216" s="14"/>
      <c r="H216" s="14"/>
    </row>
    <row r="217" spans="1:8" x14ac:dyDescent="0.25">
      <c r="A217" s="3"/>
      <c r="B217" s="3"/>
      <c r="C217" s="3"/>
      <c r="D217" s="3"/>
      <c r="G217" s="14"/>
      <c r="H217" s="14"/>
    </row>
    <row r="218" spans="1:8" x14ac:dyDescent="0.25">
      <c r="A218" s="3"/>
      <c r="B218" s="3"/>
      <c r="C218" s="3"/>
      <c r="D218" s="3"/>
      <c r="G218" s="14"/>
      <c r="H218" s="14"/>
    </row>
    <row r="219" spans="1:8" x14ac:dyDescent="0.25">
      <c r="A219" s="3"/>
      <c r="B219" s="3"/>
      <c r="C219" s="3"/>
      <c r="D219" s="3"/>
      <c r="G219" s="14"/>
      <c r="H219" s="14"/>
    </row>
    <row r="220" spans="1:8" x14ac:dyDescent="0.25">
      <c r="A220" s="3"/>
      <c r="B220" s="3"/>
      <c r="C220" s="3"/>
      <c r="D220" s="3"/>
      <c r="G220" s="14"/>
      <c r="H220" s="14"/>
    </row>
    <row r="221" spans="1:8" x14ac:dyDescent="0.25">
      <c r="A221" s="3"/>
      <c r="B221" s="3"/>
      <c r="C221" s="3"/>
      <c r="D221" s="3"/>
      <c r="G221" s="14"/>
      <c r="H221" s="14"/>
    </row>
    <row r="222" spans="1:8" x14ac:dyDescent="0.25">
      <c r="A222" s="3"/>
      <c r="B222" s="3"/>
      <c r="C222" s="3"/>
      <c r="D222" s="3"/>
      <c r="G222" s="14"/>
      <c r="H222" s="14"/>
    </row>
    <row r="223" spans="1:8" x14ac:dyDescent="0.25">
      <c r="A223" s="3"/>
      <c r="B223" s="3"/>
      <c r="C223" s="3"/>
      <c r="D223" s="3"/>
      <c r="G223" s="14"/>
      <c r="H223" s="14"/>
    </row>
    <row r="224" spans="1:8" x14ac:dyDescent="0.25">
      <c r="A224" s="3"/>
      <c r="B224" s="3"/>
      <c r="C224" s="3"/>
      <c r="D224" s="3"/>
      <c r="G224" s="14"/>
      <c r="H224" s="14"/>
    </row>
    <row r="225" spans="1:8" x14ac:dyDescent="0.25">
      <c r="A225" s="3"/>
      <c r="B225" s="3"/>
      <c r="C225" s="3"/>
      <c r="D225" s="3"/>
      <c r="G225" s="14"/>
      <c r="H225" s="14"/>
    </row>
    <row r="226" spans="1:8" x14ac:dyDescent="0.25">
      <c r="A226" s="3"/>
      <c r="B226" s="3"/>
      <c r="C226" s="3"/>
      <c r="D226" s="3"/>
      <c r="G226" s="14"/>
      <c r="H226" s="14"/>
    </row>
    <row r="227" spans="1:8" x14ac:dyDescent="0.25">
      <c r="A227" s="3"/>
      <c r="B227" s="3"/>
      <c r="C227" s="3"/>
      <c r="D227" s="3"/>
      <c r="G227" s="14"/>
      <c r="H227" s="14"/>
    </row>
    <row r="228" spans="1:8" x14ac:dyDescent="0.25">
      <c r="A228" s="3"/>
      <c r="B228" s="3"/>
      <c r="C228" s="3"/>
      <c r="D228" s="3"/>
      <c r="G228" s="14"/>
      <c r="H228" s="14"/>
    </row>
    <row r="229" spans="1:8" x14ac:dyDescent="0.25">
      <c r="A229" s="3"/>
      <c r="B229" s="3"/>
      <c r="C229" s="3"/>
      <c r="D229" s="3"/>
      <c r="G229" s="14"/>
      <c r="H229" s="14"/>
    </row>
    <row r="230" spans="1:8" x14ac:dyDescent="0.25">
      <c r="A230" s="3"/>
      <c r="B230" s="3"/>
      <c r="C230" s="3"/>
      <c r="D230" s="3"/>
      <c r="G230" s="14"/>
      <c r="H230" s="14"/>
    </row>
    <row r="231" spans="1:8" x14ac:dyDescent="0.25">
      <c r="A231" s="3"/>
      <c r="B231" s="3"/>
      <c r="C231" s="3"/>
      <c r="D231" s="3"/>
      <c r="G231" s="14"/>
      <c r="H231" s="14"/>
    </row>
    <row r="232" spans="1:8" x14ac:dyDescent="0.25">
      <c r="A232" s="3"/>
      <c r="B232" s="3"/>
      <c r="C232" s="3"/>
      <c r="D232" s="3"/>
      <c r="G232" s="14"/>
      <c r="H232" s="14"/>
    </row>
    <row r="233" spans="1:8" x14ac:dyDescent="0.25">
      <c r="A233" s="3"/>
      <c r="B233" s="3"/>
      <c r="C233" s="3"/>
      <c r="D233" s="3"/>
      <c r="G233" s="14"/>
      <c r="H233" s="14"/>
    </row>
    <row r="234" spans="1:8" x14ac:dyDescent="0.25">
      <c r="A234" s="3"/>
      <c r="B234" s="3"/>
      <c r="C234" s="3"/>
      <c r="D234" s="3"/>
      <c r="G234" s="14"/>
      <c r="H234" s="14"/>
    </row>
    <row r="235" spans="1:8" x14ac:dyDescent="0.25">
      <c r="A235" s="3"/>
      <c r="B235" s="3"/>
      <c r="C235" s="3"/>
      <c r="D235" s="3"/>
      <c r="G235" s="14"/>
      <c r="H235" s="14"/>
    </row>
    <row r="236" spans="1:8" x14ac:dyDescent="0.25">
      <c r="A236" s="3"/>
      <c r="B236" s="3"/>
      <c r="C236" s="3"/>
      <c r="D236" s="3"/>
      <c r="G236" s="14"/>
      <c r="H236" s="14"/>
    </row>
    <row r="237" spans="1:8" x14ac:dyDescent="0.25">
      <c r="A237" s="3"/>
      <c r="B237" s="3"/>
      <c r="C237" s="3"/>
      <c r="D237" s="3"/>
      <c r="G237" s="14"/>
      <c r="H237" s="14"/>
    </row>
    <row r="238" spans="1:8" x14ac:dyDescent="0.25">
      <c r="A238" s="3"/>
      <c r="B238" s="3"/>
      <c r="C238" s="3"/>
      <c r="D238" s="3"/>
      <c r="G238" s="14"/>
      <c r="H238" s="14"/>
    </row>
    <row r="239" spans="1:8" x14ac:dyDescent="0.25">
      <c r="A239" s="3"/>
      <c r="B239" s="3"/>
      <c r="C239" s="3"/>
      <c r="D239" s="3"/>
      <c r="G239" s="14"/>
      <c r="H239" s="14"/>
    </row>
    <row r="240" spans="1:8" x14ac:dyDescent="0.25">
      <c r="A240" s="3"/>
      <c r="B240" s="3"/>
      <c r="C240" s="3"/>
      <c r="D240" s="3"/>
      <c r="G240" s="14"/>
      <c r="H240" s="14"/>
    </row>
    <row r="241" spans="1:8" x14ac:dyDescent="0.25">
      <c r="A241" s="3"/>
      <c r="B241" s="3"/>
      <c r="C241" s="3"/>
      <c r="D241" s="3"/>
      <c r="G241" s="14"/>
      <c r="H241" s="14"/>
    </row>
    <row r="242" spans="1:8" x14ac:dyDescent="0.25">
      <c r="A242" s="3"/>
      <c r="B242" s="3"/>
      <c r="C242" s="3"/>
      <c r="D242" s="3"/>
      <c r="G242" s="14"/>
      <c r="H242" s="14"/>
    </row>
    <row r="243" spans="1:8" x14ac:dyDescent="0.25">
      <c r="A243" s="3"/>
      <c r="B243" s="3"/>
      <c r="C243" s="3"/>
      <c r="D243" s="3"/>
      <c r="G243" s="14"/>
      <c r="H243" s="14"/>
    </row>
    <row r="244" spans="1:8" x14ac:dyDescent="0.25">
      <c r="A244" s="3"/>
      <c r="B244" s="3"/>
      <c r="C244" s="3"/>
      <c r="D244" s="3"/>
      <c r="G244" s="14"/>
      <c r="H244" s="14"/>
    </row>
    <row r="245" spans="1:8" x14ac:dyDescent="0.25">
      <c r="A245" s="3"/>
      <c r="B245" s="3"/>
      <c r="C245" s="3"/>
      <c r="D245" s="3"/>
      <c r="G245" s="14"/>
      <c r="H245" s="14"/>
    </row>
    <row r="247" spans="1:8" x14ac:dyDescent="0.25">
      <c r="A247" s="3"/>
      <c r="G247" s="14"/>
      <c r="H247" s="14"/>
    </row>
  </sheetData>
  <phoneticPr fontId="1" type="noConversion"/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A41A85-3CC4-4CA1-9434-8AC644B8E110}">
  <sheetPr/>
  <dimension ref="A1:I247"/>
  <sheetViews>
    <sheetView zoomScale="115" zoomScaleNormal="115" workbookViewId="0">
      <selection activeCell="A5" sqref="A5:H53"/>
    </sheetView>
  </sheetViews>
  <sheetFormatPr defaultRowHeight="15" x14ac:dyDescent="0.25"/>
  <cols>
    <col min="1" max="1" width="8.875" style="4" customWidth="1"/>
    <col min="2" max="3" width="15.125" style="4" customWidth="1"/>
    <col min="4" max="4" width="10.25" style="4" customWidth="1"/>
    <col min="5" max="5" width="12" style="13" customWidth="1"/>
    <col min="6" max="6" width="15" style="13" customWidth="1"/>
    <col min="7" max="7" width="13.875" customWidth="1"/>
    <col min="8" max="8" width="11.125" customWidth="1"/>
    <col min="11" max="12" width="15.125" customWidth="1"/>
    <col min="13" max="13" width="11.125" customWidth="1"/>
  </cols>
  <sheetData>
    <row r="1" spans="1:9" ht="14.25" x14ac:dyDescent="0.2">
      <c r="A1" s="2" t="s">
        <v>12</v>
      </c>
      <c r="B1" s="2" t="s">
        <v>4</v>
      </c>
      <c r="C1" s="2" t="s">
        <v>5</v>
      </c>
      <c r="D1" s="2" t="s">
        <v>13</v>
      </c>
      <c r="E1" s="2" t="s">
        <v>14</v>
      </c>
      <c r="F1" s="2" t="s">
        <v>15</v>
      </c>
      <c r="G1" s="2" t="s">
        <v>16</v>
      </c>
    </row>
    <row r="2" spans="1:9" x14ac:dyDescent="0.25">
      <c r="A2" s="11">
        <v>14</v>
      </c>
      <c r="B2" s="3">
        <v>113.331534</v>
      </c>
      <c r="C2" s="8">
        <v>22.905528069999999</v>
      </c>
      <c r="D2" s="3">
        <v>0</v>
      </c>
      <c r="E2" s="13">
        <v>1785</v>
      </c>
      <c r="F2" s="13">
        <v>8</v>
      </c>
      <c r="G2" s="19">
        <f>SUBTOTAL(2,A5:A250)</f>
        <v>17</v>
      </c>
    </row>
    <row r="3" spans="1:9" x14ac:dyDescent="0.25">
      <c r="A3" s="3"/>
      <c r="B3" s="3"/>
      <c r="C3" s="3"/>
      <c r="D3" s="3"/>
    </row>
    <row r="4" spans="1:9" ht="14.25" x14ac:dyDescent="0.2">
      <c r="A4" s="2" t="s">
        <v>0</v>
      </c>
      <c r="B4" s="2" t="s">
        <v>1</v>
      </c>
      <c r="C4" s="2" t="s">
        <v>2</v>
      </c>
      <c r="D4" s="2" t="s">
        <v>3</v>
      </c>
      <c r="E4" s="2" t="s">
        <v>7</v>
      </c>
      <c r="F4" s="2" t="s">
        <v>8</v>
      </c>
      <c r="G4" s="2" t="s">
        <v>13</v>
      </c>
      <c r="H4" s="2" t="s">
        <v>14</v>
      </c>
      <c r="I4" s="24" t="s">
        <v>20</v>
      </c>
    </row>
    <row r="5" spans="1:9" x14ac:dyDescent="0.25">
      <c r="A5" s="3">
        <v>4417</v>
      </c>
      <c r="B5" s="3">
        <v>113.3317007</v>
      </c>
      <c r="C5" s="3">
        <v>22.90627813</v>
      </c>
      <c r="D5" s="3">
        <v>14</v>
      </c>
      <c r="E5" s="13">
        <f t="shared" ref="E5:E36" si="0">SQRT((B5-$B$2)^2+(C5-$C$2)^2)</f>
        <v>7.683611739281121E-4</v>
      </c>
      <c r="F5" s="13">
        <f t="shared" ref="F5:F36" si="1">SQRT(1/E5)</f>
        <v>36.075909958091621</v>
      </c>
      <c r="G5" s="14">
        <f>F5/$F$55*$D$2</f>
        <v>0</v>
      </c>
      <c r="H5" s="14">
        <f>F5/$F$55*$E$2</f>
        <v>222.00410037077609</v>
      </c>
      <c r="I5" s="25" t="str">
        <f>IF(MOD(ROW()-1,3)=1,"选中","")</f>
        <v>选中</v>
      </c>
    </row>
    <row r="6" spans="1:9" hidden="1" x14ac:dyDescent="0.25">
      <c r="A6" s="3">
        <v>4369</v>
      </c>
      <c r="B6" s="3">
        <v>113.3312537</v>
      </c>
      <c r="C6" s="3">
        <v>22.904056879999999</v>
      </c>
      <c r="D6" s="3">
        <v>14</v>
      </c>
      <c r="E6" s="13">
        <f t="shared" si="0"/>
        <v>1.4976542011093646E-3</v>
      </c>
      <c r="F6" s="13">
        <f t="shared" si="1"/>
        <v>25.840102108085528</v>
      </c>
      <c r="G6" s="14" t="e">
        <f>F6/$F$124*$D$2</f>
        <v>#DIV/0!</v>
      </c>
      <c r="H6" s="14" t="e">
        <f>F6/$F$124*$E$2</f>
        <v>#DIV/0!</v>
      </c>
      <c r="I6" s="25" t="str">
        <f t="shared" ref="I6:I53" si="2">IF(MOD(ROW()-1,3)=1,"选中","")</f>
        <v/>
      </c>
    </row>
    <row r="7" spans="1:9" hidden="1" x14ac:dyDescent="0.25">
      <c r="A7" s="3">
        <v>4426</v>
      </c>
      <c r="B7" s="3">
        <v>113.33216590000001</v>
      </c>
      <c r="C7" s="3">
        <v>22.904165119999998</v>
      </c>
      <c r="D7" s="3">
        <v>14</v>
      </c>
      <c r="E7" s="13">
        <f t="shared" si="0"/>
        <v>1.5023083280420355E-3</v>
      </c>
      <c r="F7" s="13">
        <f t="shared" si="1"/>
        <v>25.800044950452556</v>
      </c>
      <c r="G7" s="14" t="e">
        <f>F7/$F$124*$D$2</f>
        <v>#DIV/0!</v>
      </c>
      <c r="H7" s="14" t="e">
        <f>F7/$F$124*$E$2</f>
        <v>#DIV/0!</v>
      </c>
      <c r="I7" s="25" t="str">
        <f t="shared" si="2"/>
        <v/>
      </c>
    </row>
    <row r="8" spans="1:9" x14ac:dyDescent="0.25">
      <c r="A8" s="3">
        <v>4370</v>
      </c>
      <c r="B8" s="3">
        <v>113.33159809999999</v>
      </c>
      <c r="C8" s="3">
        <v>22.903892299999999</v>
      </c>
      <c r="D8" s="3">
        <v>14</v>
      </c>
      <c r="E8" s="13">
        <f t="shared" si="0"/>
        <v>1.6370254435709552E-3</v>
      </c>
      <c r="F8" s="13">
        <f t="shared" si="1"/>
        <v>24.715664155242674</v>
      </c>
      <c r="G8" s="14">
        <f>F8/$F$55*$D$2</f>
        <v>0</v>
      </c>
      <c r="H8" s="14">
        <f>F8/$F$55*$E$2</f>
        <v>152.09536757977713</v>
      </c>
      <c r="I8" s="25" t="str">
        <f t="shared" si="2"/>
        <v>选中</v>
      </c>
    </row>
    <row r="9" spans="1:9" hidden="1" x14ac:dyDescent="0.25">
      <c r="A9" s="3">
        <v>4357</v>
      </c>
      <c r="B9" s="3">
        <v>113.3314324</v>
      </c>
      <c r="C9" s="3">
        <v>22.903887619999999</v>
      </c>
      <c r="D9" s="3">
        <v>14</v>
      </c>
      <c r="E9" s="13">
        <f t="shared" si="0"/>
        <v>1.6435932472791549E-3</v>
      </c>
      <c r="F9" s="13">
        <f t="shared" si="1"/>
        <v>24.666232788569243</v>
      </c>
      <c r="G9" s="14" t="e">
        <f>F9/$F$124*$D$2</f>
        <v>#DIV/0!</v>
      </c>
      <c r="H9" s="14" t="e">
        <f>F9/$F$124*$E$2</f>
        <v>#DIV/0!</v>
      </c>
      <c r="I9" s="25" t="str">
        <f t="shared" si="2"/>
        <v/>
      </c>
    </row>
    <row r="10" spans="1:9" hidden="1" x14ac:dyDescent="0.25">
      <c r="A10" s="3">
        <v>4376</v>
      </c>
      <c r="B10" s="3">
        <v>113.3333564</v>
      </c>
      <c r="C10" s="3">
        <v>22.905169480000001</v>
      </c>
      <c r="D10" s="3">
        <v>14</v>
      </c>
      <c r="E10" s="13">
        <f t="shared" si="0"/>
        <v>1.8573444882624402E-3</v>
      </c>
      <c r="F10" s="13">
        <f t="shared" si="1"/>
        <v>23.203514469023048</v>
      </c>
      <c r="G10" s="14" t="e">
        <f>F10/$F$124*$D$2</f>
        <v>#DIV/0!</v>
      </c>
      <c r="H10" s="14" t="e">
        <f>F10/$F$124*$E$2</f>
        <v>#DIV/0!</v>
      </c>
      <c r="I10" s="25" t="str">
        <f t="shared" si="2"/>
        <v/>
      </c>
    </row>
    <row r="11" spans="1:9" x14ac:dyDescent="0.25">
      <c r="A11" s="3">
        <v>4525</v>
      </c>
      <c r="B11" s="3">
        <v>113.33202919999999</v>
      </c>
      <c r="C11" s="3">
        <v>22.903581620000001</v>
      </c>
      <c r="D11" s="3">
        <v>14</v>
      </c>
      <c r="E11" s="13">
        <f t="shared" si="0"/>
        <v>2.0084547897532374E-3</v>
      </c>
      <c r="F11" s="13">
        <f t="shared" si="1"/>
        <v>22.313565389260791</v>
      </c>
      <c r="G11" s="14">
        <f>F11/$F$55*$D$2</f>
        <v>0</v>
      </c>
      <c r="H11" s="14">
        <f>F11/$F$55*$E$2</f>
        <v>137.31332116256823</v>
      </c>
      <c r="I11" s="25" t="str">
        <f t="shared" si="2"/>
        <v>选中</v>
      </c>
    </row>
    <row r="12" spans="1:9" hidden="1" x14ac:dyDescent="0.25">
      <c r="A12" s="3">
        <v>4415</v>
      </c>
      <c r="B12" s="3">
        <v>113.3331998</v>
      </c>
      <c r="C12" s="3">
        <v>22.904141190000001</v>
      </c>
      <c r="D12" s="3">
        <v>14</v>
      </c>
      <c r="E12" s="13">
        <f t="shared" si="0"/>
        <v>2.1675621731309332E-3</v>
      </c>
      <c r="F12" s="13">
        <f t="shared" si="1"/>
        <v>21.479007928092788</v>
      </c>
      <c r="G12" s="14" t="e">
        <f>F12/$F$124*$D$2</f>
        <v>#DIV/0!</v>
      </c>
      <c r="H12" s="14" t="e">
        <f>F12/$F$124*$E$2</f>
        <v>#DIV/0!</v>
      </c>
      <c r="I12" s="25" t="str">
        <f t="shared" si="2"/>
        <v/>
      </c>
    </row>
    <row r="13" spans="1:9" hidden="1" x14ac:dyDescent="0.25">
      <c r="A13" s="3">
        <v>4419</v>
      </c>
      <c r="B13" s="3">
        <v>113.3330282</v>
      </c>
      <c r="C13" s="3">
        <v>22.903917610000001</v>
      </c>
      <c r="D13" s="3">
        <v>14</v>
      </c>
      <c r="E13" s="13">
        <f t="shared" si="0"/>
        <v>2.1968648232387109E-3</v>
      </c>
      <c r="F13" s="13">
        <f t="shared" si="1"/>
        <v>21.335279299131557</v>
      </c>
      <c r="G13" s="14" t="e">
        <f>F13/$F$124*$D$2</f>
        <v>#DIV/0!</v>
      </c>
      <c r="H13" s="14" t="e">
        <f>F13/$F$124*$E$2</f>
        <v>#DIV/0!</v>
      </c>
      <c r="I13" s="25" t="str">
        <f t="shared" si="2"/>
        <v/>
      </c>
    </row>
    <row r="14" spans="1:9" x14ac:dyDescent="0.25">
      <c r="A14" s="3">
        <v>4413</v>
      </c>
      <c r="B14" s="3">
        <v>113.3333336</v>
      </c>
      <c r="C14" s="3">
        <v>22.904043980000001</v>
      </c>
      <c r="D14" s="3">
        <v>14</v>
      </c>
      <c r="E14" s="13">
        <f t="shared" si="0"/>
        <v>2.3326129743461931E-3</v>
      </c>
      <c r="F14" s="13">
        <f t="shared" si="1"/>
        <v>20.705163130632787</v>
      </c>
      <c r="G14" s="14">
        <f>F14/$F$55*$D$2</f>
        <v>0</v>
      </c>
      <c r="H14" s="14">
        <f>F14/$F$55*$E$2</f>
        <v>127.41552795719005</v>
      </c>
      <c r="I14" s="25" t="str">
        <f t="shared" si="2"/>
        <v>选中</v>
      </c>
    </row>
    <row r="15" spans="1:9" hidden="1" x14ac:dyDescent="0.25">
      <c r="A15" s="3">
        <v>4528</v>
      </c>
      <c r="B15" s="3">
        <v>113.33224679999999</v>
      </c>
      <c r="C15" s="3">
        <v>22.903195369999999</v>
      </c>
      <c r="D15" s="3">
        <v>14</v>
      </c>
      <c r="E15" s="13">
        <f t="shared" si="0"/>
        <v>2.4391746821381772E-3</v>
      </c>
      <c r="F15" s="13">
        <f t="shared" si="1"/>
        <v>20.247832908468013</v>
      </c>
      <c r="G15" s="14" t="e">
        <f>F15/$F$124*$D$2</f>
        <v>#DIV/0!</v>
      </c>
      <c r="H15" s="14" t="e">
        <f>F15/$F$124*$E$2</f>
        <v>#DIV/0!</v>
      </c>
      <c r="I15" s="25" t="str">
        <f t="shared" si="2"/>
        <v/>
      </c>
    </row>
    <row r="16" spans="1:9" hidden="1" x14ac:dyDescent="0.25">
      <c r="A16" s="3">
        <v>4531</v>
      </c>
      <c r="B16" s="3">
        <v>113.33314799999999</v>
      </c>
      <c r="C16" s="3">
        <v>22.903644490000001</v>
      </c>
      <c r="D16" s="3">
        <v>14</v>
      </c>
      <c r="E16" s="13">
        <f t="shared" si="0"/>
        <v>2.4804978565515453E-3</v>
      </c>
      <c r="F16" s="13">
        <f t="shared" si="1"/>
        <v>20.078467961435599</v>
      </c>
      <c r="G16" s="14" t="e">
        <f>F16/$F$124*$D$2</f>
        <v>#DIV/0!</v>
      </c>
      <c r="H16" s="14" t="e">
        <f>F16/$F$124*$E$2</f>
        <v>#DIV/0!</v>
      </c>
      <c r="I16" s="25" t="str">
        <f t="shared" si="2"/>
        <v/>
      </c>
    </row>
    <row r="17" spans="1:9" x14ac:dyDescent="0.25">
      <c r="A17" s="3">
        <v>4367</v>
      </c>
      <c r="B17" s="3">
        <v>113.33148300000001</v>
      </c>
      <c r="C17" s="3">
        <v>22.908289709999998</v>
      </c>
      <c r="D17" s="3">
        <v>14</v>
      </c>
      <c r="E17" s="13">
        <f t="shared" si="0"/>
        <v>2.7621108756883156E-3</v>
      </c>
      <c r="F17" s="13">
        <f t="shared" si="1"/>
        <v>19.027399908196511</v>
      </c>
      <c r="G17" s="14">
        <f>F17/$F$55*$D$2</f>
        <v>0</v>
      </c>
      <c r="H17" s="14">
        <f>F17/$F$55*$E$2</f>
        <v>117.09090093420356</v>
      </c>
      <c r="I17" s="25" t="str">
        <f t="shared" si="2"/>
        <v>选中</v>
      </c>
    </row>
    <row r="18" spans="1:9" hidden="1" x14ac:dyDescent="0.25">
      <c r="A18" s="3">
        <v>4364</v>
      </c>
      <c r="B18" s="3">
        <v>113.3307535</v>
      </c>
      <c r="C18" s="3">
        <v>22.908213109999998</v>
      </c>
      <c r="D18" s="3">
        <v>14</v>
      </c>
      <c r="E18" s="13">
        <f t="shared" si="0"/>
        <v>2.7961795456665443E-3</v>
      </c>
      <c r="F18" s="13">
        <f t="shared" si="1"/>
        <v>18.91112968067635</v>
      </c>
      <c r="G18" s="14" t="e">
        <f>F18/$F$124*$D$2</f>
        <v>#DIV/0!</v>
      </c>
      <c r="H18" s="14" t="e">
        <f>F18/$F$124*$E$2</f>
        <v>#DIV/0!</v>
      </c>
      <c r="I18" s="25" t="str">
        <f t="shared" si="2"/>
        <v/>
      </c>
    </row>
    <row r="19" spans="1:9" hidden="1" x14ac:dyDescent="0.25">
      <c r="A19" s="3">
        <v>4532</v>
      </c>
      <c r="B19" s="3">
        <v>113.3329025</v>
      </c>
      <c r="C19" s="3">
        <v>22.90299722</v>
      </c>
      <c r="D19" s="3">
        <v>14</v>
      </c>
      <c r="E19" s="13">
        <f t="shared" si="0"/>
        <v>2.8771503214972752E-3</v>
      </c>
      <c r="F19" s="13">
        <f t="shared" si="1"/>
        <v>18.643125517778095</v>
      </c>
      <c r="G19" s="14" t="e">
        <f>F19/$F$124*$D$2</f>
        <v>#DIV/0!</v>
      </c>
      <c r="H19" s="14" t="e">
        <f>F19/$F$124*$E$2</f>
        <v>#DIV/0!</v>
      </c>
      <c r="I19" s="25" t="str">
        <f t="shared" si="2"/>
        <v/>
      </c>
    </row>
    <row r="20" spans="1:9" x14ac:dyDescent="0.25">
      <c r="A20" s="3">
        <v>4411</v>
      </c>
      <c r="B20" s="3">
        <v>113.3342098</v>
      </c>
      <c r="C20" s="3">
        <v>22.90414431</v>
      </c>
      <c r="D20" s="3">
        <v>14</v>
      </c>
      <c r="E20" s="13">
        <f t="shared" si="0"/>
        <v>3.0124238376353228E-3</v>
      </c>
      <c r="F20" s="13">
        <f t="shared" si="1"/>
        <v>18.219731065074406</v>
      </c>
      <c r="G20" s="14">
        <f>F20/$F$55*$D$2</f>
        <v>0</v>
      </c>
      <c r="H20" s="14">
        <f>F20/$F$55*$E$2</f>
        <v>112.12066469835746</v>
      </c>
      <c r="I20" s="25" t="str">
        <f t="shared" si="2"/>
        <v>选中</v>
      </c>
    </row>
    <row r="21" spans="1:9" hidden="1" x14ac:dyDescent="0.25">
      <c r="A21" s="3">
        <v>4529</v>
      </c>
      <c r="B21" s="3">
        <v>113.3340841</v>
      </c>
      <c r="C21" s="3">
        <v>22.903267899999999</v>
      </c>
      <c r="D21" s="3">
        <v>14</v>
      </c>
      <c r="E21" s="13">
        <f t="shared" si="0"/>
        <v>3.4075472761011857E-3</v>
      </c>
      <c r="F21" s="13">
        <f t="shared" si="1"/>
        <v>17.130855627925921</v>
      </c>
      <c r="G21" s="14" t="e">
        <f>F21/$F$124*$D$2</f>
        <v>#DIV/0!</v>
      </c>
      <c r="H21" s="14" t="e">
        <f>F21/$F$124*$E$2</f>
        <v>#DIV/0!</v>
      </c>
      <c r="I21" s="25" t="str">
        <f t="shared" si="2"/>
        <v/>
      </c>
    </row>
    <row r="22" spans="1:9" hidden="1" x14ac:dyDescent="0.25">
      <c r="A22" s="3">
        <v>4530</v>
      </c>
      <c r="B22" s="3">
        <v>113.33373880000001</v>
      </c>
      <c r="C22" s="3">
        <v>22.902921689999999</v>
      </c>
      <c r="D22" s="3">
        <v>14</v>
      </c>
      <c r="E22" s="13">
        <f t="shared" si="0"/>
        <v>3.4138482310148472E-3</v>
      </c>
      <c r="F22" s="13">
        <f t="shared" si="1"/>
        <v>17.115039078048177</v>
      </c>
      <c r="G22" s="14" t="e">
        <f>F22/$F$124*$D$2</f>
        <v>#DIV/0!</v>
      </c>
      <c r="H22" s="14" t="e">
        <f>F22/$F$124*$E$2</f>
        <v>#DIV/0!</v>
      </c>
      <c r="I22" s="25" t="str">
        <f t="shared" si="2"/>
        <v/>
      </c>
    </row>
    <row r="23" spans="1:9" x14ac:dyDescent="0.25">
      <c r="A23" s="3">
        <v>4365</v>
      </c>
      <c r="B23" s="3">
        <v>113.331441</v>
      </c>
      <c r="C23" s="3">
        <v>22.90904647</v>
      </c>
      <c r="D23" s="3">
        <v>14</v>
      </c>
      <c r="E23" s="13">
        <f t="shared" si="0"/>
        <v>3.5196288952113915E-3</v>
      </c>
      <c r="F23" s="13">
        <f t="shared" si="1"/>
        <v>16.855885121888409</v>
      </c>
      <c r="G23" s="14">
        <f>F23/$F$55*$D$2</f>
        <v>0</v>
      </c>
      <c r="H23" s="14">
        <f>F23/$F$55*$E$2</f>
        <v>103.72782327001732</v>
      </c>
      <c r="I23" s="25" t="str">
        <f t="shared" si="2"/>
        <v>选中</v>
      </c>
    </row>
    <row r="24" spans="1:9" hidden="1" x14ac:dyDescent="0.25">
      <c r="A24" s="3">
        <v>4407</v>
      </c>
      <c r="B24" s="3">
        <v>113.3350411</v>
      </c>
      <c r="C24" s="3">
        <v>22.905117359999998</v>
      </c>
      <c r="D24" s="3">
        <v>14</v>
      </c>
      <c r="E24" s="13">
        <f t="shared" si="0"/>
        <v>3.5310668521074621E-3</v>
      </c>
      <c r="F24" s="13">
        <f t="shared" si="1"/>
        <v>16.828562887906397</v>
      </c>
      <c r="G24" s="14" t="e">
        <f>F24/$F$124*$D$2</f>
        <v>#DIV/0!</v>
      </c>
      <c r="H24" s="14" t="e">
        <f>F24/$F$124*$E$2</f>
        <v>#DIV/0!</v>
      </c>
      <c r="I24" s="25" t="str">
        <f t="shared" si="2"/>
        <v/>
      </c>
    </row>
    <row r="25" spans="1:9" hidden="1" x14ac:dyDescent="0.25">
      <c r="A25" s="3">
        <v>4366</v>
      </c>
      <c r="B25" s="3">
        <v>113.3314929</v>
      </c>
      <c r="C25" s="3">
        <v>22.909164329999999</v>
      </c>
      <c r="D25" s="3">
        <v>14</v>
      </c>
      <c r="E25" s="13">
        <f t="shared" si="0"/>
        <v>3.6364922655772545E-3</v>
      </c>
      <c r="F25" s="13">
        <f t="shared" si="1"/>
        <v>16.58283066185632</v>
      </c>
      <c r="G25" s="14" t="e">
        <f>F25/$F$124*$D$2</f>
        <v>#DIV/0!</v>
      </c>
      <c r="H25" s="14" t="e">
        <f>F25/$F$124*$E$2</f>
        <v>#DIV/0!</v>
      </c>
      <c r="I25" s="25" t="str">
        <f t="shared" si="2"/>
        <v/>
      </c>
    </row>
    <row r="26" spans="1:9" x14ac:dyDescent="0.25">
      <c r="A26" s="3">
        <v>4526</v>
      </c>
      <c r="B26" s="3">
        <v>113.33356620000001</v>
      </c>
      <c r="C26" s="3">
        <v>22.902394229999999</v>
      </c>
      <c r="D26" s="3">
        <v>14</v>
      </c>
      <c r="E26" s="13">
        <f t="shared" si="0"/>
        <v>3.7350756331847508E-3</v>
      </c>
      <c r="F26" s="13">
        <f t="shared" si="1"/>
        <v>16.362524120647304</v>
      </c>
      <c r="G26" s="14">
        <f>F26/$F$55*$D$2</f>
        <v>0</v>
      </c>
      <c r="H26" s="14">
        <f>F26/$F$55*$E$2</f>
        <v>100.69177607492806</v>
      </c>
      <c r="I26" s="25" t="str">
        <f t="shared" si="2"/>
        <v>选中</v>
      </c>
    </row>
    <row r="27" spans="1:9" hidden="1" x14ac:dyDescent="0.25">
      <c r="A27" s="3">
        <v>4527</v>
      </c>
      <c r="B27" s="3">
        <v>113.33437960000001</v>
      </c>
      <c r="C27" s="3">
        <v>22.902898499999999</v>
      </c>
      <c r="D27" s="3">
        <v>14</v>
      </c>
      <c r="E27" s="13">
        <f t="shared" si="0"/>
        <v>3.8745422626295404E-3</v>
      </c>
      <c r="F27" s="13">
        <f t="shared" si="1"/>
        <v>16.065335471158679</v>
      </c>
      <c r="G27" s="14" t="e">
        <f>F27/$F$124*$D$2</f>
        <v>#DIV/0!</v>
      </c>
      <c r="H27" s="14" t="e">
        <f>F27/$F$124*$E$2</f>
        <v>#DIV/0!</v>
      </c>
      <c r="I27" s="25" t="str">
        <f t="shared" si="2"/>
        <v/>
      </c>
    </row>
    <row r="28" spans="1:9" hidden="1" x14ac:dyDescent="0.25">
      <c r="A28" s="3">
        <v>4378</v>
      </c>
      <c r="B28" s="3">
        <v>113.33494810000001</v>
      </c>
      <c r="C28" s="3">
        <v>22.907975359999998</v>
      </c>
      <c r="D28" s="3">
        <v>14</v>
      </c>
      <c r="E28" s="13">
        <f t="shared" si="0"/>
        <v>4.200631756545648E-3</v>
      </c>
      <c r="F28" s="13">
        <f t="shared" si="1"/>
        <v>15.429174625311417</v>
      </c>
      <c r="G28" s="14" t="e">
        <f>F28/$F$124*$D$2</f>
        <v>#DIV/0!</v>
      </c>
      <c r="H28" s="14" t="e">
        <f>F28/$F$124*$E$2</f>
        <v>#DIV/0!</v>
      </c>
      <c r="I28" s="25" t="str">
        <f t="shared" si="2"/>
        <v/>
      </c>
    </row>
    <row r="29" spans="1:9" x14ac:dyDescent="0.25">
      <c r="A29" s="3">
        <v>4371</v>
      </c>
      <c r="B29" s="3">
        <v>113.32725569999999</v>
      </c>
      <c r="C29" s="3">
        <v>22.905758760000001</v>
      </c>
      <c r="D29" s="3">
        <v>14</v>
      </c>
      <c r="E29" s="13">
        <f t="shared" si="0"/>
        <v>4.2845149977781783E-3</v>
      </c>
      <c r="F29" s="13">
        <f t="shared" si="1"/>
        <v>15.277390031529857</v>
      </c>
      <c r="G29" s="14">
        <f>F29/$F$55*$D$2</f>
        <v>0</v>
      </c>
      <c r="H29" s="14">
        <f>F29/$F$55*$E$2</f>
        <v>94.014072934077774</v>
      </c>
      <c r="I29" s="25" t="str">
        <f t="shared" si="2"/>
        <v>选中</v>
      </c>
    </row>
    <row r="30" spans="1:9" hidden="1" x14ac:dyDescent="0.25">
      <c r="A30" s="3">
        <v>4368</v>
      </c>
      <c r="B30" s="3">
        <v>113.32724779999999</v>
      </c>
      <c r="C30" s="3">
        <v>22.905760780000001</v>
      </c>
      <c r="D30" s="3">
        <v>14</v>
      </c>
      <c r="E30" s="13">
        <f t="shared" si="0"/>
        <v>4.2925125956933376E-3</v>
      </c>
      <c r="F30" s="13">
        <f t="shared" si="1"/>
        <v>15.263151356151978</v>
      </c>
      <c r="G30" s="14" t="e">
        <f>F30/$F$124*$D$2</f>
        <v>#DIV/0!</v>
      </c>
      <c r="H30" s="14" t="e">
        <f>F30/$F$124*$E$2</f>
        <v>#DIV/0!</v>
      </c>
      <c r="I30" s="25" t="str">
        <f t="shared" si="2"/>
        <v/>
      </c>
    </row>
    <row r="31" spans="1:9" hidden="1" x14ac:dyDescent="0.25">
      <c r="A31" s="3">
        <v>4391</v>
      </c>
      <c r="B31" s="3">
        <v>113.3359533</v>
      </c>
      <c r="C31" s="3">
        <v>22.905369570000001</v>
      </c>
      <c r="D31" s="3">
        <v>14</v>
      </c>
      <c r="E31" s="13">
        <f t="shared" si="0"/>
        <v>4.4221414201668467E-3</v>
      </c>
      <c r="F31" s="13">
        <f t="shared" si="1"/>
        <v>15.03777859794379</v>
      </c>
      <c r="G31" s="14" t="e">
        <f>F31/$F$124*$D$2</f>
        <v>#DIV/0!</v>
      </c>
      <c r="H31" s="14" t="e">
        <f>F31/$F$124*$E$2</f>
        <v>#DIV/0!</v>
      </c>
      <c r="I31" s="25" t="str">
        <f t="shared" si="2"/>
        <v/>
      </c>
    </row>
    <row r="32" spans="1:9" x14ac:dyDescent="0.25">
      <c r="A32" s="3">
        <v>4362</v>
      </c>
      <c r="B32" s="3">
        <v>113.3271269</v>
      </c>
      <c r="C32" s="3">
        <v>22.90660566</v>
      </c>
      <c r="D32" s="3">
        <v>14</v>
      </c>
      <c r="E32" s="13">
        <f t="shared" si="0"/>
        <v>4.5369296465980237E-3</v>
      </c>
      <c r="F32" s="13">
        <f t="shared" si="1"/>
        <v>14.846325484455049</v>
      </c>
      <c r="G32" s="14">
        <f>F32/$F$55*$D$2</f>
        <v>0</v>
      </c>
      <c r="H32" s="14">
        <f>F32/$F$55*$E$2</f>
        <v>91.361385944719814</v>
      </c>
      <c r="I32" s="25" t="str">
        <f t="shared" si="2"/>
        <v>选中</v>
      </c>
    </row>
    <row r="33" spans="1:9" hidden="1" x14ac:dyDescent="0.25">
      <c r="A33" s="3">
        <v>4394</v>
      </c>
      <c r="B33" s="3">
        <v>113.336085</v>
      </c>
      <c r="C33" s="3">
        <v>22.905853130000001</v>
      </c>
      <c r="D33" s="3">
        <v>14</v>
      </c>
      <c r="E33" s="13">
        <f t="shared" si="0"/>
        <v>4.5625941090053157E-3</v>
      </c>
      <c r="F33" s="13">
        <f t="shared" si="1"/>
        <v>14.804511521139057</v>
      </c>
      <c r="G33" s="14" t="e">
        <f>F33/$F$124*$D$2</f>
        <v>#DIV/0!</v>
      </c>
      <c r="H33" s="14" t="e">
        <f>F33/$F$124*$E$2</f>
        <v>#DIV/0!</v>
      </c>
      <c r="I33" s="25" t="str">
        <f t="shared" si="2"/>
        <v/>
      </c>
    </row>
    <row r="34" spans="1:9" hidden="1" x14ac:dyDescent="0.25">
      <c r="A34" s="3">
        <v>4377</v>
      </c>
      <c r="B34" s="3">
        <v>113.336023</v>
      </c>
      <c r="C34" s="3">
        <v>22.90707974</v>
      </c>
      <c r="D34" s="3">
        <v>14</v>
      </c>
      <c r="E34" s="13">
        <f t="shared" si="0"/>
        <v>4.7496105933893208E-3</v>
      </c>
      <c r="F34" s="13">
        <f t="shared" si="1"/>
        <v>14.510119786660818</v>
      </c>
      <c r="G34" s="14" t="e">
        <f>F34/$F$124*$D$2</f>
        <v>#DIV/0!</v>
      </c>
      <c r="H34" s="14" t="e">
        <f>F34/$F$124*$E$2</f>
        <v>#DIV/0!</v>
      </c>
      <c r="I34" s="25" t="str">
        <f t="shared" si="2"/>
        <v/>
      </c>
    </row>
    <row r="35" spans="1:9" x14ac:dyDescent="0.25">
      <c r="A35" s="3">
        <v>4387</v>
      </c>
      <c r="B35" s="3">
        <v>113.33645919999999</v>
      </c>
      <c r="C35" s="3">
        <v>22.90653816</v>
      </c>
      <c r="D35" s="3">
        <v>14</v>
      </c>
      <c r="E35" s="13">
        <f t="shared" si="0"/>
        <v>5.0277108954260791E-3</v>
      </c>
      <c r="F35" s="13">
        <f t="shared" si="1"/>
        <v>14.103108645755178</v>
      </c>
      <c r="G35" s="14">
        <f>F35/$F$55*$D$2</f>
        <v>0</v>
      </c>
      <c r="H35" s="14">
        <f>F35/$F$55*$E$2</f>
        <v>86.787774749668884</v>
      </c>
      <c r="I35" s="25" t="str">
        <f t="shared" si="2"/>
        <v>选中</v>
      </c>
    </row>
    <row r="36" spans="1:9" hidden="1" x14ac:dyDescent="0.25">
      <c r="A36" s="3">
        <v>4522</v>
      </c>
      <c r="B36" s="3">
        <v>113.3289336</v>
      </c>
      <c r="C36" s="3">
        <v>22.901211440000001</v>
      </c>
      <c r="D36" s="3">
        <v>14</v>
      </c>
      <c r="E36" s="13">
        <f t="shared" si="0"/>
        <v>5.0393823745488722E-3</v>
      </c>
      <c r="F36" s="13">
        <f t="shared" si="1"/>
        <v>14.086767401490455</v>
      </c>
      <c r="G36" s="14" t="e">
        <f>F36/$F$124*$D$2</f>
        <v>#DIV/0!</v>
      </c>
      <c r="H36" s="14" t="e">
        <f>F36/$F$124*$E$2</f>
        <v>#DIV/0!</v>
      </c>
      <c r="I36" s="25" t="str">
        <f t="shared" si="2"/>
        <v/>
      </c>
    </row>
    <row r="37" spans="1:9" hidden="1" x14ac:dyDescent="0.25">
      <c r="A37" s="3">
        <v>4524</v>
      </c>
      <c r="B37" s="3">
        <v>113.3288269</v>
      </c>
      <c r="C37" s="3">
        <v>22.900956749999999</v>
      </c>
      <c r="D37" s="3">
        <v>14</v>
      </c>
      <c r="E37" s="13">
        <f t="shared" ref="E37:E53" si="3">SQRT((B37-$B$2)^2+(C37-$C$2)^2)</f>
        <v>5.3127541776795129E-3</v>
      </c>
      <c r="F37" s="13">
        <f t="shared" ref="F37:F53" si="4">SQRT(1/E37)</f>
        <v>13.719558607743265</v>
      </c>
      <c r="G37" s="14" t="e">
        <f>F37/$F$124*$D$2</f>
        <v>#DIV/0!</v>
      </c>
      <c r="H37" s="14" t="e">
        <f>F37/$F$124*$E$2</f>
        <v>#DIV/0!</v>
      </c>
      <c r="I37" s="25" t="str">
        <f t="shared" si="2"/>
        <v/>
      </c>
    </row>
    <row r="38" spans="1:9" x14ac:dyDescent="0.25">
      <c r="A38" s="3">
        <v>4521</v>
      </c>
      <c r="B38" s="3">
        <v>113.3286971</v>
      </c>
      <c r="C38" s="3">
        <v>22.900769069999999</v>
      </c>
      <c r="D38" s="3">
        <v>14</v>
      </c>
      <c r="E38" s="13">
        <f t="shared" si="3"/>
        <v>5.5404045529212614E-3</v>
      </c>
      <c r="F38" s="13">
        <f t="shared" si="4"/>
        <v>13.434739852291735</v>
      </c>
      <c r="G38" s="14">
        <f>F38/$F$55*$D$2</f>
        <v>0</v>
      </c>
      <c r="H38" s="14">
        <f>F38/$F$55*$E$2</f>
        <v>82.674763799117045</v>
      </c>
      <c r="I38" s="25" t="str">
        <f t="shared" si="2"/>
        <v>选中</v>
      </c>
    </row>
    <row r="39" spans="1:9" hidden="1" x14ac:dyDescent="0.25">
      <c r="A39" s="3">
        <v>4388</v>
      </c>
      <c r="B39" s="3">
        <v>113.3347304</v>
      </c>
      <c r="C39" s="3">
        <v>22.91009189</v>
      </c>
      <c r="D39" s="3">
        <v>14</v>
      </c>
      <c r="E39" s="13">
        <f t="shared" si="3"/>
        <v>5.5718422404414901E-3</v>
      </c>
      <c r="F39" s="13">
        <f t="shared" si="4"/>
        <v>13.396785206214251</v>
      </c>
      <c r="G39" s="14" t="e">
        <f>F39/$F$124*$D$2</f>
        <v>#DIV/0!</v>
      </c>
      <c r="H39" s="14" t="e">
        <f>F39/$F$124*$E$2</f>
        <v>#DIV/0!</v>
      </c>
      <c r="I39" s="25" t="str">
        <f t="shared" si="2"/>
        <v/>
      </c>
    </row>
    <row r="40" spans="1:9" hidden="1" x14ac:dyDescent="0.25">
      <c r="A40" s="3">
        <v>4384</v>
      </c>
      <c r="B40" s="3">
        <v>113.3370501</v>
      </c>
      <c r="C40" s="3">
        <v>22.90635215</v>
      </c>
      <c r="D40" s="3">
        <v>14</v>
      </c>
      <c r="E40" s="13">
        <f t="shared" si="3"/>
        <v>5.5773171916555907E-3</v>
      </c>
      <c r="F40" s="13">
        <f t="shared" si="4"/>
        <v>13.390208141302555</v>
      </c>
      <c r="G40" s="14" t="e">
        <f>F40/$F$124*$D$2</f>
        <v>#DIV/0!</v>
      </c>
      <c r="H40" s="14" t="e">
        <f>F40/$F$124*$E$2</f>
        <v>#DIV/0!</v>
      </c>
      <c r="I40" s="25" t="str">
        <f t="shared" si="2"/>
        <v/>
      </c>
    </row>
    <row r="41" spans="1:9" x14ac:dyDescent="0.25">
      <c r="A41" s="3">
        <v>4385</v>
      </c>
      <c r="B41" s="3">
        <v>113.3372277</v>
      </c>
      <c r="C41" s="3">
        <v>22.906666699999999</v>
      </c>
      <c r="D41" s="3">
        <v>14</v>
      </c>
      <c r="E41" s="13">
        <f t="shared" si="3"/>
        <v>5.806435909130523E-3</v>
      </c>
      <c r="F41" s="13">
        <f t="shared" si="4"/>
        <v>13.123364203021087</v>
      </c>
      <c r="G41" s="14">
        <f>F41/$F$55*$D$2</f>
        <v>0</v>
      </c>
      <c r="H41" s="14">
        <f>F41/$F$55*$E$2</f>
        <v>80.758618898711234</v>
      </c>
      <c r="I41" s="25" t="str">
        <f t="shared" si="2"/>
        <v>选中</v>
      </c>
    </row>
    <row r="42" spans="1:9" hidden="1" x14ac:dyDescent="0.25">
      <c r="A42" s="3">
        <v>4361</v>
      </c>
      <c r="B42" s="3">
        <v>113.32559209999999</v>
      </c>
      <c r="C42" s="3">
        <v>22.907019420000001</v>
      </c>
      <c r="D42" s="3">
        <v>14</v>
      </c>
      <c r="E42" s="13">
        <f t="shared" si="3"/>
        <v>6.1261978773649358E-3</v>
      </c>
      <c r="F42" s="13">
        <f t="shared" si="4"/>
        <v>12.776282020746914</v>
      </c>
      <c r="G42" s="14" t="e">
        <f>F42/$F$124*$D$2</f>
        <v>#DIV/0!</v>
      </c>
      <c r="H42" s="14" t="e">
        <f>F42/$F$124*$E$2</f>
        <v>#DIV/0!</v>
      </c>
      <c r="I42" s="25" t="str">
        <f t="shared" si="2"/>
        <v/>
      </c>
    </row>
    <row r="43" spans="1:9" hidden="1" x14ac:dyDescent="0.25">
      <c r="A43" s="3">
        <v>4383</v>
      </c>
      <c r="B43" s="3">
        <v>113.3376059</v>
      </c>
      <c r="C43" s="3">
        <v>22.90698188</v>
      </c>
      <c r="D43" s="3">
        <v>14</v>
      </c>
      <c r="E43" s="13">
        <f t="shared" si="3"/>
        <v>6.2435192901152403E-3</v>
      </c>
      <c r="F43" s="13">
        <f t="shared" si="4"/>
        <v>12.655673762466371</v>
      </c>
      <c r="G43" s="14" t="e">
        <f>F43/$F$124*$D$2</f>
        <v>#DIV/0!</v>
      </c>
      <c r="H43" s="14" t="e">
        <f>F43/$F$124*$E$2</f>
        <v>#DIV/0!</v>
      </c>
      <c r="I43" s="25" t="str">
        <f t="shared" si="2"/>
        <v/>
      </c>
    </row>
    <row r="44" spans="1:9" x14ac:dyDescent="0.25">
      <c r="A44" s="3">
        <v>4409</v>
      </c>
      <c r="B44" s="3">
        <v>113.3378257</v>
      </c>
      <c r="C44" s="3">
        <v>22.90491033</v>
      </c>
      <c r="D44" s="3">
        <v>14</v>
      </c>
      <c r="E44" s="13">
        <f t="shared" si="3"/>
        <v>6.3219531473659406E-3</v>
      </c>
      <c r="F44" s="13">
        <f t="shared" si="4"/>
        <v>12.576921885327762</v>
      </c>
      <c r="G44" s="14">
        <f>F44/$F$55*$D$2</f>
        <v>0</v>
      </c>
      <c r="H44" s="14">
        <f>F44/$F$55*$E$2</f>
        <v>77.395919654674046</v>
      </c>
      <c r="I44" s="25" t="str">
        <f t="shared" si="2"/>
        <v>选中</v>
      </c>
    </row>
    <row r="45" spans="1:9" hidden="1" x14ac:dyDescent="0.25">
      <c r="A45" s="3">
        <v>4360</v>
      </c>
      <c r="B45" s="3">
        <v>113.32532759999999</v>
      </c>
      <c r="C45" s="3">
        <v>22.90745974</v>
      </c>
      <c r="D45" s="3">
        <v>14</v>
      </c>
      <c r="E45" s="13">
        <f t="shared" si="3"/>
        <v>6.5000576881313991E-3</v>
      </c>
      <c r="F45" s="13">
        <f t="shared" si="4"/>
        <v>12.403418418271313</v>
      </c>
      <c r="G45" s="14" t="e">
        <f>F45/$F$124*$D$2</f>
        <v>#DIV/0!</v>
      </c>
      <c r="H45" s="14" t="e">
        <f>F45/$F$124*$E$2</f>
        <v>#DIV/0!</v>
      </c>
      <c r="I45" s="25" t="str">
        <f t="shared" si="2"/>
        <v/>
      </c>
    </row>
    <row r="46" spans="1:9" hidden="1" x14ac:dyDescent="0.25">
      <c r="A46" s="3">
        <v>4402</v>
      </c>
      <c r="B46" s="3">
        <v>113.3343969</v>
      </c>
      <c r="C46" s="3">
        <v>22.911522919999999</v>
      </c>
      <c r="D46" s="3">
        <v>14</v>
      </c>
      <c r="E46" s="13">
        <f t="shared" si="3"/>
        <v>6.6433743634154935E-3</v>
      </c>
      <c r="F46" s="13">
        <f t="shared" si="4"/>
        <v>12.268900288388028</v>
      </c>
      <c r="G46" s="14" t="e">
        <f>F46/$F$124*$D$2</f>
        <v>#DIV/0!</v>
      </c>
      <c r="H46" s="14" t="e">
        <f>F46/$F$124*$E$2</f>
        <v>#DIV/0!</v>
      </c>
      <c r="I46" s="25" t="str">
        <f t="shared" si="2"/>
        <v/>
      </c>
    </row>
    <row r="47" spans="1:9" x14ac:dyDescent="0.25">
      <c r="A47" s="3">
        <v>4358</v>
      </c>
      <c r="B47" s="3">
        <v>113.3250871</v>
      </c>
      <c r="C47" s="3">
        <v>22.907730090000001</v>
      </c>
      <c r="D47" s="3">
        <v>14</v>
      </c>
      <c r="E47" s="13">
        <f t="shared" si="3"/>
        <v>6.8125921417924833E-3</v>
      </c>
      <c r="F47" s="13">
        <f t="shared" si="4"/>
        <v>12.115568722623667</v>
      </c>
      <c r="G47" s="14">
        <f>F47/$F$55*$D$2</f>
        <v>0</v>
      </c>
      <c r="H47" s="14">
        <f>F47/$F$55*$E$2</f>
        <v>74.556842443362797</v>
      </c>
      <c r="I47" s="25" t="str">
        <f t="shared" si="2"/>
        <v>选中</v>
      </c>
    </row>
    <row r="48" spans="1:9" hidden="1" x14ac:dyDescent="0.25">
      <c r="A48" s="3">
        <v>4359</v>
      </c>
      <c r="B48" s="3">
        <v>113.3248495</v>
      </c>
      <c r="C48" s="3">
        <v>22.907661579999999</v>
      </c>
      <c r="D48" s="3">
        <v>14</v>
      </c>
      <c r="E48" s="13">
        <f t="shared" si="3"/>
        <v>7.0167232502199826E-3</v>
      </c>
      <c r="F48" s="13">
        <f t="shared" si="4"/>
        <v>11.93803440475129</v>
      </c>
      <c r="G48" s="14" t="e">
        <f>F48/$F$124*$D$2</f>
        <v>#DIV/0!</v>
      </c>
      <c r="H48" s="14" t="e">
        <f>F48/$F$124*$E$2</f>
        <v>#DIV/0!</v>
      </c>
      <c r="I48" s="25" t="str">
        <f t="shared" si="2"/>
        <v/>
      </c>
    </row>
    <row r="49" spans="1:9" hidden="1" x14ac:dyDescent="0.25">
      <c r="A49" s="3">
        <v>4408</v>
      </c>
      <c r="B49" s="3">
        <v>113.3344797</v>
      </c>
      <c r="C49" s="3">
        <v>22.91205154</v>
      </c>
      <c r="D49" s="3">
        <v>14</v>
      </c>
      <c r="E49" s="13">
        <f t="shared" si="3"/>
        <v>7.1577097825284517E-3</v>
      </c>
      <c r="F49" s="13">
        <f t="shared" si="4"/>
        <v>11.819877001696577</v>
      </c>
      <c r="G49" s="14" t="e">
        <f>F49/$F$124*$D$2</f>
        <v>#DIV/0!</v>
      </c>
      <c r="H49" s="14" t="e">
        <f>F49/$F$124*$E$2</f>
        <v>#DIV/0!</v>
      </c>
      <c r="I49" s="25" t="str">
        <f t="shared" si="2"/>
        <v/>
      </c>
    </row>
    <row r="50" spans="1:9" x14ac:dyDescent="0.25">
      <c r="A50" s="3">
        <v>4523</v>
      </c>
      <c r="B50" s="3">
        <v>113.32697880000001</v>
      </c>
      <c r="C50" s="3">
        <v>22.89872218</v>
      </c>
      <c r="D50" s="3">
        <v>14</v>
      </c>
      <c r="E50" s="13">
        <f t="shared" si="3"/>
        <v>8.1896267150630159E-3</v>
      </c>
      <c r="F50" s="13">
        <f t="shared" si="4"/>
        <v>11.050144227556396</v>
      </c>
      <c r="G50" s="14">
        <f>F50/$F$55*$D$2</f>
        <v>0</v>
      </c>
      <c r="H50" s="14">
        <f>F50/$F$55*$E$2</f>
        <v>68.000428292890462</v>
      </c>
      <c r="I50" s="25" t="str">
        <f t="shared" si="2"/>
        <v>选中</v>
      </c>
    </row>
    <row r="51" spans="1:9" hidden="1" x14ac:dyDescent="0.25">
      <c r="A51" s="3">
        <v>4363</v>
      </c>
      <c r="B51" s="3">
        <v>113.324551</v>
      </c>
      <c r="C51" s="3">
        <v>22.909837249999999</v>
      </c>
      <c r="D51" s="3">
        <v>14</v>
      </c>
      <c r="E51" s="13">
        <f t="shared" si="3"/>
        <v>8.2055664809002147E-3</v>
      </c>
      <c r="F51" s="13">
        <f t="shared" si="4"/>
        <v>11.039406252678681</v>
      </c>
      <c r="G51" s="14" t="e">
        <f>F51/$F$124*$D$2</f>
        <v>#DIV/0!</v>
      </c>
      <c r="H51" s="14" t="e">
        <f>F51/$F$124*$E$2</f>
        <v>#DIV/0!</v>
      </c>
      <c r="I51" s="25" t="str">
        <f t="shared" si="2"/>
        <v/>
      </c>
    </row>
    <row r="52" spans="1:9" hidden="1" x14ac:dyDescent="0.25">
      <c r="A52" s="3">
        <v>24</v>
      </c>
      <c r="B52" s="3">
        <v>113.32043470000001</v>
      </c>
      <c r="C52" s="3">
        <v>22.906524489999999</v>
      </c>
      <c r="D52" s="3">
        <v>14</v>
      </c>
      <c r="E52" s="13">
        <f t="shared" si="3"/>
        <v>1.1143936167546623E-2</v>
      </c>
      <c r="F52" s="13">
        <f t="shared" si="4"/>
        <v>9.4728506910674959</v>
      </c>
      <c r="G52" s="14" t="e">
        <f>F52/$F$124*$D$2</f>
        <v>#DIV/0!</v>
      </c>
      <c r="H52" s="14" t="e">
        <f>F52/$F$124*$E$2</f>
        <v>#DIV/0!</v>
      </c>
      <c r="I52" s="25" t="str">
        <f t="shared" si="2"/>
        <v/>
      </c>
    </row>
    <row r="53" spans="1:9" x14ac:dyDescent="0.25">
      <c r="A53" s="3">
        <v>23</v>
      </c>
      <c r="B53" s="3">
        <v>113.31988490000001</v>
      </c>
      <c r="C53" s="3">
        <v>22.905036150000001</v>
      </c>
      <c r="D53" s="3">
        <v>14</v>
      </c>
      <c r="E53" s="13">
        <f t="shared" si="3"/>
        <v>1.1659481810800586E-2</v>
      </c>
      <c r="F53" s="13">
        <f t="shared" si="4"/>
        <v>9.2610531225605701</v>
      </c>
      <c r="G53" s="14">
        <f>F53/$F$55*$D$2</f>
        <v>0</v>
      </c>
      <c r="H53" s="14">
        <f>F53/$F$55*$E$2</f>
        <v>56.99071123496023</v>
      </c>
      <c r="I53" s="25" t="str">
        <f t="shared" si="2"/>
        <v>选中</v>
      </c>
    </row>
    <row r="54" spans="1:9" x14ac:dyDescent="0.25">
      <c r="A54" s="3"/>
      <c r="B54" s="3"/>
      <c r="C54" s="3"/>
      <c r="D54" s="3"/>
      <c r="G54" s="14"/>
      <c r="H54" s="14"/>
    </row>
    <row r="55" spans="1:9" x14ac:dyDescent="0.25">
      <c r="A55" s="3"/>
      <c r="B55" s="3"/>
      <c r="C55" s="3"/>
      <c r="D55" s="3"/>
      <c r="F55" s="13">
        <f>SUBTOTAL(9,F5:F53)</f>
        <v>290.06445902415578</v>
      </c>
      <c r="G55" s="13">
        <f>SUBTOTAL(9,G5:G53)</f>
        <v>0</v>
      </c>
      <c r="H55" s="13">
        <f>SUBTOTAL(9,H5:H53)</f>
        <v>1785.0000000000005</v>
      </c>
    </row>
    <row r="56" spans="1:9" x14ac:dyDescent="0.25">
      <c r="A56" s="3"/>
      <c r="B56" s="3"/>
      <c r="C56" s="3"/>
      <c r="D56" s="3"/>
      <c r="G56" s="14"/>
      <c r="H56" s="14"/>
    </row>
    <row r="57" spans="1:9" x14ac:dyDescent="0.25">
      <c r="A57" s="3"/>
      <c r="B57" s="3"/>
      <c r="C57" s="3"/>
      <c r="D57" s="3"/>
      <c r="G57" s="14"/>
      <c r="H57" s="14"/>
    </row>
    <row r="58" spans="1:9" x14ac:dyDescent="0.25">
      <c r="A58" s="3"/>
      <c r="B58" s="3"/>
      <c r="C58" s="3"/>
      <c r="D58" s="3"/>
      <c r="G58" s="14"/>
      <c r="H58" s="14"/>
    </row>
    <row r="59" spans="1:9" x14ac:dyDescent="0.25">
      <c r="A59" s="3"/>
      <c r="B59" s="3"/>
      <c r="C59" s="3"/>
      <c r="D59" s="3"/>
      <c r="G59" s="14"/>
      <c r="H59" s="14"/>
    </row>
    <row r="60" spans="1:9" x14ac:dyDescent="0.25">
      <c r="A60" s="3"/>
      <c r="B60" s="3"/>
      <c r="C60" s="3"/>
      <c r="D60" s="3"/>
      <c r="G60" s="14"/>
      <c r="H60" s="14"/>
    </row>
    <row r="61" spans="1:9" x14ac:dyDescent="0.25">
      <c r="A61" s="3"/>
      <c r="B61" s="3"/>
      <c r="C61" s="3"/>
      <c r="D61" s="3"/>
      <c r="G61" s="14"/>
      <c r="H61" s="14"/>
    </row>
    <row r="62" spans="1:9" x14ac:dyDescent="0.25">
      <c r="A62" s="3"/>
      <c r="B62" s="3"/>
      <c r="C62" s="3"/>
      <c r="D62" s="3"/>
      <c r="G62" s="14"/>
      <c r="H62" s="14"/>
    </row>
    <row r="63" spans="1:9" x14ac:dyDescent="0.25">
      <c r="A63" s="3"/>
      <c r="B63" s="3"/>
      <c r="C63" s="3"/>
      <c r="D63" s="3"/>
      <c r="G63" s="14"/>
      <c r="H63" s="14"/>
    </row>
    <row r="64" spans="1:9" x14ac:dyDescent="0.25">
      <c r="A64" s="3"/>
      <c r="B64" s="3"/>
      <c r="C64" s="3"/>
      <c r="D64" s="3"/>
      <c r="G64" s="14"/>
      <c r="H64" s="14"/>
    </row>
    <row r="65" spans="1:8" x14ac:dyDescent="0.25">
      <c r="A65" s="3"/>
      <c r="B65" s="3"/>
      <c r="C65" s="3"/>
      <c r="D65" s="3"/>
      <c r="G65" s="14"/>
      <c r="H65" s="14"/>
    </row>
    <row r="66" spans="1:8" x14ac:dyDescent="0.25">
      <c r="A66" s="3"/>
      <c r="B66" s="3"/>
      <c r="C66" s="3"/>
      <c r="D66" s="3"/>
      <c r="G66" s="14"/>
      <c r="H66" s="14"/>
    </row>
    <row r="67" spans="1:8" x14ac:dyDescent="0.25">
      <c r="A67" s="3"/>
      <c r="B67" s="3"/>
      <c r="C67" s="3"/>
      <c r="D67" s="3"/>
      <c r="G67" s="14"/>
      <c r="H67" s="14"/>
    </row>
    <row r="68" spans="1:8" x14ac:dyDescent="0.25">
      <c r="A68" s="3"/>
      <c r="B68" s="3"/>
      <c r="C68" s="3"/>
      <c r="D68" s="3"/>
      <c r="G68" s="14"/>
      <c r="H68" s="14"/>
    </row>
    <row r="69" spans="1:8" x14ac:dyDescent="0.25">
      <c r="A69" s="3"/>
      <c r="B69" s="3"/>
      <c r="C69" s="3"/>
      <c r="D69" s="3"/>
      <c r="G69" s="14"/>
      <c r="H69" s="14"/>
    </row>
    <row r="70" spans="1:8" x14ac:dyDescent="0.25">
      <c r="A70" s="3"/>
      <c r="B70" s="3"/>
      <c r="C70" s="3"/>
      <c r="D70" s="3"/>
      <c r="G70" s="14"/>
      <c r="H70" s="14"/>
    </row>
    <row r="71" spans="1:8" x14ac:dyDescent="0.25">
      <c r="A71" s="3"/>
      <c r="B71" s="3"/>
      <c r="C71" s="3"/>
      <c r="D71" s="3"/>
      <c r="G71" s="14"/>
      <c r="H71" s="14"/>
    </row>
    <row r="72" spans="1:8" x14ac:dyDescent="0.25">
      <c r="A72" s="3"/>
      <c r="B72" s="3"/>
      <c r="C72" s="3"/>
      <c r="D72" s="3"/>
      <c r="G72" s="14"/>
      <c r="H72" s="14"/>
    </row>
    <row r="73" spans="1:8" x14ac:dyDescent="0.25">
      <c r="A73" s="3"/>
      <c r="B73" s="3"/>
      <c r="C73" s="3"/>
      <c r="D73" s="3"/>
      <c r="G73" s="14"/>
      <c r="H73" s="14"/>
    </row>
    <row r="74" spans="1:8" x14ac:dyDescent="0.25">
      <c r="A74" s="3"/>
      <c r="B74" s="3"/>
      <c r="C74" s="3"/>
      <c r="D74" s="3"/>
      <c r="G74" s="14"/>
      <c r="H74" s="14"/>
    </row>
    <row r="75" spans="1:8" x14ac:dyDescent="0.25">
      <c r="A75" s="3"/>
      <c r="B75" s="3"/>
      <c r="C75" s="3"/>
      <c r="D75" s="3"/>
      <c r="G75" s="14"/>
      <c r="H75" s="14"/>
    </row>
    <row r="76" spans="1:8" x14ac:dyDescent="0.25">
      <c r="A76" s="3"/>
      <c r="B76" s="3"/>
      <c r="C76" s="3"/>
      <c r="D76" s="3"/>
      <c r="G76" s="14"/>
      <c r="H76" s="14"/>
    </row>
    <row r="77" spans="1:8" x14ac:dyDescent="0.25">
      <c r="A77" s="3"/>
      <c r="B77" s="3"/>
      <c r="C77" s="3"/>
      <c r="D77" s="3"/>
      <c r="G77" s="14"/>
      <c r="H77" s="14"/>
    </row>
    <row r="78" spans="1:8" x14ac:dyDescent="0.25">
      <c r="A78" s="3"/>
      <c r="B78" s="3"/>
      <c r="C78" s="3"/>
      <c r="D78" s="3"/>
      <c r="G78" s="14"/>
      <c r="H78" s="14"/>
    </row>
    <row r="79" spans="1:8" x14ac:dyDescent="0.25">
      <c r="A79" s="3"/>
      <c r="B79" s="3"/>
      <c r="C79" s="3"/>
      <c r="D79" s="3"/>
      <c r="G79" s="14"/>
      <c r="H79" s="14"/>
    </row>
    <row r="80" spans="1:8" x14ac:dyDescent="0.25">
      <c r="A80" s="3"/>
      <c r="B80" s="3"/>
      <c r="C80" s="3"/>
      <c r="D80" s="3"/>
      <c r="G80" s="14"/>
      <c r="H80" s="14"/>
    </row>
    <row r="81" spans="1:8" x14ac:dyDescent="0.25">
      <c r="A81" s="3"/>
      <c r="B81" s="3"/>
      <c r="C81" s="3"/>
      <c r="D81" s="3"/>
      <c r="G81" s="14"/>
      <c r="H81" s="14"/>
    </row>
    <row r="82" spans="1:8" x14ac:dyDescent="0.25">
      <c r="A82" s="3"/>
      <c r="B82" s="3"/>
      <c r="C82" s="3"/>
      <c r="D82" s="3"/>
      <c r="G82" s="14"/>
      <c r="H82" s="14"/>
    </row>
    <row r="83" spans="1:8" x14ac:dyDescent="0.25">
      <c r="A83" s="3"/>
      <c r="B83" s="3"/>
      <c r="C83" s="3"/>
      <c r="D83" s="3"/>
      <c r="G83" s="14"/>
      <c r="H83" s="14"/>
    </row>
    <row r="84" spans="1:8" x14ac:dyDescent="0.25">
      <c r="A84" s="3"/>
      <c r="B84" s="3"/>
      <c r="C84" s="3"/>
      <c r="D84" s="3"/>
      <c r="G84" s="14"/>
      <c r="H84" s="14"/>
    </row>
    <row r="85" spans="1:8" x14ac:dyDescent="0.25">
      <c r="A85" s="3"/>
      <c r="B85" s="3"/>
      <c r="C85" s="3"/>
      <c r="D85" s="3"/>
      <c r="G85" s="14"/>
      <c r="H85" s="14"/>
    </row>
    <row r="86" spans="1:8" x14ac:dyDescent="0.25">
      <c r="A86" s="3"/>
      <c r="B86" s="3"/>
      <c r="C86" s="3"/>
      <c r="D86" s="3"/>
      <c r="G86" s="14"/>
      <c r="H86" s="14"/>
    </row>
    <row r="87" spans="1:8" x14ac:dyDescent="0.25">
      <c r="A87" s="3"/>
      <c r="B87" s="3"/>
      <c r="C87" s="3"/>
      <c r="D87" s="3"/>
      <c r="G87" s="14"/>
      <c r="H87" s="14"/>
    </row>
    <row r="88" spans="1:8" x14ac:dyDescent="0.25">
      <c r="A88" s="3"/>
      <c r="B88" s="3"/>
      <c r="C88" s="3"/>
      <c r="D88" s="3"/>
      <c r="G88" s="14"/>
      <c r="H88" s="14"/>
    </row>
    <row r="89" spans="1:8" x14ac:dyDescent="0.25">
      <c r="A89" s="3"/>
      <c r="B89" s="3"/>
      <c r="C89" s="3"/>
      <c r="D89" s="3"/>
      <c r="G89" s="14"/>
      <c r="H89" s="14"/>
    </row>
    <row r="90" spans="1:8" x14ac:dyDescent="0.25">
      <c r="A90" s="3"/>
      <c r="B90" s="3"/>
      <c r="C90" s="3"/>
      <c r="D90" s="3"/>
      <c r="G90" s="14"/>
      <c r="H90" s="14"/>
    </row>
    <row r="91" spans="1:8" x14ac:dyDescent="0.25">
      <c r="A91" s="3"/>
      <c r="B91" s="3"/>
      <c r="C91" s="3"/>
      <c r="D91" s="3"/>
      <c r="G91" s="14"/>
      <c r="H91" s="14"/>
    </row>
    <row r="92" spans="1:8" x14ac:dyDescent="0.25">
      <c r="A92" s="3"/>
      <c r="B92" s="3"/>
      <c r="C92" s="3"/>
      <c r="D92" s="3"/>
      <c r="G92" s="14"/>
      <c r="H92" s="14"/>
    </row>
    <row r="93" spans="1:8" x14ac:dyDescent="0.25">
      <c r="A93" s="3"/>
      <c r="B93" s="3"/>
      <c r="C93" s="3"/>
      <c r="D93" s="3"/>
      <c r="G93" s="14"/>
      <c r="H93" s="14"/>
    </row>
    <row r="94" spans="1:8" x14ac:dyDescent="0.25">
      <c r="A94" s="3"/>
      <c r="B94" s="3"/>
      <c r="C94" s="3"/>
      <c r="D94" s="3"/>
      <c r="G94" s="14"/>
      <c r="H94" s="14"/>
    </row>
    <row r="95" spans="1:8" x14ac:dyDescent="0.25">
      <c r="A95" s="3"/>
      <c r="B95" s="3"/>
      <c r="C95" s="3"/>
      <c r="D95" s="3"/>
      <c r="G95" s="14"/>
      <c r="H95" s="14"/>
    </row>
    <row r="96" spans="1:8" x14ac:dyDescent="0.25">
      <c r="A96" s="3"/>
      <c r="B96" s="3"/>
      <c r="C96" s="3"/>
      <c r="D96" s="3"/>
      <c r="G96" s="14"/>
      <c r="H96" s="14"/>
    </row>
    <row r="97" spans="1:8" x14ac:dyDescent="0.25">
      <c r="A97" s="3"/>
      <c r="B97" s="3"/>
      <c r="C97" s="3"/>
      <c r="D97" s="3"/>
      <c r="G97" s="14"/>
      <c r="H97" s="14"/>
    </row>
    <row r="98" spans="1:8" x14ac:dyDescent="0.25">
      <c r="A98" s="3"/>
      <c r="B98" s="3"/>
      <c r="C98" s="3"/>
      <c r="D98" s="3"/>
      <c r="G98" s="14"/>
      <c r="H98" s="14"/>
    </row>
    <row r="99" spans="1:8" x14ac:dyDescent="0.25">
      <c r="A99" s="3"/>
      <c r="B99" s="3"/>
      <c r="C99" s="3"/>
      <c r="D99" s="3"/>
      <c r="G99" s="14"/>
      <c r="H99" s="14"/>
    </row>
    <row r="100" spans="1:8" x14ac:dyDescent="0.25">
      <c r="A100" s="3"/>
      <c r="B100" s="3"/>
      <c r="C100" s="3"/>
      <c r="D100" s="3"/>
      <c r="G100" s="14"/>
      <c r="H100" s="14"/>
    </row>
    <row r="101" spans="1:8" x14ac:dyDescent="0.25">
      <c r="A101" s="3"/>
      <c r="B101" s="3"/>
      <c r="C101" s="3"/>
      <c r="D101" s="3"/>
      <c r="G101" s="14"/>
      <c r="H101" s="14"/>
    </row>
    <row r="102" spans="1:8" x14ac:dyDescent="0.25">
      <c r="A102" s="3"/>
      <c r="B102" s="3"/>
      <c r="C102" s="3"/>
      <c r="D102" s="3"/>
      <c r="G102" s="14"/>
      <c r="H102" s="14"/>
    </row>
    <row r="103" spans="1:8" x14ac:dyDescent="0.25">
      <c r="A103" s="3"/>
      <c r="B103" s="3"/>
      <c r="C103" s="3"/>
      <c r="D103" s="3"/>
      <c r="G103" s="14"/>
      <c r="H103" s="14"/>
    </row>
    <row r="104" spans="1:8" x14ac:dyDescent="0.25">
      <c r="A104" s="3"/>
      <c r="B104" s="3"/>
      <c r="C104" s="3"/>
      <c r="D104" s="3"/>
      <c r="G104" s="14"/>
      <c r="H104" s="14"/>
    </row>
    <row r="105" spans="1:8" x14ac:dyDescent="0.25">
      <c r="A105" s="3"/>
      <c r="B105" s="3"/>
      <c r="C105" s="3"/>
      <c r="D105" s="3"/>
      <c r="G105" s="14"/>
      <c r="H105" s="14"/>
    </row>
    <row r="106" spans="1:8" x14ac:dyDescent="0.25">
      <c r="A106" s="3"/>
      <c r="B106" s="3"/>
      <c r="C106" s="3"/>
      <c r="D106" s="3"/>
      <c r="G106" s="14"/>
      <c r="H106" s="14"/>
    </row>
    <row r="107" spans="1:8" x14ac:dyDescent="0.25">
      <c r="A107" s="3"/>
      <c r="B107" s="3"/>
      <c r="C107" s="3"/>
      <c r="D107" s="3"/>
      <c r="G107" s="14"/>
      <c r="H107" s="14"/>
    </row>
    <row r="108" spans="1:8" x14ac:dyDescent="0.25">
      <c r="A108" s="3"/>
      <c r="B108" s="3"/>
      <c r="C108" s="3"/>
      <c r="D108" s="3"/>
      <c r="G108" s="14"/>
      <c r="H108" s="14"/>
    </row>
    <row r="109" spans="1:8" x14ac:dyDescent="0.25">
      <c r="A109" s="3"/>
      <c r="B109" s="3"/>
      <c r="C109" s="3"/>
      <c r="D109" s="3"/>
      <c r="G109" s="14"/>
      <c r="H109" s="14"/>
    </row>
    <row r="110" spans="1:8" x14ac:dyDescent="0.25">
      <c r="A110" s="3"/>
      <c r="B110" s="3"/>
      <c r="C110" s="3"/>
      <c r="D110" s="3"/>
      <c r="G110" s="14"/>
      <c r="H110" s="14"/>
    </row>
    <row r="111" spans="1:8" x14ac:dyDescent="0.25">
      <c r="A111" s="3"/>
      <c r="B111" s="3"/>
      <c r="C111" s="3"/>
      <c r="D111" s="3"/>
      <c r="G111" s="14"/>
      <c r="H111" s="14"/>
    </row>
    <row r="112" spans="1:8" x14ac:dyDescent="0.25">
      <c r="A112" s="3"/>
      <c r="B112" s="3"/>
      <c r="C112" s="3"/>
      <c r="D112" s="3"/>
      <c r="G112" s="14"/>
      <c r="H112" s="14"/>
    </row>
    <row r="113" spans="1:8" x14ac:dyDescent="0.25">
      <c r="A113" s="3"/>
      <c r="B113" s="3"/>
      <c r="C113" s="3"/>
      <c r="D113" s="3"/>
      <c r="G113" s="14"/>
      <c r="H113" s="14"/>
    </row>
    <row r="114" spans="1:8" x14ac:dyDescent="0.25">
      <c r="A114" s="3"/>
      <c r="B114" s="3"/>
      <c r="C114" s="3"/>
      <c r="D114" s="3"/>
      <c r="G114" s="14"/>
      <c r="H114" s="14"/>
    </row>
    <row r="115" spans="1:8" x14ac:dyDescent="0.25">
      <c r="A115" s="3"/>
      <c r="B115" s="3"/>
      <c r="C115" s="3"/>
      <c r="D115" s="3"/>
      <c r="G115" s="14"/>
      <c r="H115" s="14"/>
    </row>
    <row r="116" spans="1:8" x14ac:dyDescent="0.25">
      <c r="A116" s="3"/>
      <c r="B116" s="3"/>
      <c r="C116" s="3"/>
      <c r="D116" s="3"/>
      <c r="G116" s="14"/>
      <c r="H116" s="14"/>
    </row>
    <row r="117" spans="1:8" x14ac:dyDescent="0.25">
      <c r="A117" s="3"/>
      <c r="B117" s="3"/>
      <c r="C117" s="3"/>
      <c r="D117" s="3"/>
      <c r="G117" s="14"/>
      <c r="H117" s="14"/>
    </row>
    <row r="118" spans="1:8" x14ac:dyDescent="0.25">
      <c r="A118" s="3"/>
      <c r="B118" s="3"/>
      <c r="C118" s="3"/>
      <c r="D118" s="3"/>
      <c r="G118" s="14"/>
      <c r="H118" s="14"/>
    </row>
    <row r="119" spans="1:8" x14ac:dyDescent="0.25">
      <c r="A119" s="3"/>
      <c r="B119" s="3"/>
      <c r="C119" s="3"/>
      <c r="D119" s="3"/>
      <c r="G119" s="14"/>
      <c r="H119" s="14"/>
    </row>
    <row r="120" spans="1:8" x14ac:dyDescent="0.25">
      <c r="A120" s="3"/>
      <c r="B120" s="3"/>
      <c r="C120" s="3"/>
      <c r="D120" s="3"/>
      <c r="G120" s="14"/>
      <c r="H120" s="14"/>
    </row>
    <row r="121" spans="1:8" x14ac:dyDescent="0.25">
      <c r="A121" s="3"/>
      <c r="B121" s="3"/>
      <c r="C121" s="3"/>
      <c r="D121" s="3"/>
      <c r="G121" s="14"/>
      <c r="H121" s="14"/>
    </row>
    <row r="122" spans="1:8" x14ac:dyDescent="0.25">
      <c r="A122" s="3"/>
      <c r="B122" s="3"/>
      <c r="C122" s="3"/>
      <c r="D122" s="3"/>
      <c r="G122" s="14"/>
      <c r="H122" s="14"/>
    </row>
    <row r="123" spans="1:8" x14ac:dyDescent="0.25">
      <c r="A123" s="3"/>
      <c r="B123" s="3"/>
      <c r="C123" s="3"/>
      <c r="D123" s="3"/>
      <c r="G123" s="14"/>
      <c r="H123" s="14"/>
    </row>
    <row r="124" spans="1:8" x14ac:dyDescent="0.25">
      <c r="A124" s="3"/>
      <c r="B124" s="3"/>
      <c r="C124" s="3"/>
      <c r="D124" s="3"/>
      <c r="G124" s="14"/>
      <c r="H124" s="14"/>
    </row>
    <row r="125" spans="1:8" x14ac:dyDescent="0.25">
      <c r="A125" s="3"/>
      <c r="B125" s="3"/>
      <c r="C125" s="3"/>
      <c r="D125" s="3"/>
      <c r="G125" s="14"/>
      <c r="H125" s="14"/>
    </row>
    <row r="126" spans="1:8" x14ac:dyDescent="0.25">
      <c r="A126" s="18"/>
      <c r="B126" s="3"/>
      <c r="C126" s="3"/>
      <c r="D126" s="3"/>
      <c r="G126" s="14"/>
      <c r="H126" s="14"/>
    </row>
    <row r="127" spans="1:8" x14ac:dyDescent="0.25">
      <c r="A127" s="3"/>
      <c r="B127" s="3"/>
      <c r="C127" s="3"/>
      <c r="D127" s="3"/>
      <c r="G127" s="14"/>
      <c r="H127" s="14"/>
    </row>
    <row r="128" spans="1:8" x14ac:dyDescent="0.25">
      <c r="A128" s="3"/>
      <c r="B128" s="3"/>
      <c r="C128" s="3"/>
      <c r="D128" s="3"/>
      <c r="G128" s="14"/>
      <c r="H128" s="14"/>
    </row>
    <row r="129" spans="1:8" x14ac:dyDescent="0.25">
      <c r="A129" s="3"/>
      <c r="B129" s="3"/>
      <c r="C129" s="3"/>
      <c r="D129" s="3"/>
      <c r="G129" s="14"/>
      <c r="H129" s="14"/>
    </row>
    <row r="130" spans="1:8" x14ac:dyDescent="0.25">
      <c r="A130" s="3"/>
      <c r="B130" s="3"/>
      <c r="C130" s="3"/>
      <c r="D130" s="3"/>
      <c r="G130" s="14"/>
      <c r="H130" s="14"/>
    </row>
    <row r="131" spans="1:8" x14ac:dyDescent="0.25">
      <c r="A131" s="3"/>
      <c r="B131" s="3"/>
      <c r="C131" s="3"/>
      <c r="D131" s="3"/>
      <c r="G131" s="14"/>
      <c r="H131" s="14"/>
    </row>
    <row r="132" spans="1:8" x14ac:dyDescent="0.25">
      <c r="A132" s="3"/>
      <c r="B132" s="3"/>
      <c r="C132" s="3"/>
      <c r="D132" s="3"/>
      <c r="G132" s="14"/>
      <c r="H132" s="14"/>
    </row>
    <row r="133" spans="1:8" x14ac:dyDescent="0.25">
      <c r="A133" s="3"/>
      <c r="B133" s="3"/>
      <c r="C133" s="3"/>
      <c r="D133" s="3"/>
      <c r="G133" s="14"/>
      <c r="H133" s="14"/>
    </row>
    <row r="134" spans="1:8" x14ac:dyDescent="0.25">
      <c r="A134" s="3"/>
      <c r="B134" s="3"/>
      <c r="C134" s="3"/>
      <c r="D134" s="3"/>
      <c r="G134" s="14"/>
      <c r="H134" s="14"/>
    </row>
    <row r="135" spans="1:8" x14ac:dyDescent="0.25">
      <c r="A135" s="3"/>
      <c r="B135" s="3"/>
      <c r="C135" s="3"/>
      <c r="D135" s="3"/>
      <c r="G135" s="14"/>
      <c r="H135" s="14"/>
    </row>
    <row r="136" spans="1:8" x14ac:dyDescent="0.25">
      <c r="A136" s="3"/>
      <c r="B136" s="3"/>
      <c r="C136" s="3"/>
      <c r="D136" s="3"/>
      <c r="G136" s="14"/>
      <c r="H136" s="14"/>
    </row>
    <row r="137" spans="1:8" x14ac:dyDescent="0.25">
      <c r="A137" s="3"/>
      <c r="B137" s="3"/>
      <c r="C137" s="3"/>
      <c r="D137" s="3"/>
      <c r="G137" s="14"/>
      <c r="H137" s="14"/>
    </row>
    <row r="138" spans="1:8" x14ac:dyDescent="0.25">
      <c r="A138" s="3"/>
      <c r="B138" s="3"/>
      <c r="C138" s="3"/>
      <c r="D138" s="3"/>
      <c r="G138" s="14"/>
      <c r="H138" s="14"/>
    </row>
    <row r="139" spans="1:8" x14ac:dyDescent="0.25">
      <c r="A139" s="3"/>
      <c r="B139" s="3"/>
      <c r="C139" s="3"/>
      <c r="D139" s="3"/>
      <c r="G139" s="14"/>
      <c r="H139" s="14"/>
    </row>
    <row r="140" spans="1:8" x14ac:dyDescent="0.25">
      <c r="A140" s="3"/>
      <c r="B140" s="3"/>
      <c r="C140" s="3"/>
      <c r="D140" s="3"/>
      <c r="G140" s="14"/>
      <c r="H140" s="14"/>
    </row>
    <row r="141" spans="1:8" x14ac:dyDescent="0.25">
      <c r="A141" s="3"/>
      <c r="B141" s="3"/>
      <c r="C141" s="3"/>
      <c r="D141" s="3"/>
      <c r="G141" s="14"/>
      <c r="H141" s="14"/>
    </row>
    <row r="142" spans="1:8" x14ac:dyDescent="0.25">
      <c r="A142" s="3"/>
      <c r="B142" s="3"/>
      <c r="C142" s="3"/>
      <c r="D142" s="3"/>
      <c r="G142" s="14"/>
      <c r="H142" s="14"/>
    </row>
    <row r="143" spans="1:8" x14ac:dyDescent="0.25">
      <c r="A143" s="3"/>
      <c r="B143" s="3"/>
      <c r="C143" s="3"/>
      <c r="D143" s="3"/>
      <c r="G143" s="14"/>
      <c r="H143" s="14"/>
    </row>
    <row r="144" spans="1:8" x14ac:dyDescent="0.25">
      <c r="A144" s="3"/>
      <c r="B144" s="3"/>
      <c r="C144" s="3"/>
      <c r="D144" s="3"/>
      <c r="G144" s="14"/>
      <c r="H144" s="14"/>
    </row>
    <row r="145" spans="1:8" x14ac:dyDescent="0.25">
      <c r="A145" s="3"/>
      <c r="B145" s="3"/>
      <c r="C145" s="3"/>
      <c r="D145" s="3"/>
      <c r="G145" s="14"/>
      <c r="H145" s="14"/>
    </row>
    <row r="146" spans="1:8" x14ac:dyDescent="0.25">
      <c r="A146" s="3"/>
      <c r="B146" s="3"/>
      <c r="C146" s="3"/>
      <c r="D146" s="3"/>
      <c r="G146" s="14"/>
      <c r="H146" s="14"/>
    </row>
    <row r="147" spans="1:8" x14ac:dyDescent="0.25">
      <c r="A147" s="3"/>
      <c r="B147" s="3"/>
      <c r="C147" s="3"/>
      <c r="D147" s="3"/>
      <c r="G147" s="14"/>
      <c r="H147" s="14"/>
    </row>
    <row r="148" spans="1:8" x14ac:dyDescent="0.25">
      <c r="A148" s="3"/>
      <c r="B148" s="3"/>
      <c r="C148" s="3"/>
      <c r="D148" s="3"/>
      <c r="G148" s="14"/>
      <c r="H148" s="14"/>
    </row>
    <row r="149" spans="1:8" x14ac:dyDescent="0.25">
      <c r="A149" s="3"/>
      <c r="B149" s="3"/>
      <c r="C149" s="3"/>
      <c r="D149" s="3"/>
      <c r="G149" s="14"/>
      <c r="H149" s="14"/>
    </row>
    <row r="150" spans="1:8" x14ac:dyDescent="0.25">
      <c r="A150" s="3"/>
      <c r="B150" s="3"/>
      <c r="C150" s="3"/>
      <c r="D150" s="3"/>
      <c r="G150" s="14"/>
      <c r="H150" s="14"/>
    </row>
    <row r="151" spans="1:8" x14ac:dyDescent="0.25">
      <c r="A151" s="3"/>
      <c r="B151" s="3"/>
      <c r="C151" s="3"/>
      <c r="D151" s="3"/>
      <c r="G151" s="14"/>
      <c r="H151" s="14"/>
    </row>
    <row r="152" spans="1:8" x14ac:dyDescent="0.25">
      <c r="A152" s="3"/>
      <c r="B152" s="3"/>
      <c r="C152" s="3"/>
      <c r="D152" s="3"/>
      <c r="G152" s="14"/>
      <c r="H152" s="14"/>
    </row>
    <row r="153" spans="1:8" x14ac:dyDescent="0.25">
      <c r="A153" s="3"/>
      <c r="B153" s="3"/>
      <c r="C153" s="3"/>
      <c r="D153" s="3"/>
      <c r="G153" s="14"/>
      <c r="H153" s="14"/>
    </row>
    <row r="154" spans="1:8" x14ac:dyDescent="0.25">
      <c r="A154" s="3"/>
      <c r="B154" s="3"/>
      <c r="C154" s="3"/>
      <c r="D154" s="3"/>
      <c r="G154" s="14"/>
      <c r="H154" s="14"/>
    </row>
    <row r="155" spans="1:8" x14ac:dyDescent="0.25">
      <c r="A155" s="3"/>
      <c r="B155" s="3"/>
      <c r="C155" s="3"/>
      <c r="D155" s="3"/>
      <c r="G155" s="14"/>
      <c r="H155" s="14"/>
    </row>
    <row r="156" spans="1:8" x14ac:dyDescent="0.25">
      <c r="A156" s="3"/>
      <c r="B156" s="3"/>
      <c r="C156" s="3"/>
      <c r="D156" s="3"/>
      <c r="G156" s="14"/>
      <c r="H156" s="14"/>
    </row>
    <row r="157" spans="1:8" x14ac:dyDescent="0.25">
      <c r="A157" s="3"/>
      <c r="B157" s="3"/>
      <c r="C157" s="3"/>
      <c r="D157" s="3"/>
      <c r="G157" s="14"/>
      <c r="H157" s="14"/>
    </row>
    <row r="158" spans="1:8" x14ac:dyDescent="0.25">
      <c r="A158" s="3"/>
      <c r="B158" s="3"/>
      <c r="C158" s="3"/>
      <c r="D158" s="3"/>
      <c r="G158" s="14"/>
      <c r="H158" s="14"/>
    </row>
    <row r="159" spans="1:8" x14ac:dyDescent="0.25">
      <c r="A159" s="3"/>
      <c r="B159" s="3"/>
      <c r="C159" s="3"/>
      <c r="D159" s="3"/>
      <c r="G159" s="14"/>
      <c r="H159" s="14"/>
    </row>
    <row r="160" spans="1:8" x14ac:dyDescent="0.25">
      <c r="A160" s="3"/>
      <c r="B160" s="3"/>
      <c r="C160" s="3"/>
      <c r="D160" s="3"/>
      <c r="G160" s="14"/>
      <c r="H160" s="14"/>
    </row>
    <row r="161" spans="1:8" x14ac:dyDescent="0.25">
      <c r="A161" s="3"/>
      <c r="B161" s="3"/>
      <c r="C161" s="3"/>
      <c r="D161" s="3"/>
      <c r="G161" s="14"/>
      <c r="H161" s="14"/>
    </row>
    <row r="162" spans="1:8" x14ac:dyDescent="0.25">
      <c r="A162" s="3"/>
      <c r="B162" s="3"/>
      <c r="C162" s="3"/>
      <c r="D162" s="3"/>
      <c r="G162" s="14"/>
      <c r="H162" s="14"/>
    </row>
    <row r="163" spans="1:8" x14ac:dyDescent="0.25">
      <c r="A163" s="3"/>
      <c r="B163" s="3"/>
      <c r="C163" s="3"/>
      <c r="D163" s="3"/>
      <c r="G163" s="14"/>
      <c r="H163" s="14"/>
    </row>
    <row r="164" spans="1:8" x14ac:dyDescent="0.25">
      <c r="A164" s="3"/>
      <c r="B164" s="3"/>
      <c r="C164" s="3"/>
      <c r="D164" s="3"/>
      <c r="G164" s="14"/>
      <c r="H164" s="14"/>
    </row>
    <row r="165" spans="1:8" x14ac:dyDescent="0.25">
      <c r="A165" s="3"/>
      <c r="B165" s="3"/>
      <c r="C165" s="3"/>
      <c r="D165" s="3"/>
      <c r="G165" s="14"/>
      <c r="H165" s="14"/>
    </row>
    <row r="166" spans="1:8" x14ac:dyDescent="0.25">
      <c r="A166" s="3"/>
      <c r="B166" s="3"/>
      <c r="C166" s="3"/>
      <c r="D166" s="3"/>
      <c r="G166" s="14"/>
      <c r="H166" s="14"/>
    </row>
    <row r="167" spans="1:8" x14ac:dyDescent="0.25">
      <c r="A167" s="3"/>
      <c r="B167" s="3"/>
      <c r="C167" s="3"/>
      <c r="D167" s="3"/>
      <c r="G167" s="14"/>
      <c r="H167" s="14"/>
    </row>
    <row r="168" spans="1:8" x14ac:dyDescent="0.25">
      <c r="A168" s="3"/>
      <c r="B168" s="3"/>
      <c r="C168" s="3"/>
      <c r="D168" s="3"/>
      <c r="G168" s="14"/>
      <c r="H168" s="14"/>
    </row>
    <row r="169" spans="1:8" x14ac:dyDescent="0.25">
      <c r="A169" s="3"/>
      <c r="B169" s="3"/>
      <c r="C169" s="3"/>
      <c r="D169" s="3"/>
      <c r="G169" s="14"/>
      <c r="H169" s="14"/>
    </row>
    <row r="170" spans="1:8" x14ac:dyDescent="0.25">
      <c r="A170" s="3"/>
      <c r="B170" s="3"/>
      <c r="C170" s="3"/>
      <c r="D170" s="3"/>
      <c r="G170" s="14"/>
      <c r="H170" s="14"/>
    </row>
    <row r="171" spans="1:8" x14ac:dyDescent="0.25">
      <c r="A171" s="3"/>
      <c r="B171" s="3"/>
      <c r="C171" s="3"/>
      <c r="D171" s="3"/>
      <c r="G171" s="14"/>
      <c r="H171" s="14"/>
    </row>
    <row r="172" spans="1:8" x14ac:dyDescent="0.25">
      <c r="A172" s="3"/>
      <c r="B172" s="3"/>
      <c r="C172" s="3"/>
      <c r="D172" s="3"/>
      <c r="G172" s="14"/>
      <c r="H172" s="14"/>
    </row>
    <row r="173" spans="1:8" x14ac:dyDescent="0.25">
      <c r="A173" s="3"/>
      <c r="B173" s="3"/>
      <c r="C173" s="3"/>
      <c r="D173" s="3"/>
      <c r="G173" s="14"/>
      <c r="H173" s="14"/>
    </row>
    <row r="174" spans="1:8" x14ac:dyDescent="0.25">
      <c r="A174" s="3"/>
      <c r="B174" s="3"/>
      <c r="C174" s="3"/>
      <c r="D174" s="3"/>
      <c r="G174" s="14"/>
      <c r="H174" s="14"/>
    </row>
    <row r="175" spans="1:8" x14ac:dyDescent="0.25">
      <c r="A175" s="3"/>
      <c r="B175" s="3"/>
      <c r="C175" s="3"/>
      <c r="D175" s="3"/>
      <c r="G175" s="14"/>
      <c r="H175" s="14"/>
    </row>
    <row r="176" spans="1:8" x14ac:dyDescent="0.25">
      <c r="A176" s="3"/>
      <c r="B176" s="3"/>
      <c r="C176" s="3"/>
      <c r="D176" s="3"/>
      <c r="G176" s="14"/>
      <c r="H176" s="14"/>
    </row>
    <row r="177" spans="1:8" x14ac:dyDescent="0.25">
      <c r="A177" s="3"/>
      <c r="B177" s="3"/>
      <c r="C177" s="3"/>
      <c r="D177" s="3"/>
      <c r="G177" s="14"/>
      <c r="H177" s="14"/>
    </row>
    <row r="178" spans="1:8" x14ac:dyDescent="0.25">
      <c r="A178" s="3"/>
      <c r="B178" s="3"/>
      <c r="C178" s="3"/>
      <c r="D178" s="3"/>
      <c r="G178" s="14"/>
      <c r="H178" s="14"/>
    </row>
    <row r="179" spans="1:8" x14ac:dyDescent="0.25">
      <c r="A179" s="3"/>
      <c r="B179" s="3"/>
      <c r="C179" s="3"/>
      <c r="D179" s="3"/>
      <c r="G179" s="14"/>
      <c r="H179" s="14"/>
    </row>
    <row r="180" spans="1:8" x14ac:dyDescent="0.25">
      <c r="A180" s="3"/>
      <c r="B180" s="3"/>
      <c r="C180" s="3"/>
      <c r="D180" s="3"/>
      <c r="G180" s="14"/>
      <c r="H180" s="14"/>
    </row>
    <row r="181" spans="1:8" x14ac:dyDescent="0.25">
      <c r="A181" s="3"/>
      <c r="B181" s="3"/>
      <c r="C181" s="3"/>
      <c r="D181" s="3"/>
      <c r="G181" s="14"/>
      <c r="H181" s="14"/>
    </row>
    <row r="182" spans="1:8" x14ac:dyDescent="0.25">
      <c r="A182" s="3"/>
      <c r="B182" s="3"/>
      <c r="C182" s="3"/>
      <c r="D182" s="3"/>
      <c r="G182" s="14"/>
      <c r="H182" s="14"/>
    </row>
    <row r="183" spans="1:8" x14ac:dyDescent="0.25">
      <c r="A183" s="3"/>
      <c r="B183" s="3"/>
      <c r="C183" s="3"/>
      <c r="D183" s="3"/>
      <c r="G183" s="14"/>
      <c r="H183" s="14"/>
    </row>
    <row r="184" spans="1:8" x14ac:dyDescent="0.25">
      <c r="A184" s="3"/>
      <c r="B184" s="3"/>
      <c r="C184" s="3"/>
      <c r="D184" s="3"/>
      <c r="G184" s="14"/>
      <c r="H184" s="14"/>
    </row>
    <row r="185" spans="1:8" x14ac:dyDescent="0.25">
      <c r="A185" s="3"/>
      <c r="B185" s="3"/>
      <c r="C185" s="3"/>
      <c r="D185" s="3"/>
      <c r="G185" s="14"/>
      <c r="H185" s="14"/>
    </row>
    <row r="186" spans="1:8" x14ac:dyDescent="0.25">
      <c r="A186" s="3"/>
      <c r="B186" s="3"/>
      <c r="C186" s="3"/>
      <c r="D186" s="3"/>
      <c r="G186" s="14"/>
      <c r="H186" s="14"/>
    </row>
    <row r="187" spans="1:8" x14ac:dyDescent="0.25">
      <c r="A187" s="3"/>
      <c r="B187" s="3"/>
      <c r="C187" s="3"/>
      <c r="D187" s="3"/>
      <c r="G187" s="14"/>
      <c r="H187" s="14"/>
    </row>
    <row r="188" spans="1:8" x14ac:dyDescent="0.25">
      <c r="A188" s="3"/>
      <c r="B188" s="3"/>
      <c r="C188" s="3"/>
      <c r="D188" s="3"/>
      <c r="G188" s="14"/>
      <c r="H188" s="14"/>
    </row>
    <row r="189" spans="1:8" x14ac:dyDescent="0.25">
      <c r="A189" s="3"/>
      <c r="B189" s="3"/>
      <c r="C189" s="3"/>
      <c r="D189" s="3"/>
      <c r="G189" s="14"/>
      <c r="H189" s="14"/>
    </row>
    <row r="190" spans="1:8" x14ac:dyDescent="0.25">
      <c r="A190" s="3"/>
      <c r="B190" s="3"/>
      <c r="C190" s="3"/>
      <c r="D190" s="3"/>
      <c r="G190" s="14"/>
      <c r="H190" s="14"/>
    </row>
    <row r="191" spans="1:8" x14ac:dyDescent="0.25">
      <c r="A191" s="3"/>
      <c r="B191" s="3"/>
      <c r="C191" s="3"/>
      <c r="D191" s="3"/>
      <c r="G191" s="14"/>
      <c r="H191" s="14"/>
    </row>
    <row r="192" spans="1:8" x14ac:dyDescent="0.25">
      <c r="A192" s="3"/>
      <c r="B192" s="3"/>
      <c r="C192" s="3"/>
      <c r="D192" s="3"/>
      <c r="G192" s="14"/>
      <c r="H192" s="14"/>
    </row>
    <row r="193" spans="1:8" x14ac:dyDescent="0.25">
      <c r="A193" s="3"/>
      <c r="B193" s="3"/>
      <c r="C193" s="3"/>
      <c r="D193" s="3"/>
      <c r="G193" s="14"/>
      <c r="H193" s="14"/>
    </row>
    <row r="194" spans="1:8" x14ac:dyDescent="0.25">
      <c r="A194" s="3"/>
      <c r="B194" s="3"/>
      <c r="C194" s="3"/>
      <c r="D194" s="3"/>
      <c r="G194" s="14"/>
      <c r="H194" s="14"/>
    </row>
    <row r="195" spans="1:8" x14ac:dyDescent="0.25">
      <c r="A195" s="3"/>
      <c r="B195" s="3"/>
      <c r="C195" s="3"/>
      <c r="D195" s="3"/>
      <c r="G195" s="14"/>
      <c r="H195" s="14"/>
    </row>
    <row r="196" spans="1:8" x14ac:dyDescent="0.25">
      <c r="A196" s="3"/>
      <c r="B196" s="3"/>
      <c r="C196" s="3"/>
      <c r="D196" s="3"/>
      <c r="G196" s="14"/>
      <c r="H196" s="14"/>
    </row>
    <row r="197" spans="1:8" x14ac:dyDescent="0.25">
      <c r="A197" s="3"/>
      <c r="B197" s="3"/>
      <c r="C197" s="3"/>
      <c r="D197" s="3"/>
      <c r="G197" s="14"/>
      <c r="H197" s="14"/>
    </row>
    <row r="198" spans="1:8" x14ac:dyDescent="0.25">
      <c r="A198" s="3"/>
      <c r="B198" s="3"/>
      <c r="C198" s="3"/>
      <c r="D198" s="3"/>
      <c r="G198" s="14"/>
      <c r="H198" s="14"/>
    </row>
    <row r="199" spans="1:8" x14ac:dyDescent="0.25">
      <c r="A199" s="3"/>
      <c r="B199" s="3"/>
      <c r="C199" s="3"/>
      <c r="D199" s="3"/>
      <c r="G199" s="14"/>
      <c r="H199" s="14"/>
    </row>
    <row r="200" spans="1:8" x14ac:dyDescent="0.25">
      <c r="A200" s="3"/>
      <c r="B200" s="3"/>
      <c r="C200" s="3"/>
      <c r="D200" s="3"/>
      <c r="G200" s="14"/>
      <c r="H200" s="14"/>
    </row>
    <row r="201" spans="1:8" x14ac:dyDescent="0.25">
      <c r="A201" s="3"/>
      <c r="B201" s="3"/>
      <c r="C201" s="3"/>
      <c r="D201" s="3"/>
      <c r="G201" s="14"/>
      <c r="H201" s="14"/>
    </row>
    <row r="202" spans="1:8" x14ac:dyDescent="0.25">
      <c r="A202" s="3"/>
      <c r="B202" s="3"/>
      <c r="C202" s="3"/>
      <c r="D202" s="3"/>
      <c r="G202" s="14"/>
      <c r="H202" s="14"/>
    </row>
    <row r="203" spans="1:8" x14ac:dyDescent="0.25">
      <c r="A203" s="3"/>
      <c r="B203" s="3"/>
      <c r="C203" s="3"/>
      <c r="D203" s="3"/>
      <c r="G203" s="14"/>
      <c r="H203" s="14"/>
    </row>
    <row r="204" spans="1:8" x14ac:dyDescent="0.25">
      <c r="A204" s="3"/>
      <c r="B204" s="3"/>
      <c r="C204" s="3"/>
      <c r="D204" s="3"/>
      <c r="G204" s="14"/>
      <c r="H204" s="14"/>
    </row>
    <row r="205" spans="1:8" x14ac:dyDescent="0.25">
      <c r="A205" s="3"/>
      <c r="B205" s="3"/>
      <c r="C205" s="3"/>
      <c r="D205" s="3"/>
      <c r="G205" s="14"/>
      <c r="H205" s="14"/>
    </row>
    <row r="206" spans="1:8" x14ac:dyDescent="0.25">
      <c r="A206" s="3"/>
      <c r="B206" s="3"/>
      <c r="C206" s="3"/>
      <c r="D206" s="3"/>
      <c r="G206" s="14"/>
      <c r="H206" s="14"/>
    </row>
    <row r="207" spans="1:8" x14ac:dyDescent="0.25">
      <c r="A207" s="3"/>
      <c r="B207" s="3"/>
      <c r="C207" s="3"/>
      <c r="D207" s="3"/>
      <c r="G207" s="14"/>
      <c r="H207" s="14"/>
    </row>
    <row r="208" spans="1:8" x14ac:dyDescent="0.25">
      <c r="A208" s="3"/>
      <c r="B208" s="3"/>
      <c r="C208" s="3"/>
      <c r="D208" s="3"/>
      <c r="G208" s="14"/>
      <c r="H208" s="14"/>
    </row>
    <row r="209" spans="1:8" x14ac:dyDescent="0.25">
      <c r="A209" s="3"/>
      <c r="B209" s="3"/>
      <c r="C209" s="3"/>
      <c r="D209" s="3"/>
      <c r="G209" s="14"/>
      <c r="H209" s="14"/>
    </row>
    <row r="210" spans="1:8" x14ac:dyDescent="0.25">
      <c r="A210" s="3"/>
      <c r="B210" s="3"/>
      <c r="C210" s="3"/>
      <c r="D210" s="3"/>
      <c r="G210" s="14"/>
      <c r="H210" s="14"/>
    </row>
    <row r="211" spans="1:8" x14ac:dyDescent="0.25">
      <c r="A211" s="3"/>
      <c r="B211" s="3"/>
      <c r="C211" s="3"/>
      <c r="D211" s="3"/>
      <c r="G211" s="14"/>
      <c r="H211" s="14"/>
    </row>
    <row r="212" spans="1:8" x14ac:dyDescent="0.25">
      <c r="A212" s="3"/>
      <c r="B212" s="3"/>
      <c r="C212" s="3"/>
      <c r="D212" s="3"/>
      <c r="G212" s="14"/>
      <c r="H212" s="14"/>
    </row>
    <row r="213" spans="1:8" x14ac:dyDescent="0.25">
      <c r="A213" s="3"/>
      <c r="B213" s="3"/>
      <c r="C213" s="3"/>
      <c r="D213" s="3"/>
      <c r="G213" s="14"/>
      <c r="H213" s="14"/>
    </row>
    <row r="214" spans="1:8" x14ac:dyDescent="0.25">
      <c r="A214" s="3"/>
      <c r="B214" s="3"/>
      <c r="C214" s="3"/>
      <c r="D214" s="3"/>
      <c r="G214" s="14"/>
      <c r="H214" s="14"/>
    </row>
    <row r="215" spans="1:8" x14ac:dyDescent="0.25">
      <c r="A215" s="3"/>
      <c r="B215" s="3"/>
      <c r="C215" s="3"/>
      <c r="D215" s="3"/>
      <c r="G215" s="14"/>
      <c r="H215" s="14"/>
    </row>
    <row r="216" spans="1:8" x14ac:dyDescent="0.25">
      <c r="A216" s="3"/>
      <c r="B216" s="3"/>
      <c r="C216" s="3"/>
      <c r="D216" s="3"/>
      <c r="G216" s="14"/>
      <c r="H216" s="14"/>
    </row>
    <row r="217" spans="1:8" x14ac:dyDescent="0.25">
      <c r="A217" s="3"/>
      <c r="B217" s="3"/>
      <c r="C217" s="3"/>
      <c r="D217" s="3"/>
      <c r="G217" s="14"/>
      <c r="H217" s="14"/>
    </row>
    <row r="218" spans="1:8" x14ac:dyDescent="0.25">
      <c r="A218" s="3"/>
      <c r="B218" s="3"/>
      <c r="C218" s="3"/>
      <c r="D218" s="3"/>
      <c r="G218" s="14"/>
      <c r="H218" s="14"/>
    </row>
    <row r="219" spans="1:8" x14ac:dyDescent="0.25">
      <c r="A219" s="3"/>
      <c r="B219" s="3"/>
      <c r="C219" s="3"/>
      <c r="D219" s="3"/>
      <c r="G219" s="14"/>
      <c r="H219" s="14"/>
    </row>
    <row r="220" spans="1:8" x14ac:dyDescent="0.25">
      <c r="A220" s="3"/>
      <c r="B220" s="3"/>
      <c r="C220" s="3"/>
      <c r="D220" s="3"/>
      <c r="G220" s="14"/>
      <c r="H220" s="14"/>
    </row>
    <row r="221" spans="1:8" x14ac:dyDescent="0.25">
      <c r="A221" s="3"/>
      <c r="B221" s="3"/>
      <c r="C221" s="3"/>
      <c r="D221" s="3"/>
      <c r="G221" s="14"/>
      <c r="H221" s="14"/>
    </row>
    <row r="222" spans="1:8" x14ac:dyDescent="0.25">
      <c r="A222" s="3"/>
      <c r="B222" s="3"/>
      <c r="C222" s="3"/>
      <c r="D222" s="3"/>
      <c r="G222" s="14"/>
      <c r="H222" s="14"/>
    </row>
    <row r="223" spans="1:8" x14ac:dyDescent="0.25">
      <c r="A223" s="3"/>
      <c r="B223" s="3"/>
      <c r="C223" s="3"/>
      <c r="D223" s="3"/>
      <c r="G223" s="14"/>
      <c r="H223" s="14"/>
    </row>
    <row r="224" spans="1:8" x14ac:dyDescent="0.25">
      <c r="A224" s="3"/>
      <c r="B224" s="3"/>
      <c r="C224" s="3"/>
      <c r="D224" s="3"/>
      <c r="G224" s="14"/>
      <c r="H224" s="14"/>
    </row>
    <row r="225" spans="1:8" x14ac:dyDescent="0.25">
      <c r="A225" s="3"/>
      <c r="B225" s="3"/>
      <c r="C225" s="3"/>
      <c r="D225" s="3"/>
      <c r="G225" s="14"/>
      <c r="H225" s="14"/>
    </row>
    <row r="226" spans="1:8" x14ac:dyDescent="0.25">
      <c r="A226" s="3"/>
      <c r="B226" s="3"/>
      <c r="C226" s="3"/>
      <c r="D226" s="3"/>
      <c r="G226" s="14"/>
      <c r="H226" s="14"/>
    </row>
    <row r="227" spans="1:8" x14ac:dyDescent="0.25">
      <c r="A227" s="3"/>
      <c r="B227" s="3"/>
      <c r="C227" s="3"/>
      <c r="D227" s="3"/>
      <c r="G227" s="14"/>
      <c r="H227" s="14"/>
    </row>
    <row r="228" spans="1:8" x14ac:dyDescent="0.25">
      <c r="A228" s="3"/>
      <c r="B228" s="3"/>
      <c r="C228" s="3"/>
      <c r="D228" s="3"/>
      <c r="G228" s="14"/>
      <c r="H228" s="14"/>
    </row>
    <row r="229" spans="1:8" x14ac:dyDescent="0.25">
      <c r="A229" s="3"/>
      <c r="B229" s="3"/>
      <c r="C229" s="3"/>
      <c r="D229" s="3"/>
      <c r="G229" s="14"/>
      <c r="H229" s="14"/>
    </row>
    <row r="230" spans="1:8" x14ac:dyDescent="0.25">
      <c r="A230" s="3"/>
      <c r="B230" s="3"/>
      <c r="C230" s="3"/>
      <c r="D230" s="3"/>
      <c r="G230" s="14"/>
      <c r="H230" s="14"/>
    </row>
    <row r="231" spans="1:8" x14ac:dyDescent="0.25">
      <c r="A231" s="3"/>
      <c r="B231" s="3"/>
      <c r="C231" s="3"/>
      <c r="D231" s="3"/>
      <c r="G231" s="14"/>
      <c r="H231" s="14"/>
    </row>
    <row r="232" spans="1:8" x14ac:dyDescent="0.25">
      <c r="A232" s="3"/>
      <c r="B232" s="3"/>
      <c r="C232" s="3"/>
      <c r="D232" s="3"/>
      <c r="G232" s="14"/>
      <c r="H232" s="14"/>
    </row>
    <row r="233" spans="1:8" x14ac:dyDescent="0.25">
      <c r="A233" s="3"/>
      <c r="B233" s="3"/>
      <c r="C233" s="3"/>
      <c r="D233" s="3"/>
      <c r="G233" s="14"/>
      <c r="H233" s="14"/>
    </row>
    <row r="234" spans="1:8" x14ac:dyDescent="0.25">
      <c r="A234" s="3"/>
      <c r="B234" s="3"/>
      <c r="C234" s="3"/>
      <c r="D234" s="3"/>
      <c r="G234" s="14"/>
      <c r="H234" s="14"/>
    </row>
    <row r="235" spans="1:8" x14ac:dyDescent="0.25">
      <c r="A235" s="3"/>
      <c r="B235" s="3"/>
      <c r="C235" s="3"/>
      <c r="D235" s="3"/>
      <c r="G235" s="14"/>
      <c r="H235" s="14"/>
    </row>
    <row r="236" spans="1:8" x14ac:dyDescent="0.25">
      <c r="A236" s="3"/>
      <c r="B236" s="3"/>
      <c r="C236" s="3"/>
      <c r="D236" s="3"/>
      <c r="G236" s="14"/>
      <c r="H236" s="14"/>
    </row>
    <row r="237" spans="1:8" x14ac:dyDescent="0.25">
      <c r="A237" s="3"/>
      <c r="B237" s="3"/>
      <c r="C237" s="3"/>
      <c r="D237" s="3"/>
      <c r="G237" s="14"/>
      <c r="H237" s="14"/>
    </row>
    <row r="238" spans="1:8" x14ac:dyDescent="0.25">
      <c r="A238" s="3"/>
      <c r="B238" s="3"/>
      <c r="C238" s="3"/>
      <c r="D238" s="3"/>
      <c r="G238" s="14"/>
      <c r="H238" s="14"/>
    </row>
    <row r="239" spans="1:8" x14ac:dyDescent="0.25">
      <c r="A239" s="3"/>
      <c r="B239" s="3"/>
      <c r="C239" s="3"/>
      <c r="D239" s="3"/>
      <c r="G239" s="14"/>
      <c r="H239" s="14"/>
    </row>
    <row r="240" spans="1:8" x14ac:dyDescent="0.25">
      <c r="A240" s="3"/>
      <c r="B240" s="3"/>
      <c r="C240" s="3"/>
      <c r="D240" s="3"/>
      <c r="G240" s="14"/>
      <c r="H240" s="14"/>
    </row>
    <row r="241" spans="1:8" x14ac:dyDescent="0.25">
      <c r="A241" s="3"/>
      <c r="B241" s="3"/>
      <c r="C241" s="3"/>
      <c r="D241" s="3"/>
      <c r="G241" s="14"/>
      <c r="H241" s="14"/>
    </row>
    <row r="242" spans="1:8" x14ac:dyDescent="0.25">
      <c r="A242" s="3"/>
      <c r="B242" s="3"/>
      <c r="C242" s="3"/>
      <c r="D242" s="3"/>
      <c r="G242" s="14"/>
      <c r="H242" s="14"/>
    </row>
    <row r="243" spans="1:8" x14ac:dyDescent="0.25">
      <c r="A243" s="3"/>
      <c r="B243" s="3"/>
      <c r="C243" s="3"/>
      <c r="D243" s="3"/>
      <c r="G243" s="14"/>
      <c r="H243" s="14"/>
    </row>
    <row r="244" spans="1:8" x14ac:dyDescent="0.25">
      <c r="A244" s="3"/>
      <c r="B244" s="3"/>
      <c r="C244" s="3"/>
      <c r="D244" s="3"/>
      <c r="G244" s="14"/>
      <c r="H244" s="14"/>
    </row>
    <row r="245" spans="1:8" x14ac:dyDescent="0.25">
      <c r="A245" s="3"/>
      <c r="B245" s="3"/>
      <c r="C245" s="3"/>
      <c r="D245" s="3"/>
      <c r="G245" s="14"/>
      <c r="H245" s="14"/>
    </row>
    <row r="247" spans="1:8" x14ac:dyDescent="0.25">
      <c r="A247" s="3"/>
      <c r="G247" s="14"/>
      <c r="H247" s="14"/>
    </row>
  </sheetData>
  <phoneticPr fontId="1" type="noConversion"/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EC61C7-5388-4039-8529-DA96CDB3FD41}">
  <sheetPr/>
  <dimension ref="A1:I247"/>
  <sheetViews>
    <sheetView zoomScale="115" zoomScaleNormal="115" workbookViewId="0">
      <selection activeCell="A5" sqref="A5:H47"/>
    </sheetView>
  </sheetViews>
  <sheetFormatPr defaultRowHeight="15" x14ac:dyDescent="0.25"/>
  <cols>
    <col min="1" max="1" width="8.875" style="4" customWidth="1"/>
    <col min="2" max="3" width="15.125" style="4" customWidth="1"/>
    <col min="4" max="4" width="10.25" style="4" customWidth="1"/>
    <col min="5" max="5" width="12" style="13" customWidth="1"/>
    <col min="6" max="6" width="15" style="13" customWidth="1"/>
    <col min="7" max="7" width="13.875" customWidth="1"/>
    <col min="8" max="8" width="11.125" customWidth="1"/>
    <col min="11" max="12" width="15.125" customWidth="1"/>
    <col min="13" max="13" width="11.125" customWidth="1"/>
  </cols>
  <sheetData>
    <row r="1" spans="1:9" ht="14.25" x14ac:dyDescent="0.2">
      <c r="A1" s="2" t="s">
        <v>12</v>
      </c>
      <c r="B1" s="2" t="s">
        <v>4</v>
      </c>
      <c r="C1" s="2" t="s">
        <v>5</v>
      </c>
      <c r="D1" s="2" t="s">
        <v>13</v>
      </c>
      <c r="E1" s="2" t="s">
        <v>14</v>
      </c>
      <c r="F1" s="2" t="s">
        <v>15</v>
      </c>
      <c r="G1" s="2" t="s">
        <v>16</v>
      </c>
    </row>
    <row r="2" spans="1:9" x14ac:dyDescent="0.25">
      <c r="A2" s="11">
        <v>17</v>
      </c>
      <c r="B2" s="3">
        <v>113.33222139999999</v>
      </c>
      <c r="C2" s="8">
        <v>22.953818099999999</v>
      </c>
      <c r="D2" s="3">
        <v>1295</v>
      </c>
      <c r="E2" s="13">
        <v>1785</v>
      </c>
      <c r="F2" s="13">
        <v>29</v>
      </c>
      <c r="G2" s="19">
        <f>SUBTOTAL(2,A5:A250)</f>
        <v>15</v>
      </c>
    </row>
    <row r="3" spans="1:9" x14ac:dyDescent="0.25">
      <c r="A3" s="3"/>
      <c r="B3" s="3"/>
      <c r="C3" s="3"/>
      <c r="D3" s="3"/>
    </row>
    <row r="4" spans="1:9" ht="14.25" x14ac:dyDescent="0.2">
      <c r="A4" s="2" t="s">
        <v>0</v>
      </c>
      <c r="B4" s="2" t="s">
        <v>1</v>
      </c>
      <c r="C4" s="2" t="s">
        <v>2</v>
      </c>
      <c r="D4" s="2" t="s">
        <v>3</v>
      </c>
      <c r="E4" s="2" t="s">
        <v>7</v>
      </c>
      <c r="F4" s="2" t="s">
        <v>8</v>
      </c>
      <c r="G4" s="2" t="s">
        <v>13</v>
      </c>
      <c r="H4" s="2" t="s">
        <v>14</v>
      </c>
      <c r="I4" s="24" t="s">
        <v>20</v>
      </c>
    </row>
    <row r="5" spans="1:9" x14ac:dyDescent="0.25">
      <c r="A5" s="3">
        <v>2844</v>
      </c>
      <c r="B5" s="3">
        <v>113.3311906</v>
      </c>
      <c r="C5" s="3">
        <v>22.952064870000001</v>
      </c>
      <c r="D5" s="3">
        <v>17</v>
      </c>
      <c r="E5" s="13">
        <f t="shared" ref="E5:E49" si="0">SQRT((B5-$B$2)^2+(C5-$C$2)^2)</f>
        <v>2.0338053183342991E-3</v>
      </c>
      <c r="F5" s="13">
        <f t="shared" ref="F5:F49" si="1">SQRT(1/E5)</f>
        <v>22.174064714206622</v>
      </c>
      <c r="G5" s="14">
        <f>F5/$F$51*$D$2</f>
        <v>127.67095942117359</v>
      </c>
      <c r="H5" s="14">
        <f>F5/$F$51*$E$2</f>
        <v>175.978890012969</v>
      </c>
      <c r="I5" s="25" t="str">
        <f>IF(MOD(ROW()-1,3)=1,"选中","")</f>
        <v>选中</v>
      </c>
    </row>
    <row r="6" spans="1:9" hidden="1" x14ac:dyDescent="0.25">
      <c r="A6" s="3">
        <v>2515</v>
      </c>
      <c r="B6" s="3">
        <v>113.3319778</v>
      </c>
      <c r="C6" s="3">
        <v>22.95616064</v>
      </c>
      <c r="D6" s="3">
        <v>17</v>
      </c>
      <c r="E6" s="13">
        <f t="shared" si="0"/>
        <v>2.3551718857864621E-3</v>
      </c>
      <c r="F6" s="13">
        <f t="shared" si="1"/>
        <v>20.605762780316663</v>
      </c>
      <c r="G6" s="14" t="e">
        <f>F6/$F$124*$D$2</f>
        <v>#DIV/0!</v>
      </c>
      <c r="H6" s="14" t="e">
        <f>F6/$F$124*$E$2</f>
        <v>#DIV/0!</v>
      </c>
      <c r="I6" s="25" t="str">
        <f t="shared" ref="I6:I49" si="2">IF(MOD(ROW()-1,3)=1,"选中","")</f>
        <v/>
      </c>
    </row>
    <row r="7" spans="1:9" hidden="1" x14ac:dyDescent="0.25">
      <c r="A7" s="3">
        <v>2843</v>
      </c>
      <c r="B7" s="3">
        <v>113.3314192</v>
      </c>
      <c r="C7" s="3">
        <v>22.9514687</v>
      </c>
      <c r="D7" s="3">
        <v>17</v>
      </c>
      <c r="E7" s="13">
        <f t="shared" si="0"/>
        <v>2.4825803511653766E-3</v>
      </c>
      <c r="F7" s="13">
        <f t="shared" si="1"/>
        <v>20.07004485566577</v>
      </c>
      <c r="G7" s="14" t="e">
        <f>F7/$F$124*$D$2</f>
        <v>#DIV/0!</v>
      </c>
      <c r="H7" s="14" t="e">
        <f>F7/$F$124*$E$2</f>
        <v>#DIV/0!</v>
      </c>
      <c r="I7" s="25" t="str">
        <f t="shared" si="2"/>
        <v/>
      </c>
    </row>
    <row r="8" spans="1:9" x14ac:dyDescent="0.25">
      <c r="A8" s="3">
        <v>2847</v>
      </c>
      <c r="B8" s="3">
        <v>113.3342225</v>
      </c>
      <c r="C8" s="3">
        <v>22.952297089999998</v>
      </c>
      <c r="D8" s="3">
        <v>17</v>
      </c>
      <c r="E8" s="13">
        <f t="shared" si="0"/>
        <v>2.5135378712300852E-3</v>
      </c>
      <c r="F8" s="13">
        <f t="shared" si="1"/>
        <v>19.946067456052599</v>
      </c>
      <c r="G8" s="14">
        <f>F8/$F$51*$D$2</f>
        <v>114.84288521815998</v>
      </c>
      <c r="H8" s="14">
        <f>F8/$F$51*$E$2</f>
        <v>158.29694989530159</v>
      </c>
      <c r="I8" s="25" t="str">
        <f t="shared" si="2"/>
        <v>选中</v>
      </c>
    </row>
    <row r="9" spans="1:9" hidden="1" x14ac:dyDescent="0.25">
      <c r="A9" s="3">
        <v>2853</v>
      </c>
      <c r="B9" s="3">
        <v>113.33412180000001</v>
      </c>
      <c r="C9" s="3">
        <v>22.951715530000001</v>
      </c>
      <c r="D9" s="3">
        <v>17</v>
      </c>
      <c r="E9" s="13">
        <f t="shared" si="0"/>
        <v>2.8341349235584423E-3</v>
      </c>
      <c r="F9" s="13">
        <f t="shared" si="1"/>
        <v>18.784071780170631</v>
      </c>
      <c r="G9" s="14" t="e">
        <f>F9/$F$124*$D$2</f>
        <v>#DIV/0!</v>
      </c>
      <c r="H9" s="14" t="e">
        <f>F9/$F$124*$E$2</f>
        <v>#DIV/0!</v>
      </c>
      <c r="I9" s="25" t="str">
        <f t="shared" si="2"/>
        <v/>
      </c>
    </row>
    <row r="10" spans="1:9" hidden="1" x14ac:dyDescent="0.25">
      <c r="A10" s="3">
        <v>2855</v>
      </c>
      <c r="B10" s="3">
        <v>113.3342765</v>
      </c>
      <c r="C10" s="3">
        <v>22.951615279999999</v>
      </c>
      <c r="D10" s="3">
        <v>17</v>
      </c>
      <c r="E10" s="13">
        <f t="shared" si="0"/>
        <v>3.0126154687300931E-3</v>
      </c>
      <c r="F10" s="13">
        <f t="shared" si="1"/>
        <v>18.219151581471021</v>
      </c>
      <c r="G10" s="14" t="e">
        <f>F10/$F$124*$D$2</f>
        <v>#DIV/0!</v>
      </c>
      <c r="H10" s="14" t="e">
        <f>F10/$F$124*$E$2</f>
        <v>#DIV/0!</v>
      </c>
      <c r="I10" s="25" t="str">
        <f t="shared" si="2"/>
        <v/>
      </c>
    </row>
    <row r="11" spans="1:9" x14ac:dyDescent="0.25">
      <c r="A11" s="3">
        <v>2863</v>
      </c>
      <c r="B11" s="3">
        <v>113.3352684</v>
      </c>
      <c r="C11" s="3">
        <v>22.953619589999999</v>
      </c>
      <c r="D11" s="3">
        <v>17</v>
      </c>
      <c r="E11" s="13">
        <f t="shared" si="0"/>
        <v>3.0534595494548806E-3</v>
      </c>
      <c r="F11" s="13">
        <f t="shared" si="1"/>
        <v>18.096888661307297</v>
      </c>
      <c r="G11" s="14">
        <f>F11/$F$51*$D$2</f>
        <v>104.19592292643523</v>
      </c>
      <c r="H11" s="14">
        <f>F11/$F$51*$E$2</f>
        <v>143.62140727697829</v>
      </c>
      <c r="I11" s="25" t="str">
        <f t="shared" si="2"/>
        <v>选中</v>
      </c>
    </row>
    <row r="12" spans="1:9" hidden="1" x14ac:dyDescent="0.25">
      <c r="A12" s="3">
        <v>2859</v>
      </c>
      <c r="B12" s="3">
        <v>113.3352245</v>
      </c>
      <c r="C12" s="3">
        <v>22.953043910000002</v>
      </c>
      <c r="D12" s="3">
        <v>17</v>
      </c>
      <c r="E12" s="13">
        <f t="shared" si="0"/>
        <v>3.1012867919786875E-3</v>
      </c>
      <c r="F12" s="13">
        <f t="shared" si="1"/>
        <v>17.956803706934057</v>
      </c>
      <c r="G12" s="14" t="e">
        <f>F12/$F$124*$D$2</f>
        <v>#DIV/0!</v>
      </c>
      <c r="H12" s="14" t="e">
        <f>F12/$F$124*$E$2</f>
        <v>#DIV/0!</v>
      </c>
      <c r="I12" s="25" t="str">
        <f t="shared" si="2"/>
        <v/>
      </c>
    </row>
    <row r="13" spans="1:9" hidden="1" x14ac:dyDescent="0.25">
      <c r="A13" s="3">
        <v>2871</v>
      </c>
      <c r="B13" s="3">
        <v>113.3351687</v>
      </c>
      <c r="C13" s="3">
        <v>22.952272350000001</v>
      </c>
      <c r="D13" s="3">
        <v>17</v>
      </c>
      <c r="E13" s="13">
        <f t="shared" si="0"/>
        <v>3.3280505333466411E-3</v>
      </c>
      <c r="F13" s="13">
        <f t="shared" si="1"/>
        <v>17.33424952832522</v>
      </c>
      <c r="G13" s="14" t="e">
        <f>F13/$F$124*$D$2</f>
        <v>#DIV/0!</v>
      </c>
      <c r="H13" s="14" t="e">
        <f>F13/$F$124*$E$2</f>
        <v>#DIV/0!</v>
      </c>
      <c r="I13" s="25" t="str">
        <f t="shared" si="2"/>
        <v/>
      </c>
    </row>
    <row r="14" spans="1:9" x14ac:dyDescent="0.25">
      <c r="A14" s="3">
        <v>2862</v>
      </c>
      <c r="B14" s="3">
        <v>113.3354641</v>
      </c>
      <c r="C14" s="3">
        <v>22.952363760000001</v>
      </c>
      <c r="D14" s="3">
        <v>17</v>
      </c>
      <c r="E14" s="13">
        <f t="shared" si="0"/>
        <v>3.5539004101978319E-3</v>
      </c>
      <c r="F14" s="13">
        <f t="shared" si="1"/>
        <v>16.774414611514761</v>
      </c>
      <c r="G14" s="14">
        <f>F14/$F$51*$D$2</f>
        <v>96.581553034277235</v>
      </c>
      <c r="H14" s="14">
        <f>F14/$F$51*$E$2</f>
        <v>133.12592445265241</v>
      </c>
      <c r="I14" s="25" t="str">
        <f t="shared" si="2"/>
        <v>选中</v>
      </c>
    </row>
    <row r="15" spans="1:9" hidden="1" x14ac:dyDescent="0.25">
      <c r="A15" s="3">
        <v>2514</v>
      </c>
      <c r="B15" s="3">
        <v>113.3319767</v>
      </c>
      <c r="C15" s="3">
        <v>22.957367130000002</v>
      </c>
      <c r="D15" s="3">
        <v>17</v>
      </c>
      <c r="E15" s="13">
        <f t="shared" si="0"/>
        <v>3.5574558368183197E-3</v>
      </c>
      <c r="F15" s="13">
        <f t="shared" si="1"/>
        <v>16.766030092916971</v>
      </c>
      <c r="G15" s="14" t="e">
        <f>F15/$F$124*$D$2</f>
        <v>#DIV/0!</v>
      </c>
      <c r="H15" s="14" t="e">
        <f>F15/$F$124*$E$2</f>
        <v>#DIV/0!</v>
      </c>
      <c r="I15" s="25" t="str">
        <f t="shared" si="2"/>
        <v/>
      </c>
    </row>
    <row r="16" spans="1:9" hidden="1" x14ac:dyDescent="0.25">
      <c r="A16" s="3">
        <v>2867</v>
      </c>
      <c r="B16" s="3">
        <v>113.335511</v>
      </c>
      <c r="C16" s="3">
        <v>22.952296700000002</v>
      </c>
      <c r="D16" s="3">
        <v>17</v>
      </c>
      <c r="E16" s="13">
        <f t="shared" si="0"/>
        <v>3.6243794117073662E-3</v>
      </c>
      <c r="F16" s="13">
        <f t="shared" si="1"/>
        <v>16.610517865112968</v>
      </c>
      <c r="G16" s="14" t="e">
        <f>F16/$F$124*$D$2</f>
        <v>#DIV/0!</v>
      </c>
      <c r="H16" s="14" t="e">
        <f>F16/$F$124*$E$2</f>
        <v>#DIV/0!</v>
      </c>
      <c r="I16" s="25" t="str">
        <f t="shared" si="2"/>
        <v/>
      </c>
    </row>
    <row r="17" spans="1:9" x14ac:dyDescent="0.25">
      <c r="A17" s="3">
        <v>2857</v>
      </c>
      <c r="B17" s="3">
        <v>113.3359062</v>
      </c>
      <c r="C17" s="3">
        <v>22.952975680000002</v>
      </c>
      <c r="D17" s="3">
        <v>17</v>
      </c>
      <c r="E17" s="13">
        <f t="shared" si="0"/>
        <v>3.7798706983720371E-3</v>
      </c>
      <c r="F17" s="13">
        <f t="shared" si="1"/>
        <v>16.265279409604197</v>
      </c>
      <c r="G17" s="14">
        <f>F17/$F$51*$D$2</f>
        <v>93.650120275295123</v>
      </c>
      <c r="H17" s="14">
        <f>F17/$F$51*$E$2</f>
        <v>129.0853009200014</v>
      </c>
      <c r="I17" s="25" t="str">
        <f t="shared" si="2"/>
        <v>选中</v>
      </c>
    </row>
    <row r="18" spans="1:9" hidden="1" x14ac:dyDescent="0.25">
      <c r="A18" s="3">
        <v>2861</v>
      </c>
      <c r="B18" s="3">
        <v>113.3361357</v>
      </c>
      <c r="C18" s="3">
        <v>22.95351303</v>
      </c>
      <c r="D18" s="3">
        <v>17</v>
      </c>
      <c r="E18" s="13">
        <f t="shared" si="0"/>
        <v>3.9261701688720627E-3</v>
      </c>
      <c r="F18" s="13">
        <f t="shared" si="1"/>
        <v>15.959358867281548</v>
      </c>
      <c r="G18" s="14" t="e">
        <f>F18/$F$124*$D$2</f>
        <v>#DIV/0!</v>
      </c>
      <c r="H18" s="14" t="e">
        <f>F18/$F$124*$E$2</f>
        <v>#DIV/0!</v>
      </c>
      <c r="I18" s="25" t="str">
        <f t="shared" si="2"/>
        <v/>
      </c>
    </row>
    <row r="19" spans="1:9" hidden="1" x14ac:dyDescent="0.25">
      <c r="A19" s="3">
        <v>2501</v>
      </c>
      <c r="B19" s="3">
        <v>113.333786</v>
      </c>
      <c r="C19" s="3">
        <v>22.95745071</v>
      </c>
      <c r="D19" s="3">
        <v>17</v>
      </c>
      <c r="E19" s="13">
        <f t="shared" si="0"/>
        <v>3.955228005075126E-3</v>
      </c>
      <c r="F19" s="13">
        <f t="shared" si="1"/>
        <v>15.900626560927583</v>
      </c>
      <c r="G19" s="14" t="e">
        <f>F19/$F$124*$D$2</f>
        <v>#DIV/0!</v>
      </c>
      <c r="H19" s="14" t="e">
        <f>F19/$F$124*$E$2</f>
        <v>#DIV/0!</v>
      </c>
      <c r="I19" s="25" t="str">
        <f t="shared" si="2"/>
        <v/>
      </c>
    </row>
    <row r="20" spans="1:9" x14ac:dyDescent="0.25">
      <c r="A20" s="3">
        <v>2494</v>
      </c>
      <c r="B20" s="3">
        <v>113.32989790000001</v>
      </c>
      <c r="C20" s="3">
        <v>22.957097170000001</v>
      </c>
      <c r="D20" s="3">
        <v>17</v>
      </c>
      <c r="E20" s="13">
        <f t="shared" si="0"/>
        <v>4.018824742988438E-3</v>
      </c>
      <c r="F20" s="13">
        <f t="shared" si="1"/>
        <v>15.774313445376569</v>
      </c>
      <c r="G20" s="14">
        <f>F20/$F$51*$D$2</f>
        <v>90.823300001070734</v>
      </c>
      <c r="H20" s="14">
        <f>F20/$F$51*$E$2</f>
        <v>125.18887297444884</v>
      </c>
      <c r="I20" s="25" t="str">
        <f t="shared" si="2"/>
        <v>选中</v>
      </c>
    </row>
    <row r="21" spans="1:9" hidden="1" x14ac:dyDescent="0.25">
      <c r="A21" s="3">
        <v>2864</v>
      </c>
      <c r="B21" s="3">
        <v>113.3356797</v>
      </c>
      <c r="C21" s="3">
        <v>22.951639669999999</v>
      </c>
      <c r="D21" s="3">
        <v>17</v>
      </c>
      <c r="E21" s="13">
        <f t="shared" si="0"/>
        <v>4.0872235264224274E-3</v>
      </c>
      <c r="F21" s="13">
        <f t="shared" si="1"/>
        <v>15.641766744193836</v>
      </c>
      <c r="G21" s="14" t="e">
        <f>F21/$F$124*$D$2</f>
        <v>#DIV/0!</v>
      </c>
      <c r="H21" s="14" t="e">
        <f>F21/$F$124*$E$2</f>
        <v>#DIV/0!</v>
      </c>
      <c r="I21" s="25" t="str">
        <f t="shared" si="2"/>
        <v/>
      </c>
    </row>
    <row r="22" spans="1:9" hidden="1" x14ac:dyDescent="0.25">
      <c r="A22" s="3">
        <v>2503</v>
      </c>
      <c r="B22" s="3">
        <v>113.3331702</v>
      </c>
      <c r="C22" s="3">
        <v>22.957812700000002</v>
      </c>
      <c r="D22" s="3">
        <v>17</v>
      </c>
      <c r="E22" s="13">
        <f t="shared" si="0"/>
        <v>4.1057338686310008E-3</v>
      </c>
      <c r="F22" s="13">
        <f t="shared" si="1"/>
        <v>15.606467144005752</v>
      </c>
      <c r="G22" s="14" t="e">
        <f>F22/$F$124*$D$2</f>
        <v>#DIV/0!</v>
      </c>
      <c r="H22" s="14" t="e">
        <f>F22/$F$124*$E$2</f>
        <v>#DIV/0!</v>
      </c>
      <c r="I22" s="25" t="str">
        <f t="shared" si="2"/>
        <v/>
      </c>
    </row>
    <row r="23" spans="1:9" x14ac:dyDescent="0.25">
      <c r="A23" s="3">
        <v>2869</v>
      </c>
      <c r="B23" s="3">
        <v>113.3358533</v>
      </c>
      <c r="C23" s="3">
        <v>22.951697320000001</v>
      </c>
      <c r="D23" s="3">
        <v>17</v>
      </c>
      <c r="E23" s="13">
        <f t="shared" si="0"/>
        <v>4.2057586020132287E-3</v>
      </c>
      <c r="F23" s="13">
        <f t="shared" si="1"/>
        <v>15.419767628506943</v>
      </c>
      <c r="G23" s="14">
        <f>F23/$F$51*$D$2</f>
        <v>88.781941991976979</v>
      </c>
      <c r="H23" s="14">
        <f>F23/$F$51*$E$2</f>
        <v>122.37510923218449</v>
      </c>
      <c r="I23" s="25" t="str">
        <f t="shared" si="2"/>
        <v>选中</v>
      </c>
    </row>
    <row r="24" spans="1:9" hidden="1" x14ac:dyDescent="0.25">
      <c r="A24" s="3">
        <v>2505</v>
      </c>
      <c r="B24" s="3">
        <v>113.33641609999999</v>
      </c>
      <c r="C24" s="3">
        <v>22.954350160000001</v>
      </c>
      <c r="D24" s="3">
        <v>17</v>
      </c>
      <c r="E24" s="13">
        <f t="shared" si="0"/>
        <v>4.2283088739584309E-3</v>
      </c>
      <c r="F24" s="13">
        <f t="shared" si="1"/>
        <v>15.378594571362381</v>
      </c>
      <c r="G24" s="14" t="e">
        <f>F24/$F$124*$D$2</f>
        <v>#DIV/0!</v>
      </c>
      <c r="H24" s="14" t="e">
        <f>F24/$F$124*$E$2</f>
        <v>#DIV/0!</v>
      </c>
      <c r="I24" s="25" t="str">
        <f t="shared" si="2"/>
        <v/>
      </c>
    </row>
    <row r="25" spans="1:9" hidden="1" x14ac:dyDescent="0.25">
      <c r="A25" s="3">
        <v>2860</v>
      </c>
      <c r="B25" s="3">
        <v>113.3323824</v>
      </c>
      <c r="C25" s="3">
        <v>22.949574689999999</v>
      </c>
      <c r="D25" s="3">
        <v>17</v>
      </c>
      <c r="E25" s="13">
        <f t="shared" si="0"/>
        <v>4.2464631669318536E-3</v>
      </c>
      <c r="F25" s="13">
        <f t="shared" si="1"/>
        <v>15.345686415506906</v>
      </c>
      <c r="G25" s="14" t="e">
        <f>F25/$F$124*$D$2</f>
        <v>#DIV/0!</v>
      </c>
      <c r="H25" s="14" t="e">
        <f>F25/$F$124*$E$2</f>
        <v>#DIV/0!</v>
      </c>
      <c r="I25" s="25" t="str">
        <f t="shared" si="2"/>
        <v/>
      </c>
    </row>
    <row r="26" spans="1:9" x14ac:dyDescent="0.25">
      <c r="A26" s="3">
        <v>2851</v>
      </c>
      <c r="B26" s="3">
        <v>113.3361048</v>
      </c>
      <c r="C26" s="3">
        <v>22.95187778</v>
      </c>
      <c r="D26" s="3">
        <v>17</v>
      </c>
      <c r="E26" s="13">
        <f t="shared" si="0"/>
        <v>4.3411562126290382E-3</v>
      </c>
      <c r="F26" s="13">
        <f t="shared" si="1"/>
        <v>15.177396959281406</v>
      </c>
      <c r="G26" s="14">
        <f>F26/$F$51*$D$2</f>
        <v>87.38645152712995</v>
      </c>
      <c r="H26" s="14">
        <f>F26/$F$51*$E$2</f>
        <v>120.45159534820615</v>
      </c>
      <c r="I26" s="25" t="str">
        <f t="shared" si="2"/>
        <v>选中</v>
      </c>
    </row>
    <row r="27" spans="1:9" hidden="1" x14ac:dyDescent="0.25">
      <c r="A27" s="3">
        <v>2854</v>
      </c>
      <c r="B27" s="3">
        <v>113.3329183</v>
      </c>
      <c r="C27" s="3">
        <v>22.949496719999999</v>
      </c>
      <c r="D27" s="3">
        <v>17</v>
      </c>
      <c r="E27" s="13">
        <f t="shared" si="0"/>
        <v>4.3772131218864406E-3</v>
      </c>
      <c r="F27" s="13">
        <f t="shared" si="1"/>
        <v>15.114756455333229</v>
      </c>
      <c r="G27" s="14" t="e">
        <f>F27/$F$124*$D$2</f>
        <v>#DIV/0!</v>
      </c>
      <c r="H27" s="14" t="e">
        <f>F27/$F$124*$E$2</f>
        <v>#DIV/0!</v>
      </c>
      <c r="I27" s="25" t="str">
        <f t="shared" si="2"/>
        <v/>
      </c>
    </row>
    <row r="28" spans="1:9" hidden="1" x14ac:dyDescent="0.25">
      <c r="A28" s="3">
        <v>2848</v>
      </c>
      <c r="B28" s="3">
        <v>113.3356228</v>
      </c>
      <c r="C28" s="3">
        <v>22.950895089999999</v>
      </c>
      <c r="D28" s="3">
        <v>17</v>
      </c>
      <c r="E28" s="13">
        <f t="shared" si="0"/>
        <v>4.4848087384088912E-3</v>
      </c>
      <c r="F28" s="13">
        <f t="shared" si="1"/>
        <v>14.932345732071157</v>
      </c>
      <c r="G28" s="14" t="e">
        <f>F28/$F$124*$D$2</f>
        <v>#DIV/0!</v>
      </c>
      <c r="H28" s="14" t="e">
        <f>F28/$F$124*$E$2</f>
        <v>#DIV/0!</v>
      </c>
      <c r="I28" s="25" t="str">
        <f t="shared" si="2"/>
        <v/>
      </c>
    </row>
    <row r="29" spans="1:9" x14ac:dyDescent="0.25">
      <c r="A29" s="3">
        <v>2870</v>
      </c>
      <c r="B29" s="3">
        <v>113.3357676</v>
      </c>
      <c r="C29" s="3">
        <v>22.950879830000002</v>
      </c>
      <c r="D29" s="3">
        <v>17</v>
      </c>
      <c r="E29" s="13">
        <f t="shared" si="0"/>
        <v>4.6053192107501075E-3</v>
      </c>
      <c r="F29" s="13">
        <f t="shared" si="1"/>
        <v>14.735678275047194</v>
      </c>
      <c r="G29" s="14">
        <f>F29/$F$51*$D$2</f>
        <v>84.843180866685415</v>
      </c>
      <c r="H29" s="14">
        <f>F29/$F$51*$E$2</f>
        <v>116.9460060594853</v>
      </c>
      <c r="I29" s="25" t="str">
        <f t="shared" si="2"/>
        <v>选中</v>
      </c>
    </row>
    <row r="30" spans="1:9" hidden="1" x14ac:dyDescent="0.25">
      <c r="A30" s="3">
        <v>2493</v>
      </c>
      <c r="B30" s="3">
        <v>113.33023710000001</v>
      </c>
      <c r="C30" s="3">
        <v>22.95797915</v>
      </c>
      <c r="D30" s="3">
        <v>17</v>
      </c>
      <c r="E30" s="13">
        <f t="shared" si="0"/>
        <v>4.6099656823518796E-3</v>
      </c>
      <c r="F30" s="13">
        <f t="shared" si="1"/>
        <v>14.728250218437388</v>
      </c>
      <c r="G30" s="14" t="e">
        <f>F30/$F$124*$D$2</f>
        <v>#DIV/0!</v>
      </c>
      <c r="H30" s="14" t="e">
        <f>F30/$F$124*$E$2</f>
        <v>#DIV/0!</v>
      </c>
      <c r="I30" s="25" t="str">
        <f t="shared" si="2"/>
        <v/>
      </c>
    </row>
    <row r="31" spans="1:9" hidden="1" x14ac:dyDescent="0.25">
      <c r="A31" s="3">
        <v>2850</v>
      </c>
      <c r="B31" s="3">
        <v>113.3342267</v>
      </c>
      <c r="C31" s="3">
        <v>22.949131430000001</v>
      </c>
      <c r="D31" s="3">
        <v>17</v>
      </c>
      <c r="E31" s="13">
        <f t="shared" si="0"/>
        <v>5.0976566948856585E-3</v>
      </c>
      <c r="F31" s="13">
        <f t="shared" si="1"/>
        <v>14.006018893866322</v>
      </c>
      <c r="G31" s="14" t="e">
        <f>F31/$F$124*$D$2</f>
        <v>#DIV/0!</v>
      </c>
      <c r="H31" s="14" t="e">
        <f>F31/$F$124*$E$2</f>
        <v>#DIV/0!</v>
      </c>
      <c r="I31" s="25" t="str">
        <f t="shared" si="2"/>
        <v/>
      </c>
    </row>
    <row r="32" spans="1:9" x14ac:dyDescent="0.25">
      <c r="A32" s="3">
        <v>2865</v>
      </c>
      <c r="B32" s="3">
        <v>113.33638639999999</v>
      </c>
      <c r="C32" s="3">
        <v>22.95083271</v>
      </c>
      <c r="D32" s="3">
        <v>17</v>
      </c>
      <c r="E32" s="13">
        <f t="shared" si="0"/>
        <v>5.1244295733377685E-3</v>
      </c>
      <c r="F32" s="13">
        <f t="shared" si="1"/>
        <v>13.969383352509691</v>
      </c>
      <c r="G32" s="14">
        <f>F32/$F$51*$D$2</f>
        <v>80.431107157111711</v>
      </c>
      <c r="H32" s="14">
        <f>F32/$F$51*$E$2</f>
        <v>110.86449905439723</v>
      </c>
      <c r="I32" s="25" t="str">
        <f t="shared" si="2"/>
        <v>选中</v>
      </c>
    </row>
    <row r="33" spans="1:9" hidden="1" x14ac:dyDescent="0.25">
      <c r="A33" s="3">
        <v>2849</v>
      </c>
      <c r="B33" s="3">
        <v>113.3363774</v>
      </c>
      <c r="C33" s="3">
        <v>22.950778750000001</v>
      </c>
      <c r="D33" s="3">
        <v>17</v>
      </c>
      <c r="E33" s="13">
        <f t="shared" si="0"/>
        <v>5.1487847520131132E-3</v>
      </c>
      <c r="F33" s="13">
        <f t="shared" si="1"/>
        <v>13.936304661114381</v>
      </c>
      <c r="G33" s="14" t="e">
        <f>F33/$F$124*$D$2</f>
        <v>#DIV/0!</v>
      </c>
      <c r="H33" s="14" t="e">
        <f>F33/$F$124*$E$2</f>
        <v>#DIV/0!</v>
      </c>
      <c r="I33" s="25" t="str">
        <f t="shared" si="2"/>
        <v/>
      </c>
    </row>
    <row r="34" spans="1:9" hidden="1" x14ac:dyDescent="0.25">
      <c r="A34" s="3">
        <v>2498</v>
      </c>
      <c r="B34" s="3">
        <v>113.328818</v>
      </c>
      <c r="C34" s="3">
        <v>22.9580728</v>
      </c>
      <c r="D34" s="3">
        <v>17</v>
      </c>
      <c r="E34" s="13">
        <f t="shared" si="0"/>
        <v>5.4484496556341496E-3</v>
      </c>
      <c r="F34" s="13">
        <f t="shared" si="1"/>
        <v>13.547636293380233</v>
      </c>
      <c r="G34" s="14" t="e">
        <f>F34/$F$124*$D$2</f>
        <v>#DIV/0!</v>
      </c>
      <c r="H34" s="14" t="e">
        <f>F34/$F$124*$E$2</f>
        <v>#DIV/0!</v>
      </c>
      <c r="I34" s="25" t="str">
        <f t="shared" si="2"/>
        <v/>
      </c>
    </row>
    <row r="35" spans="1:9" x14ac:dyDescent="0.25">
      <c r="A35" s="3">
        <v>2496</v>
      </c>
      <c r="B35" s="3">
        <v>113.32759059999999</v>
      </c>
      <c r="C35" s="3">
        <v>22.957511369999999</v>
      </c>
      <c r="D35" s="3">
        <v>17</v>
      </c>
      <c r="E35" s="13">
        <f t="shared" si="0"/>
        <v>5.9232214151511645E-3</v>
      </c>
      <c r="F35" s="13">
        <f t="shared" si="1"/>
        <v>12.993346387086678</v>
      </c>
      <c r="G35" s="14">
        <f>F35/$F$51*$D$2</f>
        <v>74.811407863718301</v>
      </c>
      <c r="H35" s="14">
        <f>F35/$F$51*$E$2</f>
        <v>103.11842705539549</v>
      </c>
      <c r="I35" s="25" t="str">
        <f t="shared" si="2"/>
        <v>选中</v>
      </c>
    </row>
    <row r="36" spans="1:9" hidden="1" x14ac:dyDescent="0.25">
      <c r="A36" s="3">
        <v>2489</v>
      </c>
      <c r="B36" s="3">
        <v>113.3283818</v>
      </c>
      <c r="C36" s="3">
        <v>22.95944304</v>
      </c>
      <c r="D36" s="3">
        <v>17</v>
      </c>
      <c r="E36" s="13">
        <f t="shared" si="0"/>
        <v>6.8104682778459174E-3</v>
      </c>
      <c r="F36" s="13">
        <f t="shared" si="1"/>
        <v>12.117457712684985</v>
      </c>
      <c r="G36" s="14" t="e">
        <f>F36/$F$124*$D$2</f>
        <v>#DIV/0!</v>
      </c>
      <c r="H36" s="14" t="e">
        <f>F36/$F$124*$E$2</f>
        <v>#DIV/0!</v>
      </c>
      <c r="I36" s="25" t="str">
        <f t="shared" si="2"/>
        <v/>
      </c>
    </row>
    <row r="37" spans="1:9" hidden="1" x14ac:dyDescent="0.25">
      <c r="A37" s="3">
        <v>2852</v>
      </c>
      <c r="B37" s="3">
        <v>113.33890940000001</v>
      </c>
      <c r="C37" s="3">
        <v>22.950842099999999</v>
      </c>
      <c r="D37" s="3">
        <v>17</v>
      </c>
      <c r="E37" s="13">
        <f t="shared" si="0"/>
        <v>7.3202404332201225E-3</v>
      </c>
      <c r="F37" s="13">
        <f t="shared" si="1"/>
        <v>11.687922605728566</v>
      </c>
      <c r="G37" s="14" t="e">
        <f>F37/$F$124*$D$2</f>
        <v>#DIV/0!</v>
      </c>
      <c r="H37" s="14" t="e">
        <f>F37/$F$124*$E$2</f>
        <v>#DIV/0!</v>
      </c>
      <c r="I37" s="25" t="str">
        <f t="shared" si="2"/>
        <v/>
      </c>
    </row>
    <row r="38" spans="1:9" x14ac:dyDescent="0.25">
      <c r="A38" s="3">
        <v>2837</v>
      </c>
      <c r="B38" s="3">
        <v>113.33039960000001</v>
      </c>
      <c r="C38" s="3">
        <v>22.946709640000002</v>
      </c>
      <c r="D38" s="3">
        <v>17</v>
      </c>
      <c r="E38" s="13">
        <f t="shared" si="0"/>
        <v>7.3381986080729121E-3</v>
      </c>
      <c r="F38" s="13">
        <f t="shared" si="1"/>
        <v>11.673612395527543</v>
      </c>
      <c r="G38" s="14">
        <f>F38/$F$51*$D$2</f>
        <v>67.212814324161272</v>
      </c>
      <c r="H38" s="14">
        <f>F38/$F$51*$E$2</f>
        <v>92.644690014384466</v>
      </c>
      <c r="I38" s="25" t="str">
        <f t="shared" si="2"/>
        <v>选中</v>
      </c>
    </row>
    <row r="39" spans="1:9" hidden="1" x14ac:dyDescent="0.25">
      <c r="A39" s="3">
        <v>2499</v>
      </c>
      <c r="B39" s="3">
        <v>113.3281432</v>
      </c>
      <c r="C39" s="3">
        <v>22.960261150000001</v>
      </c>
      <c r="D39" s="3">
        <v>17</v>
      </c>
      <c r="E39" s="13">
        <f t="shared" si="0"/>
        <v>7.6252612114260186E-3</v>
      </c>
      <c r="F39" s="13">
        <f t="shared" si="1"/>
        <v>11.451770534953194</v>
      </c>
      <c r="G39" s="14" t="e">
        <f>F39/$F$124*$D$2</f>
        <v>#DIV/0!</v>
      </c>
      <c r="H39" s="14" t="e">
        <f>F39/$F$124*$E$2</f>
        <v>#DIV/0!</v>
      </c>
      <c r="I39" s="25" t="str">
        <f t="shared" si="2"/>
        <v/>
      </c>
    </row>
    <row r="40" spans="1:9" hidden="1" x14ac:dyDescent="0.25">
      <c r="A40" s="3">
        <v>2495</v>
      </c>
      <c r="B40" s="3">
        <v>113.32549179999999</v>
      </c>
      <c r="C40" s="3">
        <v>22.957971180000001</v>
      </c>
      <c r="D40" s="3">
        <v>17</v>
      </c>
      <c r="E40" s="13">
        <f t="shared" si="0"/>
        <v>7.9079447169548133E-3</v>
      </c>
      <c r="F40" s="13">
        <f t="shared" si="1"/>
        <v>11.245225991069093</v>
      </c>
      <c r="G40" s="14" t="e">
        <f>F40/$F$124*$D$2</f>
        <v>#DIV/0!</v>
      </c>
      <c r="H40" s="14" t="e">
        <f>F40/$F$124*$E$2</f>
        <v>#DIV/0!</v>
      </c>
      <c r="I40" s="25" t="str">
        <f t="shared" si="2"/>
        <v/>
      </c>
    </row>
    <row r="41" spans="1:9" x14ac:dyDescent="0.25">
      <c r="A41" s="3">
        <v>2491</v>
      </c>
      <c r="B41" s="3">
        <v>113.3284855</v>
      </c>
      <c r="C41" s="3">
        <v>22.96113312</v>
      </c>
      <c r="D41" s="3">
        <v>17</v>
      </c>
      <c r="E41" s="13">
        <f t="shared" si="0"/>
        <v>8.2137973197763618E-3</v>
      </c>
      <c r="F41" s="13">
        <f t="shared" si="1"/>
        <v>11.033873711209045</v>
      </c>
      <c r="G41" s="14">
        <f>F41/$F$51*$D$2</f>
        <v>63.529409740541873</v>
      </c>
      <c r="H41" s="14">
        <f>F41/$F$51*$E$2</f>
        <v>87.567564777503662</v>
      </c>
      <c r="I41" s="25" t="str">
        <f t="shared" si="2"/>
        <v>选中</v>
      </c>
    </row>
    <row r="42" spans="1:9" hidden="1" x14ac:dyDescent="0.25">
      <c r="A42" s="3">
        <v>2500</v>
      </c>
      <c r="B42" s="3">
        <v>113.324479</v>
      </c>
      <c r="C42" s="3">
        <v>22.95695855</v>
      </c>
      <c r="D42" s="3">
        <v>17</v>
      </c>
      <c r="E42" s="13">
        <f t="shared" si="0"/>
        <v>8.3550693571309374E-3</v>
      </c>
      <c r="F42" s="13">
        <f t="shared" si="1"/>
        <v>10.940192664445599</v>
      </c>
      <c r="G42" s="14" t="e">
        <f>F42/$F$124*$D$2</f>
        <v>#DIV/0!</v>
      </c>
      <c r="H42" s="14" t="e">
        <f>F42/$F$124*$E$2</f>
        <v>#DIV/0!</v>
      </c>
      <c r="I42" s="25" t="str">
        <f t="shared" si="2"/>
        <v/>
      </c>
    </row>
    <row r="43" spans="1:9" hidden="1" x14ac:dyDescent="0.25">
      <c r="A43" s="3">
        <v>2490</v>
      </c>
      <c r="B43" s="3">
        <v>113.323995</v>
      </c>
      <c r="C43" s="3">
        <v>22.95716139</v>
      </c>
      <c r="D43" s="3">
        <v>17</v>
      </c>
      <c r="E43" s="13">
        <f t="shared" si="0"/>
        <v>8.8798223509296142E-3</v>
      </c>
      <c r="F43" s="13">
        <f t="shared" si="1"/>
        <v>10.612015149453319</v>
      </c>
      <c r="G43" s="14" t="e">
        <f>F43/$F$124*$D$2</f>
        <v>#DIV/0!</v>
      </c>
      <c r="H43" s="14" t="e">
        <f>F43/$F$124*$E$2</f>
        <v>#DIV/0!</v>
      </c>
      <c r="I43" s="25" t="str">
        <f t="shared" si="2"/>
        <v/>
      </c>
    </row>
    <row r="44" spans="1:9" x14ac:dyDescent="0.25">
      <c r="A44" s="3">
        <v>2839</v>
      </c>
      <c r="B44" s="3">
        <v>113.327254</v>
      </c>
      <c r="C44" s="3">
        <v>22.94631279</v>
      </c>
      <c r="D44" s="3">
        <v>17</v>
      </c>
      <c r="E44" s="13">
        <f t="shared" si="0"/>
        <v>9.0002633825943326E-3</v>
      </c>
      <c r="F44" s="13">
        <f t="shared" si="1"/>
        <v>10.540771298595732</v>
      </c>
      <c r="G44" s="14">
        <f>F44/$F$51*$D$2</f>
        <v>60.690288500361547</v>
      </c>
      <c r="H44" s="14">
        <f>F44/$F$51*$E$2</f>
        <v>83.654181446444298</v>
      </c>
      <c r="I44" s="25" t="str">
        <f t="shared" si="2"/>
        <v>选中</v>
      </c>
    </row>
    <row r="45" spans="1:9" hidden="1" x14ac:dyDescent="0.25">
      <c r="A45" s="3">
        <v>2846</v>
      </c>
      <c r="B45" s="3">
        <v>113.3273688</v>
      </c>
      <c r="C45" s="3">
        <v>22.946218609999999</v>
      </c>
      <c r="D45" s="3">
        <v>17</v>
      </c>
      <c r="E45" s="13">
        <f t="shared" si="0"/>
        <v>9.0166498778667219E-3</v>
      </c>
      <c r="F45" s="13">
        <f t="shared" si="1"/>
        <v>10.531188756896029</v>
      </c>
      <c r="G45" s="14" t="e">
        <f>F45/$F$124*$D$2</f>
        <v>#DIV/0!</v>
      </c>
      <c r="H45" s="14" t="e">
        <f>F45/$F$124*$E$2</f>
        <v>#DIV/0!</v>
      </c>
      <c r="I45" s="25" t="str">
        <f t="shared" si="2"/>
        <v/>
      </c>
    </row>
    <row r="46" spans="1:9" hidden="1" x14ac:dyDescent="0.25">
      <c r="A46" s="3">
        <v>2492</v>
      </c>
      <c r="B46" s="3">
        <v>113.32738670000001</v>
      </c>
      <c r="C46" s="3">
        <v>22.961693969999999</v>
      </c>
      <c r="D46" s="3">
        <v>17</v>
      </c>
      <c r="E46" s="13">
        <f t="shared" si="0"/>
        <v>9.2414096514973308E-3</v>
      </c>
      <c r="F46" s="13">
        <f t="shared" si="1"/>
        <v>10.402336273890203</v>
      </c>
      <c r="G46" s="14" t="e">
        <f>F46/$F$124*$D$2</f>
        <v>#DIV/0!</v>
      </c>
      <c r="H46" s="14" t="e">
        <f>F46/$F$124*$E$2</f>
        <v>#DIV/0!</v>
      </c>
      <c r="I46" s="25" t="str">
        <f t="shared" si="2"/>
        <v/>
      </c>
    </row>
    <row r="47" spans="1:9" x14ac:dyDescent="0.25">
      <c r="A47" s="3">
        <v>2497</v>
      </c>
      <c r="B47" s="3">
        <v>113.3254677</v>
      </c>
      <c r="C47" s="3">
        <v>22.960282240000002</v>
      </c>
      <c r="D47" s="3">
        <v>17</v>
      </c>
      <c r="E47" s="13">
        <f t="shared" si="0"/>
        <v>9.3486667300473562E-3</v>
      </c>
      <c r="F47" s="13">
        <f t="shared" si="1"/>
        <v>10.342491223664767</v>
      </c>
      <c r="G47" s="14">
        <f>F47/$F$51*$D$2</f>
        <v>59.548657151900677</v>
      </c>
      <c r="H47" s="14">
        <f>F47/$F$51*$E$2</f>
        <v>82.080581479646881</v>
      </c>
      <c r="I47" s="25" t="str">
        <f t="shared" si="2"/>
        <v>选中</v>
      </c>
    </row>
    <row r="48" spans="1:9" hidden="1" x14ac:dyDescent="0.25">
      <c r="A48" s="3">
        <v>2516</v>
      </c>
      <c r="B48" s="3">
        <v>113.3352957</v>
      </c>
      <c r="C48" s="3">
        <v>22.962673670000001</v>
      </c>
      <c r="D48" s="3">
        <v>17</v>
      </c>
      <c r="E48" s="13">
        <f t="shared" si="0"/>
        <v>9.3740301106290062E-3</v>
      </c>
      <c r="F48" s="13">
        <f t="shared" si="1"/>
        <v>10.328489869974248</v>
      </c>
      <c r="G48" s="14" t="e">
        <f>F48/$F$124*$D$2</f>
        <v>#DIV/0!</v>
      </c>
      <c r="H48" s="14" t="e">
        <f>F48/$F$124*$E$2</f>
        <v>#DIV/0!</v>
      </c>
      <c r="I48" s="25" t="str">
        <f t="shared" si="2"/>
        <v/>
      </c>
    </row>
    <row r="49" spans="1:9" hidden="1" x14ac:dyDescent="0.25">
      <c r="A49" s="3">
        <v>2838</v>
      </c>
      <c r="B49" s="3">
        <v>113.32980790000001</v>
      </c>
      <c r="C49" s="3">
        <v>22.94430079</v>
      </c>
      <c r="D49" s="3">
        <v>17</v>
      </c>
      <c r="E49" s="13">
        <f t="shared" si="0"/>
        <v>9.8185626181248823E-3</v>
      </c>
      <c r="F49" s="13">
        <f t="shared" si="1"/>
        <v>10.091972139414365</v>
      </c>
      <c r="G49" s="14" t="e">
        <f>F49/$F$124*$D$2</f>
        <v>#DIV/0!</v>
      </c>
      <c r="H49" s="14" t="e">
        <f>F49/$F$124*$E$2</f>
        <v>#DIV/0!</v>
      </c>
      <c r="I49" s="25" t="str">
        <f t="shared" si="2"/>
        <v/>
      </c>
    </row>
    <row r="50" spans="1:9" x14ac:dyDescent="0.25">
      <c r="A50" s="3"/>
      <c r="B50" s="3"/>
      <c r="C50" s="3"/>
      <c r="D50" s="3"/>
      <c r="G50" s="14"/>
      <c r="H50" s="14"/>
    </row>
    <row r="51" spans="1:9" x14ac:dyDescent="0.25">
      <c r="A51" s="3"/>
      <c r="B51" s="3"/>
      <c r="C51" s="3"/>
      <c r="D51" s="3"/>
      <c r="F51" s="13">
        <f>SUBTOTAL(9,F5:F49)</f>
        <v>224.9173495294911</v>
      </c>
      <c r="G51" s="13">
        <f>SUBTOTAL(9,G5:G49)</f>
        <v>1294.9999999999995</v>
      </c>
      <c r="H51" s="13">
        <f>SUBTOTAL(9,H5:H49)</f>
        <v>1784.9999999999995</v>
      </c>
    </row>
    <row r="52" spans="1:9" x14ac:dyDescent="0.25">
      <c r="A52" s="3"/>
      <c r="B52" s="3"/>
      <c r="C52" s="3"/>
      <c r="D52" s="3"/>
      <c r="G52" s="14"/>
      <c r="H52" s="14"/>
    </row>
    <row r="53" spans="1:9" x14ac:dyDescent="0.25">
      <c r="A53" s="3"/>
      <c r="B53" s="3"/>
      <c r="C53" s="3"/>
      <c r="D53" s="3"/>
      <c r="G53" s="14"/>
      <c r="H53" s="14"/>
    </row>
    <row r="54" spans="1:9" x14ac:dyDescent="0.25">
      <c r="A54" s="3"/>
      <c r="B54" s="3"/>
      <c r="C54" s="3"/>
      <c r="D54" s="3"/>
      <c r="G54" s="14"/>
      <c r="H54" s="14"/>
    </row>
    <row r="55" spans="1:9" x14ac:dyDescent="0.25">
      <c r="A55" s="3"/>
      <c r="B55" s="3"/>
      <c r="C55" s="3"/>
      <c r="D55" s="3"/>
      <c r="G55" s="14"/>
      <c r="H55" s="14"/>
    </row>
    <row r="56" spans="1:9" x14ac:dyDescent="0.25">
      <c r="A56" s="3"/>
      <c r="B56" s="3"/>
      <c r="C56" s="3"/>
      <c r="D56" s="3"/>
      <c r="G56" s="14"/>
      <c r="H56" s="14"/>
    </row>
    <row r="57" spans="1:9" x14ac:dyDescent="0.25">
      <c r="A57" s="3"/>
      <c r="B57" s="3"/>
      <c r="C57" s="3"/>
      <c r="D57" s="3"/>
      <c r="G57" s="14"/>
      <c r="H57" s="14"/>
    </row>
    <row r="58" spans="1:9" x14ac:dyDescent="0.25">
      <c r="A58" s="3"/>
      <c r="B58" s="3"/>
      <c r="C58" s="3"/>
      <c r="D58" s="3"/>
      <c r="G58" s="14"/>
      <c r="H58" s="14"/>
    </row>
    <row r="59" spans="1:9" x14ac:dyDescent="0.25">
      <c r="A59" s="3"/>
      <c r="B59" s="3"/>
      <c r="C59" s="3"/>
      <c r="D59" s="3"/>
      <c r="G59" s="14"/>
      <c r="H59" s="14"/>
    </row>
    <row r="60" spans="1:9" x14ac:dyDescent="0.25">
      <c r="A60" s="3"/>
      <c r="B60" s="3"/>
      <c r="C60" s="3"/>
      <c r="D60" s="3"/>
      <c r="G60" s="14"/>
      <c r="H60" s="14"/>
    </row>
    <row r="61" spans="1:9" x14ac:dyDescent="0.25">
      <c r="A61" s="3"/>
      <c r="B61" s="3"/>
      <c r="C61" s="3"/>
      <c r="D61" s="3"/>
      <c r="G61" s="14"/>
      <c r="H61" s="14"/>
    </row>
    <row r="62" spans="1:9" x14ac:dyDescent="0.25">
      <c r="A62" s="3"/>
      <c r="B62" s="3"/>
      <c r="C62" s="3"/>
      <c r="D62" s="3"/>
      <c r="G62" s="14"/>
      <c r="H62" s="14"/>
    </row>
    <row r="63" spans="1:9" x14ac:dyDescent="0.25">
      <c r="A63" s="3"/>
      <c r="B63" s="3"/>
      <c r="C63" s="3"/>
      <c r="D63" s="3"/>
      <c r="G63" s="14"/>
      <c r="H63" s="14"/>
    </row>
    <row r="64" spans="1:9" x14ac:dyDescent="0.25">
      <c r="A64" s="3"/>
      <c r="B64" s="3"/>
      <c r="C64" s="3"/>
      <c r="D64" s="3"/>
      <c r="G64" s="14"/>
      <c r="H64" s="14"/>
    </row>
    <row r="65" spans="1:8" x14ac:dyDescent="0.25">
      <c r="A65" s="3"/>
      <c r="B65" s="3"/>
      <c r="C65" s="3"/>
      <c r="D65" s="3"/>
      <c r="G65" s="14"/>
      <c r="H65" s="14"/>
    </row>
    <row r="66" spans="1:8" x14ac:dyDescent="0.25">
      <c r="A66" s="3"/>
      <c r="B66" s="3"/>
      <c r="C66" s="3"/>
      <c r="D66" s="3"/>
      <c r="G66" s="14"/>
      <c r="H66" s="14"/>
    </row>
    <row r="67" spans="1:8" x14ac:dyDescent="0.25">
      <c r="A67" s="3"/>
      <c r="B67" s="3"/>
      <c r="C67" s="3"/>
      <c r="D67" s="3"/>
      <c r="G67" s="14"/>
      <c r="H67" s="14"/>
    </row>
    <row r="68" spans="1:8" x14ac:dyDescent="0.25">
      <c r="A68" s="3"/>
      <c r="B68" s="3"/>
      <c r="C68" s="3"/>
      <c r="D68" s="3"/>
      <c r="G68" s="14"/>
      <c r="H68" s="14"/>
    </row>
    <row r="69" spans="1:8" x14ac:dyDescent="0.25">
      <c r="A69" s="3"/>
      <c r="B69" s="3"/>
      <c r="C69" s="3"/>
      <c r="D69" s="3"/>
      <c r="G69" s="14"/>
      <c r="H69" s="14"/>
    </row>
    <row r="70" spans="1:8" x14ac:dyDescent="0.25">
      <c r="A70" s="3"/>
      <c r="B70" s="3"/>
      <c r="C70" s="3"/>
      <c r="D70" s="3"/>
      <c r="G70" s="14"/>
      <c r="H70" s="14"/>
    </row>
    <row r="71" spans="1:8" x14ac:dyDescent="0.25">
      <c r="A71" s="3"/>
      <c r="B71" s="3"/>
      <c r="C71" s="3"/>
      <c r="D71" s="3"/>
      <c r="G71" s="14"/>
      <c r="H71" s="14"/>
    </row>
    <row r="72" spans="1:8" x14ac:dyDescent="0.25">
      <c r="A72" s="3"/>
      <c r="B72" s="3"/>
      <c r="C72" s="3"/>
      <c r="D72" s="3"/>
      <c r="G72" s="14"/>
      <c r="H72" s="14"/>
    </row>
    <row r="73" spans="1:8" x14ac:dyDescent="0.25">
      <c r="A73" s="3"/>
      <c r="B73" s="3"/>
      <c r="C73" s="3"/>
      <c r="D73" s="3"/>
      <c r="G73" s="14"/>
      <c r="H73" s="14"/>
    </row>
    <row r="74" spans="1:8" x14ac:dyDescent="0.25">
      <c r="A74" s="3"/>
      <c r="B74" s="3"/>
      <c r="C74" s="3"/>
      <c r="D74" s="3"/>
      <c r="G74" s="14"/>
      <c r="H74" s="14"/>
    </row>
    <row r="75" spans="1:8" x14ac:dyDescent="0.25">
      <c r="A75" s="3"/>
      <c r="B75" s="3"/>
      <c r="C75" s="3"/>
      <c r="D75" s="3"/>
      <c r="G75" s="14"/>
      <c r="H75" s="14"/>
    </row>
    <row r="76" spans="1:8" x14ac:dyDescent="0.25">
      <c r="A76" s="3"/>
      <c r="B76" s="3"/>
      <c r="C76" s="3"/>
      <c r="D76" s="3"/>
      <c r="G76" s="14"/>
      <c r="H76" s="14"/>
    </row>
    <row r="77" spans="1:8" x14ac:dyDescent="0.25">
      <c r="A77" s="3"/>
      <c r="B77" s="3"/>
      <c r="C77" s="3"/>
      <c r="D77" s="3"/>
      <c r="G77" s="14"/>
      <c r="H77" s="14"/>
    </row>
    <row r="78" spans="1:8" x14ac:dyDescent="0.25">
      <c r="A78" s="3"/>
      <c r="B78" s="3"/>
      <c r="C78" s="3"/>
      <c r="D78" s="3"/>
      <c r="G78" s="14"/>
      <c r="H78" s="14"/>
    </row>
    <row r="79" spans="1:8" x14ac:dyDescent="0.25">
      <c r="A79" s="3"/>
      <c r="B79" s="3"/>
      <c r="C79" s="3"/>
      <c r="D79" s="3"/>
      <c r="G79" s="14"/>
      <c r="H79" s="14"/>
    </row>
    <row r="80" spans="1:8" x14ac:dyDescent="0.25">
      <c r="A80" s="3"/>
      <c r="B80" s="3"/>
      <c r="C80" s="3"/>
      <c r="D80" s="3"/>
      <c r="G80" s="14"/>
      <c r="H80" s="14"/>
    </row>
    <row r="81" spans="1:8" x14ac:dyDescent="0.25">
      <c r="A81" s="3"/>
      <c r="B81" s="3"/>
      <c r="C81" s="3"/>
      <c r="D81" s="3"/>
      <c r="G81" s="14"/>
      <c r="H81" s="14"/>
    </row>
    <row r="82" spans="1:8" x14ac:dyDescent="0.25">
      <c r="A82" s="3"/>
      <c r="B82" s="3"/>
      <c r="C82" s="3"/>
      <c r="D82" s="3"/>
      <c r="G82" s="14"/>
      <c r="H82" s="14"/>
    </row>
    <row r="83" spans="1:8" x14ac:dyDescent="0.25">
      <c r="A83" s="3"/>
      <c r="B83" s="3"/>
      <c r="C83" s="3"/>
      <c r="D83" s="3"/>
      <c r="G83" s="14"/>
      <c r="H83" s="14"/>
    </row>
    <row r="84" spans="1:8" x14ac:dyDescent="0.25">
      <c r="A84" s="3"/>
      <c r="B84" s="3"/>
      <c r="C84" s="3"/>
      <c r="D84" s="3"/>
      <c r="G84" s="14"/>
      <c r="H84" s="14"/>
    </row>
    <row r="85" spans="1:8" x14ac:dyDescent="0.25">
      <c r="A85" s="3"/>
      <c r="B85" s="3"/>
      <c r="C85" s="3"/>
      <c r="D85" s="3"/>
      <c r="G85" s="14"/>
      <c r="H85" s="14"/>
    </row>
    <row r="86" spans="1:8" x14ac:dyDescent="0.25">
      <c r="A86" s="3"/>
      <c r="B86" s="3"/>
      <c r="C86" s="3"/>
      <c r="D86" s="3"/>
      <c r="G86" s="14"/>
      <c r="H86" s="14"/>
    </row>
    <row r="87" spans="1:8" x14ac:dyDescent="0.25">
      <c r="A87" s="3"/>
      <c r="B87" s="3"/>
      <c r="C87" s="3"/>
      <c r="D87" s="3"/>
      <c r="G87" s="14"/>
      <c r="H87" s="14"/>
    </row>
    <row r="88" spans="1:8" x14ac:dyDescent="0.25">
      <c r="A88" s="3"/>
      <c r="B88" s="3"/>
      <c r="C88" s="3"/>
      <c r="D88" s="3"/>
      <c r="G88" s="14"/>
      <c r="H88" s="14"/>
    </row>
    <row r="89" spans="1:8" x14ac:dyDescent="0.25">
      <c r="A89" s="3"/>
      <c r="B89" s="3"/>
      <c r="C89" s="3"/>
      <c r="D89" s="3"/>
      <c r="G89" s="14"/>
      <c r="H89" s="14"/>
    </row>
    <row r="90" spans="1:8" x14ac:dyDescent="0.25">
      <c r="A90" s="3"/>
      <c r="B90" s="3"/>
      <c r="C90" s="3"/>
      <c r="D90" s="3"/>
      <c r="G90" s="14"/>
      <c r="H90" s="14"/>
    </row>
    <row r="91" spans="1:8" x14ac:dyDescent="0.25">
      <c r="A91" s="3"/>
      <c r="B91" s="3"/>
      <c r="C91" s="3"/>
      <c r="D91" s="3"/>
      <c r="G91" s="14"/>
      <c r="H91" s="14"/>
    </row>
    <row r="92" spans="1:8" x14ac:dyDescent="0.25">
      <c r="A92" s="3"/>
      <c r="B92" s="3"/>
      <c r="C92" s="3"/>
      <c r="D92" s="3"/>
      <c r="G92" s="14"/>
      <c r="H92" s="14"/>
    </row>
    <row r="93" spans="1:8" x14ac:dyDescent="0.25">
      <c r="A93" s="3"/>
      <c r="B93" s="3"/>
      <c r="C93" s="3"/>
      <c r="D93" s="3"/>
      <c r="G93" s="14"/>
      <c r="H93" s="14"/>
    </row>
    <row r="94" spans="1:8" x14ac:dyDescent="0.25">
      <c r="A94" s="3"/>
      <c r="B94" s="3"/>
      <c r="C94" s="3"/>
      <c r="D94" s="3"/>
      <c r="G94" s="14"/>
      <c r="H94" s="14"/>
    </row>
    <row r="95" spans="1:8" x14ac:dyDescent="0.25">
      <c r="A95" s="3"/>
      <c r="B95" s="3"/>
      <c r="C95" s="3"/>
      <c r="D95" s="3"/>
      <c r="G95" s="14"/>
      <c r="H95" s="14"/>
    </row>
    <row r="96" spans="1:8" x14ac:dyDescent="0.25">
      <c r="A96" s="3"/>
      <c r="B96" s="3"/>
      <c r="C96" s="3"/>
      <c r="D96" s="3"/>
      <c r="G96" s="14"/>
      <c r="H96" s="14"/>
    </row>
    <row r="97" spans="1:8" x14ac:dyDescent="0.25">
      <c r="A97" s="3"/>
      <c r="B97" s="3"/>
      <c r="C97" s="3"/>
      <c r="D97" s="3"/>
      <c r="G97" s="14"/>
      <c r="H97" s="14"/>
    </row>
    <row r="98" spans="1:8" x14ac:dyDescent="0.25">
      <c r="A98" s="3"/>
      <c r="B98" s="3"/>
      <c r="C98" s="3"/>
      <c r="D98" s="3"/>
      <c r="G98" s="14"/>
      <c r="H98" s="14"/>
    </row>
    <row r="99" spans="1:8" x14ac:dyDescent="0.25">
      <c r="A99" s="3"/>
      <c r="B99" s="3"/>
      <c r="C99" s="3"/>
      <c r="D99" s="3"/>
      <c r="G99" s="14"/>
      <c r="H99" s="14"/>
    </row>
    <row r="100" spans="1:8" x14ac:dyDescent="0.25">
      <c r="A100" s="3"/>
      <c r="B100" s="3"/>
      <c r="C100" s="3"/>
      <c r="D100" s="3"/>
      <c r="G100" s="14"/>
      <c r="H100" s="14"/>
    </row>
    <row r="101" spans="1:8" x14ac:dyDescent="0.25">
      <c r="A101" s="3"/>
      <c r="B101" s="3"/>
      <c r="C101" s="3"/>
      <c r="D101" s="3"/>
      <c r="G101" s="14"/>
      <c r="H101" s="14"/>
    </row>
    <row r="102" spans="1:8" x14ac:dyDescent="0.25">
      <c r="A102" s="3"/>
      <c r="B102" s="3"/>
      <c r="C102" s="3"/>
      <c r="D102" s="3"/>
      <c r="G102" s="14"/>
      <c r="H102" s="14"/>
    </row>
    <row r="103" spans="1:8" x14ac:dyDescent="0.25">
      <c r="A103" s="3"/>
      <c r="B103" s="3"/>
      <c r="C103" s="3"/>
      <c r="D103" s="3"/>
      <c r="G103" s="14"/>
      <c r="H103" s="14"/>
    </row>
    <row r="104" spans="1:8" x14ac:dyDescent="0.25">
      <c r="A104" s="3"/>
      <c r="B104" s="3"/>
      <c r="C104" s="3"/>
      <c r="D104" s="3"/>
      <c r="G104" s="14"/>
      <c r="H104" s="14"/>
    </row>
    <row r="105" spans="1:8" x14ac:dyDescent="0.25">
      <c r="A105" s="3"/>
      <c r="B105" s="3"/>
      <c r="C105" s="3"/>
      <c r="D105" s="3"/>
      <c r="G105" s="14"/>
      <c r="H105" s="14"/>
    </row>
    <row r="106" spans="1:8" x14ac:dyDescent="0.25">
      <c r="A106" s="3"/>
      <c r="B106" s="3"/>
      <c r="C106" s="3"/>
      <c r="D106" s="3"/>
      <c r="G106" s="14"/>
      <c r="H106" s="14"/>
    </row>
    <row r="107" spans="1:8" x14ac:dyDescent="0.25">
      <c r="A107" s="3"/>
      <c r="B107" s="3"/>
      <c r="C107" s="3"/>
      <c r="D107" s="3"/>
      <c r="G107" s="14"/>
      <c r="H107" s="14"/>
    </row>
    <row r="108" spans="1:8" x14ac:dyDescent="0.25">
      <c r="A108" s="3"/>
      <c r="B108" s="3"/>
      <c r="C108" s="3"/>
      <c r="D108" s="3"/>
      <c r="G108" s="14"/>
      <c r="H108" s="14"/>
    </row>
    <row r="109" spans="1:8" x14ac:dyDescent="0.25">
      <c r="A109" s="3"/>
      <c r="B109" s="3"/>
      <c r="C109" s="3"/>
      <c r="D109" s="3"/>
      <c r="G109" s="14"/>
      <c r="H109" s="14"/>
    </row>
    <row r="110" spans="1:8" x14ac:dyDescent="0.25">
      <c r="A110" s="3"/>
      <c r="B110" s="3"/>
      <c r="C110" s="3"/>
      <c r="D110" s="3"/>
      <c r="G110" s="14"/>
      <c r="H110" s="14"/>
    </row>
    <row r="111" spans="1:8" x14ac:dyDescent="0.25">
      <c r="A111" s="3"/>
      <c r="B111" s="3"/>
      <c r="C111" s="3"/>
      <c r="D111" s="3"/>
      <c r="G111" s="14"/>
      <c r="H111" s="14"/>
    </row>
    <row r="112" spans="1:8" x14ac:dyDescent="0.25">
      <c r="A112" s="3"/>
      <c r="B112" s="3"/>
      <c r="C112" s="3"/>
      <c r="D112" s="3"/>
      <c r="G112" s="14"/>
      <c r="H112" s="14"/>
    </row>
    <row r="113" spans="1:8" x14ac:dyDescent="0.25">
      <c r="A113" s="3"/>
      <c r="B113" s="3"/>
      <c r="C113" s="3"/>
      <c r="D113" s="3"/>
      <c r="G113" s="14"/>
      <c r="H113" s="14"/>
    </row>
    <row r="114" spans="1:8" x14ac:dyDescent="0.25">
      <c r="A114" s="3"/>
      <c r="B114" s="3"/>
      <c r="C114" s="3"/>
      <c r="D114" s="3"/>
      <c r="G114" s="14"/>
      <c r="H114" s="14"/>
    </row>
    <row r="115" spans="1:8" x14ac:dyDescent="0.25">
      <c r="A115" s="3"/>
      <c r="B115" s="3"/>
      <c r="C115" s="3"/>
      <c r="D115" s="3"/>
      <c r="G115" s="14"/>
      <c r="H115" s="14"/>
    </row>
    <row r="116" spans="1:8" x14ac:dyDescent="0.25">
      <c r="A116" s="3"/>
      <c r="B116" s="3"/>
      <c r="C116" s="3"/>
      <c r="D116" s="3"/>
      <c r="G116" s="14"/>
      <c r="H116" s="14"/>
    </row>
    <row r="117" spans="1:8" x14ac:dyDescent="0.25">
      <c r="A117" s="3"/>
      <c r="B117" s="3"/>
      <c r="C117" s="3"/>
      <c r="D117" s="3"/>
      <c r="G117" s="14"/>
      <c r="H117" s="14"/>
    </row>
    <row r="118" spans="1:8" x14ac:dyDescent="0.25">
      <c r="A118" s="3"/>
      <c r="B118" s="3"/>
      <c r="C118" s="3"/>
      <c r="D118" s="3"/>
      <c r="G118" s="14"/>
      <c r="H118" s="14"/>
    </row>
    <row r="119" spans="1:8" x14ac:dyDescent="0.25">
      <c r="A119" s="3"/>
      <c r="B119" s="3"/>
      <c r="C119" s="3"/>
      <c r="D119" s="3"/>
      <c r="G119" s="14"/>
      <c r="H119" s="14"/>
    </row>
    <row r="120" spans="1:8" x14ac:dyDescent="0.25">
      <c r="A120" s="3"/>
      <c r="B120" s="3"/>
      <c r="C120" s="3"/>
      <c r="D120" s="3"/>
      <c r="G120" s="14"/>
      <c r="H120" s="14"/>
    </row>
    <row r="121" spans="1:8" x14ac:dyDescent="0.25">
      <c r="A121" s="3"/>
      <c r="B121" s="3"/>
      <c r="C121" s="3"/>
      <c r="D121" s="3"/>
      <c r="G121" s="14"/>
      <c r="H121" s="14"/>
    </row>
    <row r="122" spans="1:8" x14ac:dyDescent="0.25">
      <c r="A122" s="3"/>
      <c r="B122" s="3"/>
      <c r="C122" s="3"/>
      <c r="D122" s="3"/>
      <c r="G122" s="14"/>
      <c r="H122" s="14"/>
    </row>
    <row r="123" spans="1:8" x14ac:dyDescent="0.25">
      <c r="A123" s="3"/>
      <c r="B123" s="3"/>
      <c r="C123" s="3"/>
      <c r="D123" s="3"/>
      <c r="G123" s="14"/>
      <c r="H123" s="14"/>
    </row>
    <row r="124" spans="1:8" x14ac:dyDescent="0.25">
      <c r="A124" s="3"/>
      <c r="B124" s="3"/>
      <c r="C124" s="3"/>
      <c r="D124" s="3"/>
      <c r="G124" s="14"/>
      <c r="H124" s="14"/>
    </row>
    <row r="125" spans="1:8" x14ac:dyDescent="0.25">
      <c r="A125" s="3"/>
      <c r="B125" s="3"/>
      <c r="C125" s="3"/>
      <c r="D125" s="3"/>
      <c r="G125" s="14"/>
      <c r="H125" s="14"/>
    </row>
    <row r="126" spans="1:8" x14ac:dyDescent="0.25">
      <c r="A126" s="18"/>
      <c r="B126" s="3"/>
      <c r="C126" s="3"/>
      <c r="D126" s="3"/>
      <c r="G126" s="14"/>
      <c r="H126" s="14"/>
    </row>
    <row r="127" spans="1:8" x14ac:dyDescent="0.25">
      <c r="A127" s="3"/>
      <c r="B127" s="3"/>
      <c r="C127" s="3"/>
      <c r="D127" s="3"/>
      <c r="G127" s="14"/>
      <c r="H127" s="14"/>
    </row>
    <row r="128" spans="1:8" x14ac:dyDescent="0.25">
      <c r="A128" s="3"/>
      <c r="B128" s="3"/>
      <c r="C128" s="3"/>
      <c r="D128" s="3"/>
      <c r="G128" s="14"/>
      <c r="H128" s="14"/>
    </row>
    <row r="129" spans="1:8" x14ac:dyDescent="0.25">
      <c r="A129" s="3"/>
      <c r="B129" s="3"/>
      <c r="C129" s="3"/>
      <c r="D129" s="3"/>
      <c r="G129" s="14"/>
      <c r="H129" s="14"/>
    </row>
    <row r="130" spans="1:8" x14ac:dyDescent="0.25">
      <c r="A130" s="3"/>
      <c r="B130" s="3"/>
      <c r="C130" s="3"/>
      <c r="D130" s="3"/>
      <c r="G130" s="14"/>
      <c r="H130" s="14"/>
    </row>
    <row r="131" spans="1:8" x14ac:dyDescent="0.25">
      <c r="A131" s="3"/>
      <c r="B131" s="3"/>
      <c r="C131" s="3"/>
      <c r="D131" s="3"/>
      <c r="G131" s="14"/>
      <c r="H131" s="14"/>
    </row>
    <row r="132" spans="1:8" x14ac:dyDescent="0.25">
      <c r="A132" s="3"/>
      <c r="B132" s="3"/>
      <c r="C132" s="3"/>
      <c r="D132" s="3"/>
      <c r="G132" s="14"/>
      <c r="H132" s="14"/>
    </row>
    <row r="133" spans="1:8" x14ac:dyDescent="0.25">
      <c r="A133" s="3"/>
      <c r="B133" s="3"/>
      <c r="C133" s="3"/>
      <c r="D133" s="3"/>
      <c r="G133" s="14"/>
      <c r="H133" s="14"/>
    </row>
    <row r="134" spans="1:8" x14ac:dyDescent="0.25">
      <c r="A134" s="3"/>
      <c r="B134" s="3"/>
      <c r="C134" s="3"/>
      <c r="D134" s="3"/>
      <c r="G134" s="14"/>
      <c r="H134" s="14"/>
    </row>
    <row r="135" spans="1:8" x14ac:dyDescent="0.25">
      <c r="A135" s="3"/>
      <c r="B135" s="3"/>
      <c r="C135" s="3"/>
      <c r="D135" s="3"/>
      <c r="G135" s="14"/>
      <c r="H135" s="14"/>
    </row>
    <row r="136" spans="1:8" x14ac:dyDescent="0.25">
      <c r="A136" s="3"/>
      <c r="B136" s="3"/>
      <c r="C136" s="3"/>
      <c r="D136" s="3"/>
      <c r="G136" s="14"/>
      <c r="H136" s="14"/>
    </row>
    <row r="137" spans="1:8" x14ac:dyDescent="0.25">
      <c r="A137" s="3"/>
      <c r="B137" s="3"/>
      <c r="C137" s="3"/>
      <c r="D137" s="3"/>
      <c r="G137" s="14"/>
      <c r="H137" s="14"/>
    </row>
    <row r="138" spans="1:8" x14ac:dyDescent="0.25">
      <c r="A138" s="3"/>
      <c r="B138" s="3"/>
      <c r="C138" s="3"/>
      <c r="D138" s="3"/>
      <c r="G138" s="14"/>
      <c r="H138" s="14"/>
    </row>
    <row r="139" spans="1:8" x14ac:dyDescent="0.25">
      <c r="A139" s="3"/>
      <c r="B139" s="3"/>
      <c r="C139" s="3"/>
      <c r="D139" s="3"/>
      <c r="G139" s="14"/>
      <c r="H139" s="14"/>
    </row>
    <row r="140" spans="1:8" x14ac:dyDescent="0.25">
      <c r="A140" s="3"/>
      <c r="B140" s="3"/>
      <c r="C140" s="3"/>
      <c r="D140" s="3"/>
      <c r="G140" s="14"/>
      <c r="H140" s="14"/>
    </row>
    <row r="141" spans="1:8" x14ac:dyDescent="0.25">
      <c r="A141" s="3"/>
      <c r="B141" s="3"/>
      <c r="C141" s="3"/>
      <c r="D141" s="3"/>
      <c r="G141" s="14"/>
      <c r="H141" s="14"/>
    </row>
    <row r="142" spans="1:8" x14ac:dyDescent="0.25">
      <c r="A142" s="3"/>
      <c r="B142" s="3"/>
      <c r="C142" s="3"/>
      <c r="D142" s="3"/>
      <c r="G142" s="14"/>
      <c r="H142" s="14"/>
    </row>
    <row r="143" spans="1:8" x14ac:dyDescent="0.25">
      <c r="A143" s="3"/>
      <c r="B143" s="3"/>
      <c r="C143" s="3"/>
      <c r="D143" s="3"/>
      <c r="G143" s="14"/>
      <c r="H143" s="14"/>
    </row>
    <row r="144" spans="1:8" x14ac:dyDescent="0.25">
      <c r="A144" s="3"/>
      <c r="B144" s="3"/>
      <c r="C144" s="3"/>
      <c r="D144" s="3"/>
      <c r="G144" s="14"/>
      <c r="H144" s="14"/>
    </row>
    <row r="145" spans="1:8" x14ac:dyDescent="0.25">
      <c r="A145" s="3"/>
      <c r="B145" s="3"/>
      <c r="C145" s="3"/>
      <c r="D145" s="3"/>
      <c r="G145" s="14"/>
      <c r="H145" s="14"/>
    </row>
    <row r="146" spans="1:8" x14ac:dyDescent="0.25">
      <c r="A146" s="3"/>
      <c r="B146" s="3"/>
      <c r="C146" s="3"/>
      <c r="D146" s="3"/>
      <c r="G146" s="14"/>
      <c r="H146" s="14"/>
    </row>
    <row r="147" spans="1:8" x14ac:dyDescent="0.25">
      <c r="A147" s="3"/>
      <c r="B147" s="3"/>
      <c r="C147" s="3"/>
      <c r="D147" s="3"/>
      <c r="G147" s="14"/>
      <c r="H147" s="14"/>
    </row>
    <row r="148" spans="1:8" x14ac:dyDescent="0.25">
      <c r="A148" s="3"/>
      <c r="B148" s="3"/>
      <c r="C148" s="3"/>
      <c r="D148" s="3"/>
      <c r="G148" s="14"/>
      <c r="H148" s="14"/>
    </row>
    <row r="149" spans="1:8" x14ac:dyDescent="0.25">
      <c r="A149" s="3"/>
      <c r="B149" s="3"/>
      <c r="C149" s="3"/>
      <c r="D149" s="3"/>
      <c r="G149" s="14"/>
      <c r="H149" s="14"/>
    </row>
    <row r="150" spans="1:8" x14ac:dyDescent="0.25">
      <c r="A150" s="3"/>
      <c r="B150" s="3"/>
      <c r="C150" s="3"/>
      <c r="D150" s="3"/>
      <c r="G150" s="14"/>
      <c r="H150" s="14"/>
    </row>
    <row r="151" spans="1:8" x14ac:dyDescent="0.25">
      <c r="A151" s="3"/>
      <c r="B151" s="3"/>
      <c r="C151" s="3"/>
      <c r="D151" s="3"/>
      <c r="G151" s="14"/>
      <c r="H151" s="14"/>
    </row>
    <row r="152" spans="1:8" x14ac:dyDescent="0.25">
      <c r="A152" s="3"/>
      <c r="B152" s="3"/>
      <c r="C152" s="3"/>
      <c r="D152" s="3"/>
      <c r="G152" s="14"/>
      <c r="H152" s="14"/>
    </row>
    <row r="153" spans="1:8" x14ac:dyDescent="0.25">
      <c r="A153" s="3"/>
      <c r="B153" s="3"/>
      <c r="C153" s="3"/>
      <c r="D153" s="3"/>
      <c r="G153" s="14"/>
      <c r="H153" s="14"/>
    </row>
    <row r="154" spans="1:8" x14ac:dyDescent="0.25">
      <c r="A154" s="3"/>
      <c r="B154" s="3"/>
      <c r="C154" s="3"/>
      <c r="D154" s="3"/>
      <c r="G154" s="14"/>
      <c r="H154" s="14"/>
    </row>
    <row r="155" spans="1:8" x14ac:dyDescent="0.25">
      <c r="A155" s="3"/>
      <c r="B155" s="3"/>
      <c r="C155" s="3"/>
      <c r="D155" s="3"/>
      <c r="G155" s="14"/>
      <c r="H155" s="14"/>
    </row>
    <row r="156" spans="1:8" x14ac:dyDescent="0.25">
      <c r="A156" s="3"/>
      <c r="B156" s="3"/>
      <c r="C156" s="3"/>
      <c r="D156" s="3"/>
      <c r="G156" s="14"/>
      <c r="H156" s="14"/>
    </row>
    <row r="157" spans="1:8" x14ac:dyDescent="0.25">
      <c r="A157" s="3"/>
      <c r="B157" s="3"/>
      <c r="C157" s="3"/>
      <c r="D157" s="3"/>
      <c r="G157" s="14"/>
      <c r="H157" s="14"/>
    </row>
    <row r="158" spans="1:8" x14ac:dyDescent="0.25">
      <c r="A158" s="3"/>
      <c r="B158" s="3"/>
      <c r="C158" s="3"/>
      <c r="D158" s="3"/>
      <c r="G158" s="14"/>
      <c r="H158" s="14"/>
    </row>
    <row r="159" spans="1:8" x14ac:dyDescent="0.25">
      <c r="A159" s="3"/>
      <c r="B159" s="3"/>
      <c r="C159" s="3"/>
      <c r="D159" s="3"/>
      <c r="G159" s="14"/>
      <c r="H159" s="14"/>
    </row>
    <row r="160" spans="1:8" x14ac:dyDescent="0.25">
      <c r="A160" s="3"/>
      <c r="B160" s="3"/>
      <c r="C160" s="3"/>
      <c r="D160" s="3"/>
      <c r="G160" s="14"/>
      <c r="H160" s="14"/>
    </row>
    <row r="161" spans="1:8" x14ac:dyDescent="0.25">
      <c r="A161" s="3"/>
      <c r="B161" s="3"/>
      <c r="C161" s="3"/>
      <c r="D161" s="3"/>
      <c r="G161" s="14"/>
      <c r="H161" s="14"/>
    </row>
    <row r="162" spans="1:8" x14ac:dyDescent="0.25">
      <c r="A162" s="3"/>
      <c r="B162" s="3"/>
      <c r="C162" s="3"/>
      <c r="D162" s="3"/>
      <c r="G162" s="14"/>
      <c r="H162" s="14"/>
    </row>
    <row r="163" spans="1:8" x14ac:dyDescent="0.25">
      <c r="A163" s="3"/>
      <c r="B163" s="3"/>
      <c r="C163" s="3"/>
      <c r="D163" s="3"/>
      <c r="G163" s="14"/>
      <c r="H163" s="14"/>
    </row>
    <row r="164" spans="1:8" x14ac:dyDescent="0.25">
      <c r="A164" s="3"/>
      <c r="B164" s="3"/>
      <c r="C164" s="3"/>
      <c r="D164" s="3"/>
      <c r="G164" s="14"/>
      <c r="H164" s="14"/>
    </row>
    <row r="165" spans="1:8" x14ac:dyDescent="0.25">
      <c r="A165" s="3"/>
      <c r="B165" s="3"/>
      <c r="C165" s="3"/>
      <c r="D165" s="3"/>
      <c r="G165" s="14"/>
      <c r="H165" s="14"/>
    </row>
    <row r="166" spans="1:8" x14ac:dyDescent="0.25">
      <c r="A166" s="3"/>
      <c r="B166" s="3"/>
      <c r="C166" s="3"/>
      <c r="D166" s="3"/>
      <c r="G166" s="14"/>
      <c r="H166" s="14"/>
    </row>
    <row r="167" spans="1:8" x14ac:dyDescent="0.25">
      <c r="A167" s="3"/>
      <c r="B167" s="3"/>
      <c r="C167" s="3"/>
      <c r="D167" s="3"/>
      <c r="G167" s="14"/>
      <c r="H167" s="14"/>
    </row>
    <row r="168" spans="1:8" x14ac:dyDescent="0.25">
      <c r="A168" s="3"/>
      <c r="B168" s="3"/>
      <c r="C168" s="3"/>
      <c r="D168" s="3"/>
      <c r="G168" s="14"/>
      <c r="H168" s="14"/>
    </row>
    <row r="169" spans="1:8" x14ac:dyDescent="0.25">
      <c r="A169" s="3"/>
      <c r="B169" s="3"/>
      <c r="C169" s="3"/>
      <c r="D169" s="3"/>
      <c r="G169" s="14"/>
      <c r="H169" s="14"/>
    </row>
    <row r="170" spans="1:8" x14ac:dyDescent="0.25">
      <c r="A170" s="3"/>
      <c r="B170" s="3"/>
      <c r="C170" s="3"/>
      <c r="D170" s="3"/>
      <c r="G170" s="14"/>
      <c r="H170" s="14"/>
    </row>
    <row r="171" spans="1:8" x14ac:dyDescent="0.25">
      <c r="A171" s="3"/>
      <c r="B171" s="3"/>
      <c r="C171" s="3"/>
      <c r="D171" s="3"/>
      <c r="G171" s="14"/>
      <c r="H171" s="14"/>
    </row>
    <row r="172" spans="1:8" x14ac:dyDescent="0.25">
      <c r="A172" s="3"/>
      <c r="B172" s="3"/>
      <c r="C172" s="3"/>
      <c r="D172" s="3"/>
      <c r="G172" s="14"/>
      <c r="H172" s="14"/>
    </row>
    <row r="173" spans="1:8" x14ac:dyDescent="0.25">
      <c r="A173" s="3"/>
      <c r="B173" s="3"/>
      <c r="C173" s="3"/>
      <c r="D173" s="3"/>
      <c r="G173" s="14"/>
      <c r="H173" s="14"/>
    </row>
    <row r="174" spans="1:8" x14ac:dyDescent="0.25">
      <c r="A174" s="3"/>
      <c r="B174" s="3"/>
      <c r="C174" s="3"/>
      <c r="D174" s="3"/>
      <c r="G174" s="14"/>
      <c r="H174" s="14"/>
    </row>
    <row r="175" spans="1:8" x14ac:dyDescent="0.25">
      <c r="A175" s="3"/>
      <c r="B175" s="3"/>
      <c r="C175" s="3"/>
      <c r="D175" s="3"/>
      <c r="G175" s="14"/>
      <c r="H175" s="14"/>
    </row>
    <row r="176" spans="1:8" x14ac:dyDescent="0.25">
      <c r="A176" s="3"/>
      <c r="B176" s="3"/>
      <c r="C176" s="3"/>
      <c r="D176" s="3"/>
      <c r="G176" s="14"/>
      <c r="H176" s="14"/>
    </row>
    <row r="177" spans="1:8" x14ac:dyDescent="0.25">
      <c r="A177" s="3"/>
      <c r="B177" s="3"/>
      <c r="C177" s="3"/>
      <c r="D177" s="3"/>
      <c r="G177" s="14"/>
      <c r="H177" s="14"/>
    </row>
    <row r="178" spans="1:8" x14ac:dyDescent="0.25">
      <c r="A178" s="3"/>
      <c r="B178" s="3"/>
      <c r="C178" s="3"/>
      <c r="D178" s="3"/>
      <c r="G178" s="14"/>
      <c r="H178" s="14"/>
    </row>
    <row r="179" spans="1:8" x14ac:dyDescent="0.25">
      <c r="A179" s="3"/>
      <c r="B179" s="3"/>
      <c r="C179" s="3"/>
      <c r="D179" s="3"/>
      <c r="G179" s="14"/>
      <c r="H179" s="14"/>
    </row>
    <row r="180" spans="1:8" x14ac:dyDescent="0.25">
      <c r="A180" s="3"/>
      <c r="B180" s="3"/>
      <c r="C180" s="3"/>
      <c r="D180" s="3"/>
      <c r="G180" s="14"/>
      <c r="H180" s="14"/>
    </row>
    <row r="181" spans="1:8" x14ac:dyDescent="0.25">
      <c r="A181" s="3"/>
      <c r="B181" s="3"/>
      <c r="C181" s="3"/>
      <c r="D181" s="3"/>
      <c r="G181" s="14"/>
      <c r="H181" s="14"/>
    </row>
    <row r="182" spans="1:8" x14ac:dyDescent="0.25">
      <c r="A182" s="3"/>
      <c r="B182" s="3"/>
      <c r="C182" s="3"/>
      <c r="D182" s="3"/>
      <c r="G182" s="14"/>
      <c r="H182" s="14"/>
    </row>
    <row r="183" spans="1:8" x14ac:dyDescent="0.25">
      <c r="A183" s="3"/>
      <c r="B183" s="3"/>
      <c r="C183" s="3"/>
      <c r="D183" s="3"/>
      <c r="G183" s="14"/>
      <c r="H183" s="14"/>
    </row>
    <row r="184" spans="1:8" x14ac:dyDescent="0.25">
      <c r="A184" s="3"/>
      <c r="B184" s="3"/>
      <c r="C184" s="3"/>
      <c r="D184" s="3"/>
      <c r="G184" s="14"/>
      <c r="H184" s="14"/>
    </row>
    <row r="185" spans="1:8" x14ac:dyDescent="0.25">
      <c r="A185" s="3"/>
      <c r="B185" s="3"/>
      <c r="C185" s="3"/>
      <c r="D185" s="3"/>
      <c r="G185" s="14"/>
      <c r="H185" s="14"/>
    </row>
    <row r="186" spans="1:8" x14ac:dyDescent="0.25">
      <c r="A186" s="3"/>
      <c r="B186" s="3"/>
      <c r="C186" s="3"/>
      <c r="D186" s="3"/>
      <c r="G186" s="14"/>
      <c r="H186" s="14"/>
    </row>
    <row r="187" spans="1:8" x14ac:dyDescent="0.25">
      <c r="A187" s="3"/>
      <c r="B187" s="3"/>
      <c r="C187" s="3"/>
      <c r="D187" s="3"/>
      <c r="G187" s="14"/>
      <c r="H187" s="14"/>
    </row>
    <row r="188" spans="1:8" x14ac:dyDescent="0.25">
      <c r="A188" s="3"/>
      <c r="B188" s="3"/>
      <c r="C188" s="3"/>
      <c r="D188" s="3"/>
      <c r="G188" s="14"/>
      <c r="H188" s="14"/>
    </row>
    <row r="189" spans="1:8" x14ac:dyDescent="0.25">
      <c r="A189" s="3"/>
      <c r="B189" s="3"/>
      <c r="C189" s="3"/>
      <c r="D189" s="3"/>
      <c r="G189" s="14"/>
      <c r="H189" s="14"/>
    </row>
    <row r="190" spans="1:8" x14ac:dyDescent="0.25">
      <c r="A190" s="3"/>
      <c r="B190" s="3"/>
      <c r="C190" s="3"/>
      <c r="D190" s="3"/>
      <c r="G190" s="14"/>
      <c r="H190" s="14"/>
    </row>
    <row r="191" spans="1:8" x14ac:dyDescent="0.25">
      <c r="A191" s="3"/>
      <c r="B191" s="3"/>
      <c r="C191" s="3"/>
      <c r="D191" s="3"/>
      <c r="G191" s="14"/>
      <c r="H191" s="14"/>
    </row>
    <row r="192" spans="1:8" x14ac:dyDescent="0.25">
      <c r="A192" s="3"/>
      <c r="B192" s="3"/>
      <c r="C192" s="3"/>
      <c r="D192" s="3"/>
      <c r="G192" s="14"/>
      <c r="H192" s="14"/>
    </row>
    <row r="193" spans="1:8" x14ac:dyDescent="0.25">
      <c r="A193" s="3"/>
      <c r="B193" s="3"/>
      <c r="C193" s="3"/>
      <c r="D193" s="3"/>
      <c r="G193" s="14"/>
      <c r="H193" s="14"/>
    </row>
    <row r="194" spans="1:8" x14ac:dyDescent="0.25">
      <c r="A194" s="3"/>
      <c r="B194" s="3"/>
      <c r="C194" s="3"/>
      <c r="D194" s="3"/>
      <c r="G194" s="14"/>
      <c r="H194" s="14"/>
    </row>
    <row r="195" spans="1:8" x14ac:dyDescent="0.25">
      <c r="A195" s="3"/>
      <c r="B195" s="3"/>
      <c r="C195" s="3"/>
      <c r="D195" s="3"/>
      <c r="G195" s="14"/>
      <c r="H195" s="14"/>
    </row>
    <row r="196" spans="1:8" x14ac:dyDescent="0.25">
      <c r="A196" s="3"/>
      <c r="B196" s="3"/>
      <c r="C196" s="3"/>
      <c r="D196" s="3"/>
      <c r="G196" s="14"/>
      <c r="H196" s="14"/>
    </row>
    <row r="197" spans="1:8" x14ac:dyDescent="0.25">
      <c r="A197" s="3"/>
      <c r="B197" s="3"/>
      <c r="C197" s="3"/>
      <c r="D197" s="3"/>
      <c r="G197" s="14"/>
      <c r="H197" s="14"/>
    </row>
    <row r="198" spans="1:8" x14ac:dyDescent="0.25">
      <c r="A198" s="3"/>
      <c r="B198" s="3"/>
      <c r="C198" s="3"/>
      <c r="D198" s="3"/>
      <c r="G198" s="14"/>
      <c r="H198" s="14"/>
    </row>
    <row r="199" spans="1:8" x14ac:dyDescent="0.25">
      <c r="A199" s="3"/>
      <c r="B199" s="3"/>
      <c r="C199" s="3"/>
      <c r="D199" s="3"/>
      <c r="G199" s="14"/>
      <c r="H199" s="14"/>
    </row>
    <row r="200" spans="1:8" x14ac:dyDescent="0.25">
      <c r="A200" s="3"/>
      <c r="B200" s="3"/>
      <c r="C200" s="3"/>
      <c r="D200" s="3"/>
      <c r="G200" s="14"/>
      <c r="H200" s="14"/>
    </row>
    <row r="201" spans="1:8" x14ac:dyDescent="0.25">
      <c r="A201" s="3"/>
      <c r="B201" s="3"/>
      <c r="C201" s="3"/>
      <c r="D201" s="3"/>
      <c r="G201" s="14"/>
      <c r="H201" s="14"/>
    </row>
    <row r="202" spans="1:8" x14ac:dyDescent="0.25">
      <c r="A202" s="3"/>
      <c r="B202" s="3"/>
      <c r="C202" s="3"/>
      <c r="D202" s="3"/>
      <c r="G202" s="14"/>
      <c r="H202" s="14"/>
    </row>
    <row r="203" spans="1:8" x14ac:dyDescent="0.25">
      <c r="A203" s="3"/>
      <c r="B203" s="3"/>
      <c r="C203" s="3"/>
      <c r="D203" s="3"/>
      <c r="G203" s="14"/>
      <c r="H203" s="14"/>
    </row>
    <row r="204" spans="1:8" x14ac:dyDescent="0.25">
      <c r="A204" s="3"/>
      <c r="B204" s="3"/>
      <c r="C204" s="3"/>
      <c r="D204" s="3"/>
      <c r="G204" s="14"/>
      <c r="H204" s="14"/>
    </row>
    <row r="205" spans="1:8" x14ac:dyDescent="0.25">
      <c r="A205" s="3"/>
      <c r="B205" s="3"/>
      <c r="C205" s="3"/>
      <c r="D205" s="3"/>
      <c r="G205" s="14"/>
      <c r="H205" s="14"/>
    </row>
    <row r="206" spans="1:8" x14ac:dyDescent="0.25">
      <c r="A206" s="3"/>
      <c r="B206" s="3"/>
      <c r="C206" s="3"/>
      <c r="D206" s="3"/>
      <c r="G206" s="14"/>
      <c r="H206" s="14"/>
    </row>
    <row r="207" spans="1:8" x14ac:dyDescent="0.25">
      <c r="A207" s="3"/>
      <c r="B207" s="3"/>
      <c r="C207" s="3"/>
      <c r="D207" s="3"/>
      <c r="G207" s="14"/>
      <c r="H207" s="14"/>
    </row>
    <row r="208" spans="1:8" x14ac:dyDescent="0.25">
      <c r="A208" s="3"/>
      <c r="B208" s="3"/>
      <c r="C208" s="3"/>
      <c r="D208" s="3"/>
      <c r="G208" s="14"/>
      <c r="H208" s="14"/>
    </row>
    <row r="209" spans="1:8" x14ac:dyDescent="0.25">
      <c r="A209" s="3"/>
      <c r="B209" s="3"/>
      <c r="C209" s="3"/>
      <c r="D209" s="3"/>
      <c r="G209" s="14"/>
      <c r="H209" s="14"/>
    </row>
    <row r="210" spans="1:8" x14ac:dyDescent="0.25">
      <c r="A210" s="3"/>
      <c r="B210" s="3"/>
      <c r="C210" s="3"/>
      <c r="D210" s="3"/>
      <c r="G210" s="14"/>
      <c r="H210" s="14"/>
    </row>
    <row r="211" spans="1:8" x14ac:dyDescent="0.25">
      <c r="A211" s="3"/>
      <c r="B211" s="3"/>
      <c r="C211" s="3"/>
      <c r="D211" s="3"/>
      <c r="G211" s="14"/>
      <c r="H211" s="14"/>
    </row>
    <row r="212" spans="1:8" x14ac:dyDescent="0.25">
      <c r="A212" s="3"/>
      <c r="B212" s="3"/>
      <c r="C212" s="3"/>
      <c r="D212" s="3"/>
      <c r="G212" s="14"/>
      <c r="H212" s="14"/>
    </row>
    <row r="213" spans="1:8" x14ac:dyDescent="0.25">
      <c r="A213" s="3"/>
      <c r="B213" s="3"/>
      <c r="C213" s="3"/>
      <c r="D213" s="3"/>
      <c r="G213" s="14"/>
      <c r="H213" s="14"/>
    </row>
    <row r="214" spans="1:8" x14ac:dyDescent="0.25">
      <c r="A214" s="3"/>
      <c r="B214" s="3"/>
      <c r="C214" s="3"/>
      <c r="D214" s="3"/>
      <c r="G214" s="14"/>
      <c r="H214" s="14"/>
    </row>
    <row r="215" spans="1:8" x14ac:dyDescent="0.25">
      <c r="A215" s="3"/>
      <c r="B215" s="3"/>
      <c r="C215" s="3"/>
      <c r="D215" s="3"/>
      <c r="G215" s="14"/>
      <c r="H215" s="14"/>
    </row>
    <row r="216" spans="1:8" x14ac:dyDescent="0.25">
      <c r="A216" s="3"/>
      <c r="B216" s="3"/>
      <c r="C216" s="3"/>
      <c r="D216" s="3"/>
      <c r="G216" s="14"/>
      <c r="H216" s="14"/>
    </row>
    <row r="217" spans="1:8" x14ac:dyDescent="0.25">
      <c r="A217" s="3"/>
      <c r="B217" s="3"/>
      <c r="C217" s="3"/>
      <c r="D217" s="3"/>
      <c r="G217" s="14"/>
      <c r="H217" s="14"/>
    </row>
    <row r="218" spans="1:8" x14ac:dyDescent="0.25">
      <c r="A218" s="3"/>
      <c r="B218" s="3"/>
      <c r="C218" s="3"/>
      <c r="D218" s="3"/>
      <c r="G218" s="14"/>
      <c r="H218" s="14"/>
    </row>
    <row r="219" spans="1:8" x14ac:dyDescent="0.25">
      <c r="A219" s="3"/>
      <c r="B219" s="3"/>
      <c r="C219" s="3"/>
      <c r="D219" s="3"/>
      <c r="G219" s="14"/>
      <c r="H219" s="14"/>
    </row>
    <row r="220" spans="1:8" x14ac:dyDescent="0.25">
      <c r="A220" s="3"/>
      <c r="B220" s="3"/>
      <c r="C220" s="3"/>
      <c r="D220" s="3"/>
      <c r="G220" s="14"/>
      <c r="H220" s="14"/>
    </row>
    <row r="221" spans="1:8" x14ac:dyDescent="0.25">
      <c r="A221" s="3"/>
      <c r="B221" s="3"/>
      <c r="C221" s="3"/>
      <c r="D221" s="3"/>
      <c r="G221" s="14"/>
      <c r="H221" s="14"/>
    </row>
    <row r="222" spans="1:8" x14ac:dyDescent="0.25">
      <c r="A222" s="3"/>
      <c r="B222" s="3"/>
      <c r="C222" s="3"/>
      <c r="D222" s="3"/>
      <c r="G222" s="14"/>
      <c r="H222" s="14"/>
    </row>
    <row r="223" spans="1:8" x14ac:dyDescent="0.25">
      <c r="A223" s="3"/>
      <c r="B223" s="3"/>
      <c r="C223" s="3"/>
      <c r="D223" s="3"/>
      <c r="G223" s="14"/>
      <c r="H223" s="14"/>
    </row>
    <row r="224" spans="1:8" x14ac:dyDescent="0.25">
      <c r="A224" s="3"/>
      <c r="B224" s="3"/>
      <c r="C224" s="3"/>
      <c r="D224" s="3"/>
      <c r="G224" s="14"/>
      <c r="H224" s="14"/>
    </row>
    <row r="225" spans="1:8" x14ac:dyDescent="0.25">
      <c r="A225" s="3"/>
      <c r="B225" s="3"/>
      <c r="C225" s="3"/>
      <c r="D225" s="3"/>
      <c r="G225" s="14"/>
      <c r="H225" s="14"/>
    </row>
    <row r="226" spans="1:8" x14ac:dyDescent="0.25">
      <c r="A226" s="3"/>
      <c r="B226" s="3"/>
      <c r="C226" s="3"/>
      <c r="D226" s="3"/>
      <c r="G226" s="14"/>
      <c r="H226" s="14"/>
    </row>
    <row r="227" spans="1:8" x14ac:dyDescent="0.25">
      <c r="A227" s="3"/>
      <c r="B227" s="3"/>
      <c r="C227" s="3"/>
      <c r="D227" s="3"/>
      <c r="G227" s="14"/>
      <c r="H227" s="14"/>
    </row>
    <row r="228" spans="1:8" x14ac:dyDescent="0.25">
      <c r="A228" s="3"/>
      <c r="B228" s="3"/>
      <c r="C228" s="3"/>
      <c r="D228" s="3"/>
      <c r="G228" s="14"/>
      <c r="H228" s="14"/>
    </row>
    <row r="229" spans="1:8" x14ac:dyDescent="0.25">
      <c r="A229" s="3"/>
      <c r="B229" s="3"/>
      <c r="C229" s="3"/>
      <c r="D229" s="3"/>
      <c r="G229" s="14"/>
      <c r="H229" s="14"/>
    </row>
    <row r="230" spans="1:8" x14ac:dyDescent="0.25">
      <c r="A230" s="3"/>
      <c r="B230" s="3"/>
      <c r="C230" s="3"/>
      <c r="D230" s="3"/>
      <c r="G230" s="14"/>
      <c r="H230" s="14"/>
    </row>
    <row r="231" spans="1:8" x14ac:dyDescent="0.25">
      <c r="A231" s="3"/>
      <c r="B231" s="3"/>
      <c r="C231" s="3"/>
      <c r="D231" s="3"/>
      <c r="G231" s="14"/>
      <c r="H231" s="14"/>
    </row>
    <row r="232" spans="1:8" x14ac:dyDescent="0.25">
      <c r="A232" s="3"/>
      <c r="B232" s="3"/>
      <c r="C232" s="3"/>
      <c r="D232" s="3"/>
      <c r="G232" s="14"/>
      <c r="H232" s="14"/>
    </row>
    <row r="233" spans="1:8" x14ac:dyDescent="0.25">
      <c r="A233" s="3"/>
      <c r="B233" s="3"/>
      <c r="C233" s="3"/>
      <c r="D233" s="3"/>
      <c r="G233" s="14"/>
      <c r="H233" s="14"/>
    </row>
    <row r="234" spans="1:8" x14ac:dyDescent="0.25">
      <c r="A234" s="3"/>
      <c r="B234" s="3"/>
      <c r="C234" s="3"/>
      <c r="D234" s="3"/>
      <c r="G234" s="14"/>
      <c r="H234" s="14"/>
    </row>
    <row r="235" spans="1:8" x14ac:dyDescent="0.25">
      <c r="A235" s="3"/>
      <c r="B235" s="3"/>
      <c r="C235" s="3"/>
      <c r="D235" s="3"/>
      <c r="G235" s="14"/>
      <c r="H235" s="14"/>
    </row>
    <row r="236" spans="1:8" x14ac:dyDescent="0.25">
      <c r="A236" s="3"/>
      <c r="B236" s="3"/>
      <c r="C236" s="3"/>
      <c r="D236" s="3"/>
      <c r="G236" s="14"/>
      <c r="H236" s="14"/>
    </row>
    <row r="237" spans="1:8" x14ac:dyDescent="0.25">
      <c r="A237" s="3"/>
      <c r="B237" s="3"/>
      <c r="C237" s="3"/>
      <c r="D237" s="3"/>
      <c r="G237" s="14"/>
      <c r="H237" s="14"/>
    </row>
    <row r="238" spans="1:8" x14ac:dyDescent="0.25">
      <c r="A238" s="3"/>
      <c r="B238" s="3"/>
      <c r="C238" s="3"/>
      <c r="D238" s="3"/>
      <c r="G238" s="14"/>
      <c r="H238" s="14"/>
    </row>
    <row r="239" spans="1:8" x14ac:dyDescent="0.25">
      <c r="A239" s="3"/>
      <c r="B239" s="3"/>
      <c r="C239" s="3"/>
      <c r="D239" s="3"/>
      <c r="G239" s="14"/>
      <c r="H239" s="14"/>
    </row>
    <row r="240" spans="1:8" x14ac:dyDescent="0.25">
      <c r="A240" s="3"/>
      <c r="B240" s="3"/>
      <c r="C240" s="3"/>
      <c r="D240" s="3"/>
      <c r="G240" s="14"/>
      <c r="H240" s="14"/>
    </row>
    <row r="241" spans="1:8" x14ac:dyDescent="0.25">
      <c r="A241" s="3"/>
      <c r="B241" s="3"/>
      <c r="C241" s="3"/>
      <c r="D241" s="3"/>
      <c r="G241" s="14"/>
      <c r="H241" s="14"/>
    </row>
    <row r="242" spans="1:8" x14ac:dyDescent="0.25">
      <c r="A242" s="3"/>
      <c r="B242" s="3"/>
      <c r="C242" s="3"/>
      <c r="D242" s="3"/>
      <c r="G242" s="14"/>
      <c r="H242" s="14"/>
    </row>
    <row r="243" spans="1:8" x14ac:dyDescent="0.25">
      <c r="A243" s="3"/>
      <c r="B243" s="3"/>
      <c r="C243" s="3"/>
      <c r="D243" s="3"/>
      <c r="G243" s="14"/>
      <c r="H243" s="14"/>
    </row>
    <row r="244" spans="1:8" x14ac:dyDescent="0.25">
      <c r="A244" s="3"/>
      <c r="B244" s="3"/>
      <c r="C244" s="3"/>
      <c r="D244" s="3"/>
      <c r="G244" s="14"/>
      <c r="H244" s="14"/>
    </row>
    <row r="245" spans="1:8" x14ac:dyDescent="0.25">
      <c r="A245" s="3"/>
      <c r="B245" s="3"/>
      <c r="C245" s="3"/>
      <c r="D245" s="3"/>
      <c r="G245" s="14"/>
      <c r="H245" s="14"/>
    </row>
    <row r="247" spans="1:8" x14ac:dyDescent="0.25">
      <c r="A247" s="3"/>
      <c r="G247" s="14"/>
      <c r="H247" s="14"/>
    </row>
  </sheetData>
  <phoneticPr fontId="1" type="noConversion"/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1661F6-8FFB-4C81-9DB3-179BA16D4B9F}">
  <sheetPr/>
  <dimension ref="A1:I247"/>
  <sheetViews>
    <sheetView zoomScale="115" zoomScaleNormal="115" workbookViewId="0">
      <selection activeCell="A5" sqref="A5:H113"/>
    </sheetView>
  </sheetViews>
  <sheetFormatPr defaultRowHeight="15" x14ac:dyDescent="0.25"/>
  <cols>
    <col min="1" max="1" width="8.875" style="4" customWidth="1"/>
    <col min="2" max="3" width="15.125" style="4" customWidth="1"/>
    <col min="4" max="4" width="10.25" style="4" customWidth="1"/>
    <col min="5" max="5" width="12" style="13" customWidth="1"/>
    <col min="6" max="6" width="15" style="13" customWidth="1"/>
    <col min="7" max="7" width="13.875" customWidth="1"/>
    <col min="8" max="8" width="11.125" customWidth="1"/>
    <col min="11" max="12" width="15.125" customWidth="1"/>
    <col min="13" max="13" width="11.125" customWidth="1"/>
  </cols>
  <sheetData>
    <row r="1" spans="1:9" ht="14.25" x14ac:dyDescent="0.2">
      <c r="A1" s="2" t="s">
        <v>12</v>
      </c>
      <c r="B1" s="2" t="s">
        <v>4</v>
      </c>
      <c r="C1" s="2" t="s">
        <v>5</v>
      </c>
      <c r="D1" s="2" t="s">
        <v>13</v>
      </c>
      <c r="E1" s="2" t="s">
        <v>14</v>
      </c>
      <c r="F1" s="2" t="s">
        <v>15</v>
      </c>
      <c r="G1" s="2" t="s">
        <v>16</v>
      </c>
    </row>
    <row r="2" spans="1:9" x14ac:dyDescent="0.25">
      <c r="A2" s="11">
        <v>18</v>
      </c>
      <c r="B2" s="3">
        <v>113.365624</v>
      </c>
      <c r="C2" s="8">
        <v>22.974741640000001</v>
      </c>
      <c r="D2" s="3">
        <v>0</v>
      </c>
      <c r="E2" s="13">
        <v>1785</v>
      </c>
      <c r="F2" s="13">
        <v>5</v>
      </c>
      <c r="G2" s="19">
        <f>SUBTOTAL(2,A5:A250)</f>
        <v>37</v>
      </c>
    </row>
    <row r="3" spans="1:9" x14ac:dyDescent="0.25">
      <c r="A3" s="3"/>
      <c r="B3" s="3"/>
      <c r="C3" s="3"/>
      <c r="D3" s="3"/>
    </row>
    <row r="4" spans="1:9" ht="14.25" x14ac:dyDescent="0.2">
      <c r="A4" s="2" t="s">
        <v>0</v>
      </c>
      <c r="B4" s="2" t="s">
        <v>1</v>
      </c>
      <c r="C4" s="2" t="s">
        <v>2</v>
      </c>
      <c r="D4" s="2" t="s">
        <v>3</v>
      </c>
      <c r="E4" s="2" t="s">
        <v>7</v>
      </c>
      <c r="F4" s="2" t="s">
        <v>8</v>
      </c>
      <c r="G4" s="2" t="s">
        <v>13</v>
      </c>
      <c r="H4" s="2" t="s">
        <v>14</v>
      </c>
      <c r="I4" s="24" t="s">
        <v>20</v>
      </c>
    </row>
    <row r="5" spans="1:9" x14ac:dyDescent="0.25">
      <c r="A5" s="3">
        <v>2113</v>
      </c>
      <c r="B5" s="3">
        <v>113.3645837</v>
      </c>
      <c r="C5" s="3">
        <v>22.974126009999999</v>
      </c>
      <c r="D5" s="3">
        <v>18</v>
      </c>
      <c r="E5" s="13">
        <f t="shared" ref="E5:E36" si="0">SQRT((B5-$B$2)^2+(C5-$C$2)^2)</f>
        <v>1.2088111460861045E-3</v>
      </c>
      <c r="F5" s="13">
        <f t="shared" ref="F5:F36" si="1">SQRT(1/E5)</f>
        <v>28.762111932342471</v>
      </c>
      <c r="G5" s="14">
        <f>F5/$F$115*$D$2</f>
        <v>0</v>
      </c>
      <c r="H5" s="14">
        <f>F5/$F$115*$E$2</f>
        <v>105.39179190765788</v>
      </c>
      <c r="I5" s="25" t="str">
        <f>IF(MOD(ROW()-1,3)=1,"选中","")</f>
        <v>选中</v>
      </c>
    </row>
    <row r="6" spans="1:9" hidden="1" x14ac:dyDescent="0.25">
      <c r="A6" s="3">
        <v>2105</v>
      </c>
      <c r="B6" s="3">
        <v>113.3645607</v>
      </c>
      <c r="C6" s="3">
        <v>22.97544847</v>
      </c>
      <c r="D6" s="3">
        <v>18</v>
      </c>
      <c r="E6" s="13">
        <f t="shared" si="0"/>
        <v>1.2767989422358941E-3</v>
      </c>
      <c r="F6" s="13">
        <f t="shared" si="1"/>
        <v>27.985865519915997</v>
      </c>
      <c r="G6" s="14" t="e">
        <f>F6/$F$124*$D$2</f>
        <v>#DIV/0!</v>
      </c>
      <c r="H6" s="14" t="e">
        <f>F6/$F$124*$E$2</f>
        <v>#DIV/0!</v>
      </c>
      <c r="I6" s="25" t="str">
        <f t="shared" ref="I6:I69" si="2">IF(MOD(ROW()-1,3)=1,"选中","")</f>
        <v/>
      </c>
    </row>
    <row r="7" spans="1:9" hidden="1" x14ac:dyDescent="0.25">
      <c r="A7" s="3">
        <v>2108</v>
      </c>
      <c r="B7" s="3">
        <v>113.3642371</v>
      </c>
      <c r="C7" s="3">
        <v>22.974779160000001</v>
      </c>
      <c r="D7" s="3">
        <v>18</v>
      </c>
      <c r="E7" s="13">
        <f t="shared" si="0"/>
        <v>1.3874074240827255E-3</v>
      </c>
      <c r="F7" s="13">
        <f t="shared" si="1"/>
        <v>26.847137862569085</v>
      </c>
      <c r="G7" s="14" t="e">
        <f>F7/$F$124*$D$2</f>
        <v>#DIV/0!</v>
      </c>
      <c r="H7" s="14" t="e">
        <f>F7/$F$124*$E$2</f>
        <v>#DIV/0!</v>
      </c>
      <c r="I7" s="25" t="str">
        <f t="shared" si="2"/>
        <v/>
      </c>
    </row>
    <row r="8" spans="1:9" x14ac:dyDescent="0.25">
      <c r="A8" s="3">
        <v>2103</v>
      </c>
      <c r="B8" s="3">
        <v>113.36663110000001</v>
      </c>
      <c r="C8" s="3">
        <v>22.975809819999998</v>
      </c>
      <c r="D8" s="3">
        <v>18</v>
      </c>
      <c r="E8" s="13">
        <f t="shared" si="0"/>
        <v>1.4680800122654502E-3</v>
      </c>
      <c r="F8" s="13">
        <f t="shared" si="1"/>
        <v>26.099076302760469</v>
      </c>
      <c r="G8" s="14">
        <f>F8/$F$115*$D$2</f>
        <v>0</v>
      </c>
      <c r="H8" s="14">
        <f>F8/$F$115*$E$2</f>
        <v>95.633742930733291</v>
      </c>
      <c r="I8" s="25" t="str">
        <f t="shared" si="2"/>
        <v>选中</v>
      </c>
    </row>
    <row r="9" spans="1:9" hidden="1" x14ac:dyDescent="0.25">
      <c r="A9" s="3">
        <v>2334</v>
      </c>
      <c r="B9" s="3">
        <v>113.3658602</v>
      </c>
      <c r="C9" s="3">
        <v>22.973102900000001</v>
      </c>
      <c r="D9" s="3">
        <v>18</v>
      </c>
      <c r="E9" s="13">
        <f t="shared" si="0"/>
        <v>1.655674855641552E-3</v>
      </c>
      <c r="F9" s="13">
        <f t="shared" si="1"/>
        <v>24.576072150056628</v>
      </c>
      <c r="G9" s="14" t="e">
        <f>F9/$F$124*$D$2</f>
        <v>#DIV/0!</v>
      </c>
      <c r="H9" s="14" t="e">
        <f>F9/$F$124*$E$2</f>
        <v>#DIV/0!</v>
      </c>
      <c r="I9" s="25" t="str">
        <f t="shared" si="2"/>
        <v/>
      </c>
    </row>
    <row r="10" spans="1:9" hidden="1" x14ac:dyDescent="0.25">
      <c r="A10" s="3">
        <v>2106</v>
      </c>
      <c r="B10" s="3">
        <v>113.3674022</v>
      </c>
      <c r="C10" s="3">
        <v>22.97491531</v>
      </c>
      <c r="D10" s="3">
        <v>18</v>
      </c>
      <c r="E10" s="13">
        <f t="shared" si="0"/>
        <v>1.7866607145492466E-3</v>
      </c>
      <c r="F10" s="13">
        <f t="shared" si="1"/>
        <v>23.658050577723365</v>
      </c>
      <c r="G10" s="14" t="e">
        <f>F10/$F$124*$D$2</f>
        <v>#DIV/0!</v>
      </c>
      <c r="H10" s="14" t="e">
        <f>F10/$F$124*$E$2</f>
        <v>#DIV/0!</v>
      </c>
      <c r="I10" s="25" t="str">
        <f t="shared" si="2"/>
        <v/>
      </c>
    </row>
    <row r="11" spans="1:9" x14ac:dyDescent="0.25">
      <c r="A11" s="3">
        <v>2112</v>
      </c>
      <c r="B11" s="3">
        <v>113.36382070000001</v>
      </c>
      <c r="C11" s="3">
        <v>22.97516852</v>
      </c>
      <c r="D11" s="3">
        <v>18</v>
      </c>
      <c r="E11" s="13">
        <f t="shared" si="0"/>
        <v>1.8531371844441131E-3</v>
      </c>
      <c r="F11" s="13">
        <f t="shared" si="1"/>
        <v>23.229839796665988</v>
      </c>
      <c r="G11" s="14">
        <f>F11/$F$115*$D$2</f>
        <v>0</v>
      </c>
      <c r="H11" s="14">
        <f>F11/$F$115*$E$2</f>
        <v>85.120120791458859</v>
      </c>
      <c r="I11" s="25" t="str">
        <f t="shared" si="2"/>
        <v>选中</v>
      </c>
    </row>
    <row r="12" spans="1:9" hidden="1" x14ac:dyDescent="0.25">
      <c r="A12" s="3">
        <v>2337</v>
      </c>
      <c r="B12" s="3">
        <v>113.3670767</v>
      </c>
      <c r="C12" s="3">
        <v>22.97338134</v>
      </c>
      <c r="D12" s="3">
        <v>18</v>
      </c>
      <c r="E12" s="13">
        <f t="shared" si="0"/>
        <v>1.9901641590605586E-3</v>
      </c>
      <c r="F12" s="13">
        <f t="shared" si="1"/>
        <v>22.415867437418701</v>
      </c>
      <c r="G12" s="14" t="e">
        <f>F12/$F$124*$D$2</f>
        <v>#DIV/0!</v>
      </c>
      <c r="H12" s="14" t="e">
        <f>F12/$F$124*$E$2</f>
        <v>#DIV/0!</v>
      </c>
      <c r="I12" s="25" t="str">
        <f t="shared" si="2"/>
        <v/>
      </c>
    </row>
    <row r="13" spans="1:9" hidden="1" x14ac:dyDescent="0.25">
      <c r="A13" s="3">
        <v>2121</v>
      </c>
      <c r="B13" s="3">
        <v>113.3633634</v>
      </c>
      <c r="C13" s="3">
        <v>22.973683739999998</v>
      </c>
      <c r="D13" s="3">
        <v>18</v>
      </c>
      <c r="E13" s="13">
        <f t="shared" si="0"/>
        <v>2.4958895748819179E-3</v>
      </c>
      <c r="F13" s="13">
        <f t="shared" si="1"/>
        <v>20.016462003005163</v>
      </c>
      <c r="G13" s="14" t="e">
        <f>F13/$F$124*$D$2</f>
        <v>#DIV/0!</v>
      </c>
      <c r="H13" s="14" t="e">
        <f>F13/$F$124*$E$2</f>
        <v>#DIV/0!</v>
      </c>
      <c r="I13" s="25" t="str">
        <f t="shared" si="2"/>
        <v/>
      </c>
    </row>
    <row r="14" spans="1:9" x14ac:dyDescent="0.25">
      <c r="A14" s="3">
        <v>2120</v>
      </c>
      <c r="B14" s="3">
        <v>113.362797</v>
      </c>
      <c r="C14" s="3">
        <v>22.975036880000001</v>
      </c>
      <c r="D14" s="3">
        <v>18</v>
      </c>
      <c r="E14" s="13">
        <f t="shared" si="0"/>
        <v>2.8423750029824193E-3</v>
      </c>
      <c r="F14" s="13">
        <f t="shared" si="1"/>
        <v>18.756824392860956</v>
      </c>
      <c r="G14" s="14">
        <f>F14/$F$115*$D$2</f>
        <v>0</v>
      </c>
      <c r="H14" s="14">
        <f>F14/$F$115*$E$2</f>
        <v>68.729839377267368</v>
      </c>
      <c r="I14" s="25" t="str">
        <f t="shared" si="2"/>
        <v>选中</v>
      </c>
    </row>
    <row r="15" spans="1:9" hidden="1" x14ac:dyDescent="0.25">
      <c r="A15" s="3">
        <v>2328</v>
      </c>
      <c r="B15" s="3">
        <v>113.3643502</v>
      </c>
      <c r="C15" s="3">
        <v>22.972197130000001</v>
      </c>
      <c r="D15" s="3">
        <v>18</v>
      </c>
      <c r="E15" s="13">
        <f t="shared" si="0"/>
        <v>2.8455399452618881E-3</v>
      </c>
      <c r="F15" s="13">
        <f t="shared" si="1"/>
        <v>18.746390383181812</v>
      </c>
      <c r="G15" s="14" t="e">
        <f>F15/$F$124*$D$2</f>
        <v>#DIV/0!</v>
      </c>
      <c r="H15" s="14" t="e">
        <f>F15/$F$124*$E$2</f>
        <v>#DIV/0!</v>
      </c>
      <c r="I15" s="25" t="str">
        <f t="shared" si="2"/>
        <v/>
      </c>
    </row>
    <row r="16" spans="1:9" hidden="1" x14ac:dyDescent="0.25">
      <c r="A16" s="3">
        <v>2118</v>
      </c>
      <c r="B16" s="3">
        <v>113.3626582</v>
      </c>
      <c r="C16" s="3">
        <v>22.974687209999999</v>
      </c>
      <c r="D16" s="3">
        <v>18</v>
      </c>
      <c r="E16" s="13">
        <f t="shared" si="0"/>
        <v>2.9662994226629376E-3</v>
      </c>
      <c r="F16" s="13">
        <f t="shared" si="1"/>
        <v>18.360838321166419</v>
      </c>
      <c r="G16" s="14" t="e">
        <f>F16/$F$124*$D$2</f>
        <v>#DIV/0!</v>
      </c>
      <c r="H16" s="14" t="e">
        <f>F16/$F$124*$E$2</f>
        <v>#DIV/0!</v>
      </c>
      <c r="I16" s="25" t="str">
        <f t="shared" si="2"/>
        <v/>
      </c>
    </row>
    <row r="17" spans="1:9" x14ac:dyDescent="0.25">
      <c r="A17" s="3">
        <v>2322</v>
      </c>
      <c r="B17" s="3">
        <v>113.3655986</v>
      </c>
      <c r="C17" s="3">
        <v>22.971743799999999</v>
      </c>
      <c r="D17" s="3">
        <v>18</v>
      </c>
      <c r="E17" s="13">
        <f t="shared" si="0"/>
        <v>2.9979476022131213E-3</v>
      </c>
      <c r="F17" s="13">
        <f t="shared" si="1"/>
        <v>18.263667037349077</v>
      </c>
      <c r="G17" s="14">
        <f>F17/$F$115*$D$2</f>
        <v>0</v>
      </c>
      <c r="H17" s="14">
        <f>F17/$F$115*$E$2</f>
        <v>66.922783709307382</v>
      </c>
      <c r="I17" s="25" t="str">
        <f t="shared" si="2"/>
        <v>选中</v>
      </c>
    </row>
    <row r="18" spans="1:9" hidden="1" x14ac:dyDescent="0.25">
      <c r="A18" s="3">
        <v>2344</v>
      </c>
      <c r="B18" s="3">
        <v>113.36754929999999</v>
      </c>
      <c r="C18" s="3">
        <v>22.972337249999999</v>
      </c>
      <c r="D18" s="3">
        <v>18</v>
      </c>
      <c r="E18" s="13">
        <f t="shared" si="0"/>
        <v>3.0802388482222185E-3</v>
      </c>
      <c r="F18" s="13">
        <f t="shared" si="1"/>
        <v>18.018050634441781</v>
      </c>
      <c r="G18" s="14" t="e">
        <f>F18/$F$124*$D$2</f>
        <v>#DIV/0!</v>
      </c>
      <c r="H18" s="14" t="e">
        <f>F18/$F$124*$E$2</f>
        <v>#DIV/0!</v>
      </c>
      <c r="I18" s="25" t="str">
        <f t="shared" si="2"/>
        <v/>
      </c>
    </row>
    <row r="19" spans="1:9" hidden="1" x14ac:dyDescent="0.25">
      <c r="A19" s="3">
        <v>2319</v>
      </c>
      <c r="B19" s="3">
        <v>113.3656526</v>
      </c>
      <c r="C19" s="3">
        <v>22.97160779</v>
      </c>
      <c r="D19" s="3">
        <v>18</v>
      </c>
      <c r="E19" s="13">
        <f t="shared" si="0"/>
        <v>3.1339805012966081E-3</v>
      </c>
      <c r="F19" s="13">
        <f t="shared" si="1"/>
        <v>17.862895392799615</v>
      </c>
      <c r="G19" s="14" t="e">
        <f>F19/$F$124*$D$2</f>
        <v>#DIV/0!</v>
      </c>
      <c r="H19" s="14" t="e">
        <f>F19/$F$124*$E$2</f>
        <v>#DIV/0!</v>
      </c>
      <c r="I19" s="25" t="str">
        <f t="shared" si="2"/>
        <v/>
      </c>
    </row>
    <row r="20" spans="1:9" x14ac:dyDescent="0.25">
      <c r="A20" s="3">
        <v>2346</v>
      </c>
      <c r="B20" s="3">
        <v>113.3627642</v>
      </c>
      <c r="C20" s="3">
        <v>22.973392629999999</v>
      </c>
      <c r="D20" s="3">
        <v>18</v>
      </c>
      <c r="E20" s="13">
        <f t="shared" si="0"/>
        <v>3.1620063282799269E-3</v>
      </c>
      <c r="F20" s="13">
        <f t="shared" si="1"/>
        <v>17.783557055155843</v>
      </c>
      <c r="G20" s="14">
        <f>F20/$F$115*$D$2</f>
        <v>0</v>
      </c>
      <c r="H20" s="14">
        <f>F20/$F$115*$E$2</f>
        <v>65.163536980307626</v>
      </c>
      <c r="I20" s="25" t="str">
        <f t="shared" si="2"/>
        <v>选中</v>
      </c>
    </row>
    <row r="21" spans="1:9" hidden="1" x14ac:dyDescent="0.25">
      <c r="A21" s="3">
        <v>2324</v>
      </c>
      <c r="B21" s="3">
        <v>113.3666424</v>
      </c>
      <c r="C21" s="3">
        <v>22.971144809999998</v>
      </c>
      <c r="D21" s="3">
        <v>18</v>
      </c>
      <c r="E21" s="13">
        <f t="shared" si="0"/>
        <v>3.7382247937937396E-3</v>
      </c>
      <c r="F21" s="13">
        <f t="shared" si="1"/>
        <v>16.355630598192263</v>
      </c>
      <c r="G21" s="14" t="e">
        <f>F21/$F$124*$D$2</f>
        <v>#DIV/0!</v>
      </c>
      <c r="H21" s="14" t="e">
        <f>F21/$F$124*$E$2</f>
        <v>#DIV/0!</v>
      </c>
      <c r="I21" s="25" t="str">
        <f t="shared" si="2"/>
        <v/>
      </c>
    </row>
    <row r="22" spans="1:9" hidden="1" x14ac:dyDescent="0.25">
      <c r="A22" s="3">
        <v>2335</v>
      </c>
      <c r="B22" s="3">
        <v>113.3688677</v>
      </c>
      <c r="C22" s="3">
        <v>22.972815560000001</v>
      </c>
      <c r="D22" s="3">
        <v>18</v>
      </c>
      <c r="E22" s="13">
        <f t="shared" si="0"/>
        <v>3.7724493179357274E-3</v>
      </c>
      <c r="F22" s="13">
        <f t="shared" si="1"/>
        <v>16.281270547884336</v>
      </c>
      <c r="G22" s="14" t="e">
        <f>F22/$F$124*$D$2</f>
        <v>#DIV/0!</v>
      </c>
      <c r="H22" s="14" t="e">
        <f>F22/$F$124*$E$2</f>
        <v>#DIV/0!</v>
      </c>
      <c r="I22" s="25" t="str">
        <f t="shared" si="2"/>
        <v/>
      </c>
    </row>
    <row r="23" spans="1:9" x14ac:dyDescent="0.25">
      <c r="A23" s="3">
        <v>2320</v>
      </c>
      <c r="B23" s="3">
        <v>113.3670899</v>
      </c>
      <c r="C23" s="3">
        <v>22.97125024</v>
      </c>
      <c r="D23" s="3">
        <v>18</v>
      </c>
      <c r="E23" s="13">
        <f t="shared" si="0"/>
        <v>3.7866524490648389E-3</v>
      </c>
      <c r="F23" s="13">
        <f t="shared" si="1"/>
        <v>16.250707633529082</v>
      </c>
      <c r="G23" s="14">
        <f>F23/$F$115*$D$2</f>
        <v>0</v>
      </c>
      <c r="H23" s="14">
        <f>F23/$F$115*$E$2</f>
        <v>59.546781588705052</v>
      </c>
      <c r="I23" s="25" t="str">
        <f t="shared" si="2"/>
        <v>选中</v>
      </c>
    </row>
    <row r="24" spans="1:9" hidden="1" x14ac:dyDescent="0.25">
      <c r="A24" s="3">
        <v>2333</v>
      </c>
      <c r="B24" s="3">
        <v>113.36914539999999</v>
      </c>
      <c r="C24" s="3">
        <v>22.973053159999999</v>
      </c>
      <c r="D24" s="3">
        <v>18</v>
      </c>
      <c r="E24" s="13">
        <f t="shared" si="0"/>
        <v>3.9052813817168769E-3</v>
      </c>
      <c r="F24" s="13">
        <f t="shared" si="1"/>
        <v>16.001984099243746</v>
      </c>
      <c r="G24" s="14" t="e">
        <f>F24/$F$124*$D$2</f>
        <v>#DIV/0!</v>
      </c>
      <c r="H24" s="14" t="e">
        <f>F24/$F$124*$E$2</f>
        <v>#DIV/0!</v>
      </c>
      <c r="I24" s="25" t="str">
        <f t="shared" si="2"/>
        <v/>
      </c>
    </row>
    <row r="25" spans="1:9" hidden="1" x14ac:dyDescent="0.25">
      <c r="A25" s="3">
        <v>2124</v>
      </c>
      <c r="B25" s="3">
        <v>113.36948099999999</v>
      </c>
      <c r="C25" s="3">
        <v>22.974006379999999</v>
      </c>
      <c r="D25" s="3">
        <v>18</v>
      </c>
      <c r="E25" s="13">
        <f t="shared" si="0"/>
        <v>3.926455942395937E-3</v>
      </c>
      <c r="F25" s="13">
        <f t="shared" si="1"/>
        <v>15.958778083328152</v>
      </c>
      <c r="G25" s="14" t="e">
        <f>F25/$F$124*$D$2</f>
        <v>#DIV/0!</v>
      </c>
      <c r="H25" s="14" t="e">
        <f>F25/$F$124*$E$2</f>
        <v>#DIV/0!</v>
      </c>
      <c r="I25" s="25" t="str">
        <f t="shared" si="2"/>
        <v/>
      </c>
    </row>
    <row r="26" spans="1:9" x14ac:dyDescent="0.25">
      <c r="A26" s="3">
        <v>2109</v>
      </c>
      <c r="B26" s="3">
        <v>113.3678515</v>
      </c>
      <c r="C26" s="3">
        <v>22.97800647</v>
      </c>
      <c r="D26" s="3">
        <v>18</v>
      </c>
      <c r="E26" s="13">
        <f t="shared" si="0"/>
        <v>3.9523247815570805E-3</v>
      </c>
      <c r="F26" s="13">
        <f t="shared" si="1"/>
        <v>15.906465478684668</v>
      </c>
      <c r="G26" s="14">
        <f>F26/$F$115*$D$2</f>
        <v>0</v>
      </c>
      <c r="H26" s="14">
        <f>F26/$F$115*$E$2</f>
        <v>58.285389600712342</v>
      </c>
      <c r="I26" s="25" t="str">
        <f t="shared" si="2"/>
        <v>选中</v>
      </c>
    </row>
    <row r="27" spans="1:9" hidden="1" x14ac:dyDescent="0.25">
      <c r="A27" s="3">
        <v>2321</v>
      </c>
      <c r="B27" s="3">
        <v>113.36750240000001</v>
      </c>
      <c r="C27" s="3">
        <v>22.97124977</v>
      </c>
      <c r="D27" s="3">
        <v>18</v>
      </c>
      <c r="E27" s="13">
        <f t="shared" si="0"/>
        <v>3.9650400574199824E-3</v>
      </c>
      <c r="F27" s="13">
        <f t="shared" si="1"/>
        <v>15.880940199692905</v>
      </c>
      <c r="G27" s="14" t="e">
        <f>F27/$F$124*$D$2</f>
        <v>#DIV/0!</v>
      </c>
      <c r="H27" s="14" t="e">
        <f>F27/$F$124*$E$2</f>
        <v>#DIV/0!</v>
      </c>
      <c r="I27" s="25" t="str">
        <f t="shared" si="2"/>
        <v/>
      </c>
    </row>
    <row r="28" spans="1:9" hidden="1" x14ac:dyDescent="0.25">
      <c r="A28" s="3">
        <v>2126</v>
      </c>
      <c r="B28" s="3">
        <v>113.3616506</v>
      </c>
      <c r="C28" s="3">
        <v>22.974742509999999</v>
      </c>
      <c r="D28" s="3">
        <v>18</v>
      </c>
      <c r="E28" s="13">
        <f t="shared" si="0"/>
        <v>3.9734000952383495E-3</v>
      </c>
      <c r="F28" s="13">
        <f t="shared" si="1"/>
        <v>15.864224645557888</v>
      </c>
      <c r="G28" s="14" t="e">
        <f>F28/$F$124*$D$2</f>
        <v>#DIV/0!</v>
      </c>
      <c r="H28" s="14" t="e">
        <f>F28/$F$124*$E$2</f>
        <v>#DIV/0!</v>
      </c>
      <c r="I28" s="25" t="str">
        <f t="shared" si="2"/>
        <v/>
      </c>
    </row>
    <row r="29" spans="1:9" x14ac:dyDescent="0.25">
      <c r="A29" s="3">
        <v>2345</v>
      </c>
      <c r="B29" s="3">
        <v>113.3692673</v>
      </c>
      <c r="C29" s="3">
        <v>22.973060019999998</v>
      </c>
      <c r="D29" s="3">
        <v>18</v>
      </c>
      <c r="E29" s="13">
        <f t="shared" si="0"/>
        <v>4.01266503890661E-3</v>
      </c>
      <c r="F29" s="13">
        <f t="shared" si="1"/>
        <v>15.786416105562104</v>
      </c>
      <c r="G29" s="14">
        <f>F29/$F$115*$D$2</f>
        <v>0</v>
      </c>
      <c r="H29" s="14">
        <f>F29/$F$115*$E$2</f>
        <v>57.845497753391108</v>
      </c>
      <c r="I29" s="25" t="str">
        <f t="shared" si="2"/>
        <v>选中</v>
      </c>
    </row>
    <row r="30" spans="1:9" hidden="1" x14ac:dyDescent="0.25">
      <c r="A30" s="3">
        <v>2347</v>
      </c>
      <c r="B30" s="3">
        <v>113.36937810000001</v>
      </c>
      <c r="C30" s="3">
        <v>22.973251820000002</v>
      </c>
      <c r="D30" s="3">
        <v>18</v>
      </c>
      <c r="E30" s="13">
        <f t="shared" si="0"/>
        <v>4.0389145128941076E-3</v>
      </c>
      <c r="F30" s="13">
        <f t="shared" si="1"/>
        <v>15.735033413353616</v>
      </c>
      <c r="G30" s="14" t="e">
        <f>F30/$F$124*$D$2</f>
        <v>#DIV/0!</v>
      </c>
      <c r="H30" s="14" t="e">
        <f>F30/$F$124*$E$2</f>
        <v>#DIV/0!</v>
      </c>
      <c r="I30" s="25" t="str">
        <f t="shared" si="2"/>
        <v/>
      </c>
    </row>
    <row r="31" spans="1:9" hidden="1" x14ac:dyDescent="0.25">
      <c r="A31" s="3">
        <v>2326</v>
      </c>
      <c r="B31" s="3">
        <v>113.3636652</v>
      </c>
      <c r="C31" s="3">
        <v>22.970790600000001</v>
      </c>
      <c r="D31" s="3">
        <v>18</v>
      </c>
      <c r="E31" s="13">
        <f t="shared" si="0"/>
        <v>4.4099449567530941E-3</v>
      </c>
      <c r="F31" s="13">
        <f t="shared" si="1"/>
        <v>15.058559025129343</v>
      </c>
      <c r="G31" s="14" t="e">
        <f>F31/$F$124*$D$2</f>
        <v>#DIV/0!</v>
      </c>
      <c r="H31" s="14" t="e">
        <f>F31/$F$124*$E$2</f>
        <v>#DIV/0!</v>
      </c>
      <c r="I31" s="25" t="str">
        <f t="shared" si="2"/>
        <v/>
      </c>
    </row>
    <row r="32" spans="1:9" x14ac:dyDescent="0.25">
      <c r="A32" s="3">
        <v>2331</v>
      </c>
      <c r="B32" s="3">
        <v>113.3634574</v>
      </c>
      <c r="C32" s="3">
        <v>22.970575950000001</v>
      </c>
      <c r="D32" s="3">
        <v>18</v>
      </c>
      <c r="E32" s="13">
        <f t="shared" si="0"/>
        <v>4.6954370122583291E-3</v>
      </c>
      <c r="F32" s="13">
        <f t="shared" si="1"/>
        <v>14.593584949722155</v>
      </c>
      <c r="G32" s="14">
        <f>F32/$F$115*$D$2</f>
        <v>0</v>
      </c>
      <c r="H32" s="14">
        <f>F32/$F$115*$E$2</f>
        <v>53.474656931514922</v>
      </c>
      <c r="I32" s="25" t="str">
        <f t="shared" si="2"/>
        <v>选中</v>
      </c>
    </row>
    <row r="33" spans="1:9" hidden="1" x14ac:dyDescent="0.25">
      <c r="A33" s="3">
        <v>2092</v>
      </c>
      <c r="B33" s="3">
        <v>113.3610523</v>
      </c>
      <c r="C33" s="3">
        <v>22.976366609999999</v>
      </c>
      <c r="D33" s="3">
        <v>18</v>
      </c>
      <c r="E33" s="13">
        <f t="shared" si="0"/>
        <v>4.8519035842533613E-3</v>
      </c>
      <c r="F33" s="13">
        <f t="shared" si="1"/>
        <v>14.35634607613833</v>
      </c>
      <c r="G33" s="14" t="e">
        <f>F33/$F$124*$D$2</f>
        <v>#DIV/0!</v>
      </c>
      <c r="H33" s="14" t="e">
        <f>F33/$F$124*$E$2</f>
        <v>#DIV/0!</v>
      </c>
      <c r="I33" s="25" t="str">
        <f t="shared" si="2"/>
        <v/>
      </c>
    </row>
    <row r="34" spans="1:9" hidden="1" x14ac:dyDescent="0.25">
      <c r="A34" s="3">
        <v>2342</v>
      </c>
      <c r="B34" s="3">
        <v>113.3702552</v>
      </c>
      <c r="C34" s="3">
        <v>22.972631150000002</v>
      </c>
      <c r="D34" s="3">
        <v>18</v>
      </c>
      <c r="E34" s="13">
        <f t="shared" si="0"/>
        <v>5.0894185797743033E-3</v>
      </c>
      <c r="F34" s="13">
        <f t="shared" si="1"/>
        <v>14.017349907406137</v>
      </c>
      <c r="G34" s="14" t="e">
        <f>F34/$F$124*$D$2</f>
        <v>#DIV/0!</v>
      </c>
      <c r="H34" s="14" t="e">
        <f>F34/$F$124*$E$2</f>
        <v>#DIV/0!</v>
      </c>
      <c r="I34" s="25" t="str">
        <f t="shared" si="2"/>
        <v/>
      </c>
    </row>
    <row r="35" spans="1:9" x14ac:dyDescent="0.25">
      <c r="A35" s="3">
        <v>2329</v>
      </c>
      <c r="B35" s="3">
        <v>113.3627434</v>
      </c>
      <c r="C35" s="3">
        <v>22.970476909999999</v>
      </c>
      <c r="D35" s="3">
        <v>18</v>
      </c>
      <c r="E35" s="13">
        <f t="shared" si="0"/>
        <v>5.1464335546967379E-3</v>
      </c>
      <c r="F35" s="13">
        <f t="shared" si="1"/>
        <v>13.939487764534096</v>
      </c>
      <c r="G35" s="14">
        <f>F35/$F$115*$D$2</f>
        <v>0</v>
      </c>
      <c r="H35" s="14">
        <f>F35/$F$115*$E$2</f>
        <v>51.077876243403942</v>
      </c>
      <c r="I35" s="25" t="str">
        <f t="shared" si="2"/>
        <v>选中</v>
      </c>
    </row>
    <row r="36" spans="1:9" hidden="1" x14ac:dyDescent="0.25">
      <c r="A36" s="3">
        <v>2343</v>
      </c>
      <c r="B36" s="3">
        <v>113.3701933</v>
      </c>
      <c r="C36" s="3">
        <v>22.971968499999999</v>
      </c>
      <c r="D36" s="3">
        <v>18</v>
      </c>
      <c r="E36" s="13">
        <f t="shared" si="0"/>
        <v>5.3449796959026919E-3</v>
      </c>
      <c r="F36" s="13">
        <f t="shared" si="1"/>
        <v>13.678137655189486</v>
      </c>
      <c r="G36" s="14" t="e">
        <f>F36/$F$124*$D$2</f>
        <v>#DIV/0!</v>
      </c>
      <c r="H36" s="14" t="e">
        <f>F36/$F$124*$E$2</f>
        <v>#DIV/0!</v>
      </c>
      <c r="I36" s="25" t="str">
        <f t="shared" si="2"/>
        <v/>
      </c>
    </row>
    <row r="37" spans="1:9" hidden="1" x14ac:dyDescent="0.25">
      <c r="A37" s="3">
        <v>2316</v>
      </c>
      <c r="B37" s="3">
        <v>113.36786410000001</v>
      </c>
      <c r="C37" s="3">
        <v>22.96967703</v>
      </c>
      <c r="D37" s="3">
        <v>18</v>
      </c>
      <c r="E37" s="13">
        <f t="shared" ref="E37:E68" si="3">SQRT((B37-$B$2)^2+(C37-$C$2)^2)</f>
        <v>5.5378987406917383E-3</v>
      </c>
      <c r="F37" s="13">
        <f t="shared" ref="F37:F68" si="4">SQRT(1/E37)</f>
        <v>13.43777901295954</v>
      </c>
      <c r="G37" s="14" t="e">
        <f>F37/$F$124*$D$2</f>
        <v>#DIV/0!</v>
      </c>
      <c r="H37" s="14" t="e">
        <f>F37/$F$124*$E$2</f>
        <v>#DIV/0!</v>
      </c>
      <c r="I37" s="25" t="str">
        <f t="shared" si="2"/>
        <v/>
      </c>
    </row>
    <row r="38" spans="1:9" x14ac:dyDescent="0.25">
      <c r="A38" s="3">
        <v>2104</v>
      </c>
      <c r="B38" s="3">
        <v>113.3674638</v>
      </c>
      <c r="C38" s="3">
        <v>22.98038888</v>
      </c>
      <c r="D38" s="3">
        <v>18</v>
      </c>
      <c r="E38" s="13">
        <f t="shared" si="3"/>
        <v>5.939375695944573E-3</v>
      </c>
      <c r="F38" s="13">
        <f t="shared" si="4"/>
        <v>12.975664302751657</v>
      </c>
      <c r="G38" s="14">
        <f>F38/$F$115*$D$2</f>
        <v>0</v>
      </c>
      <c r="H38" s="14">
        <f>F38/$F$115*$E$2</f>
        <v>47.546178642099868</v>
      </c>
      <c r="I38" s="25" t="str">
        <f t="shared" si="2"/>
        <v>选中</v>
      </c>
    </row>
    <row r="39" spans="1:9" hidden="1" x14ac:dyDescent="0.25">
      <c r="A39" s="3">
        <v>2110</v>
      </c>
      <c r="B39" s="3">
        <v>113.36225640000001</v>
      </c>
      <c r="C39" s="3">
        <v>22.97977654</v>
      </c>
      <c r="D39" s="3">
        <v>18</v>
      </c>
      <c r="E39" s="13">
        <f t="shared" si="3"/>
        <v>6.0573053224941232E-3</v>
      </c>
      <c r="F39" s="13">
        <f t="shared" si="4"/>
        <v>12.848731904857136</v>
      </c>
      <c r="G39" s="14" t="e">
        <f>F39/$F$124*$D$2</f>
        <v>#DIV/0!</v>
      </c>
      <c r="H39" s="14" t="e">
        <f>F39/$F$124*$E$2</f>
        <v>#DIV/0!</v>
      </c>
      <c r="I39" s="25" t="str">
        <f t="shared" si="2"/>
        <v/>
      </c>
    </row>
    <row r="40" spans="1:9" hidden="1" x14ac:dyDescent="0.25">
      <c r="A40" s="3">
        <v>2088</v>
      </c>
      <c r="B40" s="3">
        <v>113.3602873</v>
      </c>
      <c r="C40" s="3">
        <v>22.977708069999998</v>
      </c>
      <c r="D40" s="3">
        <v>18</v>
      </c>
      <c r="E40" s="13">
        <f t="shared" si="3"/>
        <v>6.1057410553422998E-3</v>
      </c>
      <c r="F40" s="13">
        <f t="shared" si="4"/>
        <v>12.797667105089509</v>
      </c>
      <c r="G40" s="14" t="e">
        <f>F40/$F$124*$D$2</f>
        <v>#DIV/0!</v>
      </c>
      <c r="H40" s="14" t="e">
        <f>F40/$F$124*$E$2</f>
        <v>#DIV/0!</v>
      </c>
      <c r="I40" s="25" t="str">
        <f t="shared" si="2"/>
        <v/>
      </c>
    </row>
    <row r="41" spans="1:9" x14ac:dyDescent="0.25">
      <c r="A41" s="3">
        <v>2123</v>
      </c>
      <c r="B41" s="3">
        <v>113.3674268</v>
      </c>
      <c r="C41" s="3">
        <v>22.981328520000002</v>
      </c>
      <c r="D41" s="3">
        <v>18</v>
      </c>
      <c r="E41" s="13">
        <f t="shared" si="3"/>
        <v>6.8291343502988235E-3</v>
      </c>
      <c r="F41" s="13">
        <f t="shared" si="4"/>
        <v>12.100886057941914</v>
      </c>
      <c r="G41" s="14">
        <f>F41/$F$115*$D$2</f>
        <v>0</v>
      </c>
      <c r="H41" s="14">
        <f>F41/$F$115*$E$2</f>
        <v>44.340765668281911</v>
      </c>
      <c r="I41" s="25" t="str">
        <f t="shared" si="2"/>
        <v>选中</v>
      </c>
    </row>
    <row r="42" spans="1:9" hidden="1" x14ac:dyDescent="0.25">
      <c r="A42" s="3">
        <v>2116</v>
      </c>
      <c r="B42" s="3">
        <v>113.36467709999999</v>
      </c>
      <c r="C42" s="3">
        <v>22.98169764</v>
      </c>
      <c r="D42" s="3">
        <v>18</v>
      </c>
      <c r="E42" s="13">
        <f t="shared" si="3"/>
        <v>7.0201535317960528E-3</v>
      </c>
      <c r="F42" s="13">
        <f t="shared" si="4"/>
        <v>11.935117387125191</v>
      </c>
      <c r="G42" s="14" t="e">
        <f>F42/$F$124*$D$2</f>
        <v>#DIV/0!</v>
      </c>
      <c r="H42" s="14" t="e">
        <f>F42/$F$124*$E$2</f>
        <v>#DIV/0!</v>
      </c>
      <c r="I42" s="25" t="str">
        <f t="shared" si="2"/>
        <v/>
      </c>
    </row>
    <row r="43" spans="1:9" hidden="1" x14ac:dyDescent="0.25">
      <c r="A43" s="3">
        <v>2360</v>
      </c>
      <c r="B43" s="3">
        <v>113.3718167</v>
      </c>
      <c r="C43" s="3">
        <v>22.971430059999999</v>
      </c>
      <c r="D43" s="3">
        <v>18</v>
      </c>
      <c r="E43" s="13">
        <f t="shared" si="3"/>
        <v>7.0225419462192525E-3</v>
      </c>
      <c r="F43" s="13">
        <f t="shared" si="4"/>
        <v>11.933087607103056</v>
      </c>
      <c r="G43" s="14" t="e">
        <f>F43/$F$124*$D$2</f>
        <v>#DIV/0!</v>
      </c>
      <c r="H43" s="14" t="e">
        <f>F43/$F$124*$E$2</f>
        <v>#DIV/0!</v>
      </c>
      <c r="I43" s="25" t="str">
        <f t="shared" si="2"/>
        <v/>
      </c>
    </row>
    <row r="44" spans="1:9" x14ac:dyDescent="0.25">
      <c r="A44" s="3">
        <v>2361</v>
      </c>
      <c r="B44" s="3">
        <v>113.3721443</v>
      </c>
      <c r="C44" s="3">
        <v>22.972032479999999</v>
      </c>
      <c r="D44" s="3">
        <v>18</v>
      </c>
      <c r="E44" s="13">
        <f t="shared" si="3"/>
        <v>7.0607265912001373E-3</v>
      </c>
      <c r="F44" s="13">
        <f t="shared" si="4"/>
        <v>11.900776595164285</v>
      </c>
      <c r="G44" s="14">
        <f>F44/$F$115*$D$2</f>
        <v>0</v>
      </c>
      <c r="H44" s="14">
        <f>F44/$F$115*$E$2</f>
        <v>43.607513015993263</v>
      </c>
      <c r="I44" s="25" t="str">
        <f t="shared" si="2"/>
        <v>选中</v>
      </c>
    </row>
    <row r="45" spans="1:9" hidden="1" x14ac:dyDescent="0.25">
      <c r="A45" s="3">
        <v>2107</v>
      </c>
      <c r="B45" s="3">
        <v>113.36617819999999</v>
      </c>
      <c r="C45" s="3">
        <v>22.981809770000002</v>
      </c>
      <c r="D45" s="3">
        <v>18</v>
      </c>
      <c r="E45" s="13">
        <f t="shared" si="3"/>
        <v>7.0898236463893417E-3</v>
      </c>
      <c r="F45" s="13">
        <f t="shared" si="4"/>
        <v>11.876330742383571</v>
      </c>
      <c r="G45" s="14" t="e">
        <f>F45/$F$124*$D$2</f>
        <v>#DIV/0!</v>
      </c>
      <c r="H45" s="14" t="e">
        <f>F45/$F$124*$E$2</f>
        <v>#DIV/0!</v>
      </c>
      <c r="I45" s="25" t="str">
        <f t="shared" si="2"/>
        <v/>
      </c>
    </row>
    <row r="46" spans="1:9" hidden="1" x14ac:dyDescent="0.25">
      <c r="A46" s="3">
        <v>2115</v>
      </c>
      <c r="B46" s="3">
        <v>113.3691778</v>
      </c>
      <c r="C46" s="3">
        <v>22.98092673</v>
      </c>
      <c r="D46" s="3">
        <v>18</v>
      </c>
      <c r="E46" s="13">
        <f t="shared" si="3"/>
        <v>7.133360550829357E-3</v>
      </c>
      <c r="F46" s="13">
        <f t="shared" si="4"/>
        <v>11.840032981438494</v>
      </c>
      <c r="G46" s="14" t="e">
        <f>F46/$F$124*$D$2</f>
        <v>#DIV/0!</v>
      </c>
      <c r="H46" s="14" t="e">
        <f>F46/$F$124*$E$2</f>
        <v>#DIV/0!</v>
      </c>
      <c r="I46" s="25" t="str">
        <f t="shared" si="2"/>
        <v/>
      </c>
    </row>
    <row r="47" spans="1:9" x14ac:dyDescent="0.25">
      <c r="A47" s="3">
        <v>2111</v>
      </c>
      <c r="B47" s="3">
        <v>113.3673938</v>
      </c>
      <c r="C47" s="3">
        <v>22.981662409999998</v>
      </c>
      <c r="D47" s="3">
        <v>18</v>
      </c>
      <c r="E47" s="13">
        <f t="shared" si="3"/>
        <v>7.1434760049207801E-3</v>
      </c>
      <c r="F47" s="13">
        <f t="shared" si="4"/>
        <v>11.831647026276052</v>
      </c>
      <c r="G47" s="14">
        <f>F47/$F$115*$D$2</f>
        <v>0</v>
      </c>
      <c r="H47" s="14">
        <f>F47/$F$115*$E$2</f>
        <v>43.354204456591468</v>
      </c>
      <c r="I47" s="25" t="str">
        <f t="shared" si="2"/>
        <v>选中</v>
      </c>
    </row>
    <row r="48" spans="1:9" hidden="1" x14ac:dyDescent="0.25">
      <c r="A48" s="3">
        <v>2114</v>
      </c>
      <c r="B48" s="3">
        <v>113.3690829</v>
      </c>
      <c r="C48" s="3">
        <v>22.981026790000001</v>
      </c>
      <c r="D48" s="3">
        <v>18</v>
      </c>
      <c r="E48" s="13">
        <f t="shared" si="3"/>
        <v>7.1740574107327102E-3</v>
      </c>
      <c r="F48" s="13">
        <f t="shared" si="4"/>
        <v>11.806402258853451</v>
      </c>
      <c r="G48" s="14" t="e">
        <f>F48/$F$124*$D$2</f>
        <v>#DIV/0!</v>
      </c>
      <c r="H48" s="14" t="e">
        <f>F48/$F$124*$E$2</f>
        <v>#DIV/0!</v>
      </c>
      <c r="I48" s="25" t="str">
        <f t="shared" si="2"/>
        <v/>
      </c>
    </row>
    <row r="49" spans="1:9" hidden="1" x14ac:dyDescent="0.25">
      <c r="A49" s="3">
        <v>2348</v>
      </c>
      <c r="B49" s="3">
        <v>113.36181379999999</v>
      </c>
      <c r="C49" s="3">
        <v>22.96847799</v>
      </c>
      <c r="D49" s="3">
        <v>18</v>
      </c>
      <c r="E49" s="13">
        <f t="shared" si="3"/>
        <v>7.3315029402259658E-3</v>
      </c>
      <c r="F49" s="13">
        <f t="shared" si="4"/>
        <v>11.678941779829083</v>
      </c>
      <c r="G49" s="14" t="e">
        <f>F49/$F$124*$D$2</f>
        <v>#DIV/0!</v>
      </c>
      <c r="H49" s="14" t="e">
        <f>F49/$F$124*$E$2</f>
        <v>#DIV/0!</v>
      </c>
      <c r="I49" s="25" t="str">
        <f t="shared" si="2"/>
        <v/>
      </c>
    </row>
    <row r="50" spans="1:9" x14ac:dyDescent="0.25">
      <c r="A50" s="3">
        <v>2117</v>
      </c>
      <c r="B50" s="3">
        <v>113.363978</v>
      </c>
      <c r="C50" s="3">
        <v>22.981900419999999</v>
      </c>
      <c r="D50" s="3">
        <v>18</v>
      </c>
      <c r="E50" s="13">
        <f t="shared" si="3"/>
        <v>7.3455732988204217E-3</v>
      </c>
      <c r="F50" s="13">
        <f t="shared" si="4"/>
        <v>11.667750981019282</v>
      </c>
      <c r="G50" s="14">
        <f>F50/$F$115*$D$2</f>
        <v>0</v>
      </c>
      <c r="H50" s="14">
        <f>F50/$F$115*$E$2</f>
        <v>42.753647100552328</v>
      </c>
      <c r="I50" s="25" t="str">
        <f t="shared" si="2"/>
        <v>选中</v>
      </c>
    </row>
    <row r="51" spans="1:9" hidden="1" x14ac:dyDescent="0.25">
      <c r="A51" s="3">
        <v>2332</v>
      </c>
      <c r="B51" s="3">
        <v>113.36184280000001</v>
      </c>
      <c r="C51" s="3">
        <v>22.968421970000001</v>
      </c>
      <c r="D51" s="3">
        <v>18</v>
      </c>
      <c r="E51" s="13">
        <f t="shared" si="3"/>
        <v>7.3644892795655505E-3</v>
      </c>
      <c r="F51" s="13">
        <f t="shared" si="4"/>
        <v>11.652756807598601</v>
      </c>
      <c r="G51" s="14" t="e">
        <f>F51/$F$124*$D$2</f>
        <v>#DIV/0!</v>
      </c>
      <c r="H51" s="14" t="e">
        <f>F51/$F$124*$E$2</f>
        <v>#DIV/0!</v>
      </c>
      <c r="I51" s="25" t="str">
        <f t="shared" si="2"/>
        <v/>
      </c>
    </row>
    <row r="52" spans="1:9" hidden="1" x14ac:dyDescent="0.25">
      <c r="A52" s="3">
        <v>2090</v>
      </c>
      <c r="B52" s="3">
        <v>113.36043290000001</v>
      </c>
      <c r="C52" s="3">
        <v>22.979985889999998</v>
      </c>
      <c r="D52" s="3">
        <v>18</v>
      </c>
      <c r="E52" s="13">
        <f t="shared" si="3"/>
        <v>7.3790024578101994E-3</v>
      </c>
      <c r="F52" s="13">
        <f t="shared" si="4"/>
        <v>11.641291722994364</v>
      </c>
      <c r="G52" s="14" t="e">
        <f>F52/$F$124*$D$2</f>
        <v>#DIV/0!</v>
      </c>
      <c r="H52" s="14" t="e">
        <f>F52/$F$124*$E$2</f>
        <v>#DIV/0!</v>
      </c>
      <c r="I52" s="25" t="str">
        <f t="shared" si="2"/>
        <v/>
      </c>
    </row>
    <row r="53" spans="1:9" x14ac:dyDescent="0.25">
      <c r="A53" s="3">
        <v>2318</v>
      </c>
      <c r="B53" s="3">
        <v>113.36448230000001</v>
      </c>
      <c r="C53" s="3">
        <v>22.967402029999999</v>
      </c>
      <c r="D53" s="3">
        <v>18</v>
      </c>
      <c r="E53" s="13">
        <f t="shared" si="3"/>
        <v>7.4278768057982683E-3</v>
      </c>
      <c r="F53" s="13">
        <f t="shared" si="4"/>
        <v>11.602929512041447</v>
      </c>
      <c r="G53" s="14">
        <f>F53/$F$115*$D$2</f>
        <v>0</v>
      </c>
      <c r="H53" s="14">
        <f>F53/$F$115*$E$2</f>
        <v>42.516124529687886</v>
      </c>
      <c r="I53" s="25" t="str">
        <f t="shared" si="2"/>
        <v>选中</v>
      </c>
    </row>
    <row r="54" spans="1:9" hidden="1" x14ac:dyDescent="0.25">
      <c r="A54" s="3">
        <v>2136</v>
      </c>
      <c r="B54" s="3">
        <v>113.36868029999999</v>
      </c>
      <c r="C54" s="3">
        <v>22.981579</v>
      </c>
      <c r="D54" s="3">
        <v>18</v>
      </c>
      <c r="E54" s="13">
        <f t="shared" si="3"/>
        <v>7.489356545095519E-3</v>
      </c>
      <c r="F54" s="13">
        <f t="shared" si="4"/>
        <v>11.555207450063504</v>
      </c>
      <c r="G54" s="14" t="e">
        <f>F54/$F$124*$D$2</f>
        <v>#DIV/0!</v>
      </c>
      <c r="H54" s="14" t="e">
        <f>F54/$F$124*$E$2</f>
        <v>#DIV/0!</v>
      </c>
      <c r="I54" s="25" t="str">
        <f t="shared" si="2"/>
        <v/>
      </c>
    </row>
    <row r="55" spans="1:9" hidden="1" x14ac:dyDescent="0.25">
      <c r="A55" s="3">
        <v>2135</v>
      </c>
      <c r="B55" s="3">
        <v>113.3673908</v>
      </c>
      <c r="C55" s="3">
        <v>22.98202826</v>
      </c>
      <c r="D55" s="3">
        <v>18</v>
      </c>
      <c r="E55" s="13">
        <f t="shared" si="3"/>
        <v>7.497760549949193E-3</v>
      </c>
      <c r="F55" s="13">
        <f t="shared" si="4"/>
        <v>11.548729699406888</v>
      </c>
      <c r="G55" s="14" t="e">
        <f>F55/$F$124*$D$2</f>
        <v>#DIV/0!</v>
      </c>
      <c r="H55" s="14" t="e">
        <f>F55/$F$124*$E$2</f>
        <v>#DIV/0!</v>
      </c>
      <c r="I55" s="25" t="str">
        <f t="shared" si="2"/>
        <v/>
      </c>
    </row>
    <row r="56" spans="1:9" x14ac:dyDescent="0.25">
      <c r="A56" s="3">
        <v>2138</v>
      </c>
      <c r="B56" s="3">
        <v>113.3731332</v>
      </c>
      <c r="C56" s="3">
        <v>22.974072639999999</v>
      </c>
      <c r="D56" s="3">
        <v>18</v>
      </c>
      <c r="E56" s="13">
        <f t="shared" si="3"/>
        <v>7.5389419443328363E-3</v>
      </c>
      <c r="F56" s="13">
        <f t="shared" si="4"/>
        <v>11.517144096541422</v>
      </c>
      <c r="G56" s="14">
        <f>F56/$F$115*$D$2</f>
        <v>0</v>
      </c>
      <c r="H56" s="14">
        <f>F56/$F$115*$E$2</f>
        <v>42.20178465505149</v>
      </c>
      <c r="I56" s="25" t="str">
        <f t="shared" si="2"/>
        <v>选中</v>
      </c>
    </row>
    <row r="57" spans="1:9" hidden="1" x14ac:dyDescent="0.25">
      <c r="A57" s="3">
        <v>2358</v>
      </c>
      <c r="B57" s="3">
        <v>113.37206949999999</v>
      </c>
      <c r="C57" s="3">
        <v>22.970584169999999</v>
      </c>
      <c r="D57" s="3">
        <v>18</v>
      </c>
      <c r="E57" s="13">
        <f t="shared" si="3"/>
        <v>7.6700082823226278E-3</v>
      </c>
      <c r="F57" s="13">
        <f t="shared" si="4"/>
        <v>11.418316675119524</v>
      </c>
      <c r="G57" s="14" t="e">
        <f>F57/$F$124*$D$2</f>
        <v>#DIV/0!</v>
      </c>
      <c r="H57" s="14" t="e">
        <f>F57/$F$124*$E$2</f>
        <v>#DIV/0!</v>
      </c>
      <c r="I57" s="25" t="str">
        <f t="shared" si="2"/>
        <v/>
      </c>
    </row>
    <row r="58" spans="1:9" hidden="1" x14ac:dyDescent="0.25">
      <c r="A58" s="3">
        <v>2303</v>
      </c>
      <c r="B58" s="3">
        <v>113.35872500000001</v>
      </c>
      <c r="C58" s="3">
        <v>22.97125501</v>
      </c>
      <c r="D58" s="3">
        <v>18</v>
      </c>
      <c r="E58" s="13">
        <f t="shared" si="3"/>
        <v>7.7299928691280202E-3</v>
      </c>
      <c r="F58" s="13">
        <f t="shared" si="4"/>
        <v>11.373927440407847</v>
      </c>
      <c r="G58" s="14" t="e">
        <f>F58/$F$124*$D$2</f>
        <v>#DIV/0!</v>
      </c>
      <c r="H58" s="14" t="e">
        <f>F58/$F$124*$E$2</f>
        <v>#DIV/0!</v>
      </c>
      <c r="I58" s="25" t="str">
        <f t="shared" si="2"/>
        <v/>
      </c>
    </row>
    <row r="59" spans="1:9" x14ac:dyDescent="0.25">
      <c r="A59" s="3">
        <v>2096</v>
      </c>
      <c r="B59" s="3">
        <v>113.3606915</v>
      </c>
      <c r="C59" s="3">
        <v>22.980781189999998</v>
      </c>
      <c r="D59" s="3">
        <v>18</v>
      </c>
      <c r="E59" s="13">
        <f t="shared" si="3"/>
        <v>7.7978022834910296E-3</v>
      </c>
      <c r="F59" s="13">
        <f t="shared" si="4"/>
        <v>11.324365822154395</v>
      </c>
      <c r="G59" s="14">
        <f>F59/$F$115*$D$2</f>
        <v>0</v>
      </c>
      <c r="H59" s="14">
        <f>F59/$F$115*$E$2</f>
        <v>41.495395366729845</v>
      </c>
      <c r="I59" s="25" t="str">
        <f t="shared" si="2"/>
        <v>选中</v>
      </c>
    </row>
    <row r="60" spans="1:9" hidden="1" x14ac:dyDescent="0.25">
      <c r="A60" s="3">
        <v>2130</v>
      </c>
      <c r="B60" s="3">
        <v>113.3624081</v>
      </c>
      <c r="C60" s="3">
        <v>22.981852450000002</v>
      </c>
      <c r="D60" s="3">
        <v>18</v>
      </c>
      <c r="E60" s="13">
        <f t="shared" si="3"/>
        <v>7.8042060240686665E-3</v>
      </c>
      <c r="F60" s="13">
        <f t="shared" si="4"/>
        <v>11.319718764975516</v>
      </c>
      <c r="G60" s="14" t="e">
        <f>F60/$F$124*$D$2</f>
        <v>#DIV/0!</v>
      </c>
      <c r="H60" s="14" t="e">
        <f>F60/$F$124*$E$2</f>
        <v>#DIV/0!</v>
      </c>
      <c r="I60" s="25" t="str">
        <f t="shared" si="2"/>
        <v/>
      </c>
    </row>
    <row r="61" spans="1:9" hidden="1" x14ac:dyDescent="0.25">
      <c r="A61" s="3">
        <v>2355</v>
      </c>
      <c r="B61" s="3">
        <v>113.37217440000001</v>
      </c>
      <c r="C61" s="3">
        <v>22.970473120000001</v>
      </c>
      <c r="D61" s="3">
        <v>18</v>
      </c>
      <c r="E61" s="13">
        <f t="shared" si="3"/>
        <v>7.8184399435257002E-3</v>
      </c>
      <c r="F61" s="13">
        <f t="shared" si="4"/>
        <v>11.309409971467328</v>
      </c>
      <c r="G61" s="14" t="e">
        <f>F61/$F$124*$D$2</f>
        <v>#DIV/0!</v>
      </c>
      <c r="H61" s="14" t="e">
        <f>F61/$F$124*$E$2</f>
        <v>#DIV/0!</v>
      </c>
      <c r="I61" s="25" t="str">
        <f t="shared" si="2"/>
        <v/>
      </c>
    </row>
    <row r="62" spans="1:9" x14ac:dyDescent="0.25">
      <c r="A62" s="3">
        <v>2095</v>
      </c>
      <c r="B62" s="3">
        <v>113.3604898</v>
      </c>
      <c r="C62" s="3">
        <v>22.98072049</v>
      </c>
      <c r="D62" s="3">
        <v>18</v>
      </c>
      <c r="E62" s="13">
        <f t="shared" si="3"/>
        <v>7.8807776876704226E-3</v>
      </c>
      <c r="F62" s="13">
        <f t="shared" si="4"/>
        <v>11.264591881427044</v>
      </c>
      <c r="G62" s="14">
        <f>F62/$F$115*$D$2</f>
        <v>0</v>
      </c>
      <c r="H62" s="14">
        <f>F62/$F$115*$E$2</f>
        <v>41.276368240437577</v>
      </c>
      <c r="I62" s="25" t="str">
        <f t="shared" si="2"/>
        <v>选中</v>
      </c>
    </row>
    <row r="63" spans="1:9" hidden="1" x14ac:dyDescent="0.25">
      <c r="A63" s="3">
        <v>2301</v>
      </c>
      <c r="B63" s="3">
        <v>113.35965969999999</v>
      </c>
      <c r="C63" s="3">
        <v>22.969523450000001</v>
      </c>
      <c r="D63" s="3">
        <v>18</v>
      </c>
      <c r="E63" s="13">
        <f t="shared" si="3"/>
        <v>7.9247953516879601E-3</v>
      </c>
      <c r="F63" s="13">
        <f t="shared" si="4"/>
        <v>11.233264165996216</v>
      </c>
      <c r="G63" s="14" t="e">
        <f>F63/$F$124*$D$2</f>
        <v>#DIV/0!</v>
      </c>
      <c r="H63" s="14" t="e">
        <f>F63/$F$124*$E$2</f>
        <v>#DIV/0!</v>
      </c>
      <c r="I63" s="25" t="str">
        <f t="shared" si="2"/>
        <v/>
      </c>
    </row>
    <row r="64" spans="1:9" hidden="1" x14ac:dyDescent="0.25">
      <c r="A64" s="3">
        <v>2122</v>
      </c>
      <c r="B64" s="3">
        <v>113.36873319999999</v>
      </c>
      <c r="C64" s="3">
        <v>22.982167690000001</v>
      </c>
      <c r="D64" s="3">
        <v>18</v>
      </c>
      <c r="E64" s="13">
        <f t="shared" si="3"/>
        <v>8.050673465150239E-3</v>
      </c>
      <c r="F64" s="13">
        <f t="shared" si="4"/>
        <v>11.145098060316924</v>
      </c>
      <c r="G64" s="14" t="e">
        <f>F64/$F$124*$D$2</f>
        <v>#DIV/0!</v>
      </c>
      <c r="H64" s="14" t="e">
        <f>F64/$F$124*$E$2</f>
        <v>#DIV/0!</v>
      </c>
      <c r="I64" s="25" t="str">
        <f t="shared" si="2"/>
        <v/>
      </c>
    </row>
    <row r="65" spans="1:9" x14ac:dyDescent="0.25">
      <c r="A65" s="3">
        <v>2302</v>
      </c>
      <c r="B65" s="3">
        <v>113.3584354</v>
      </c>
      <c r="C65" s="3">
        <v>22.9710745</v>
      </c>
      <c r="D65" s="3">
        <v>18</v>
      </c>
      <c r="E65" s="13">
        <f t="shared" si="3"/>
        <v>8.0699371583361143E-3</v>
      </c>
      <c r="F65" s="13">
        <f t="shared" si="4"/>
        <v>11.131787917796919</v>
      </c>
      <c r="G65" s="14">
        <f>F65/$F$115*$D$2</f>
        <v>0</v>
      </c>
      <c r="H65" s="14">
        <f>F65/$F$115*$E$2</f>
        <v>40.78974028584431</v>
      </c>
      <c r="I65" s="25" t="str">
        <f t="shared" si="2"/>
        <v>选中</v>
      </c>
    </row>
    <row r="66" spans="1:9" hidden="1" x14ac:dyDescent="0.25">
      <c r="A66" s="3">
        <v>2306</v>
      </c>
      <c r="B66" s="3">
        <v>113.3577014</v>
      </c>
      <c r="C66" s="3">
        <v>22.972672859999999</v>
      </c>
      <c r="D66" s="3">
        <v>18</v>
      </c>
      <c r="E66" s="13">
        <f t="shared" si="3"/>
        <v>8.188250206754592E-3</v>
      </c>
      <c r="F66" s="13">
        <f t="shared" si="4"/>
        <v>11.05107299595945</v>
      </c>
      <c r="G66" s="14" t="e">
        <f>F66/$F$124*$D$2</f>
        <v>#DIV/0!</v>
      </c>
      <c r="H66" s="14" t="e">
        <f>F66/$F$124*$E$2</f>
        <v>#DIV/0!</v>
      </c>
      <c r="I66" s="25" t="str">
        <f t="shared" si="2"/>
        <v/>
      </c>
    </row>
    <row r="67" spans="1:9" hidden="1" x14ac:dyDescent="0.25">
      <c r="A67" s="3">
        <v>2125</v>
      </c>
      <c r="B67" s="3">
        <v>113.3646111</v>
      </c>
      <c r="C67" s="3">
        <v>22.982891200000001</v>
      </c>
      <c r="D67" s="3">
        <v>18</v>
      </c>
      <c r="E67" s="13">
        <f t="shared" si="3"/>
        <v>8.2122648887854657E-3</v>
      </c>
      <c r="F67" s="13">
        <f t="shared" si="4"/>
        <v>11.034903138628108</v>
      </c>
      <c r="G67" s="14" t="e">
        <f>F67/$F$124*$D$2</f>
        <v>#DIV/0!</v>
      </c>
      <c r="H67" s="14" t="e">
        <f>F67/$F$124*$E$2</f>
        <v>#DIV/0!</v>
      </c>
      <c r="I67" s="25" t="str">
        <f t="shared" si="2"/>
        <v/>
      </c>
    </row>
    <row r="68" spans="1:9" x14ac:dyDescent="0.25">
      <c r="A68" s="3">
        <v>2098</v>
      </c>
      <c r="B68" s="3">
        <v>113.3612007</v>
      </c>
      <c r="C68" s="3">
        <v>22.981706110000001</v>
      </c>
      <c r="D68" s="3">
        <v>18</v>
      </c>
      <c r="E68" s="13">
        <f t="shared" si="3"/>
        <v>8.2504197027114465E-3</v>
      </c>
      <c r="F68" s="13">
        <f t="shared" si="4"/>
        <v>11.00935761499227</v>
      </c>
      <c r="G68" s="14">
        <f>F68/$F$115*$D$2</f>
        <v>0</v>
      </c>
      <c r="H68" s="14">
        <f>F68/$F$115*$E$2</f>
        <v>40.34112409845406</v>
      </c>
      <c r="I68" s="25" t="str">
        <f t="shared" si="2"/>
        <v>选中</v>
      </c>
    </row>
    <row r="69" spans="1:9" hidden="1" x14ac:dyDescent="0.25">
      <c r="A69" s="3">
        <v>2097</v>
      </c>
      <c r="B69" s="3">
        <v>113.36096809999999</v>
      </c>
      <c r="C69" s="3">
        <v>22.98173341</v>
      </c>
      <c r="D69" s="3">
        <v>18</v>
      </c>
      <c r="E69" s="13">
        <f t="shared" ref="E69:E100" si="5">SQRT((B69-$B$2)^2+(C69-$C$2)^2)</f>
        <v>8.400134078865364E-3</v>
      </c>
      <c r="F69" s="13">
        <f t="shared" ref="F69:F100" si="6">SQRT(1/E69)</f>
        <v>10.910807434249417</v>
      </c>
      <c r="G69" s="14" t="e">
        <f>F69/$F$124*$D$2</f>
        <v>#DIV/0!</v>
      </c>
      <c r="H69" s="14" t="e">
        <f>F69/$F$124*$E$2</f>
        <v>#DIV/0!</v>
      </c>
      <c r="I69" s="25" t="str">
        <f t="shared" si="2"/>
        <v/>
      </c>
    </row>
    <row r="70" spans="1:9" hidden="1" x14ac:dyDescent="0.25">
      <c r="A70" s="3">
        <v>2325</v>
      </c>
      <c r="B70" s="3">
        <v>113.365612</v>
      </c>
      <c r="C70" s="3">
        <v>22.966167169999999</v>
      </c>
      <c r="D70" s="3">
        <v>18</v>
      </c>
      <c r="E70" s="13">
        <f t="shared" si="5"/>
        <v>8.5744783970191189E-3</v>
      </c>
      <c r="F70" s="13">
        <f t="shared" si="6"/>
        <v>10.799313400247568</v>
      </c>
      <c r="G70" s="14" t="e">
        <f>F70/$F$124*$D$2</f>
        <v>#DIV/0!</v>
      </c>
      <c r="H70" s="14" t="e">
        <f>F70/$F$124*$E$2</f>
        <v>#DIV/0!</v>
      </c>
      <c r="I70" s="25" t="str">
        <f t="shared" ref="I70:I113" si="7">IF(MOD(ROW()-1,3)=1,"选中","")</f>
        <v/>
      </c>
    </row>
    <row r="71" spans="1:9" x14ac:dyDescent="0.25">
      <c r="A71" s="3">
        <v>2094</v>
      </c>
      <c r="B71" s="3">
        <v>113.35968389999999</v>
      </c>
      <c r="C71" s="3">
        <v>22.980927510000001</v>
      </c>
      <c r="D71" s="3">
        <v>18</v>
      </c>
      <c r="E71" s="13">
        <f t="shared" si="5"/>
        <v>8.5761165842668657E-3</v>
      </c>
      <c r="F71" s="13">
        <f t="shared" si="6"/>
        <v>10.798281922757736</v>
      </c>
      <c r="G71" s="14">
        <f>F71/$F$115*$D$2</f>
        <v>0</v>
      </c>
      <c r="H71" s="14">
        <f>F71/$F$115*$E$2</f>
        <v>39.567688354754999</v>
      </c>
      <c r="I71" s="25" t="str">
        <f t="shared" si="7"/>
        <v>选中</v>
      </c>
    </row>
    <row r="72" spans="1:9" hidden="1" x14ac:dyDescent="0.25">
      <c r="A72" s="3">
        <v>2133</v>
      </c>
      <c r="B72" s="3">
        <v>113.36864129999999</v>
      </c>
      <c r="C72" s="3">
        <v>22.982794519999999</v>
      </c>
      <c r="D72" s="3">
        <v>18</v>
      </c>
      <c r="E72" s="13">
        <f t="shared" si="5"/>
        <v>8.5995915940430996E-3</v>
      </c>
      <c r="F72" s="13">
        <f t="shared" si="6"/>
        <v>10.78353337334114</v>
      </c>
      <c r="G72" s="14" t="e">
        <f>F72/$F$124*$D$2</f>
        <v>#DIV/0!</v>
      </c>
      <c r="H72" s="14" t="e">
        <f>F72/$F$124*$E$2</f>
        <v>#DIV/0!</v>
      </c>
      <c r="I72" s="25" t="str">
        <f t="shared" si="7"/>
        <v/>
      </c>
    </row>
    <row r="73" spans="1:9" hidden="1" x14ac:dyDescent="0.25">
      <c r="A73" s="3">
        <v>2134</v>
      </c>
      <c r="B73" s="3">
        <v>113.36964620000001</v>
      </c>
      <c r="C73" s="3">
        <v>22.982378600000001</v>
      </c>
      <c r="D73" s="3">
        <v>18</v>
      </c>
      <c r="E73" s="13">
        <f t="shared" si="5"/>
        <v>8.6314107121406927E-3</v>
      </c>
      <c r="F73" s="13">
        <f t="shared" si="6"/>
        <v>10.763638634106661</v>
      </c>
      <c r="G73" s="14" t="e">
        <f>F73/$F$124*$D$2</f>
        <v>#DIV/0!</v>
      </c>
      <c r="H73" s="14" t="e">
        <f>F73/$F$124*$E$2</f>
        <v>#DIV/0!</v>
      </c>
      <c r="I73" s="25" t="str">
        <f t="shared" si="7"/>
        <v/>
      </c>
    </row>
    <row r="74" spans="1:9" x14ac:dyDescent="0.25">
      <c r="A74" s="3">
        <v>2132</v>
      </c>
      <c r="B74" s="3">
        <v>113.3625358</v>
      </c>
      <c r="C74" s="3">
        <v>22.98290283</v>
      </c>
      <c r="D74" s="3">
        <v>18</v>
      </c>
      <c r="E74" s="13">
        <f t="shared" si="5"/>
        <v>8.7259384283895573E-3</v>
      </c>
      <c r="F74" s="13">
        <f t="shared" si="6"/>
        <v>10.705178862409655</v>
      </c>
      <c r="G74" s="14">
        <f>F74/$F$115*$D$2</f>
        <v>0</v>
      </c>
      <c r="H74" s="14">
        <f>F74/$F$115*$E$2</f>
        <v>39.226534743182505</v>
      </c>
      <c r="I74" s="25" t="str">
        <f t="shared" si="7"/>
        <v>选中</v>
      </c>
    </row>
    <row r="75" spans="1:9" hidden="1" x14ac:dyDescent="0.25">
      <c r="A75" s="3">
        <v>2330</v>
      </c>
      <c r="B75" s="3">
        <v>113.3627936</v>
      </c>
      <c r="C75" s="3">
        <v>22.96647956</v>
      </c>
      <c r="D75" s="3">
        <v>18</v>
      </c>
      <c r="E75" s="13">
        <f t="shared" si="5"/>
        <v>8.7334489227559944E-3</v>
      </c>
      <c r="F75" s="13">
        <f t="shared" si="6"/>
        <v>10.700574811975789</v>
      </c>
      <c r="G75" s="14" t="e">
        <f>F75/$F$124*$D$2</f>
        <v>#DIV/0!</v>
      </c>
      <c r="H75" s="14" t="e">
        <f>F75/$F$124*$E$2</f>
        <v>#DIV/0!</v>
      </c>
      <c r="I75" s="25" t="str">
        <f t="shared" si="7"/>
        <v/>
      </c>
    </row>
    <row r="76" spans="1:9" hidden="1" x14ac:dyDescent="0.25">
      <c r="A76" s="3">
        <v>2119</v>
      </c>
      <c r="B76" s="3">
        <v>113.3654191</v>
      </c>
      <c r="C76" s="3">
        <v>22.983485959999999</v>
      </c>
      <c r="D76" s="3">
        <v>18</v>
      </c>
      <c r="E76" s="13">
        <f t="shared" si="5"/>
        <v>8.7467203152020046E-3</v>
      </c>
      <c r="F76" s="13">
        <f t="shared" si="6"/>
        <v>10.692453743048727</v>
      </c>
      <c r="G76" s="14" t="e">
        <f>F76/$F$124*$D$2</f>
        <v>#DIV/0!</v>
      </c>
      <c r="H76" s="14" t="e">
        <f>F76/$F$124*$E$2</f>
        <v>#DIV/0!</v>
      </c>
      <c r="I76" s="25" t="str">
        <f t="shared" si="7"/>
        <v/>
      </c>
    </row>
    <row r="77" spans="1:9" x14ac:dyDescent="0.25">
      <c r="A77" s="3">
        <v>2129</v>
      </c>
      <c r="B77" s="3">
        <v>113.3635405</v>
      </c>
      <c r="C77" s="3">
        <v>22.983243389999998</v>
      </c>
      <c r="D77" s="3">
        <v>18</v>
      </c>
      <c r="E77" s="13">
        <f t="shared" si="5"/>
        <v>8.7533265283799878E-3</v>
      </c>
      <c r="F77" s="13">
        <f t="shared" si="6"/>
        <v>10.688418136633988</v>
      </c>
      <c r="G77" s="14">
        <f>F77/$F$115*$D$2</f>
        <v>0</v>
      </c>
      <c r="H77" s="14">
        <f>F77/$F$115*$E$2</f>
        <v>39.165119123657568</v>
      </c>
      <c r="I77" s="25" t="str">
        <f t="shared" si="7"/>
        <v>选中</v>
      </c>
    </row>
    <row r="78" spans="1:9" hidden="1" x14ac:dyDescent="0.25">
      <c r="A78" s="3">
        <v>2127</v>
      </c>
      <c r="B78" s="3">
        <v>113.36663059999999</v>
      </c>
      <c r="C78" s="3">
        <v>22.983503500000001</v>
      </c>
      <c r="D78" s="3">
        <v>18</v>
      </c>
      <c r="E78" s="13">
        <f t="shared" si="5"/>
        <v>8.8194917211589612E-3</v>
      </c>
      <c r="F78" s="13">
        <f t="shared" si="6"/>
        <v>10.648249573010848</v>
      </c>
      <c r="G78" s="14" t="e">
        <f>F78/$F$124*$D$2</f>
        <v>#DIV/0!</v>
      </c>
      <c r="H78" s="14" t="e">
        <f>F78/$F$124*$E$2</f>
        <v>#DIV/0!</v>
      </c>
      <c r="I78" s="25" t="str">
        <f t="shared" si="7"/>
        <v/>
      </c>
    </row>
    <row r="79" spans="1:9" hidden="1" x14ac:dyDescent="0.25">
      <c r="A79" s="3">
        <v>2299</v>
      </c>
      <c r="B79" s="3">
        <v>113.3582318</v>
      </c>
      <c r="C79" s="3">
        <v>22.96990929</v>
      </c>
      <c r="D79" s="3">
        <v>18</v>
      </c>
      <c r="E79" s="13">
        <f t="shared" si="5"/>
        <v>8.8315472802041953E-3</v>
      </c>
      <c r="F79" s="13">
        <f t="shared" si="6"/>
        <v>10.640979361145289</v>
      </c>
      <c r="G79" s="14" t="e">
        <f>F79/$F$124*$D$2</f>
        <v>#DIV/0!</v>
      </c>
      <c r="H79" s="14" t="e">
        <f>F79/$F$124*$E$2</f>
        <v>#DIV/0!</v>
      </c>
      <c r="I79" s="25" t="str">
        <f t="shared" si="7"/>
        <v/>
      </c>
    </row>
    <row r="80" spans="1:9" x14ac:dyDescent="0.25">
      <c r="A80" s="3">
        <v>2340</v>
      </c>
      <c r="B80" s="3">
        <v>113.36788230000001</v>
      </c>
      <c r="C80" s="3">
        <v>22.966181509999998</v>
      </c>
      <c r="D80" s="3">
        <v>18</v>
      </c>
      <c r="E80" s="13">
        <f t="shared" si="5"/>
        <v>8.8530076531643589E-3</v>
      </c>
      <c r="F80" s="13">
        <f t="shared" si="6"/>
        <v>10.628074258558652</v>
      </c>
      <c r="G80" s="14">
        <f>F80/$F$115*$D$2</f>
        <v>0</v>
      </c>
      <c r="H80" s="14">
        <f>F80/$F$115*$E$2</f>
        <v>38.944003600013929</v>
      </c>
      <c r="I80" s="25" t="str">
        <f t="shared" si="7"/>
        <v>选中</v>
      </c>
    </row>
    <row r="81" spans="1:9" hidden="1" x14ac:dyDescent="0.25">
      <c r="A81" s="3">
        <v>2296</v>
      </c>
      <c r="B81" s="3">
        <v>113.3580261</v>
      </c>
      <c r="C81" s="3">
        <v>22.970161470000001</v>
      </c>
      <c r="D81" s="3">
        <v>18</v>
      </c>
      <c r="E81" s="13">
        <f t="shared" si="5"/>
        <v>8.8716425558519225E-3</v>
      </c>
      <c r="F81" s="13">
        <f t="shared" si="6"/>
        <v>10.616906245395539</v>
      </c>
      <c r="G81" s="14" t="e">
        <f>F81/$F$124*$D$2</f>
        <v>#DIV/0!</v>
      </c>
      <c r="H81" s="14" t="e">
        <f>F81/$F$124*$E$2</f>
        <v>#DIV/0!</v>
      </c>
      <c r="I81" s="25" t="str">
        <f t="shared" si="7"/>
        <v/>
      </c>
    </row>
    <row r="82" spans="1:9" hidden="1" x14ac:dyDescent="0.25">
      <c r="A82" s="3">
        <v>2323</v>
      </c>
      <c r="B82" s="3">
        <v>113.36789330000001</v>
      </c>
      <c r="C82" s="3">
        <v>22.966096539999999</v>
      </c>
      <c r="D82" s="3">
        <v>18</v>
      </c>
      <c r="E82" s="13">
        <f t="shared" si="5"/>
        <v>8.9379794416906064E-3</v>
      </c>
      <c r="F82" s="13">
        <f t="shared" si="6"/>
        <v>10.577434003751495</v>
      </c>
      <c r="G82" s="14" t="e">
        <f>F82/$F$124*$D$2</f>
        <v>#DIV/0!</v>
      </c>
      <c r="H82" s="14" t="e">
        <f>F82/$F$124*$E$2</f>
        <v>#DIV/0!</v>
      </c>
      <c r="I82" s="25" t="str">
        <f t="shared" si="7"/>
        <v/>
      </c>
    </row>
    <row r="83" spans="1:9" x14ac:dyDescent="0.25">
      <c r="A83" s="3">
        <v>2304</v>
      </c>
      <c r="B83" s="3">
        <v>113.360254</v>
      </c>
      <c r="C83" s="3">
        <v>22.96756547</v>
      </c>
      <c r="D83" s="3">
        <v>18</v>
      </c>
      <c r="E83" s="13">
        <f t="shared" si="5"/>
        <v>8.9629412510016139E-3</v>
      </c>
      <c r="F83" s="13">
        <f t="shared" si="6"/>
        <v>10.562694646883521</v>
      </c>
      <c r="G83" s="14">
        <f>F83/$F$115*$D$2</f>
        <v>0</v>
      </c>
      <c r="H83" s="14">
        <f>F83/$F$115*$E$2</f>
        <v>38.704435850438465</v>
      </c>
      <c r="I83" s="25" t="str">
        <f t="shared" si="7"/>
        <v>选中</v>
      </c>
    </row>
    <row r="84" spans="1:9" hidden="1" x14ac:dyDescent="0.25">
      <c r="A84" s="3">
        <v>2313</v>
      </c>
      <c r="B84" s="3">
        <v>113.360282</v>
      </c>
      <c r="C84" s="3">
        <v>22.967541449999999</v>
      </c>
      <c r="D84" s="3">
        <v>18</v>
      </c>
      <c r="E84" s="13">
        <f t="shared" si="5"/>
        <v>8.9654726610549421E-3</v>
      </c>
      <c r="F84" s="13">
        <f t="shared" si="6"/>
        <v>10.561203347980046</v>
      </c>
      <c r="G84" s="14" t="e">
        <f>F84/$F$124*$D$2</f>
        <v>#DIV/0!</v>
      </c>
      <c r="H84" s="14" t="e">
        <f>F84/$F$124*$E$2</f>
        <v>#DIV/0!</v>
      </c>
      <c r="I84" s="25" t="str">
        <f t="shared" si="7"/>
        <v/>
      </c>
    </row>
    <row r="85" spans="1:9" hidden="1" x14ac:dyDescent="0.25">
      <c r="A85" s="3">
        <v>2101</v>
      </c>
      <c r="B85" s="3">
        <v>113.35865250000001</v>
      </c>
      <c r="C85" s="3">
        <v>22.980381179999998</v>
      </c>
      <c r="D85" s="3">
        <v>18</v>
      </c>
      <c r="E85" s="13">
        <f t="shared" si="5"/>
        <v>8.9669517485850003E-3</v>
      </c>
      <c r="F85" s="13">
        <f t="shared" si="6"/>
        <v>10.560332283384776</v>
      </c>
      <c r="G85" s="14" t="e">
        <f>F85/$F$124*$D$2</f>
        <v>#DIV/0!</v>
      </c>
      <c r="H85" s="14" t="e">
        <f>F85/$F$124*$E$2</f>
        <v>#DIV/0!</v>
      </c>
      <c r="I85" s="25" t="str">
        <f t="shared" si="7"/>
        <v/>
      </c>
    </row>
    <row r="86" spans="1:9" x14ac:dyDescent="0.25">
      <c r="A86" s="3">
        <v>2128</v>
      </c>
      <c r="B86" s="3">
        <v>113.3629502</v>
      </c>
      <c r="C86" s="3">
        <v>22.983368089999999</v>
      </c>
      <c r="D86" s="3">
        <v>18</v>
      </c>
      <c r="E86" s="13">
        <f t="shared" si="5"/>
        <v>9.0313258186405163E-3</v>
      </c>
      <c r="F86" s="13">
        <f t="shared" si="6"/>
        <v>10.522628665896551</v>
      </c>
      <c r="G86" s="14">
        <f>F86/$F$115*$D$2</f>
        <v>0</v>
      </c>
      <c r="H86" s="14">
        <f>F86/$F$115*$E$2</f>
        <v>38.557623768603591</v>
      </c>
      <c r="I86" s="25" t="str">
        <f t="shared" si="7"/>
        <v>选中</v>
      </c>
    </row>
    <row r="87" spans="1:9" hidden="1" x14ac:dyDescent="0.25">
      <c r="A87" s="3">
        <v>1905</v>
      </c>
      <c r="B87" s="3">
        <v>113.36688030000001</v>
      </c>
      <c r="C87" s="3">
        <v>22.983717120000001</v>
      </c>
      <c r="D87" s="3">
        <v>18</v>
      </c>
      <c r="E87" s="13">
        <f t="shared" si="5"/>
        <v>9.0629758313935764E-3</v>
      </c>
      <c r="F87" s="13">
        <f t="shared" si="6"/>
        <v>10.504238867066832</v>
      </c>
      <c r="G87" s="14" t="e">
        <f>F87/$F$124*$D$2</f>
        <v>#DIV/0!</v>
      </c>
      <c r="H87" s="14" t="e">
        <f>F87/$F$124*$E$2</f>
        <v>#DIV/0!</v>
      </c>
      <c r="I87" s="25" t="str">
        <f t="shared" si="7"/>
        <v/>
      </c>
    </row>
    <row r="88" spans="1:9" hidden="1" x14ac:dyDescent="0.25">
      <c r="A88" s="3">
        <v>2131</v>
      </c>
      <c r="B88" s="3">
        <v>113.3692056</v>
      </c>
      <c r="C88" s="3">
        <v>22.983421629999999</v>
      </c>
      <c r="D88" s="3">
        <v>18</v>
      </c>
      <c r="E88" s="13">
        <f t="shared" si="5"/>
        <v>9.3898927022668111E-3</v>
      </c>
      <c r="F88" s="13">
        <f t="shared" si="6"/>
        <v>10.319762088192364</v>
      </c>
      <c r="G88" s="14" t="e">
        <f>F88/$F$124*$D$2</f>
        <v>#DIV/0!</v>
      </c>
      <c r="H88" s="14" t="e">
        <f>F88/$F$124*$E$2</f>
        <v>#DIV/0!</v>
      </c>
      <c r="I88" s="25" t="str">
        <f t="shared" si="7"/>
        <v/>
      </c>
    </row>
    <row r="89" spans="1:9" x14ac:dyDescent="0.25">
      <c r="A89" s="3">
        <v>2359</v>
      </c>
      <c r="B89" s="3">
        <v>113.3719378</v>
      </c>
      <c r="C89" s="3">
        <v>22.967649569999999</v>
      </c>
      <c r="D89" s="3">
        <v>18</v>
      </c>
      <c r="E89" s="13">
        <f t="shared" si="5"/>
        <v>9.4953424016696111E-3</v>
      </c>
      <c r="F89" s="13">
        <f t="shared" si="6"/>
        <v>10.262299496057755</v>
      </c>
      <c r="G89" s="14">
        <f>F89/$F$115*$D$2</f>
        <v>0</v>
      </c>
      <c r="H89" s="14">
        <f>F89/$F$115*$E$2</f>
        <v>37.603710587273817</v>
      </c>
      <c r="I89" s="25" t="str">
        <f t="shared" si="7"/>
        <v>选中</v>
      </c>
    </row>
    <row r="90" spans="1:9" hidden="1" x14ac:dyDescent="0.25">
      <c r="A90" s="3">
        <v>2081</v>
      </c>
      <c r="B90" s="3">
        <v>113.35784959999999</v>
      </c>
      <c r="C90" s="3">
        <v>22.98047429</v>
      </c>
      <c r="D90" s="3">
        <v>18</v>
      </c>
      <c r="E90" s="13">
        <f t="shared" si="5"/>
        <v>9.6594291437187632E-3</v>
      </c>
      <c r="F90" s="13">
        <f t="shared" si="6"/>
        <v>10.17476223693768</v>
      </c>
      <c r="G90" s="14" t="e">
        <f>F90/$F$124*$D$2</f>
        <v>#DIV/0!</v>
      </c>
      <c r="H90" s="14" t="e">
        <f>F90/$F$124*$E$2</f>
        <v>#DIV/0!</v>
      </c>
      <c r="I90" s="25" t="str">
        <f t="shared" si="7"/>
        <v/>
      </c>
    </row>
    <row r="91" spans="1:9" hidden="1" x14ac:dyDescent="0.25">
      <c r="A91" s="3">
        <v>2327</v>
      </c>
      <c r="B91" s="3">
        <v>113.36691449999999</v>
      </c>
      <c r="C91" s="3">
        <v>22.965080100000002</v>
      </c>
      <c r="D91" s="3">
        <v>18</v>
      </c>
      <c r="E91" s="13">
        <f t="shared" si="5"/>
        <v>9.7473455577190352E-3</v>
      </c>
      <c r="F91" s="13">
        <f t="shared" si="6"/>
        <v>10.128772546339157</v>
      </c>
      <c r="G91" s="14" t="e">
        <f>F91/$F$124*$D$2</f>
        <v>#DIV/0!</v>
      </c>
      <c r="H91" s="14" t="e">
        <f>F91/$F$124*$E$2</f>
        <v>#DIV/0!</v>
      </c>
      <c r="I91" s="25" t="str">
        <f t="shared" si="7"/>
        <v/>
      </c>
    </row>
    <row r="92" spans="1:9" x14ac:dyDescent="0.25">
      <c r="A92" s="3">
        <v>1903</v>
      </c>
      <c r="B92" s="3">
        <v>113.363856</v>
      </c>
      <c r="C92" s="3">
        <v>22.984336519999999</v>
      </c>
      <c r="D92" s="3">
        <v>18</v>
      </c>
      <c r="E92" s="13">
        <f t="shared" si="5"/>
        <v>9.756410518954076E-3</v>
      </c>
      <c r="F92" s="13">
        <f t="shared" si="6"/>
        <v>10.124065986090219</v>
      </c>
      <c r="G92" s="14">
        <f>F92/$F$115*$D$2</f>
        <v>0</v>
      </c>
      <c r="H92" s="14">
        <f>F92/$F$115*$E$2</f>
        <v>37.097187375368037</v>
      </c>
      <c r="I92" s="25" t="str">
        <f t="shared" si="7"/>
        <v>选中</v>
      </c>
    </row>
    <row r="93" spans="1:9" hidden="1" x14ac:dyDescent="0.25">
      <c r="A93" s="3">
        <v>1904</v>
      </c>
      <c r="B93" s="3">
        <v>113.36217619999999</v>
      </c>
      <c r="C93" s="3">
        <v>22.98411578</v>
      </c>
      <c r="D93" s="3">
        <v>18</v>
      </c>
      <c r="E93" s="13">
        <f t="shared" si="5"/>
        <v>9.9880841796410567E-3</v>
      </c>
      <c r="F93" s="13">
        <f t="shared" si="6"/>
        <v>10.005963239976198</v>
      </c>
      <c r="G93" s="14" t="e">
        <f>F93/$F$124*$D$2</f>
        <v>#DIV/0!</v>
      </c>
      <c r="H93" s="14" t="e">
        <f>F93/$F$124*$E$2</f>
        <v>#DIV/0!</v>
      </c>
      <c r="I93" s="25" t="str">
        <f t="shared" si="7"/>
        <v/>
      </c>
    </row>
    <row r="94" spans="1:9" hidden="1" x14ac:dyDescent="0.25">
      <c r="A94" s="3">
        <v>2102</v>
      </c>
      <c r="B94" s="3">
        <v>113.3579864</v>
      </c>
      <c r="C94" s="3">
        <v>22.98119878</v>
      </c>
      <c r="D94" s="3">
        <v>18</v>
      </c>
      <c r="E94" s="13">
        <f t="shared" si="5"/>
        <v>1.0001379441832445E-2</v>
      </c>
      <c r="F94" s="13">
        <f t="shared" si="6"/>
        <v>9.9993103504328165</v>
      </c>
      <c r="G94" s="14" t="e">
        <f>F94/$F$124*$D$2</f>
        <v>#DIV/0!</v>
      </c>
      <c r="H94" s="14" t="e">
        <f>F94/$F$124*$E$2</f>
        <v>#DIV/0!</v>
      </c>
      <c r="I94" s="25" t="str">
        <f t="shared" si="7"/>
        <v/>
      </c>
    </row>
    <row r="95" spans="1:9" x14ac:dyDescent="0.25">
      <c r="A95" s="3">
        <v>2082</v>
      </c>
      <c r="B95" s="3">
        <v>113.3578646</v>
      </c>
      <c r="C95" s="3">
        <v>22.981052009999999</v>
      </c>
      <c r="D95" s="3">
        <v>18</v>
      </c>
      <c r="E95" s="13">
        <f t="shared" si="5"/>
        <v>1.0001452789311934E-2</v>
      </c>
      <c r="F95" s="13">
        <f t="shared" si="6"/>
        <v>9.9992736844818317</v>
      </c>
      <c r="G95" s="14">
        <f>F95/$F$115*$D$2</f>
        <v>0</v>
      </c>
      <c r="H95" s="14">
        <f>F95/$F$115*$E$2</f>
        <v>36.639916215526696</v>
      </c>
      <c r="I95" s="25" t="str">
        <f t="shared" si="7"/>
        <v>选中</v>
      </c>
    </row>
    <row r="96" spans="1:9" hidden="1" x14ac:dyDescent="0.25">
      <c r="A96" s="3">
        <v>2091</v>
      </c>
      <c r="B96" s="3">
        <v>113.3587632</v>
      </c>
      <c r="C96" s="3">
        <v>22.982033319999999</v>
      </c>
      <c r="D96" s="3">
        <v>18</v>
      </c>
      <c r="E96" s="13">
        <f t="shared" si="5"/>
        <v>1.0011951551138685E-2</v>
      </c>
      <c r="F96" s="13">
        <f t="shared" si="6"/>
        <v>9.9940295755854205</v>
      </c>
      <c r="G96" s="14" t="e">
        <f>F96/$F$124*$D$2</f>
        <v>#DIV/0!</v>
      </c>
      <c r="H96" s="14" t="e">
        <f>F96/$F$124*$E$2</f>
        <v>#DIV/0!</v>
      </c>
      <c r="I96" s="25" t="str">
        <f t="shared" si="7"/>
        <v/>
      </c>
    </row>
    <row r="97" spans="1:9" hidden="1" x14ac:dyDescent="0.25">
      <c r="A97" s="3">
        <v>2336</v>
      </c>
      <c r="B97" s="3">
        <v>113.36666080000001</v>
      </c>
      <c r="C97" s="3">
        <v>22.964708550000001</v>
      </c>
      <c r="D97" s="3">
        <v>18</v>
      </c>
      <c r="E97" s="13">
        <f t="shared" si="5"/>
        <v>1.0086518189550031E-2</v>
      </c>
      <c r="F97" s="13">
        <f t="shared" si="6"/>
        <v>9.9570195989978636</v>
      </c>
      <c r="G97" s="14" t="e">
        <f>F97/$F$124*$D$2</f>
        <v>#DIV/0!</v>
      </c>
      <c r="H97" s="14" t="e">
        <f>F97/$F$124*$E$2</f>
        <v>#DIV/0!</v>
      </c>
      <c r="I97" s="25" t="str">
        <f t="shared" si="7"/>
        <v/>
      </c>
    </row>
    <row r="98" spans="1:9" x14ac:dyDescent="0.25">
      <c r="A98" s="3">
        <v>1906</v>
      </c>
      <c r="B98" s="3">
        <v>113.3616979</v>
      </c>
      <c r="C98" s="3">
        <v>22.984148390000001</v>
      </c>
      <c r="D98" s="3">
        <v>18</v>
      </c>
      <c r="E98" s="13">
        <f t="shared" si="5"/>
        <v>1.0193194139842066E-2</v>
      </c>
      <c r="F98" s="13">
        <f t="shared" si="6"/>
        <v>9.9047804199118428</v>
      </c>
      <c r="G98" s="14">
        <f>F98/$F$115*$D$2</f>
        <v>0</v>
      </c>
      <c r="H98" s="14">
        <f>F98/$F$115*$E$2</f>
        <v>36.293668537342917</v>
      </c>
      <c r="I98" s="25" t="str">
        <f t="shared" si="7"/>
        <v>选中</v>
      </c>
    </row>
    <row r="99" spans="1:9" hidden="1" x14ac:dyDescent="0.25">
      <c r="A99" s="3">
        <v>2093</v>
      </c>
      <c r="B99" s="3">
        <v>113.3589848</v>
      </c>
      <c r="C99" s="3">
        <v>22.982809670000002</v>
      </c>
      <c r="D99" s="3">
        <v>18</v>
      </c>
      <c r="E99" s="13">
        <f t="shared" si="5"/>
        <v>1.0448544622139573E-2</v>
      </c>
      <c r="F99" s="13">
        <f t="shared" si="6"/>
        <v>9.7830010268650103</v>
      </c>
      <c r="G99" s="14" t="e">
        <f>F99/$F$124*$D$2</f>
        <v>#DIV/0!</v>
      </c>
      <c r="H99" s="14" t="e">
        <f>F99/$F$124*$E$2</f>
        <v>#DIV/0!</v>
      </c>
      <c r="I99" s="25" t="str">
        <f t="shared" si="7"/>
        <v/>
      </c>
    </row>
    <row r="100" spans="1:9" hidden="1" x14ac:dyDescent="0.25">
      <c r="A100" s="3">
        <v>2083</v>
      </c>
      <c r="B100" s="3">
        <v>113.3573174</v>
      </c>
      <c r="C100" s="3">
        <v>22.981251719999999</v>
      </c>
      <c r="D100" s="3">
        <v>18</v>
      </c>
      <c r="E100" s="13">
        <f t="shared" si="5"/>
        <v>1.0553707650220994E-2</v>
      </c>
      <c r="F100" s="13">
        <f t="shared" si="6"/>
        <v>9.7341373571355838</v>
      </c>
      <c r="G100" s="14" t="e">
        <f>F100/$F$124*$D$2</f>
        <v>#DIV/0!</v>
      </c>
      <c r="H100" s="14" t="e">
        <f>F100/$F$124*$E$2</f>
        <v>#DIV/0!</v>
      </c>
      <c r="I100" s="25" t="str">
        <f t="shared" si="7"/>
        <v/>
      </c>
    </row>
    <row r="101" spans="1:9" x14ac:dyDescent="0.25">
      <c r="A101" s="3">
        <v>2314</v>
      </c>
      <c r="B101" s="3">
        <v>113.3674699</v>
      </c>
      <c r="C101" s="3">
        <v>22.96413386</v>
      </c>
      <c r="D101" s="3">
        <v>18</v>
      </c>
      <c r="E101" s="13">
        <f t="shared" ref="E101:E113" si="8">SQRT((B101-$B$2)^2+(C101-$C$2)^2)</f>
        <v>1.0767188274495878E-2</v>
      </c>
      <c r="F101" s="13">
        <f t="shared" ref="F101:F113" si="9">SQRT(1/E101)</f>
        <v>9.6371550524303355</v>
      </c>
      <c r="G101" s="14">
        <f>F101/$F$115*$D$2</f>
        <v>0</v>
      </c>
      <c r="H101" s="14">
        <f>F101/$F$115*$E$2</f>
        <v>35.313020207165707</v>
      </c>
      <c r="I101" s="25" t="str">
        <f t="shared" si="7"/>
        <v>选中</v>
      </c>
    </row>
    <row r="102" spans="1:9" hidden="1" x14ac:dyDescent="0.25">
      <c r="A102" s="3">
        <v>2338</v>
      </c>
      <c r="B102" s="3">
        <v>113.36712129999999</v>
      </c>
      <c r="C102" s="3">
        <v>22.964065290000001</v>
      </c>
      <c r="D102" s="3">
        <v>18</v>
      </c>
      <c r="E102" s="13">
        <f t="shared" si="8"/>
        <v>1.0780832834827978E-2</v>
      </c>
      <c r="F102" s="13">
        <f t="shared" si="9"/>
        <v>9.6310545786600752</v>
      </c>
      <c r="G102" s="14" t="e">
        <f>F102/$F$124*$D$2</f>
        <v>#DIV/0!</v>
      </c>
      <c r="H102" s="14" t="e">
        <f>F102/$F$124*$E$2</f>
        <v>#DIV/0!</v>
      </c>
      <c r="I102" s="25" t="str">
        <f t="shared" si="7"/>
        <v/>
      </c>
    </row>
    <row r="103" spans="1:9" hidden="1" x14ac:dyDescent="0.25">
      <c r="A103" s="3">
        <v>2352</v>
      </c>
      <c r="B103" s="3">
        <v>113.3736133</v>
      </c>
      <c r="C103" s="3">
        <v>22.966604400000001</v>
      </c>
      <c r="D103" s="3">
        <v>18</v>
      </c>
      <c r="E103" s="13">
        <f t="shared" si="8"/>
        <v>1.1403665608377302E-2</v>
      </c>
      <c r="F103" s="13">
        <f t="shared" si="9"/>
        <v>9.3643527083239473</v>
      </c>
      <c r="G103" s="14" t="e">
        <f>F103/$F$124*$D$2</f>
        <v>#DIV/0!</v>
      </c>
      <c r="H103" s="14" t="e">
        <f>F103/$F$124*$E$2</f>
        <v>#DIV/0!</v>
      </c>
      <c r="I103" s="25" t="str">
        <f t="shared" si="7"/>
        <v/>
      </c>
    </row>
    <row r="104" spans="1:9" x14ac:dyDescent="0.25">
      <c r="A104" s="3">
        <v>2351</v>
      </c>
      <c r="B104" s="3">
        <v>113.37667829999999</v>
      </c>
      <c r="C104" s="3">
        <v>22.971615549999999</v>
      </c>
      <c r="D104" s="3">
        <v>18</v>
      </c>
      <c r="E104" s="13">
        <f t="shared" si="8"/>
        <v>1.1487819078400631E-2</v>
      </c>
      <c r="F104" s="13">
        <f t="shared" si="9"/>
        <v>9.329990603893469</v>
      </c>
      <c r="G104" s="14">
        <f>F104/$F$115*$D$2</f>
        <v>0</v>
      </c>
      <c r="H104" s="14">
        <f>F104/$F$115*$E$2</f>
        <v>34.187490492317977</v>
      </c>
      <c r="I104" s="25" t="str">
        <f t="shared" si="7"/>
        <v>选中</v>
      </c>
    </row>
    <row r="105" spans="1:9" hidden="1" x14ac:dyDescent="0.25">
      <c r="A105" s="3">
        <v>2356</v>
      </c>
      <c r="B105" s="3">
        <v>113.3735623</v>
      </c>
      <c r="C105" s="3">
        <v>22.966340559999999</v>
      </c>
      <c r="D105" s="3">
        <v>18</v>
      </c>
      <c r="E105" s="13">
        <f t="shared" si="8"/>
        <v>1.155831960349513E-2</v>
      </c>
      <c r="F105" s="13">
        <f t="shared" si="9"/>
        <v>9.3014927186573839</v>
      </c>
      <c r="G105" s="14" t="e">
        <f>F105/$F$124*$D$2</f>
        <v>#DIV/0!</v>
      </c>
      <c r="H105" s="14" t="e">
        <f>F105/$F$124*$E$2</f>
        <v>#DIV/0!</v>
      </c>
      <c r="I105" s="25" t="str">
        <f t="shared" si="7"/>
        <v/>
      </c>
    </row>
    <row r="106" spans="1:9" hidden="1" x14ac:dyDescent="0.25">
      <c r="A106" s="3">
        <v>2350</v>
      </c>
      <c r="B106" s="3">
        <v>113.3743386</v>
      </c>
      <c r="C106" s="3">
        <v>22.96710251</v>
      </c>
      <c r="D106" s="3">
        <v>18</v>
      </c>
      <c r="E106" s="13">
        <f t="shared" si="8"/>
        <v>1.1588811859591099E-2</v>
      </c>
      <c r="F106" s="13">
        <f t="shared" si="9"/>
        <v>9.2892477053852733</v>
      </c>
      <c r="G106" s="14" t="e">
        <f>F106/$F$124*$D$2</f>
        <v>#DIV/0!</v>
      </c>
      <c r="H106" s="14" t="e">
        <f>F106/$F$124*$E$2</f>
        <v>#DIV/0!</v>
      </c>
      <c r="I106" s="25" t="str">
        <f t="shared" si="7"/>
        <v/>
      </c>
    </row>
    <row r="107" spans="1:9" x14ac:dyDescent="0.25">
      <c r="A107" s="3">
        <v>2298</v>
      </c>
      <c r="B107" s="3">
        <v>113.35527329999999</v>
      </c>
      <c r="C107" s="3">
        <v>22.969384829999999</v>
      </c>
      <c r="D107" s="3">
        <v>18</v>
      </c>
      <c r="E107" s="13">
        <f t="shared" si="8"/>
        <v>1.165471594961443E-2</v>
      </c>
      <c r="F107" s="13">
        <f t="shared" si="9"/>
        <v>9.262946449802703</v>
      </c>
      <c r="G107" s="14">
        <f>F107/$F$115*$D$2</f>
        <v>0</v>
      </c>
      <c r="H107" s="14">
        <f>F107/$F$115*$E$2</f>
        <v>33.941823430275377</v>
      </c>
      <c r="I107" s="25" t="str">
        <f t="shared" si="7"/>
        <v>选中</v>
      </c>
    </row>
    <row r="108" spans="1:9" hidden="1" x14ac:dyDescent="0.25">
      <c r="A108" s="3">
        <v>2341</v>
      </c>
      <c r="B108" s="3">
        <v>113.3714935</v>
      </c>
      <c r="C108" s="3">
        <v>22.964545340000001</v>
      </c>
      <c r="D108" s="3">
        <v>18</v>
      </c>
      <c r="E108" s="13">
        <f t="shared" si="8"/>
        <v>1.1765014404582918E-2</v>
      </c>
      <c r="F108" s="13">
        <f t="shared" si="9"/>
        <v>9.2194235712078534</v>
      </c>
      <c r="G108" s="14" t="e">
        <f>F108/$F$124*$D$2</f>
        <v>#DIV/0!</v>
      </c>
      <c r="H108" s="14" t="e">
        <f>F108/$F$124*$E$2</f>
        <v>#DIV/0!</v>
      </c>
      <c r="I108" s="25" t="str">
        <f t="shared" si="7"/>
        <v/>
      </c>
    </row>
    <row r="109" spans="1:9" hidden="1" x14ac:dyDescent="0.25">
      <c r="A109" s="3">
        <v>2363</v>
      </c>
      <c r="B109" s="3">
        <v>113.3721338</v>
      </c>
      <c r="C109" s="3">
        <v>22.964767609999999</v>
      </c>
      <c r="D109" s="3">
        <v>18</v>
      </c>
      <c r="E109" s="13">
        <f t="shared" si="8"/>
        <v>1.1910447954673602E-2</v>
      </c>
      <c r="F109" s="13">
        <f t="shared" si="9"/>
        <v>9.1629634063159244</v>
      </c>
      <c r="G109" s="14" t="e">
        <f>F109/$F$124*$D$2</f>
        <v>#DIV/0!</v>
      </c>
      <c r="H109" s="14" t="e">
        <f>F109/$F$124*$E$2</f>
        <v>#DIV/0!</v>
      </c>
      <c r="I109" s="25" t="str">
        <f t="shared" si="7"/>
        <v/>
      </c>
    </row>
    <row r="110" spans="1:9" x14ac:dyDescent="0.25">
      <c r="A110" s="3">
        <v>2357</v>
      </c>
      <c r="B110" s="3">
        <v>113.37757550000001</v>
      </c>
      <c r="C110" s="3">
        <v>22.972573409999999</v>
      </c>
      <c r="D110" s="3">
        <v>18</v>
      </c>
      <c r="E110" s="13">
        <f t="shared" si="8"/>
        <v>1.2146586910862261E-2</v>
      </c>
      <c r="F110" s="13">
        <f t="shared" si="9"/>
        <v>9.073458746878396</v>
      </c>
      <c r="G110" s="14">
        <f>F110/$F$115*$D$2</f>
        <v>0</v>
      </c>
      <c r="H110" s="14">
        <f>F110/$F$115*$E$2</f>
        <v>33.247491643978343</v>
      </c>
      <c r="I110" s="25" t="str">
        <f t="shared" si="7"/>
        <v>选中</v>
      </c>
    </row>
    <row r="111" spans="1:9" hidden="1" x14ac:dyDescent="0.25">
      <c r="A111" s="3">
        <v>2349</v>
      </c>
      <c r="B111" s="3">
        <v>113.37852700000001</v>
      </c>
      <c r="C111" s="3">
        <v>22.968925250000002</v>
      </c>
      <c r="D111" s="3">
        <v>18</v>
      </c>
      <c r="E111" s="13">
        <f t="shared" si="8"/>
        <v>1.4153367148220127E-2</v>
      </c>
      <c r="F111" s="13">
        <f t="shared" si="9"/>
        <v>8.4056269879507646</v>
      </c>
      <c r="G111" s="14" t="e">
        <f>F111/$F$124*$D$2</f>
        <v>#DIV/0!</v>
      </c>
      <c r="H111" s="14" t="e">
        <f>F111/$F$124*$E$2</f>
        <v>#DIV/0!</v>
      </c>
      <c r="I111" s="25" t="str">
        <f t="shared" si="7"/>
        <v/>
      </c>
    </row>
    <row r="112" spans="1:9" hidden="1" x14ac:dyDescent="0.25">
      <c r="A112" s="3">
        <v>2354</v>
      </c>
      <c r="B112" s="3">
        <v>113.377599</v>
      </c>
      <c r="C112" s="3">
        <v>22.964884690000002</v>
      </c>
      <c r="D112" s="3">
        <v>18</v>
      </c>
      <c r="E112" s="13">
        <f t="shared" si="8"/>
        <v>1.5509999622909542E-2</v>
      </c>
      <c r="F112" s="13">
        <f t="shared" si="9"/>
        <v>8.029603609593126</v>
      </c>
      <c r="G112" s="14" t="e">
        <f>F112/$F$124*$D$2</f>
        <v>#DIV/0!</v>
      </c>
      <c r="H112" s="14" t="e">
        <f>F112/$F$124*$E$2</f>
        <v>#DIV/0!</v>
      </c>
      <c r="I112" s="25" t="str">
        <f t="shared" si="7"/>
        <v/>
      </c>
    </row>
    <row r="113" spans="1:9" x14ac:dyDescent="0.25">
      <c r="A113" s="3">
        <v>2353</v>
      </c>
      <c r="B113" s="3">
        <v>113.3783184</v>
      </c>
      <c r="C113" s="3">
        <v>22.965232990000001</v>
      </c>
      <c r="D113" s="3">
        <v>18</v>
      </c>
      <c r="E113" s="13">
        <f t="shared" si="8"/>
        <v>1.5860712978379543E-2</v>
      </c>
      <c r="F113" s="13">
        <f t="shared" si="9"/>
        <v>7.9403317352354552</v>
      </c>
      <c r="G113" s="14">
        <f>F113/$F$115*$D$2</f>
        <v>0</v>
      </c>
      <c r="H113" s="14">
        <f>F113/$F$115*$E$2</f>
        <v>29.095422195916331</v>
      </c>
      <c r="I113" s="25" t="str">
        <f t="shared" si="7"/>
        <v>选中</v>
      </c>
    </row>
    <row r="114" spans="1:9" x14ac:dyDescent="0.25">
      <c r="A114" s="3"/>
      <c r="B114" s="3"/>
      <c r="C114" s="3"/>
      <c r="D114" s="3"/>
      <c r="G114" s="14"/>
      <c r="H114" s="14"/>
    </row>
    <row r="115" spans="1:9" x14ac:dyDescent="0.25">
      <c r="A115" s="3"/>
      <c r="B115" s="3"/>
      <c r="C115" s="3"/>
      <c r="D115" s="3"/>
      <c r="F115" s="13">
        <f>SUBTOTAL(9,F5:F113)</f>
        <v>487.1382189251957</v>
      </c>
      <c r="G115" s="13">
        <f>SUBTOTAL(9,G5:G113)</f>
        <v>0</v>
      </c>
      <c r="H115" s="13">
        <f>SUBTOTAL(9,H5:H113)</f>
        <v>1785.0000000000002</v>
      </c>
    </row>
    <row r="116" spans="1:9" x14ac:dyDescent="0.25">
      <c r="A116" s="3"/>
      <c r="B116" s="3"/>
      <c r="C116" s="3"/>
      <c r="D116" s="3"/>
      <c r="G116" s="14"/>
      <c r="H116" s="14"/>
    </row>
    <row r="117" spans="1:9" x14ac:dyDescent="0.25">
      <c r="A117" s="3"/>
      <c r="B117" s="3"/>
      <c r="C117" s="3"/>
      <c r="D117" s="3"/>
      <c r="G117" s="14"/>
      <c r="H117" s="14"/>
    </row>
    <row r="118" spans="1:9" x14ac:dyDescent="0.25">
      <c r="A118" s="3"/>
      <c r="B118" s="3"/>
      <c r="C118" s="3"/>
      <c r="D118" s="3"/>
      <c r="G118" s="14"/>
      <c r="H118" s="14"/>
    </row>
    <row r="119" spans="1:9" x14ac:dyDescent="0.25">
      <c r="A119" s="3"/>
      <c r="B119" s="3"/>
      <c r="C119" s="3"/>
      <c r="D119" s="3"/>
      <c r="G119" s="14"/>
      <c r="H119" s="14"/>
    </row>
    <row r="120" spans="1:9" x14ac:dyDescent="0.25">
      <c r="A120" s="3"/>
      <c r="B120" s="3"/>
      <c r="C120" s="3"/>
      <c r="D120" s="3"/>
      <c r="G120" s="14"/>
      <c r="H120" s="14"/>
    </row>
    <row r="121" spans="1:9" x14ac:dyDescent="0.25">
      <c r="A121" s="3"/>
      <c r="B121" s="3"/>
      <c r="C121" s="3"/>
      <c r="D121" s="3"/>
      <c r="G121" s="14"/>
      <c r="H121" s="14"/>
    </row>
    <row r="122" spans="1:9" x14ac:dyDescent="0.25">
      <c r="A122" s="3"/>
      <c r="B122" s="3"/>
      <c r="C122" s="3"/>
      <c r="D122" s="3"/>
      <c r="G122" s="14"/>
      <c r="H122" s="14"/>
    </row>
    <row r="123" spans="1:9" x14ac:dyDescent="0.25">
      <c r="A123" s="3"/>
      <c r="B123" s="3"/>
      <c r="C123" s="3"/>
      <c r="D123" s="3"/>
      <c r="G123" s="14"/>
      <c r="H123" s="14"/>
    </row>
    <row r="124" spans="1:9" x14ac:dyDescent="0.25">
      <c r="A124" s="3"/>
      <c r="B124" s="3"/>
      <c r="C124" s="3"/>
      <c r="D124" s="3"/>
      <c r="G124" s="14"/>
      <c r="H124" s="14"/>
    </row>
    <row r="125" spans="1:9" x14ac:dyDescent="0.25">
      <c r="A125" s="3"/>
      <c r="B125" s="3"/>
      <c r="C125" s="3"/>
      <c r="D125" s="3"/>
      <c r="G125" s="14"/>
      <c r="H125" s="14"/>
    </row>
    <row r="126" spans="1:9" x14ac:dyDescent="0.25">
      <c r="A126" s="18"/>
      <c r="B126" s="3"/>
      <c r="C126" s="3"/>
      <c r="D126" s="3"/>
      <c r="G126" s="14"/>
      <c r="H126" s="14"/>
    </row>
    <row r="127" spans="1:9" x14ac:dyDescent="0.25">
      <c r="A127" s="3"/>
      <c r="B127" s="3"/>
      <c r="C127" s="3"/>
      <c r="D127" s="3"/>
      <c r="G127" s="14"/>
      <c r="H127" s="14"/>
    </row>
    <row r="128" spans="1:9" x14ac:dyDescent="0.25">
      <c r="A128" s="3"/>
      <c r="B128" s="3"/>
      <c r="C128" s="3"/>
      <c r="D128" s="3"/>
      <c r="G128" s="14"/>
      <c r="H128" s="14"/>
    </row>
    <row r="129" spans="1:8" x14ac:dyDescent="0.25">
      <c r="A129" s="3"/>
      <c r="B129" s="3"/>
      <c r="C129" s="3"/>
      <c r="D129" s="3"/>
      <c r="G129" s="14"/>
      <c r="H129" s="14"/>
    </row>
    <row r="130" spans="1:8" x14ac:dyDescent="0.25">
      <c r="A130" s="3"/>
      <c r="B130" s="3"/>
      <c r="C130" s="3"/>
      <c r="D130" s="3"/>
      <c r="G130" s="14"/>
      <c r="H130" s="14"/>
    </row>
    <row r="131" spans="1:8" x14ac:dyDescent="0.25">
      <c r="A131" s="3"/>
      <c r="B131" s="3"/>
      <c r="C131" s="3"/>
      <c r="D131" s="3"/>
      <c r="G131" s="14"/>
      <c r="H131" s="14"/>
    </row>
    <row r="132" spans="1:8" x14ac:dyDescent="0.25">
      <c r="A132" s="3"/>
      <c r="B132" s="3"/>
      <c r="C132" s="3"/>
      <c r="D132" s="3"/>
      <c r="G132" s="14"/>
      <c r="H132" s="14"/>
    </row>
    <row r="133" spans="1:8" x14ac:dyDescent="0.25">
      <c r="A133" s="3"/>
      <c r="B133" s="3"/>
      <c r="C133" s="3"/>
      <c r="D133" s="3"/>
      <c r="G133" s="14"/>
      <c r="H133" s="14"/>
    </row>
    <row r="134" spans="1:8" x14ac:dyDescent="0.25">
      <c r="A134" s="3"/>
      <c r="B134" s="3"/>
      <c r="C134" s="3"/>
      <c r="D134" s="3"/>
      <c r="G134" s="14"/>
      <c r="H134" s="14"/>
    </row>
    <row r="135" spans="1:8" x14ac:dyDescent="0.25">
      <c r="A135" s="3"/>
      <c r="B135" s="3"/>
      <c r="C135" s="3"/>
      <c r="D135" s="3"/>
      <c r="G135" s="14"/>
      <c r="H135" s="14"/>
    </row>
    <row r="136" spans="1:8" x14ac:dyDescent="0.25">
      <c r="A136" s="3"/>
      <c r="B136" s="3"/>
      <c r="C136" s="3"/>
      <c r="D136" s="3"/>
      <c r="G136" s="14"/>
      <c r="H136" s="14"/>
    </row>
    <row r="137" spans="1:8" x14ac:dyDescent="0.25">
      <c r="A137" s="3"/>
      <c r="B137" s="3"/>
      <c r="C137" s="3"/>
      <c r="D137" s="3"/>
      <c r="G137" s="14"/>
      <c r="H137" s="14"/>
    </row>
    <row r="138" spans="1:8" x14ac:dyDescent="0.25">
      <c r="A138" s="3"/>
      <c r="B138" s="3"/>
      <c r="C138" s="3"/>
      <c r="D138" s="3"/>
      <c r="G138" s="14"/>
      <c r="H138" s="14"/>
    </row>
    <row r="139" spans="1:8" x14ac:dyDescent="0.25">
      <c r="A139" s="3"/>
      <c r="B139" s="3"/>
      <c r="C139" s="3"/>
      <c r="D139" s="3"/>
      <c r="G139" s="14"/>
      <c r="H139" s="14"/>
    </row>
    <row r="140" spans="1:8" x14ac:dyDescent="0.25">
      <c r="A140" s="3"/>
      <c r="B140" s="3"/>
      <c r="C140" s="3"/>
      <c r="D140" s="3"/>
      <c r="G140" s="14"/>
      <c r="H140" s="14"/>
    </row>
    <row r="141" spans="1:8" x14ac:dyDescent="0.25">
      <c r="A141" s="3"/>
      <c r="B141" s="3"/>
      <c r="C141" s="3"/>
      <c r="D141" s="3"/>
      <c r="G141" s="14"/>
      <c r="H141" s="14"/>
    </row>
    <row r="142" spans="1:8" x14ac:dyDescent="0.25">
      <c r="A142" s="3"/>
      <c r="B142" s="3"/>
      <c r="C142" s="3"/>
      <c r="D142" s="3"/>
      <c r="G142" s="14"/>
      <c r="H142" s="14"/>
    </row>
    <row r="143" spans="1:8" x14ac:dyDescent="0.25">
      <c r="A143" s="3"/>
      <c r="B143" s="3"/>
      <c r="C143" s="3"/>
      <c r="D143" s="3"/>
      <c r="G143" s="14"/>
      <c r="H143" s="14"/>
    </row>
    <row r="144" spans="1:8" x14ac:dyDescent="0.25">
      <c r="A144" s="3"/>
      <c r="B144" s="3"/>
      <c r="C144" s="3"/>
      <c r="D144" s="3"/>
      <c r="G144" s="14"/>
      <c r="H144" s="14"/>
    </row>
    <row r="145" spans="1:8" x14ac:dyDescent="0.25">
      <c r="A145" s="3"/>
      <c r="B145" s="3"/>
      <c r="C145" s="3"/>
      <c r="D145" s="3"/>
      <c r="G145" s="14"/>
      <c r="H145" s="14"/>
    </row>
    <row r="146" spans="1:8" x14ac:dyDescent="0.25">
      <c r="A146" s="3"/>
      <c r="B146" s="3"/>
      <c r="C146" s="3"/>
      <c r="D146" s="3"/>
      <c r="G146" s="14"/>
      <c r="H146" s="14"/>
    </row>
    <row r="147" spans="1:8" x14ac:dyDescent="0.25">
      <c r="A147" s="3"/>
      <c r="B147" s="3"/>
      <c r="C147" s="3"/>
      <c r="D147" s="3"/>
      <c r="G147" s="14"/>
      <c r="H147" s="14"/>
    </row>
    <row r="148" spans="1:8" x14ac:dyDescent="0.25">
      <c r="A148" s="3"/>
      <c r="B148" s="3"/>
      <c r="C148" s="3"/>
      <c r="D148" s="3"/>
      <c r="G148" s="14"/>
      <c r="H148" s="14"/>
    </row>
    <row r="149" spans="1:8" x14ac:dyDescent="0.25">
      <c r="A149" s="3"/>
      <c r="B149" s="3"/>
      <c r="C149" s="3"/>
      <c r="D149" s="3"/>
      <c r="G149" s="14"/>
      <c r="H149" s="14"/>
    </row>
    <row r="150" spans="1:8" x14ac:dyDescent="0.25">
      <c r="A150" s="3"/>
      <c r="B150" s="3"/>
      <c r="C150" s="3"/>
      <c r="D150" s="3"/>
      <c r="G150" s="14"/>
      <c r="H150" s="14"/>
    </row>
    <row r="151" spans="1:8" x14ac:dyDescent="0.25">
      <c r="A151" s="3"/>
      <c r="B151" s="3"/>
      <c r="C151" s="3"/>
      <c r="D151" s="3"/>
      <c r="G151" s="14"/>
      <c r="H151" s="14"/>
    </row>
    <row r="152" spans="1:8" x14ac:dyDescent="0.25">
      <c r="A152" s="3"/>
      <c r="B152" s="3"/>
      <c r="C152" s="3"/>
      <c r="D152" s="3"/>
      <c r="G152" s="14"/>
      <c r="H152" s="14"/>
    </row>
    <row r="153" spans="1:8" x14ac:dyDescent="0.25">
      <c r="A153" s="3"/>
      <c r="B153" s="3"/>
      <c r="C153" s="3"/>
      <c r="D153" s="3"/>
      <c r="G153" s="14"/>
      <c r="H153" s="14"/>
    </row>
    <row r="154" spans="1:8" x14ac:dyDescent="0.25">
      <c r="A154" s="3"/>
      <c r="B154" s="3"/>
      <c r="C154" s="3"/>
      <c r="D154" s="3"/>
      <c r="G154" s="14"/>
      <c r="H154" s="14"/>
    </row>
    <row r="155" spans="1:8" x14ac:dyDescent="0.25">
      <c r="A155" s="3"/>
      <c r="B155" s="3"/>
      <c r="C155" s="3"/>
      <c r="D155" s="3"/>
      <c r="G155" s="14"/>
      <c r="H155" s="14"/>
    </row>
    <row r="156" spans="1:8" x14ac:dyDescent="0.25">
      <c r="A156" s="3"/>
      <c r="B156" s="3"/>
      <c r="C156" s="3"/>
      <c r="D156" s="3"/>
      <c r="G156" s="14"/>
      <c r="H156" s="14"/>
    </row>
    <row r="157" spans="1:8" x14ac:dyDescent="0.25">
      <c r="A157" s="3"/>
      <c r="B157" s="3"/>
      <c r="C157" s="3"/>
      <c r="D157" s="3"/>
      <c r="G157" s="14"/>
      <c r="H157" s="14"/>
    </row>
    <row r="158" spans="1:8" x14ac:dyDescent="0.25">
      <c r="A158" s="3"/>
      <c r="B158" s="3"/>
      <c r="C158" s="3"/>
      <c r="D158" s="3"/>
      <c r="G158" s="14"/>
      <c r="H158" s="14"/>
    </row>
    <row r="159" spans="1:8" x14ac:dyDescent="0.25">
      <c r="A159" s="3"/>
      <c r="B159" s="3"/>
      <c r="C159" s="3"/>
      <c r="D159" s="3"/>
      <c r="G159" s="14"/>
      <c r="H159" s="14"/>
    </row>
    <row r="160" spans="1:8" x14ac:dyDescent="0.25">
      <c r="A160" s="3"/>
      <c r="B160" s="3"/>
      <c r="C160" s="3"/>
      <c r="D160" s="3"/>
      <c r="G160" s="14"/>
      <c r="H160" s="14"/>
    </row>
    <row r="161" spans="1:8" x14ac:dyDescent="0.25">
      <c r="A161" s="3"/>
      <c r="B161" s="3"/>
      <c r="C161" s="3"/>
      <c r="D161" s="3"/>
      <c r="G161" s="14"/>
      <c r="H161" s="14"/>
    </row>
    <row r="162" spans="1:8" x14ac:dyDescent="0.25">
      <c r="A162" s="3"/>
      <c r="B162" s="3"/>
      <c r="C162" s="3"/>
      <c r="D162" s="3"/>
      <c r="G162" s="14"/>
      <c r="H162" s="14"/>
    </row>
    <row r="163" spans="1:8" x14ac:dyDescent="0.25">
      <c r="A163" s="3"/>
      <c r="B163" s="3"/>
      <c r="C163" s="3"/>
      <c r="D163" s="3"/>
      <c r="G163" s="14"/>
      <c r="H163" s="14"/>
    </row>
    <row r="164" spans="1:8" x14ac:dyDescent="0.25">
      <c r="A164" s="3"/>
      <c r="B164" s="3"/>
      <c r="C164" s="3"/>
      <c r="D164" s="3"/>
      <c r="G164" s="14"/>
      <c r="H164" s="14"/>
    </row>
    <row r="165" spans="1:8" x14ac:dyDescent="0.25">
      <c r="A165" s="3"/>
      <c r="B165" s="3"/>
      <c r="C165" s="3"/>
      <c r="D165" s="3"/>
      <c r="G165" s="14"/>
      <c r="H165" s="14"/>
    </row>
    <row r="166" spans="1:8" x14ac:dyDescent="0.25">
      <c r="A166" s="3"/>
      <c r="B166" s="3"/>
      <c r="C166" s="3"/>
      <c r="D166" s="3"/>
      <c r="G166" s="14"/>
      <c r="H166" s="14"/>
    </row>
    <row r="167" spans="1:8" x14ac:dyDescent="0.25">
      <c r="A167" s="3"/>
      <c r="B167" s="3"/>
      <c r="C167" s="3"/>
      <c r="D167" s="3"/>
      <c r="G167" s="14"/>
      <c r="H167" s="14"/>
    </row>
    <row r="168" spans="1:8" x14ac:dyDescent="0.25">
      <c r="A168" s="3"/>
      <c r="B168" s="3"/>
      <c r="C168" s="3"/>
      <c r="D168" s="3"/>
      <c r="G168" s="14"/>
      <c r="H168" s="14"/>
    </row>
    <row r="169" spans="1:8" x14ac:dyDescent="0.25">
      <c r="A169" s="3"/>
      <c r="B169" s="3"/>
      <c r="C169" s="3"/>
      <c r="D169" s="3"/>
      <c r="G169" s="14"/>
      <c r="H169" s="14"/>
    </row>
    <row r="170" spans="1:8" x14ac:dyDescent="0.25">
      <c r="A170" s="3"/>
      <c r="B170" s="3"/>
      <c r="C170" s="3"/>
      <c r="D170" s="3"/>
      <c r="G170" s="14"/>
      <c r="H170" s="14"/>
    </row>
    <row r="171" spans="1:8" x14ac:dyDescent="0.25">
      <c r="A171" s="3"/>
      <c r="B171" s="3"/>
      <c r="C171" s="3"/>
      <c r="D171" s="3"/>
      <c r="G171" s="14"/>
      <c r="H171" s="14"/>
    </row>
    <row r="172" spans="1:8" x14ac:dyDescent="0.25">
      <c r="A172" s="3"/>
      <c r="B172" s="3"/>
      <c r="C172" s="3"/>
      <c r="D172" s="3"/>
      <c r="G172" s="14"/>
      <c r="H172" s="14"/>
    </row>
    <row r="173" spans="1:8" x14ac:dyDescent="0.25">
      <c r="A173" s="3"/>
      <c r="B173" s="3"/>
      <c r="C173" s="3"/>
      <c r="D173" s="3"/>
      <c r="G173" s="14"/>
      <c r="H173" s="14"/>
    </row>
    <row r="174" spans="1:8" x14ac:dyDescent="0.25">
      <c r="A174" s="3"/>
      <c r="B174" s="3"/>
      <c r="C174" s="3"/>
      <c r="D174" s="3"/>
      <c r="G174" s="14"/>
      <c r="H174" s="14"/>
    </row>
    <row r="175" spans="1:8" x14ac:dyDescent="0.25">
      <c r="A175" s="3"/>
      <c r="B175" s="3"/>
      <c r="C175" s="3"/>
      <c r="D175" s="3"/>
      <c r="G175" s="14"/>
      <c r="H175" s="14"/>
    </row>
    <row r="176" spans="1:8" x14ac:dyDescent="0.25">
      <c r="A176" s="3"/>
      <c r="B176" s="3"/>
      <c r="C176" s="3"/>
      <c r="D176" s="3"/>
      <c r="G176" s="14"/>
      <c r="H176" s="14"/>
    </row>
    <row r="177" spans="1:8" x14ac:dyDescent="0.25">
      <c r="A177" s="3"/>
      <c r="B177" s="3"/>
      <c r="C177" s="3"/>
      <c r="D177" s="3"/>
      <c r="G177" s="14"/>
      <c r="H177" s="14"/>
    </row>
    <row r="178" spans="1:8" x14ac:dyDescent="0.25">
      <c r="A178" s="3"/>
      <c r="B178" s="3"/>
      <c r="C178" s="3"/>
      <c r="D178" s="3"/>
      <c r="G178" s="14"/>
      <c r="H178" s="14"/>
    </row>
    <row r="179" spans="1:8" x14ac:dyDescent="0.25">
      <c r="A179" s="3"/>
      <c r="B179" s="3"/>
      <c r="C179" s="3"/>
      <c r="D179" s="3"/>
      <c r="G179" s="14"/>
      <c r="H179" s="14"/>
    </row>
    <row r="180" spans="1:8" x14ac:dyDescent="0.25">
      <c r="A180" s="3"/>
      <c r="B180" s="3"/>
      <c r="C180" s="3"/>
      <c r="D180" s="3"/>
      <c r="G180" s="14"/>
      <c r="H180" s="14"/>
    </row>
    <row r="181" spans="1:8" x14ac:dyDescent="0.25">
      <c r="A181" s="3"/>
      <c r="B181" s="3"/>
      <c r="C181" s="3"/>
      <c r="D181" s="3"/>
      <c r="G181" s="14"/>
      <c r="H181" s="14"/>
    </row>
    <row r="182" spans="1:8" x14ac:dyDescent="0.25">
      <c r="A182" s="3"/>
      <c r="B182" s="3"/>
      <c r="C182" s="3"/>
      <c r="D182" s="3"/>
      <c r="G182" s="14"/>
      <c r="H182" s="14"/>
    </row>
    <row r="183" spans="1:8" x14ac:dyDescent="0.25">
      <c r="A183" s="3"/>
      <c r="B183" s="3"/>
      <c r="C183" s="3"/>
      <c r="D183" s="3"/>
      <c r="G183" s="14"/>
      <c r="H183" s="14"/>
    </row>
    <row r="184" spans="1:8" x14ac:dyDescent="0.25">
      <c r="A184" s="3"/>
      <c r="B184" s="3"/>
      <c r="C184" s="3"/>
      <c r="D184" s="3"/>
      <c r="G184" s="14"/>
      <c r="H184" s="14"/>
    </row>
    <row r="185" spans="1:8" x14ac:dyDescent="0.25">
      <c r="A185" s="3"/>
      <c r="B185" s="3"/>
      <c r="C185" s="3"/>
      <c r="D185" s="3"/>
      <c r="G185" s="14"/>
      <c r="H185" s="14"/>
    </row>
    <row r="186" spans="1:8" x14ac:dyDescent="0.25">
      <c r="A186" s="3"/>
      <c r="B186" s="3"/>
      <c r="C186" s="3"/>
      <c r="D186" s="3"/>
      <c r="G186" s="14"/>
      <c r="H186" s="14"/>
    </row>
    <row r="187" spans="1:8" x14ac:dyDescent="0.25">
      <c r="A187" s="3"/>
      <c r="B187" s="3"/>
      <c r="C187" s="3"/>
      <c r="D187" s="3"/>
      <c r="G187" s="14"/>
      <c r="H187" s="14"/>
    </row>
    <row r="188" spans="1:8" x14ac:dyDescent="0.25">
      <c r="A188" s="3"/>
      <c r="B188" s="3"/>
      <c r="C188" s="3"/>
      <c r="D188" s="3"/>
      <c r="G188" s="14"/>
      <c r="H188" s="14"/>
    </row>
    <row r="189" spans="1:8" x14ac:dyDescent="0.25">
      <c r="A189" s="3"/>
      <c r="B189" s="3"/>
      <c r="C189" s="3"/>
      <c r="D189" s="3"/>
      <c r="G189" s="14"/>
      <c r="H189" s="14"/>
    </row>
    <row r="190" spans="1:8" x14ac:dyDescent="0.25">
      <c r="A190" s="3"/>
      <c r="B190" s="3"/>
      <c r="C190" s="3"/>
      <c r="D190" s="3"/>
      <c r="G190" s="14"/>
      <c r="H190" s="14"/>
    </row>
    <row r="191" spans="1:8" x14ac:dyDescent="0.25">
      <c r="A191" s="3"/>
      <c r="B191" s="3"/>
      <c r="C191" s="3"/>
      <c r="D191" s="3"/>
      <c r="G191" s="14"/>
      <c r="H191" s="14"/>
    </row>
    <row r="192" spans="1:8" x14ac:dyDescent="0.25">
      <c r="A192" s="3"/>
      <c r="B192" s="3"/>
      <c r="C192" s="3"/>
      <c r="D192" s="3"/>
      <c r="G192" s="14"/>
      <c r="H192" s="14"/>
    </row>
    <row r="193" spans="1:8" x14ac:dyDescent="0.25">
      <c r="A193" s="3"/>
      <c r="B193" s="3"/>
      <c r="C193" s="3"/>
      <c r="D193" s="3"/>
      <c r="G193" s="14"/>
      <c r="H193" s="14"/>
    </row>
    <row r="194" spans="1:8" x14ac:dyDescent="0.25">
      <c r="A194" s="3"/>
      <c r="B194" s="3"/>
      <c r="C194" s="3"/>
      <c r="D194" s="3"/>
      <c r="G194" s="14"/>
      <c r="H194" s="14"/>
    </row>
    <row r="195" spans="1:8" x14ac:dyDescent="0.25">
      <c r="A195" s="3"/>
      <c r="B195" s="3"/>
      <c r="C195" s="3"/>
      <c r="D195" s="3"/>
      <c r="G195" s="14"/>
      <c r="H195" s="14"/>
    </row>
    <row r="196" spans="1:8" x14ac:dyDescent="0.25">
      <c r="A196" s="3"/>
      <c r="B196" s="3"/>
      <c r="C196" s="3"/>
      <c r="D196" s="3"/>
      <c r="G196" s="14"/>
      <c r="H196" s="14"/>
    </row>
    <row r="197" spans="1:8" x14ac:dyDescent="0.25">
      <c r="A197" s="3"/>
      <c r="B197" s="3"/>
      <c r="C197" s="3"/>
      <c r="D197" s="3"/>
      <c r="G197" s="14"/>
      <c r="H197" s="14"/>
    </row>
    <row r="198" spans="1:8" x14ac:dyDescent="0.25">
      <c r="A198" s="3"/>
      <c r="B198" s="3"/>
      <c r="C198" s="3"/>
      <c r="D198" s="3"/>
      <c r="G198" s="14"/>
      <c r="H198" s="14"/>
    </row>
    <row r="199" spans="1:8" x14ac:dyDescent="0.25">
      <c r="A199" s="3"/>
      <c r="B199" s="3"/>
      <c r="C199" s="3"/>
      <c r="D199" s="3"/>
      <c r="G199" s="14"/>
      <c r="H199" s="14"/>
    </row>
    <row r="200" spans="1:8" x14ac:dyDescent="0.25">
      <c r="A200" s="3"/>
      <c r="B200" s="3"/>
      <c r="C200" s="3"/>
      <c r="D200" s="3"/>
      <c r="G200" s="14"/>
      <c r="H200" s="14"/>
    </row>
    <row r="201" spans="1:8" x14ac:dyDescent="0.25">
      <c r="A201" s="3"/>
      <c r="B201" s="3"/>
      <c r="C201" s="3"/>
      <c r="D201" s="3"/>
      <c r="G201" s="14"/>
      <c r="H201" s="14"/>
    </row>
    <row r="202" spans="1:8" x14ac:dyDescent="0.25">
      <c r="A202" s="3"/>
      <c r="B202" s="3"/>
      <c r="C202" s="3"/>
      <c r="D202" s="3"/>
      <c r="G202" s="14"/>
      <c r="H202" s="14"/>
    </row>
    <row r="203" spans="1:8" x14ac:dyDescent="0.25">
      <c r="A203" s="3"/>
      <c r="B203" s="3"/>
      <c r="C203" s="3"/>
      <c r="D203" s="3"/>
      <c r="G203" s="14"/>
      <c r="H203" s="14"/>
    </row>
    <row r="204" spans="1:8" x14ac:dyDescent="0.25">
      <c r="A204" s="3"/>
      <c r="B204" s="3"/>
      <c r="C204" s="3"/>
      <c r="D204" s="3"/>
      <c r="G204" s="14"/>
      <c r="H204" s="14"/>
    </row>
    <row r="205" spans="1:8" x14ac:dyDescent="0.25">
      <c r="A205" s="3"/>
      <c r="B205" s="3"/>
      <c r="C205" s="3"/>
      <c r="D205" s="3"/>
      <c r="G205" s="14"/>
      <c r="H205" s="14"/>
    </row>
    <row r="206" spans="1:8" x14ac:dyDescent="0.25">
      <c r="A206" s="3"/>
      <c r="B206" s="3"/>
      <c r="C206" s="3"/>
      <c r="D206" s="3"/>
      <c r="G206" s="14"/>
      <c r="H206" s="14"/>
    </row>
    <row r="207" spans="1:8" x14ac:dyDescent="0.25">
      <c r="A207" s="3"/>
      <c r="B207" s="3"/>
      <c r="C207" s="3"/>
      <c r="D207" s="3"/>
      <c r="G207" s="14"/>
      <c r="H207" s="14"/>
    </row>
    <row r="208" spans="1:8" x14ac:dyDescent="0.25">
      <c r="A208" s="3"/>
      <c r="B208" s="3"/>
      <c r="C208" s="3"/>
      <c r="D208" s="3"/>
      <c r="G208" s="14"/>
      <c r="H208" s="14"/>
    </row>
    <row r="209" spans="1:8" x14ac:dyDescent="0.25">
      <c r="A209" s="3"/>
      <c r="B209" s="3"/>
      <c r="C209" s="3"/>
      <c r="D209" s="3"/>
      <c r="G209" s="14"/>
      <c r="H209" s="14"/>
    </row>
    <row r="210" spans="1:8" x14ac:dyDescent="0.25">
      <c r="A210" s="3"/>
      <c r="B210" s="3"/>
      <c r="C210" s="3"/>
      <c r="D210" s="3"/>
      <c r="G210" s="14"/>
      <c r="H210" s="14"/>
    </row>
    <row r="211" spans="1:8" x14ac:dyDescent="0.25">
      <c r="A211" s="3"/>
      <c r="B211" s="3"/>
      <c r="C211" s="3"/>
      <c r="D211" s="3"/>
      <c r="G211" s="14"/>
      <c r="H211" s="14"/>
    </row>
    <row r="212" spans="1:8" x14ac:dyDescent="0.25">
      <c r="A212" s="3"/>
      <c r="B212" s="3"/>
      <c r="C212" s="3"/>
      <c r="D212" s="3"/>
      <c r="G212" s="14"/>
      <c r="H212" s="14"/>
    </row>
    <row r="213" spans="1:8" x14ac:dyDescent="0.25">
      <c r="A213" s="3"/>
      <c r="B213" s="3"/>
      <c r="C213" s="3"/>
      <c r="D213" s="3"/>
      <c r="G213" s="14"/>
      <c r="H213" s="14"/>
    </row>
    <row r="214" spans="1:8" x14ac:dyDescent="0.25">
      <c r="A214" s="3"/>
      <c r="B214" s="3"/>
      <c r="C214" s="3"/>
      <c r="D214" s="3"/>
      <c r="G214" s="14"/>
      <c r="H214" s="14"/>
    </row>
    <row r="215" spans="1:8" x14ac:dyDescent="0.25">
      <c r="A215" s="3"/>
      <c r="B215" s="3"/>
      <c r="C215" s="3"/>
      <c r="D215" s="3"/>
      <c r="G215" s="14"/>
      <c r="H215" s="14"/>
    </row>
    <row r="216" spans="1:8" x14ac:dyDescent="0.25">
      <c r="A216" s="3"/>
      <c r="B216" s="3"/>
      <c r="C216" s="3"/>
      <c r="D216" s="3"/>
      <c r="G216" s="14"/>
      <c r="H216" s="14"/>
    </row>
    <row r="217" spans="1:8" x14ac:dyDescent="0.25">
      <c r="A217" s="3"/>
      <c r="B217" s="3"/>
      <c r="C217" s="3"/>
      <c r="D217" s="3"/>
      <c r="G217" s="14"/>
      <c r="H217" s="14"/>
    </row>
    <row r="218" spans="1:8" x14ac:dyDescent="0.25">
      <c r="A218" s="3"/>
      <c r="B218" s="3"/>
      <c r="C218" s="3"/>
      <c r="D218" s="3"/>
      <c r="G218" s="14"/>
      <c r="H218" s="14"/>
    </row>
    <row r="219" spans="1:8" x14ac:dyDescent="0.25">
      <c r="A219" s="3"/>
      <c r="B219" s="3"/>
      <c r="C219" s="3"/>
      <c r="D219" s="3"/>
      <c r="G219" s="14"/>
      <c r="H219" s="14"/>
    </row>
    <row r="220" spans="1:8" x14ac:dyDescent="0.25">
      <c r="A220" s="3"/>
      <c r="B220" s="3"/>
      <c r="C220" s="3"/>
      <c r="D220" s="3"/>
      <c r="G220" s="14"/>
      <c r="H220" s="14"/>
    </row>
    <row r="221" spans="1:8" x14ac:dyDescent="0.25">
      <c r="A221" s="3"/>
      <c r="B221" s="3"/>
      <c r="C221" s="3"/>
      <c r="D221" s="3"/>
      <c r="G221" s="14"/>
      <c r="H221" s="14"/>
    </row>
    <row r="222" spans="1:8" x14ac:dyDescent="0.25">
      <c r="A222" s="3"/>
      <c r="B222" s="3"/>
      <c r="C222" s="3"/>
      <c r="D222" s="3"/>
      <c r="G222" s="14"/>
      <c r="H222" s="14"/>
    </row>
    <row r="223" spans="1:8" x14ac:dyDescent="0.25">
      <c r="A223" s="3"/>
      <c r="B223" s="3"/>
      <c r="C223" s="3"/>
      <c r="D223" s="3"/>
      <c r="G223" s="14"/>
      <c r="H223" s="14"/>
    </row>
    <row r="224" spans="1:8" x14ac:dyDescent="0.25">
      <c r="A224" s="3"/>
      <c r="B224" s="3"/>
      <c r="C224" s="3"/>
      <c r="D224" s="3"/>
      <c r="G224" s="14"/>
      <c r="H224" s="14"/>
    </row>
    <row r="225" spans="1:8" x14ac:dyDescent="0.25">
      <c r="A225" s="3"/>
      <c r="B225" s="3"/>
      <c r="C225" s="3"/>
      <c r="D225" s="3"/>
      <c r="G225" s="14"/>
      <c r="H225" s="14"/>
    </row>
    <row r="226" spans="1:8" x14ac:dyDescent="0.25">
      <c r="A226" s="3"/>
      <c r="B226" s="3"/>
      <c r="C226" s="3"/>
      <c r="D226" s="3"/>
      <c r="G226" s="14"/>
      <c r="H226" s="14"/>
    </row>
    <row r="227" spans="1:8" x14ac:dyDescent="0.25">
      <c r="A227" s="3"/>
      <c r="B227" s="3"/>
      <c r="C227" s="3"/>
      <c r="D227" s="3"/>
      <c r="G227" s="14"/>
      <c r="H227" s="14"/>
    </row>
    <row r="228" spans="1:8" x14ac:dyDescent="0.25">
      <c r="A228" s="3"/>
      <c r="B228" s="3"/>
      <c r="C228" s="3"/>
      <c r="D228" s="3"/>
      <c r="G228" s="14"/>
      <c r="H228" s="14"/>
    </row>
    <row r="229" spans="1:8" x14ac:dyDescent="0.25">
      <c r="A229" s="3"/>
      <c r="B229" s="3"/>
      <c r="C229" s="3"/>
      <c r="D229" s="3"/>
      <c r="G229" s="14"/>
      <c r="H229" s="14"/>
    </row>
    <row r="230" spans="1:8" x14ac:dyDescent="0.25">
      <c r="A230" s="3"/>
      <c r="B230" s="3"/>
      <c r="C230" s="3"/>
      <c r="D230" s="3"/>
      <c r="G230" s="14"/>
      <c r="H230" s="14"/>
    </row>
    <row r="231" spans="1:8" x14ac:dyDescent="0.25">
      <c r="A231" s="3"/>
      <c r="B231" s="3"/>
      <c r="C231" s="3"/>
      <c r="D231" s="3"/>
      <c r="G231" s="14"/>
      <c r="H231" s="14"/>
    </row>
    <row r="232" spans="1:8" x14ac:dyDescent="0.25">
      <c r="A232" s="3"/>
      <c r="B232" s="3"/>
      <c r="C232" s="3"/>
      <c r="D232" s="3"/>
      <c r="G232" s="14"/>
      <c r="H232" s="14"/>
    </row>
    <row r="233" spans="1:8" x14ac:dyDescent="0.25">
      <c r="A233" s="3"/>
      <c r="B233" s="3"/>
      <c r="C233" s="3"/>
      <c r="D233" s="3"/>
      <c r="G233" s="14"/>
      <c r="H233" s="14"/>
    </row>
    <row r="234" spans="1:8" x14ac:dyDescent="0.25">
      <c r="A234" s="3"/>
      <c r="B234" s="3"/>
      <c r="C234" s="3"/>
      <c r="D234" s="3"/>
      <c r="G234" s="14"/>
      <c r="H234" s="14"/>
    </row>
    <row r="235" spans="1:8" x14ac:dyDescent="0.25">
      <c r="A235" s="3"/>
      <c r="B235" s="3"/>
      <c r="C235" s="3"/>
      <c r="D235" s="3"/>
      <c r="G235" s="14"/>
      <c r="H235" s="14"/>
    </row>
    <row r="236" spans="1:8" x14ac:dyDescent="0.25">
      <c r="A236" s="3"/>
      <c r="B236" s="3"/>
      <c r="C236" s="3"/>
      <c r="D236" s="3"/>
      <c r="G236" s="14"/>
      <c r="H236" s="14"/>
    </row>
    <row r="237" spans="1:8" x14ac:dyDescent="0.25">
      <c r="A237" s="3"/>
      <c r="B237" s="3"/>
      <c r="C237" s="3"/>
      <c r="D237" s="3"/>
      <c r="G237" s="14"/>
      <c r="H237" s="14"/>
    </row>
    <row r="238" spans="1:8" x14ac:dyDescent="0.25">
      <c r="A238" s="3"/>
      <c r="B238" s="3"/>
      <c r="C238" s="3"/>
      <c r="D238" s="3"/>
      <c r="G238" s="14"/>
      <c r="H238" s="14"/>
    </row>
    <row r="239" spans="1:8" x14ac:dyDescent="0.25">
      <c r="A239" s="3"/>
      <c r="B239" s="3"/>
      <c r="C239" s="3"/>
      <c r="D239" s="3"/>
      <c r="G239" s="14"/>
      <c r="H239" s="14"/>
    </row>
    <row r="240" spans="1:8" x14ac:dyDescent="0.25">
      <c r="A240" s="3"/>
      <c r="B240" s="3"/>
      <c r="C240" s="3"/>
      <c r="D240" s="3"/>
      <c r="G240" s="14"/>
      <c r="H240" s="14"/>
    </row>
    <row r="241" spans="1:8" x14ac:dyDescent="0.25">
      <c r="A241" s="3"/>
      <c r="B241" s="3"/>
      <c r="C241" s="3"/>
      <c r="D241" s="3"/>
      <c r="G241" s="14"/>
      <c r="H241" s="14"/>
    </row>
    <row r="242" spans="1:8" x14ac:dyDescent="0.25">
      <c r="A242" s="3"/>
      <c r="B242" s="3"/>
      <c r="C242" s="3"/>
      <c r="D242" s="3"/>
      <c r="G242" s="14"/>
      <c r="H242" s="14"/>
    </row>
    <row r="243" spans="1:8" x14ac:dyDescent="0.25">
      <c r="A243" s="3"/>
      <c r="B243" s="3"/>
      <c r="C243" s="3"/>
      <c r="D243" s="3"/>
      <c r="G243" s="14"/>
      <c r="H243" s="14"/>
    </row>
    <row r="244" spans="1:8" x14ac:dyDescent="0.25">
      <c r="A244" s="3"/>
      <c r="B244" s="3"/>
      <c r="C244" s="3"/>
      <c r="D244" s="3"/>
      <c r="G244" s="14"/>
      <c r="H244" s="14"/>
    </row>
    <row r="245" spans="1:8" x14ac:dyDescent="0.25">
      <c r="A245" s="3"/>
      <c r="B245" s="3"/>
      <c r="C245" s="3"/>
      <c r="D245" s="3"/>
      <c r="G245" s="14"/>
      <c r="H245" s="14"/>
    </row>
    <row r="247" spans="1:8" x14ac:dyDescent="0.25">
      <c r="A247" s="3"/>
      <c r="G247" s="14"/>
      <c r="H247" s="14"/>
    </row>
  </sheetData>
  <phoneticPr fontId="1" type="noConversion"/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3C61C1-C399-4B0B-B15E-203228354F92}">
  <sheetPr/>
  <dimension ref="A1:I247"/>
  <sheetViews>
    <sheetView zoomScale="115" zoomScaleNormal="115" workbookViewId="0">
      <selection activeCell="A5" sqref="A5:H125"/>
    </sheetView>
  </sheetViews>
  <sheetFormatPr defaultRowHeight="15" x14ac:dyDescent="0.25"/>
  <cols>
    <col min="1" max="1" width="8.875" style="4" customWidth="1"/>
    <col min="2" max="3" width="15.125" style="4" customWidth="1"/>
    <col min="4" max="4" width="10.25" style="4" customWidth="1"/>
    <col min="5" max="5" width="12" style="13" customWidth="1"/>
    <col min="6" max="6" width="15" style="13" customWidth="1"/>
    <col min="7" max="7" width="13.875" customWidth="1"/>
    <col min="8" max="8" width="11.125" customWidth="1"/>
    <col min="11" max="12" width="15.125" customWidth="1"/>
    <col min="13" max="13" width="11.125" customWidth="1"/>
  </cols>
  <sheetData>
    <row r="1" spans="1:9" ht="14.25" x14ac:dyDescent="0.2">
      <c r="A1" s="2" t="s">
        <v>12</v>
      </c>
      <c r="B1" s="2" t="s">
        <v>4</v>
      </c>
      <c r="C1" s="2" t="s">
        <v>5</v>
      </c>
      <c r="D1" s="2" t="s">
        <v>13</v>
      </c>
      <c r="E1" s="2" t="s">
        <v>14</v>
      </c>
      <c r="F1" s="2" t="s">
        <v>15</v>
      </c>
      <c r="G1" s="2" t="s">
        <v>16</v>
      </c>
    </row>
    <row r="2" spans="1:9" x14ac:dyDescent="0.25">
      <c r="A2" s="11">
        <v>19</v>
      </c>
      <c r="B2" s="3">
        <v>113.337316</v>
      </c>
      <c r="C2" s="8">
        <v>23.014273339999999</v>
      </c>
      <c r="D2" s="3">
        <v>1785</v>
      </c>
      <c r="E2" s="13">
        <v>1785</v>
      </c>
      <c r="F2" s="13">
        <v>5</v>
      </c>
      <c r="G2" s="19">
        <f>SUBTOTAL(2,A5:A250)</f>
        <v>41</v>
      </c>
    </row>
    <row r="3" spans="1:9" x14ac:dyDescent="0.25">
      <c r="A3" s="3"/>
      <c r="B3" s="3"/>
      <c r="C3" s="3"/>
      <c r="D3" s="3"/>
    </row>
    <row r="4" spans="1:9" ht="14.25" x14ac:dyDescent="0.2">
      <c r="A4" s="2" t="s">
        <v>0</v>
      </c>
      <c r="B4" s="2" t="s">
        <v>1</v>
      </c>
      <c r="C4" s="2" t="s">
        <v>2</v>
      </c>
      <c r="D4" s="2" t="s">
        <v>3</v>
      </c>
      <c r="E4" s="2" t="s">
        <v>7</v>
      </c>
      <c r="F4" s="2" t="s">
        <v>8</v>
      </c>
      <c r="G4" s="2" t="s">
        <v>13</v>
      </c>
      <c r="H4" s="2" t="s">
        <v>14</v>
      </c>
      <c r="I4" s="24" t="s">
        <v>20</v>
      </c>
    </row>
    <row r="5" spans="1:9" x14ac:dyDescent="0.25">
      <c r="A5" s="3">
        <v>1285</v>
      </c>
      <c r="B5" s="3">
        <v>113.3363452</v>
      </c>
      <c r="C5" s="3">
        <v>23.013859650000001</v>
      </c>
      <c r="D5" s="3">
        <v>19</v>
      </c>
      <c r="E5" s="13">
        <f t="shared" ref="E5:E36" si="0">SQRT((B5-$B$2)^2+(C5-$C$2)^2)</f>
        <v>1.0552687127493481E-3</v>
      </c>
      <c r="F5" s="13">
        <f t="shared" ref="F5:F36" si="1">SQRT(1/E5)</f>
        <v>30.783533494968271</v>
      </c>
      <c r="G5" s="14">
        <f>F5/$F$129*$D$2</f>
        <v>88.896221466225228</v>
      </c>
      <c r="H5" s="14">
        <f>F5/$F$129*$E$2</f>
        <v>88.896221466225228</v>
      </c>
      <c r="I5" s="25" t="str">
        <f>IF(MOD(ROW()-1,3)=1,"选中","")</f>
        <v>选中</v>
      </c>
    </row>
    <row r="6" spans="1:9" hidden="1" x14ac:dyDescent="0.25">
      <c r="A6" s="3">
        <v>1472</v>
      </c>
      <c r="B6" s="3">
        <v>113.336446</v>
      </c>
      <c r="C6" s="3">
        <v>23.013478630000002</v>
      </c>
      <c r="D6" s="3">
        <v>19</v>
      </c>
      <c r="E6" s="13">
        <f t="shared" si="0"/>
        <v>1.1783310163560126E-3</v>
      </c>
      <c r="F6" s="13">
        <f t="shared" si="1"/>
        <v>29.131734636505197</v>
      </c>
      <c r="G6" s="14">
        <f>F6/$F$124*$D$2</f>
        <v>5834.893495225796</v>
      </c>
      <c r="H6" s="14">
        <f>F6/$F$124*$E$2</f>
        <v>5834.893495225796</v>
      </c>
      <c r="I6" s="25" t="str">
        <f t="shared" ref="I6:I69" si="2">IF(MOD(ROW()-1,3)=1,"选中","")</f>
        <v/>
      </c>
    </row>
    <row r="7" spans="1:9" hidden="1" x14ac:dyDescent="0.25">
      <c r="A7" s="3">
        <v>1253</v>
      </c>
      <c r="B7" s="3">
        <v>113.33614350000001</v>
      </c>
      <c r="C7" s="3">
        <v>23.01451574</v>
      </c>
      <c r="D7" s="3">
        <v>19</v>
      </c>
      <c r="E7" s="13">
        <f t="shared" si="0"/>
        <v>1.1972944541716608E-3</v>
      </c>
      <c r="F7" s="13">
        <f t="shared" si="1"/>
        <v>28.900111250199483</v>
      </c>
      <c r="G7" s="14">
        <f>F7/$F$124*$D$2</f>
        <v>5788.5008650937125</v>
      </c>
      <c r="H7" s="14">
        <f>F7/$F$124*$E$2</f>
        <v>5788.5008650937125</v>
      </c>
      <c r="I7" s="25" t="str">
        <f t="shared" si="2"/>
        <v/>
      </c>
    </row>
    <row r="8" spans="1:9" x14ac:dyDescent="0.25">
      <c r="A8" s="3">
        <v>1474</v>
      </c>
      <c r="B8" s="3">
        <v>113.3362843</v>
      </c>
      <c r="C8" s="3">
        <v>23.01357089</v>
      </c>
      <c r="D8" s="3">
        <v>19</v>
      </c>
      <c r="E8" s="13">
        <f t="shared" si="0"/>
        <v>1.2481349656568348E-3</v>
      </c>
      <c r="F8" s="13">
        <f t="shared" si="1"/>
        <v>28.305395343601205</v>
      </c>
      <c r="G8" s="14">
        <f>F8/$F$129*$D$2</f>
        <v>81.739891671796741</v>
      </c>
      <c r="H8" s="14">
        <f>F8/$F$129*$E$2</f>
        <v>81.739891671796741</v>
      </c>
      <c r="I8" s="25" t="str">
        <f t="shared" si="2"/>
        <v>选中</v>
      </c>
    </row>
    <row r="9" spans="1:9" hidden="1" x14ac:dyDescent="0.25">
      <c r="A9" s="3">
        <v>1465</v>
      </c>
      <c r="B9" s="3">
        <v>113.3361855</v>
      </c>
      <c r="C9" s="3">
        <v>23.013560080000001</v>
      </c>
      <c r="D9" s="3">
        <v>19</v>
      </c>
      <c r="E9" s="13">
        <f t="shared" si="0"/>
        <v>1.3367011923394064E-3</v>
      </c>
      <c r="F9" s="13">
        <f t="shared" si="1"/>
        <v>27.351606028882525</v>
      </c>
      <c r="G9" s="14">
        <f>F9/$F$124*$D$2</f>
        <v>5478.3455257043715</v>
      </c>
      <c r="H9" s="14">
        <f>F9/$F$124*$E$2</f>
        <v>5478.3455257043715</v>
      </c>
      <c r="I9" s="25" t="str">
        <f t="shared" si="2"/>
        <v/>
      </c>
    </row>
    <row r="10" spans="1:9" hidden="1" x14ac:dyDescent="0.25">
      <c r="A10" s="3">
        <v>1250</v>
      </c>
      <c r="B10" s="3">
        <v>113.3359219</v>
      </c>
      <c r="C10" s="3">
        <v>23.01513388</v>
      </c>
      <c r="D10" s="3">
        <v>19</v>
      </c>
      <c r="E10" s="13">
        <f t="shared" si="0"/>
        <v>1.6383051918367638E-3</v>
      </c>
      <c r="F10" s="13">
        <f t="shared" si="1"/>
        <v>24.706009053203196</v>
      </c>
      <c r="G10" s="14">
        <f>F10/$F$124*$D$2</f>
        <v>4948.4499744440491</v>
      </c>
      <c r="H10" s="14">
        <f>F10/$F$124*$E$2</f>
        <v>4948.4499744440491</v>
      </c>
      <c r="I10" s="25" t="str">
        <f t="shared" si="2"/>
        <v/>
      </c>
    </row>
    <row r="11" spans="1:9" x14ac:dyDescent="0.25">
      <c r="A11" s="3">
        <v>1459</v>
      </c>
      <c r="B11" s="3">
        <v>113.3376188</v>
      </c>
      <c r="C11" s="3">
        <v>23.012446929999999</v>
      </c>
      <c r="D11" s="3">
        <v>19</v>
      </c>
      <c r="E11" s="13">
        <f t="shared" si="0"/>
        <v>1.8513404138889777E-3</v>
      </c>
      <c r="F11" s="13">
        <f t="shared" si="1"/>
        <v>23.241109623015426</v>
      </c>
      <c r="G11" s="14">
        <f>F11/$F$129*$D$2</f>
        <v>67.115324123077158</v>
      </c>
      <c r="H11" s="14">
        <f>F11/$F$129*$E$2</f>
        <v>67.115324123077158</v>
      </c>
      <c r="I11" s="25" t="str">
        <f t="shared" si="2"/>
        <v>选中</v>
      </c>
    </row>
    <row r="12" spans="1:9" hidden="1" x14ac:dyDescent="0.25">
      <c r="A12" s="3">
        <v>1461</v>
      </c>
      <c r="B12" s="3">
        <v>113.3360538</v>
      </c>
      <c r="C12" s="3">
        <v>23.012849630000002</v>
      </c>
      <c r="D12" s="3">
        <v>19</v>
      </c>
      <c r="E12" s="13">
        <f t="shared" si="0"/>
        <v>1.9026557765636249E-3</v>
      </c>
      <c r="F12" s="13">
        <f t="shared" si="1"/>
        <v>22.925556572650777</v>
      </c>
      <c r="G12" s="14">
        <f>F12/$F$124*$D$2</f>
        <v>4591.8371353199509</v>
      </c>
      <c r="H12" s="14">
        <f>F12/$F$124*$E$2</f>
        <v>4591.8371353199509</v>
      </c>
      <c r="I12" s="25" t="str">
        <f t="shared" si="2"/>
        <v/>
      </c>
    </row>
    <row r="13" spans="1:9" hidden="1" x14ac:dyDescent="0.25">
      <c r="A13" s="3">
        <v>1289</v>
      </c>
      <c r="B13" s="3">
        <v>113.3392934</v>
      </c>
      <c r="C13" s="3">
        <v>23.014567970000002</v>
      </c>
      <c r="D13" s="3">
        <v>19</v>
      </c>
      <c r="E13" s="13">
        <f t="shared" si="0"/>
        <v>1.9992292507129963E-3</v>
      </c>
      <c r="F13" s="13">
        <f t="shared" si="1"/>
        <v>22.364989640220863</v>
      </c>
      <c r="G13" s="14">
        <f>F13/$F$124*$D$2</f>
        <v>4479.5592916389478</v>
      </c>
      <c r="H13" s="14">
        <f>F13/$F$124*$E$2</f>
        <v>4479.5592916389478</v>
      </c>
      <c r="I13" s="25" t="str">
        <f t="shared" si="2"/>
        <v/>
      </c>
    </row>
    <row r="14" spans="1:9" x14ac:dyDescent="0.25">
      <c r="A14" s="3">
        <v>1242</v>
      </c>
      <c r="B14" s="3">
        <v>113.3351724</v>
      </c>
      <c r="C14" s="3">
        <v>23.014355599999998</v>
      </c>
      <c r="D14" s="3">
        <v>19</v>
      </c>
      <c r="E14" s="13">
        <f t="shared" si="0"/>
        <v>2.1451777706253663E-3</v>
      </c>
      <c r="F14" s="13">
        <f t="shared" si="1"/>
        <v>21.590781186042641</v>
      </c>
      <c r="G14" s="14">
        <f>F14/$F$129*$D$2</f>
        <v>62.349530675449643</v>
      </c>
      <c r="H14" s="14">
        <f>F14/$F$129*$E$2</f>
        <v>62.349530675449643</v>
      </c>
      <c r="I14" s="25" t="str">
        <f t="shared" si="2"/>
        <v>选中</v>
      </c>
    </row>
    <row r="15" spans="1:9" hidden="1" x14ac:dyDescent="0.25">
      <c r="A15" s="3">
        <v>1257</v>
      </c>
      <c r="B15" s="3">
        <v>113.3351704</v>
      </c>
      <c r="C15" s="3">
        <v>23.014354610000002</v>
      </c>
      <c r="D15" s="3">
        <v>19</v>
      </c>
      <c r="E15" s="13">
        <f t="shared" si="0"/>
        <v>2.1471386012377179E-3</v>
      </c>
      <c r="F15" s="13">
        <f t="shared" si="1"/>
        <v>21.58092026353923</v>
      </c>
      <c r="G15" s="14">
        <f>F15/$F$124*$D$2</f>
        <v>4322.5153887306569</v>
      </c>
      <c r="H15" s="14">
        <f>F15/$F$124*$E$2</f>
        <v>4322.5153887306569</v>
      </c>
      <c r="I15" s="25" t="str">
        <f t="shared" si="2"/>
        <v/>
      </c>
    </row>
    <row r="16" spans="1:9" hidden="1" x14ac:dyDescent="0.25">
      <c r="A16" s="3">
        <v>1273</v>
      </c>
      <c r="B16" s="3">
        <v>113.3394461</v>
      </c>
      <c r="C16" s="3">
        <v>23.014666649999999</v>
      </c>
      <c r="D16" s="3">
        <v>19</v>
      </c>
      <c r="E16" s="13">
        <f t="shared" si="0"/>
        <v>2.1661068224142063E-3</v>
      </c>
      <c r="F16" s="13">
        <f t="shared" si="1"/>
        <v>21.486222309307365</v>
      </c>
      <c r="G16" s="14">
        <f>F16/$F$124*$D$2</f>
        <v>4303.5480157247848</v>
      </c>
      <c r="H16" s="14">
        <f>F16/$F$124*$E$2</f>
        <v>4303.5480157247848</v>
      </c>
      <c r="I16" s="25" t="str">
        <f t="shared" si="2"/>
        <v/>
      </c>
    </row>
    <row r="17" spans="1:9" x14ac:dyDescent="0.25">
      <c r="A17" s="3">
        <v>1274</v>
      </c>
      <c r="B17" s="3">
        <v>113.33568529999999</v>
      </c>
      <c r="C17" s="3">
        <v>23.015858999999999</v>
      </c>
      <c r="D17" s="3">
        <v>19</v>
      </c>
      <c r="E17" s="13">
        <f t="shared" si="0"/>
        <v>2.2745329466996489E-3</v>
      </c>
      <c r="F17" s="13">
        <f t="shared" si="1"/>
        <v>20.967849175281593</v>
      </c>
      <c r="G17" s="14">
        <f>F17/$F$129*$D$2</f>
        <v>60.550637056038902</v>
      </c>
      <c r="H17" s="14">
        <f>F17/$F$129*$E$2</f>
        <v>60.550637056038902</v>
      </c>
      <c r="I17" s="25" t="str">
        <f t="shared" si="2"/>
        <v>选中</v>
      </c>
    </row>
    <row r="18" spans="1:9" hidden="1" x14ac:dyDescent="0.25">
      <c r="A18" s="3">
        <v>1287</v>
      </c>
      <c r="B18" s="3">
        <v>113.33938019999999</v>
      </c>
      <c r="C18" s="3">
        <v>23.015467430000001</v>
      </c>
      <c r="D18" s="3">
        <v>19</v>
      </c>
      <c r="E18" s="13">
        <f t="shared" si="0"/>
        <v>2.38469548749385E-3</v>
      </c>
      <c r="F18" s="13">
        <f t="shared" si="1"/>
        <v>20.477811221230336</v>
      </c>
      <c r="G18" s="14">
        <f>F18/$F$124*$D$2</f>
        <v>4101.569953939168</v>
      </c>
      <c r="H18" s="14">
        <f>F18/$F$124*$E$2</f>
        <v>4101.569953939168</v>
      </c>
      <c r="I18" s="25" t="str">
        <f t="shared" si="2"/>
        <v/>
      </c>
    </row>
    <row r="19" spans="1:9" hidden="1" x14ac:dyDescent="0.25">
      <c r="A19" s="3">
        <v>1259</v>
      </c>
      <c r="B19" s="3">
        <v>113.3348989</v>
      </c>
      <c r="C19" s="3">
        <v>23.014892880000001</v>
      </c>
      <c r="D19" s="3">
        <v>19</v>
      </c>
      <c r="E19" s="13">
        <f t="shared" si="0"/>
        <v>2.4952359050026832E-3</v>
      </c>
      <c r="F19" s="13">
        <f t="shared" si="1"/>
        <v>20.019083659234386</v>
      </c>
      <c r="G19" s="14">
        <f>F19/$F$124*$D$2</f>
        <v>4009.6898616285357</v>
      </c>
      <c r="H19" s="14">
        <f>F19/$F$124*$E$2</f>
        <v>4009.6898616285357</v>
      </c>
      <c r="I19" s="25" t="str">
        <f t="shared" si="2"/>
        <v/>
      </c>
    </row>
    <row r="20" spans="1:9" x14ac:dyDescent="0.25">
      <c r="A20" s="3">
        <v>1458</v>
      </c>
      <c r="B20" s="3">
        <v>113.33791720000001</v>
      </c>
      <c r="C20" s="3">
        <v>23.011771679999999</v>
      </c>
      <c r="D20" s="3">
        <v>19</v>
      </c>
      <c r="E20" s="13">
        <f t="shared" si="0"/>
        <v>2.572886354973145E-3</v>
      </c>
      <c r="F20" s="13">
        <f t="shared" si="1"/>
        <v>19.714678453882929</v>
      </c>
      <c r="G20" s="14">
        <f>F20/$F$129*$D$2</f>
        <v>56.931749640055479</v>
      </c>
      <c r="H20" s="14">
        <f>F20/$F$129*$E$2</f>
        <v>56.931749640055479</v>
      </c>
      <c r="I20" s="25" t="str">
        <f t="shared" si="2"/>
        <v>选中</v>
      </c>
    </row>
    <row r="21" spans="1:9" hidden="1" x14ac:dyDescent="0.25">
      <c r="A21" s="3">
        <v>1248</v>
      </c>
      <c r="B21" s="3">
        <v>113.33852570000001</v>
      </c>
      <c r="C21" s="3">
        <v>23.016554500000002</v>
      </c>
      <c r="D21" s="3">
        <v>19</v>
      </c>
      <c r="E21" s="13">
        <f t="shared" si="0"/>
        <v>2.5820660401355525E-3</v>
      </c>
      <c r="F21" s="13">
        <f t="shared" si="1"/>
        <v>19.679602728888138</v>
      </c>
      <c r="G21" s="14">
        <f>F21/$F$124*$D$2</f>
        <v>3941.6940798137334</v>
      </c>
      <c r="H21" s="14">
        <f>F21/$F$124*$E$2</f>
        <v>3941.6940798137334</v>
      </c>
      <c r="I21" s="25" t="str">
        <f t="shared" si="2"/>
        <v/>
      </c>
    </row>
    <row r="22" spans="1:9" hidden="1" x14ac:dyDescent="0.25">
      <c r="A22" s="3">
        <v>1264</v>
      </c>
      <c r="B22" s="3">
        <v>113.3347014</v>
      </c>
      <c r="C22" s="3">
        <v>23.014404450000001</v>
      </c>
      <c r="D22" s="3">
        <v>19</v>
      </c>
      <c r="E22" s="13">
        <f t="shared" si="0"/>
        <v>2.6178852136994773E-3</v>
      </c>
      <c r="F22" s="13">
        <f t="shared" si="1"/>
        <v>19.544506094321971</v>
      </c>
      <c r="G22" s="14">
        <f>F22/$F$124*$D$2</f>
        <v>3914.6351187153705</v>
      </c>
      <c r="H22" s="14">
        <f>F22/$F$124*$E$2</f>
        <v>3914.6351187153705</v>
      </c>
      <c r="I22" s="25" t="str">
        <f t="shared" si="2"/>
        <v/>
      </c>
    </row>
    <row r="23" spans="1:9" x14ac:dyDescent="0.25">
      <c r="A23" s="3">
        <v>1260</v>
      </c>
      <c r="B23" s="3">
        <v>113.33451669999999</v>
      </c>
      <c r="C23" s="3">
        <v>23.014225880000001</v>
      </c>
      <c r="D23" s="3">
        <v>19</v>
      </c>
      <c r="E23" s="13">
        <f t="shared" si="0"/>
        <v>2.7997022951801102E-3</v>
      </c>
      <c r="F23" s="13">
        <f t="shared" si="1"/>
        <v>18.899228389915958</v>
      </c>
      <c r="G23" s="14">
        <f>F23/$F$129*$D$2</f>
        <v>54.576905304433502</v>
      </c>
      <c r="H23" s="14">
        <f>F23/$F$129*$E$2</f>
        <v>54.576905304433502</v>
      </c>
      <c r="I23" s="25" t="str">
        <f t="shared" si="2"/>
        <v>选中</v>
      </c>
    </row>
    <row r="24" spans="1:9" hidden="1" x14ac:dyDescent="0.25">
      <c r="A24" s="3">
        <v>1470</v>
      </c>
      <c r="B24" s="3">
        <v>113.3347693</v>
      </c>
      <c r="C24" s="3">
        <v>23.013047920000002</v>
      </c>
      <c r="D24" s="3">
        <v>19</v>
      </c>
      <c r="E24" s="13">
        <f t="shared" si="0"/>
        <v>2.8261873728354747E-3</v>
      </c>
      <c r="F24" s="13">
        <f t="shared" si="1"/>
        <v>18.810464679464463</v>
      </c>
      <c r="G24" s="14">
        <f>F24/$F$124*$D$2</f>
        <v>3767.6114852029577</v>
      </c>
      <c r="H24" s="14">
        <f>F24/$F$124*$E$2</f>
        <v>3767.6114852029577</v>
      </c>
      <c r="I24" s="25" t="str">
        <f t="shared" si="2"/>
        <v/>
      </c>
    </row>
    <row r="25" spans="1:9" hidden="1" x14ac:dyDescent="0.25">
      <c r="A25" s="3">
        <v>1471</v>
      </c>
      <c r="B25" s="3">
        <v>113.3348302</v>
      </c>
      <c r="C25" s="3">
        <v>23.012860880000002</v>
      </c>
      <c r="D25" s="3">
        <v>19</v>
      </c>
      <c r="E25" s="13">
        <f t="shared" si="0"/>
        <v>2.8590636389566682E-3</v>
      </c>
      <c r="F25" s="13">
        <f t="shared" si="1"/>
        <v>18.702001558781919</v>
      </c>
      <c r="G25" s="14">
        <f>F25/$F$124*$D$2</f>
        <v>3745.8870405298485</v>
      </c>
      <c r="H25" s="14">
        <f>F25/$F$124*$E$2</f>
        <v>3745.8870405298485</v>
      </c>
      <c r="I25" s="25" t="str">
        <f t="shared" si="2"/>
        <v/>
      </c>
    </row>
    <row r="26" spans="1:9" x14ac:dyDescent="0.25">
      <c r="A26" s="3">
        <v>1270</v>
      </c>
      <c r="B26" s="3">
        <v>113.3393252</v>
      </c>
      <c r="C26" s="3">
        <v>23.016513069999998</v>
      </c>
      <c r="D26" s="3">
        <v>19</v>
      </c>
      <c r="E26" s="13">
        <f t="shared" si="0"/>
        <v>3.0088660842435403E-3</v>
      </c>
      <c r="F26" s="13">
        <f t="shared" si="1"/>
        <v>18.230499600120993</v>
      </c>
      <c r="G26" s="14">
        <f>F26/$F$129*$D$2</f>
        <v>52.6457604406325</v>
      </c>
      <c r="H26" s="14">
        <f>F26/$F$129*$E$2</f>
        <v>52.6457604406325</v>
      </c>
      <c r="I26" s="25" t="str">
        <f t="shared" si="2"/>
        <v>选中</v>
      </c>
    </row>
    <row r="27" spans="1:9" hidden="1" x14ac:dyDescent="0.25">
      <c r="A27" s="3">
        <v>1240</v>
      </c>
      <c r="B27" s="3">
        <v>113.3365675</v>
      </c>
      <c r="C27" s="3">
        <v>23.017311750000001</v>
      </c>
      <c r="D27" s="3">
        <v>19</v>
      </c>
      <c r="E27" s="13">
        <f t="shared" si="0"/>
        <v>3.1292471264048197E-3</v>
      </c>
      <c r="F27" s="13">
        <f t="shared" si="1"/>
        <v>17.876400211614651</v>
      </c>
      <c r="G27" s="14">
        <f>F27/$F$124*$D$2</f>
        <v>3580.5245590180411</v>
      </c>
      <c r="H27" s="14">
        <f>F27/$F$124*$E$2</f>
        <v>3580.5245590180411</v>
      </c>
      <c r="I27" s="25" t="str">
        <f t="shared" si="2"/>
        <v/>
      </c>
    </row>
    <row r="28" spans="1:9" hidden="1" x14ac:dyDescent="0.25">
      <c r="A28" s="3">
        <v>1457</v>
      </c>
      <c r="B28" s="3">
        <v>113.33828459999999</v>
      </c>
      <c r="C28" s="3">
        <v>23.011257229999998</v>
      </c>
      <c r="D28" s="3">
        <v>19</v>
      </c>
      <c r="E28" s="13">
        <f t="shared" si="0"/>
        <v>3.1678234628986861E-3</v>
      </c>
      <c r="F28" s="13">
        <f t="shared" si="1"/>
        <v>17.767221409915734</v>
      </c>
      <c r="G28" s="14">
        <f>F28/$F$124*$D$2</f>
        <v>3558.6567681776269</v>
      </c>
      <c r="H28" s="14">
        <f>F28/$F$124*$E$2</f>
        <v>3558.6567681776269</v>
      </c>
      <c r="I28" s="25" t="str">
        <f t="shared" si="2"/>
        <v/>
      </c>
    </row>
    <row r="29" spans="1:9" x14ac:dyDescent="0.25">
      <c r="A29" s="3">
        <v>1268</v>
      </c>
      <c r="B29" s="3">
        <v>113.3390946</v>
      </c>
      <c r="C29" s="3">
        <v>23.017022269999998</v>
      </c>
      <c r="D29" s="3">
        <v>19</v>
      </c>
      <c r="E29" s="13">
        <f t="shared" si="0"/>
        <v>3.2741463169619887E-3</v>
      </c>
      <c r="F29" s="13">
        <f t="shared" si="1"/>
        <v>17.476359033012859</v>
      </c>
      <c r="G29" s="14">
        <f>F29/$F$129*$D$2</f>
        <v>50.467964740822161</v>
      </c>
      <c r="H29" s="14">
        <f>F29/$F$129*$E$2</f>
        <v>50.467964740822161</v>
      </c>
      <c r="I29" s="25" t="str">
        <f t="shared" si="2"/>
        <v>选中</v>
      </c>
    </row>
    <row r="30" spans="1:9" hidden="1" x14ac:dyDescent="0.25">
      <c r="A30" s="3">
        <v>1261</v>
      </c>
      <c r="B30" s="3">
        <v>113.33991109999999</v>
      </c>
      <c r="C30" s="3">
        <v>23.016339089999999</v>
      </c>
      <c r="D30" s="3">
        <v>19</v>
      </c>
      <c r="E30" s="13">
        <f t="shared" si="0"/>
        <v>3.3169062501773885E-3</v>
      </c>
      <c r="F30" s="13">
        <f t="shared" si="1"/>
        <v>17.363345285182078</v>
      </c>
      <c r="G30" s="14">
        <f>F30/$F$124*$D$2</f>
        <v>3477.763055445108</v>
      </c>
      <c r="H30" s="14">
        <f>F30/$F$124*$E$2</f>
        <v>3477.763055445108</v>
      </c>
      <c r="I30" s="25" t="str">
        <f t="shared" si="2"/>
        <v/>
      </c>
    </row>
    <row r="31" spans="1:9" hidden="1" x14ac:dyDescent="0.25">
      <c r="A31" s="3">
        <v>1469</v>
      </c>
      <c r="B31" s="3">
        <v>113.3354102</v>
      </c>
      <c r="C31" s="3">
        <v>23.011274490000002</v>
      </c>
      <c r="D31" s="3">
        <v>19</v>
      </c>
      <c r="E31" s="13">
        <f t="shared" si="0"/>
        <v>3.5531922214390916E-3</v>
      </c>
      <c r="F31" s="13">
        <f t="shared" si="1"/>
        <v>16.776086187277613</v>
      </c>
      <c r="G31" s="14">
        <f>F31/$F$124*$D$2</f>
        <v>3360.1389478136653</v>
      </c>
      <c r="H31" s="14">
        <f>F31/$F$124*$E$2</f>
        <v>3360.1389478136653</v>
      </c>
      <c r="I31" s="25" t="str">
        <f t="shared" si="2"/>
        <v/>
      </c>
    </row>
    <row r="32" spans="1:9" x14ac:dyDescent="0.25">
      <c r="A32" s="3">
        <v>1279</v>
      </c>
      <c r="B32" s="3">
        <v>113.3337363</v>
      </c>
      <c r="C32" s="3">
        <v>23.01447722</v>
      </c>
      <c r="D32" s="3">
        <v>19</v>
      </c>
      <c r="E32" s="13">
        <f t="shared" si="0"/>
        <v>3.5855012403320026E-3</v>
      </c>
      <c r="F32" s="13">
        <f t="shared" si="1"/>
        <v>16.700330328150436</v>
      </c>
      <c r="G32" s="14">
        <f>F32/$F$129*$D$2</f>
        <v>48.226960808545385</v>
      </c>
      <c r="H32" s="14">
        <f>F32/$F$129*$E$2</f>
        <v>48.226960808545385</v>
      </c>
      <c r="I32" s="25" t="str">
        <f t="shared" si="2"/>
        <v>选中</v>
      </c>
    </row>
    <row r="33" spans="1:9" hidden="1" x14ac:dyDescent="0.25">
      <c r="A33" s="3">
        <v>1269</v>
      </c>
      <c r="B33" s="3">
        <v>113.3337652</v>
      </c>
      <c r="C33" s="3">
        <v>23.014880990000002</v>
      </c>
      <c r="D33" s="3">
        <v>19</v>
      </c>
      <c r="E33" s="13">
        <f t="shared" si="0"/>
        <v>3.6024185157333324E-3</v>
      </c>
      <c r="F33" s="13">
        <f t="shared" si="1"/>
        <v>16.661071069842613</v>
      </c>
      <c r="G33" s="14">
        <f>F33/$F$124*$D$2</f>
        <v>3337.1021815878339</v>
      </c>
      <c r="H33" s="14">
        <f>F33/$F$124*$E$2</f>
        <v>3337.1021815878339</v>
      </c>
      <c r="I33" s="25" t="str">
        <f t="shared" si="2"/>
        <v/>
      </c>
    </row>
    <row r="34" spans="1:9" hidden="1" x14ac:dyDescent="0.25">
      <c r="A34" s="3">
        <v>1288</v>
      </c>
      <c r="B34" s="3">
        <v>113.3336594</v>
      </c>
      <c r="C34" s="3">
        <v>23.014144510000001</v>
      </c>
      <c r="D34" s="3">
        <v>19</v>
      </c>
      <c r="E34" s="13">
        <f t="shared" si="0"/>
        <v>3.6588687772171635E-3</v>
      </c>
      <c r="F34" s="13">
        <f t="shared" si="1"/>
        <v>16.532045159758848</v>
      </c>
      <c r="G34" s="14">
        <f>F34/$F$124*$D$2</f>
        <v>3311.2591463941812</v>
      </c>
      <c r="H34" s="14">
        <f>F34/$F$124*$E$2</f>
        <v>3311.2591463941812</v>
      </c>
      <c r="I34" s="25" t="str">
        <f t="shared" si="2"/>
        <v/>
      </c>
    </row>
    <row r="35" spans="1:9" x14ac:dyDescent="0.25">
      <c r="A35" s="3">
        <v>1278</v>
      </c>
      <c r="B35" s="3">
        <v>113.33363749999999</v>
      </c>
      <c r="C35" s="3">
        <v>23.0142515</v>
      </c>
      <c r="D35" s="3">
        <v>19</v>
      </c>
      <c r="E35" s="13">
        <f t="shared" si="0"/>
        <v>3.6785648336883159E-3</v>
      </c>
      <c r="F35" s="13">
        <f t="shared" si="1"/>
        <v>16.487727179746159</v>
      </c>
      <c r="G35" s="14">
        <f>F35/$F$129*$D$2</f>
        <v>47.613008658833508</v>
      </c>
      <c r="H35" s="14">
        <f>F35/$F$129*$E$2</f>
        <v>47.613008658833508</v>
      </c>
      <c r="I35" s="25" t="str">
        <f t="shared" si="2"/>
        <v>选中</v>
      </c>
    </row>
    <row r="36" spans="1:9" hidden="1" x14ac:dyDescent="0.25">
      <c r="A36" s="3">
        <v>1251</v>
      </c>
      <c r="B36" s="3">
        <v>113.3337981</v>
      </c>
      <c r="C36" s="3">
        <v>23.015737560000002</v>
      </c>
      <c r="D36" s="3">
        <v>19</v>
      </c>
      <c r="E36" s="13">
        <f t="shared" si="0"/>
        <v>3.8104541223385829E-3</v>
      </c>
      <c r="F36" s="13">
        <f t="shared" si="1"/>
        <v>16.199873804555622</v>
      </c>
      <c r="G36" s="14">
        <f>F36/$F$124*$D$2</f>
        <v>3244.7274240659517</v>
      </c>
      <c r="H36" s="14">
        <f>F36/$F$124*$E$2</f>
        <v>3244.7274240659517</v>
      </c>
      <c r="I36" s="25" t="str">
        <f t="shared" si="2"/>
        <v/>
      </c>
    </row>
    <row r="37" spans="1:9" hidden="1" x14ac:dyDescent="0.25">
      <c r="A37" s="3">
        <v>1280</v>
      </c>
      <c r="B37" s="3">
        <v>113.34120369999999</v>
      </c>
      <c r="C37" s="3">
        <v>23.01460453</v>
      </c>
      <c r="D37" s="3">
        <v>19</v>
      </c>
      <c r="E37" s="13">
        <f t="shared" ref="E37:E68" si="3">SQRT((B37-$B$2)^2+(C37-$C$2)^2)</f>
        <v>3.9017814016221795E-3</v>
      </c>
      <c r="F37" s="13">
        <f t="shared" ref="F37:F68" si="4">SQRT(1/E37)</f>
        <v>16.009159548853638</v>
      </c>
      <c r="G37" s="14">
        <f>F37/$F$124*$D$2</f>
        <v>3206.5286218343849</v>
      </c>
      <c r="H37" s="14">
        <f>F37/$F$124*$E$2</f>
        <v>3206.5286218343849</v>
      </c>
      <c r="I37" s="25" t="str">
        <f t="shared" si="2"/>
        <v/>
      </c>
    </row>
    <row r="38" spans="1:9" x14ac:dyDescent="0.25">
      <c r="A38" s="3">
        <v>1284</v>
      </c>
      <c r="B38" s="3">
        <v>113.34129059999999</v>
      </c>
      <c r="C38" s="3">
        <v>23.013885689999999</v>
      </c>
      <c r="D38" s="3">
        <v>19</v>
      </c>
      <c r="E38" s="13">
        <f t="shared" si="3"/>
        <v>3.9934593628130162E-3</v>
      </c>
      <c r="F38" s="13">
        <f t="shared" si="4"/>
        <v>15.824331245125597</v>
      </c>
      <c r="G38" s="14">
        <f>F38/$F$129*$D$2</f>
        <v>45.697263933379475</v>
      </c>
      <c r="H38" s="14">
        <f>F38/$F$129*$E$2</f>
        <v>45.697263933379475</v>
      </c>
      <c r="I38" s="25" t="str">
        <f t="shared" si="2"/>
        <v>选中</v>
      </c>
    </row>
    <row r="39" spans="1:9" hidden="1" x14ac:dyDescent="0.25">
      <c r="A39" s="3">
        <v>1239</v>
      </c>
      <c r="B39" s="3">
        <v>113.33768019999999</v>
      </c>
      <c r="C39" s="3">
        <v>23.018303280000001</v>
      </c>
      <c r="D39" s="3">
        <v>19</v>
      </c>
      <c r="E39" s="13">
        <f t="shared" si="3"/>
        <v>4.0463635580127548E-3</v>
      </c>
      <c r="F39" s="13">
        <f t="shared" si="4"/>
        <v>15.720543246321746</v>
      </c>
      <c r="G39" s="14">
        <f>F39/$F$124*$D$2</f>
        <v>3148.7206880716917</v>
      </c>
      <c r="H39" s="14">
        <f>F39/$F$124*$E$2</f>
        <v>3148.7206880716917</v>
      </c>
      <c r="I39" s="25" t="str">
        <f t="shared" si="2"/>
        <v/>
      </c>
    </row>
    <row r="40" spans="1:9" hidden="1" x14ac:dyDescent="0.25">
      <c r="A40" s="3">
        <v>1475</v>
      </c>
      <c r="B40" s="3">
        <v>113.3335687</v>
      </c>
      <c r="C40" s="3">
        <v>23.012571359999999</v>
      </c>
      <c r="D40" s="3">
        <v>19</v>
      </c>
      <c r="E40" s="13">
        <f t="shared" si="3"/>
        <v>4.1157008164350575E-3</v>
      </c>
      <c r="F40" s="13">
        <f t="shared" si="4"/>
        <v>15.587558683781362</v>
      </c>
      <c r="G40" s="14">
        <f>F40/$F$124*$D$2</f>
        <v>3122.0847610108981</v>
      </c>
      <c r="H40" s="14">
        <f>F40/$F$124*$E$2</f>
        <v>3122.0847610108981</v>
      </c>
      <c r="I40" s="25" t="str">
        <f t="shared" si="2"/>
        <v/>
      </c>
    </row>
    <row r="41" spans="1:9" x14ac:dyDescent="0.25">
      <c r="A41" s="3">
        <v>1468</v>
      </c>
      <c r="B41" s="3">
        <v>113.3413595</v>
      </c>
      <c r="C41" s="3">
        <v>23.013294819999999</v>
      </c>
      <c r="D41" s="3">
        <v>19</v>
      </c>
      <c r="E41" s="13">
        <f t="shared" si="3"/>
        <v>4.160215576187903E-3</v>
      </c>
      <c r="F41" s="13">
        <f t="shared" si="4"/>
        <v>15.503940112472234</v>
      </c>
      <c r="G41" s="14">
        <f>F41/$F$129*$D$2</f>
        <v>44.772043276406372</v>
      </c>
      <c r="H41" s="14">
        <f>F41/$F$129*$E$2</f>
        <v>44.772043276406372</v>
      </c>
      <c r="I41" s="25" t="str">
        <f t="shared" si="2"/>
        <v>选中</v>
      </c>
    </row>
    <row r="42" spans="1:9" hidden="1" x14ac:dyDescent="0.25">
      <c r="A42" s="3">
        <v>1262</v>
      </c>
      <c r="B42" s="3">
        <v>113.3338838</v>
      </c>
      <c r="C42" s="3">
        <v>23.016642010000002</v>
      </c>
      <c r="D42" s="3">
        <v>19</v>
      </c>
      <c r="E42" s="13">
        <f t="shared" si="3"/>
        <v>4.1702031615922621E-3</v>
      </c>
      <c r="F42" s="13">
        <f t="shared" si="4"/>
        <v>15.485363109711628</v>
      </c>
      <c r="G42" s="14">
        <f>F42/$F$124*$D$2</f>
        <v>3101.615664411579</v>
      </c>
      <c r="H42" s="14">
        <f>F42/$F$124*$E$2</f>
        <v>3101.615664411579</v>
      </c>
      <c r="I42" s="25" t="str">
        <f t="shared" si="2"/>
        <v/>
      </c>
    </row>
    <row r="43" spans="1:9" hidden="1" x14ac:dyDescent="0.25">
      <c r="A43" s="3">
        <v>1254</v>
      </c>
      <c r="B43" s="3">
        <v>113.33392569999999</v>
      </c>
      <c r="C43" s="3">
        <v>23.01679386</v>
      </c>
      <c r="D43" s="3">
        <v>19</v>
      </c>
      <c r="E43" s="13">
        <f t="shared" si="3"/>
        <v>4.2245893481437325E-3</v>
      </c>
      <c r="F43" s="13">
        <f t="shared" si="4"/>
        <v>15.385363098395795</v>
      </c>
      <c r="G43" s="14">
        <f>F43/$F$124*$D$2</f>
        <v>3081.5863244896755</v>
      </c>
      <c r="H43" s="14">
        <f>F43/$F$124*$E$2</f>
        <v>3081.5863244896755</v>
      </c>
      <c r="I43" s="25" t="str">
        <f t="shared" si="2"/>
        <v/>
      </c>
    </row>
    <row r="44" spans="1:9" x14ac:dyDescent="0.25">
      <c r="A44" s="3">
        <v>1244</v>
      </c>
      <c r="B44" s="3">
        <v>113.33872820000001</v>
      </c>
      <c r="C44" s="3">
        <v>23.018293379999999</v>
      </c>
      <c r="D44" s="3">
        <v>19</v>
      </c>
      <c r="E44" s="13">
        <f t="shared" si="3"/>
        <v>4.2608720283076858E-3</v>
      </c>
      <c r="F44" s="13">
        <f t="shared" si="4"/>
        <v>15.319717421711468</v>
      </c>
      <c r="G44" s="14">
        <f>F44/$F$129*$D$2</f>
        <v>44.240047782138312</v>
      </c>
      <c r="H44" s="14">
        <f>F44/$F$129*$E$2</f>
        <v>44.240047782138312</v>
      </c>
      <c r="I44" s="25" t="str">
        <f t="shared" si="2"/>
        <v>选中</v>
      </c>
    </row>
    <row r="45" spans="1:9" hidden="1" x14ac:dyDescent="0.25">
      <c r="A45" s="3">
        <v>1473</v>
      </c>
      <c r="B45" s="3">
        <v>113.3345948</v>
      </c>
      <c r="C45" s="3">
        <v>23.010934150000001</v>
      </c>
      <c r="D45" s="3">
        <v>19</v>
      </c>
      <c r="E45" s="13">
        <f t="shared" si="3"/>
        <v>4.3075653559834868E-3</v>
      </c>
      <c r="F45" s="13">
        <f t="shared" si="4"/>
        <v>15.236459523489655</v>
      </c>
      <c r="G45" s="14">
        <f>F45/$F$124*$D$2</f>
        <v>3051.7619246907375</v>
      </c>
      <c r="H45" s="14">
        <f>F45/$F$124*$E$2</f>
        <v>3051.7619246907375</v>
      </c>
      <c r="I45" s="25" t="str">
        <f t="shared" si="2"/>
        <v/>
      </c>
    </row>
    <row r="46" spans="1:9" hidden="1" x14ac:dyDescent="0.25">
      <c r="A46" s="3">
        <v>1455</v>
      </c>
      <c r="B46" s="3">
        <v>113.3349072</v>
      </c>
      <c r="C46" s="3">
        <v>23.010531749999998</v>
      </c>
      <c r="D46" s="3">
        <v>19</v>
      </c>
      <c r="E46" s="13">
        <f t="shared" si="3"/>
        <v>4.4499228272065509E-3</v>
      </c>
      <c r="F46" s="13">
        <f t="shared" si="4"/>
        <v>14.990763766898306</v>
      </c>
      <c r="G46" s="14">
        <f>F46/$F$124*$D$2</f>
        <v>3002.5506919980239</v>
      </c>
      <c r="H46" s="14">
        <f>F46/$F$124*$E$2</f>
        <v>3002.5506919980239</v>
      </c>
      <c r="I46" s="25" t="str">
        <f t="shared" si="2"/>
        <v/>
      </c>
    </row>
    <row r="47" spans="1:9" x14ac:dyDescent="0.25">
      <c r="A47" s="3">
        <v>1299</v>
      </c>
      <c r="B47" s="3">
        <v>113.3417627</v>
      </c>
      <c r="C47" s="3">
        <v>23.014541569999999</v>
      </c>
      <c r="D47" s="3">
        <v>19</v>
      </c>
      <c r="E47" s="13">
        <f t="shared" si="3"/>
        <v>4.4547826235320116E-3</v>
      </c>
      <c r="F47" s="13">
        <f t="shared" si="4"/>
        <v>14.982584699079101</v>
      </c>
      <c r="G47" s="14">
        <f>F47/$F$129*$D$2</f>
        <v>43.266481015362274</v>
      </c>
      <c r="H47" s="14">
        <f>F47/$F$129*$E$2</f>
        <v>43.266481015362274</v>
      </c>
      <c r="I47" s="25" t="str">
        <f t="shared" si="2"/>
        <v>选中</v>
      </c>
    </row>
    <row r="48" spans="1:9" hidden="1" x14ac:dyDescent="0.25">
      <c r="A48" s="3">
        <v>1467</v>
      </c>
      <c r="B48" s="3">
        <v>113.33291699999999</v>
      </c>
      <c r="C48" s="3">
        <v>23.013325250000001</v>
      </c>
      <c r="D48" s="3">
        <v>19</v>
      </c>
      <c r="E48" s="13">
        <f t="shared" si="3"/>
        <v>4.5000084053424764E-3</v>
      </c>
      <c r="F48" s="13">
        <f t="shared" si="4"/>
        <v>14.907105927857248</v>
      </c>
      <c r="G48" s="14">
        <f>F48/$F$124*$D$2</f>
        <v>2985.7945809412649</v>
      </c>
      <c r="H48" s="14">
        <f>F48/$F$124*$E$2</f>
        <v>2985.7945809412649</v>
      </c>
      <c r="I48" s="25" t="str">
        <f t="shared" si="2"/>
        <v/>
      </c>
    </row>
    <row r="49" spans="1:9" hidden="1" x14ac:dyDescent="0.25">
      <c r="A49" s="3">
        <v>1252</v>
      </c>
      <c r="B49" s="3">
        <v>113.3377131</v>
      </c>
      <c r="C49" s="3">
        <v>23.018760029999999</v>
      </c>
      <c r="D49" s="3">
        <v>19</v>
      </c>
      <c r="E49" s="13">
        <f t="shared" si="3"/>
        <v>4.5042286316419027E-3</v>
      </c>
      <c r="F49" s="13">
        <f t="shared" si="4"/>
        <v>14.900120702561074</v>
      </c>
      <c r="G49" s="14">
        <f>F49/$F$124*$D$2</f>
        <v>2984.3954865807023</v>
      </c>
      <c r="H49" s="14">
        <f>F49/$F$124*$E$2</f>
        <v>2984.3954865807023</v>
      </c>
      <c r="I49" s="25" t="str">
        <f t="shared" si="2"/>
        <v/>
      </c>
    </row>
    <row r="50" spans="1:9" x14ac:dyDescent="0.25">
      <c r="A50" s="3">
        <v>1241</v>
      </c>
      <c r="B50" s="3">
        <v>113.3376872</v>
      </c>
      <c r="C50" s="3">
        <v>23.01876807</v>
      </c>
      <c r="D50" s="3">
        <v>19</v>
      </c>
      <c r="E50" s="13">
        <f t="shared" si="3"/>
        <v>4.5100318416739201E-3</v>
      </c>
      <c r="F50" s="13">
        <f t="shared" si="4"/>
        <v>14.890531372997664</v>
      </c>
      <c r="G50" s="14">
        <f>F50/$F$129*$D$2</f>
        <v>43.000650815480384</v>
      </c>
      <c r="H50" s="14">
        <f>F50/$F$129*$E$2</f>
        <v>43.000650815480384</v>
      </c>
      <c r="I50" s="25" t="str">
        <f t="shared" si="2"/>
        <v>选中</v>
      </c>
    </row>
    <row r="51" spans="1:9" hidden="1" x14ac:dyDescent="0.25">
      <c r="A51" s="3">
        <v>1464</v>
      </c>
      <c r="B51" s="3">
        <v>113.3350999</v>
      </c>
      <c r="C51" s="3">
        <v>23.010257509999999</v>
      </c>
      <c r="D51" s="3">
        <v>19</v>
      </c>
      <c r="E51" s="13">
        <f t="shared" si="3"/>
        <v>4.5867188489042681E-3</v>
      </c>
      <c r="F51" s="13">
        <f t="shared" si="4"/>
        <v>14.765526587439451</v>
      </c>
      <c r="G51" s="14">
        <f>F51/$F$124*$D$2</f>
        <v>2957.4371767986713</v>
      </c>
      <c r="H51" s="14">
        <f>F51/$F$124*$E$2</f>
        <v>2957.4371767986713</v>
      </c>
      <c r="I51" s="25" t="str">
        <f t="shared" si="2"/>
        <v/>
      </c>
    </row>
    <row r="52" spans="1:9" hidden="1" x14ac:dyDescent="0.25">
      <c r="A52" s="3">
        <v>1452</v>
      </c>
      <c r="B52" s="3">
        <v>113.3351637</v>
      </c>
      <c r="C52" s="3">
        <v>23.010176430000001</v>
      </c>
      <c r="D52" s="3">
        <v>19</v>
      </c>
      <c r="E52" s="13">
        <f t="shared" si="3"/>
        <v>4.6278576942367497E-3</v>
      </c>
      <c r="F52" s="13">
        <f t="shared" si="4"/>
        <v>14.699751803051031</v>
      </c>
      <c r="G52" s="14">
        <f>F52/$F$124*$D$2</f>
        <v>2944.2629231413921</v>
      </c>
      <c r="H52" s="14">
        <f>F52/$F$124*$E$2</f>
        <v>2944.2629231413921</v>
      </c>
      <c r="I52" s="25" t="str">
        <f t="shared" si="2"/>
        <v/>
      </c>
    </row>
    <row r="53" spans="1:9" x14ac:dyDescent="0.25">
      <c r="A53" s="3">
        <v>1246</v>
      </c>
      <c r="B53" s="3">
        <v>113.33401449999999</v>
      </c>
      <c r="C53" s="3">
        <v>23.017541380000001</v>
      </c>
      <c r="D53" s="3">
        <v>19</v>
      </c>
      <c r="E53" s="13">
        <f t="shared" si="3"/>
        <v>4.6454265349538462E-3</v>
      </c>
      <c r="F53" s="13">
        <f t="shared" si="4"/>
        <v>14.671928497785101</v>
      </c>
      <c r="G53" s="14">
        <f>F53/$F$129*$D$2</f>
        <v>42.369372745624439</v>
      </c>
      <c r="H53" s="14">
        <f>F53/$F$129*$E$2</f>
        <v>42.369372745624439</v>
      </c>
      <c r="I53" s="25" t="str">
        <f t="shared" si="2"/>
        <v>选中</v>
      </c>
    </row>
    <row r="54" spans="1:9" hidden="1" x14ac:dyDescent="0.25">
      <c r="A54" s="3">
        <v>1258</v>
      </c>
      <c r="B54" s="3">
        <v>113.3328909</v>
      </c>
      <c r="C54" s="3">
        <v>23.015809220000001</v>
      </c>
      <c r="D54" s="3">
        <v>19</v>
      </c>
      <c r="E54" s="13">
        <f t="shared" si="3"/>
        <v>4.6840620602698743E-3</v>
      </c>
      <c r="F54" s="13">
        <f t="shared" si="4"/>
        <v>14.611294009426079</v>
      </c>
      <c r="G54" s="14">
        <f>F54/$F$124*$D$2</f>
        <v>2926.5454129737177</v>
      </c>
      <c r="H54" s="14">
        <f>F54/$F$124*$E$2</f>
        <v>2926.5454129737177</v>
      </c>
      <c r="I54" s="25" t="str">
        <f t="shared" si="2"/>
        <v/>
      </c>
    </row>
    <row r="55" spans="1:9" hidden="1" x14ac:dyDescent="0.25">
      <c r="A55" s="3">
        <v>1275</v>
      </c>
      <c r="B55" s="3">
        <v>113.33338980000001</v>
      </c>
      <c r="C55" s="3">
        <v>23.016876830000001</v>
      </c>
      <c r="D55" s="3">
        <v>19</v>
      </c>
      <c r="E55" s="13">
        <f t="shared" si="3"/>
        <v>4.7109666333006641E-3</v>
      </c>
      <c r="F55" s="13">
        <f t="shared" si="4"/>
        <v>14.56951134202324</v>
      </c>
      <c r="G55" s="14">
        <f>F55/$F$124*$D$2</f>
        <v>2918.1766214381632</v>
      </c>
      <c r="H55" s="14">
        <f>F55/$F$124*$E$2</f>
        <v>2918.1766214381632</v>
      </c>
      <c r="I55" s="25" t="str">
        <f t="shared" si="2"/>
        <v/>
      </c>
    </row>
    <row r="56" spans="1:9" x14ac:dyDescent="0.25">
      <c r="A56" s="3">
        <v>1249</v>
      </c>
      <c r="B56" s="3">
        <v>113.34020940000001</v>
      </c>
      <c r="C56" s="3">
        <v>23.018045820000001</v>
      </c>
      <c r="D56" s="3">
        <v>19</v>
      </c>
      <c r="E56" s="13">
        <f t="shared" si="3"/>
        <v>4.7543000442172552E-3</v>
      </c>
      <c r="F56" s="13">
        <f t="shared" si="4"/>
        <v>14.502961921151302</v>
      </c>
      <c r="G56" s="14">
        <f>F56/$F$129*$D$2</f>
        <v>41.881433626507935</v>
      </c>
      <c r="H56" s="14">
        <f>F56/$F$129*$E$2</f>
        <v>41.881433626507935</v>
      </c>
      <c r="I56" s="25" t="str">
        <f t="shared" si="2"/>
        <v>选中</v>
      </c>
    </row>
    <row r="57" spans="1:9" hidden="1" x14ac:dyDescent="0.25">
      <c r="A57" s="3">
        <v>1255</v>
      </c>
      <c r="B57" s="3">
        <v>113.33295870000001</v>
      </c>
      <c r="C57" s="3">
        <v>23.016187930000001</v>
      </c>
      <c r="D57" s="3">
        <v>19</v>
      </c>
      <c r="E57" s="13">
        <f t="shared" si="3"/>
        <v>4.7593821193581305E-3</v>
      </c>
      <c r="F57" s="13">
        <f t="shared" si="4"/>
        <v>14.4952167111087</v>
      </c>
      <c r="G57" s="14">
        <f>F57/$F$124*$D$2</f>
        <v>2903.2958989524441</v>
      </c>
      <c r="H57" s="14">
        <f>F57/$F$124*$E$2</f>
        <v>2903.2958989524441</v>
      </c>
      <c r="I57" s="25" t="str">
        <f t="shared" si="2"/>
        <v/>
      </c>
    </row>
    <row r="58" spans="1:9" hidden="1" x14ac:dyDescent="0.25">
      <c r="A58" s="3">
        <v>1256</v>
      </c>
      <c r="B58" s="3">
        <v>113.3336123</v>
      </c>
      <c r="C58" s="3">
        <v>23.017462160000001</v>
      </c>
      <c r="D58" s="3">
        <v>19</v>
      </c>
      <c r="E58" s="13">
        <f t="shared" si="3"/>
        <v>4.8873271511564965E-3</v>
      </c>
      <c r="F58" s="13">
        <f t="shared" si="4"/>
        <v>14.304223737236443</v>
      </c>
      <c r="G58" s="14">
        <f>F58/$F$124*$D$2</f>
        <v>2865.0412713174469</v>
      </c>
      <c r="H58" s="14">
        <f>F58/$F$124*$E$2</f>
        <v>2865.0412713174469</v>
      </c>
      <c r="I58" s="25" t="str">
        <f t="shared" si="2"/>
        <v/>
      </c>
    </row>
    <row r="59" spans="1:9" x14ac:dyDescent="0.25">
      <c r="A59" s="3">
        <v>1247</v>
      </c>
      <c r="B59" s="3">
        <v>113.3333768</v>
      </c>
      <c r="C59" s="3">
        <v>23.017205709999999</v>
      </c>
      <c r="D59" s="3">
        <v>19</v>
      </c>
      <c r="E59" s="13">
        <f t="shared" si="3"/>
        <v>4.9108136247406281E-3</v>
      </c>
      <c r="F59" s="13">
        <f t="shared" si="4"/>
        <v>14.26997702702902</v>
      </c>
      <c r="G59" s="14">
        <f>F59/$F$129*$D$2</f>
        <v>41.208623380420853</v>
      </c>
      <c r="H59" s="14">
        <f>F59/$F$129*$E$2</f>
        <v>41.208623380420853</v>
      </c>
      <c r="I59" s="25" t="str">
        <f t="shared" si="2"/>
        <v>选中</v>
      </c>
    </row>
    <row r="60" spans="1:9" hidden="1" x14ac:dyDescent="0.25">
      <c r="A60" s="3">
        <v>1463</v>
      </c>
      <c r="B60" s="3">
        <v>113.3335209</v>
      </c>
      <c r="C60" s="3">
        <v>23.011097079999999</v>
      </c>
      <c r="D60" s="3">
        <v>19</v>
      </c>
      <c r="E60" s="13">
        <f t="shared" si="3"/>
        <v>4.9488798326123998E-3</v>
      </c>
      <c r="F60" s="13">
        <f t="shared" si="4"/>
        <v>14.214989582160495</v>
      </c>
      <c r="G60" s="14">
        <f>F60/$F$124*$D$2</f>
        <v>2847.1682610933267</v>
      </c>
      <c r="H60" s="14">
        <f>F60/$F$124*$E$2</f>
        <v>2847.1682610933267</v>
      </c>
      <c r="I60" s="25" t="str">
        <f t="shared" si="2"/>
        <v/>
      </c>
    </row>
    <row r="61" spans="1:9" hidden="1" x14ac:dyDescent="0.25">
      <c r="A61" s="3">
        <v>1454</v>
      </c>
      <c r="B61" s="3">
        <v>113.3346098</v>
      </c>
      <c r="C61" s="3">
        <v>23.010100489999999</v>
      </c>
      <c r="D61" s="3">
        <v>19</v>
      </c>
      <c r="E61" s="13">
        <f t="shared" si="3"/>
        <v>4.9735495938544125E-3</v>
      </c>
      <c r="F61" s="13">
        <f t="shared" si="4"/>
        <v>14.179691216797067</v>
      </c>
      <c r="G61" s="14">
        <f>F61/$F$124*$D$2</f>
        <v>2840.0982323078424</v>
      </c>
      <c r="H61" s="14">
        <f>F61/$F$124*$E$2</f>
        <v>2840.0982323078424</v>
      </c>
      <c r="I61" s="25" t="str">
        <f t="shared" si="2"/>
        <v/>
      </c>
    </row>
    <row r="62" spans="1:9" x14ac:dyDescent="0.25">
      <c r="A62" s="3">
        <v>1448</v>
      </c>
      <c r="B62" s="3">
        <v>113.3371429</v>
      </c>
      <c r="C62" s="3">
        <v>23.009285169999998</v>
      </c>
      <c r="D62" s="3">
        <v>19</v>
      </c>
      <c r="E62" s="13">
        <f t="shared" si="3"/>
        <v>4.9911725635271896E-3</v>
      </c>
      <c r="F62" s="13">
        <f t="shared" si="4"/>
        <v>14.154636058568297</v>
      </c>
      <c r="G62" s="14">
        <f>F62/$F$129*$D$2</f>
        <v>40.875543479827599</v>
      </c>
      <c r="H62" s="14">
        <f>F62/$F$129*$E$2</f>
        <v>40.875543479827599</v>
      </c>
      <c r="I62" s="25" t="str">
        <f t="shared" si="2"/>
        <v>选中</v>
      </c>
    </row>
    <row r="63" spans="1:9" hidden="1" x14ac:dyDescent="0.25">
      <c r="A63" s="3">
        <v>1456</v>
      </c>
      <c r="B63" s="3">
        <v>113.3343773</v>
      </c>
      <c r="C63" s="3">
        <v>23.010042940000002</v>
      </c>
      <c r="D63" s="3">
        <v>19</v>
      </c>
      <c r="E63" s="13">
        <f t="shared" si="3"/>
        <v>5.1509457238438682E-3</v>
      </c>
      <c r="F63" s="13">
        <f t="shared" si="4"/>
        <v>13.933381011487119</v>
      </c>
      <c r="G63" s="14">
        <f>F63/$F$124*$D$2</f>
        <v>2790.7639296065613</v>
      </c>
      <c r="H63" s="14">
        <f>F63/$F$124*$E$2</f>
        <v>2790.7639296065613</v>
      </c>
      <c r="I63" s="25" t="str">
        <f t="shared" si="2"/>
        <v/>
      </c>
    </row>
    <row r="64" spans="1:9" hidden="1" x14ac:dyDescent="0.25">
      <c r="A64" s="3">
        <v>1266</v>
      </c>
      <c r="B64" s="3">
        <v>113.3325316</v>
      </c>
      <c r="C64" s="3">
        <v>23.01629969</v>
      </c>
      <c r="D64" s="3">
        <v>19</v>
      </c>
      <c r="E64" s="13">
        <f t="shared" si="3"/>
        <v>5.1958230996212214E-3</v>
      </c>
      <c r="F64" s="13">
        <f t="shared" si="4"/>
        <v>13.873077800339402</v>
      </c>
      <c r="G64" s="14">
        <f>F64/$F$124*$D$2</f>
        <v>2778.6855958287256</v>
      </c>
      <c r="H64" s="14">
        <f>F64/$F$124*$E$2</f>
        <v>2778.6855958287256</v>
      </c>
      <c r="I64" s="25" t="str">
        <f t="shared" si="2"/>
        <v/>
      </c>
    </row>
    <row r="65" spans="1:9" x14ac:dyDescent="0.25">
      <c r="A65" s="3">
        <v>1282</v>
      </c>
      <c r="B65" s="3">
        <v>113.3326343</v>
      </c>
      <c r="C65" s="3">
        <v>23.01657337</v>
      </c>
      <c r="D65" s="3">
        <v>19</v>
      </c>
      <c r="E65" s="13">
        <f t="shared" si="3"/>
        <v>5.2161722451391866E-3</v>
      </c>
      <c r="F65" s="13">
        <f t="shared" si="4"/>
        <v>13.845990778107945</v>
      </c>
      <c r="G65" s="14">
        <f>F65/$F$129*$D$2</f>
        <v>39.984242316795303</v>
      </c>
      <c r="H65" s="14">
        <f>F65/$F$129*$E$2</f>
        <v>39.984242316795303</v>
      </c>
      <c r="I65" s="25" t="str">
        <f t="shared" si="2"/>
        <v>选中</v>
      </c>
    </row>
    <row r="66" spans="1:9" hidden="1" x14ac:dyDescent="0.25">
      <c r="A66" s="3">
        <v>1238</v>
      </c>
      <c r="B66" s="3">
        <v>113.33275709999999</v>
      </c>
      <c r="C66" s="3">
        <v>23.016911</v>
      </c>
      <c r="D66" s="3">
        <v>19</v>
      </c>
      <c r="E66" s="13">
        <f t="shared" si="3"/>
        <v>5.2669554284866457E-3</v>
      </c>
      <c r="F66" s="13">
        <f t="shared" si="4"/>
        <v>13.779078629420511</v>
      </c>
      <c r="G66" s="14">
        <f>F66/$F$124*$D$2</f>
        <v>2759.8581844920882</v>
      </c>
      <c r="H66" s="14">
        <f>F66/$F$124*$E$2</f>
        <v>2759.8581844920882</v>
      </c>
      <c r="I66" s="25" t="str">
        <f t="shared" si="2"/>
        <v/>
      </c>
    </row>
    <row r="67" spans="1:9" hidden="1" x14ac:dyDescent="0.25">
      <c r="A67" s="3">
        <v>1290</v>
      </c>
      <c r="B67" s="3">
        <v>113.33288779999999</v>
      </c>
      <c r="C67" s="3">
        <v>23.017273599999999</v>
      </c>
      <c r="D67" s="3">
        <v>19</v>
      </c>
      <c r="E67" s="13">
        <f t="shared" si="3"/>
        <v>5.3488798180236575E-3</v>
      </c>
      <c r="F67" s="13">
        <f t="shared" si="4"/>
        <v>13.673150056201097</v>
      </c>
      <c r="G67" s="14">
        <f>F67/$F$124*$D$2</f>
        <v>2738.6413928884058</v>
      </c>
      <c r="H67" s="14">
        <f>F67/$F$124*$E$2</f>
        <v>2738.6413928884058</v>
      </c>
      <c r="I67" s="25" t="str">
        <f t="shared" si="2"/>
        <v/>
      </c>
    </row>
    <row r="68" spans="1:9" x14ac:dyDescent="0.25">
      <c r="A68" s="3">
        <v>1490</v>
      </c>
      <c r="B68" s="3">
        <v>113.3420783</v>
      </c>
      <c r="C68" s="3">
        <v>23.011795200000002</v>
      </c>
      <c r="D68" s="3">
        <v>19</v>
      </c>
      <c r="E68" s="13">
        <f t="shared" si="3"/>
        <v>5.3684894662789206E-3</v>
      </c>
      <c r="F68" s="13">
        <f t="shared" si="4"/>
        <v>13.648155040306111</v>
      </c>
      <c r="G68" s="14">
        <f>F68/$F$129*$D$2</f>
        <v>39.412935271603743</v>
      </c>
      <c r="H68" s="14">
        <f>F68/$F$129*$E$2</f>
        <v>39.412935271603743</v>
      </c>
      <c r="I68" s="25" t="str">
        <f t="shared" si="2"/>
        <v>选中</v>
      </c>
    </row>
    <row r="69" spans="1:9" hidden="1" x14ac:dyDescent="0.25">
      <c r="A69" s="3">
        <v>1449</v>
      </c>
      <c r="B69" s="3">
        <v>113.3352416</v>
      </c>
      <c r="C69" s="3">
        <v>23.009261680000002</v>
      </c>
      <c r="D69" s="3">
        <v>19</v>
      </c>
      <c r="E69" s="13">
        <f t="shared" ref="E69:E100" si="5">SQRT((B69-$B$2)^2+(C69-$C$2)^2)</f>
        <v>5.4240087864572562E-3</v>
      </c>
      <c r="F69" s="13">
        <f t="shared" ref="F69:F100" si="6">SQRT(1/E69)</f>
        <v>13.578125167091414</v>
      </c>
      <c r="G69" s="14">
        <f>F69/$F$124*$D$2</f>
        <v>2719.6085369919415</v>
      </c>
      <c r="H69" s="14">
        <f>F69/$F$124*$E$2</f>
        <v>2719.6085369919415</v>
      </c>
      <c r="I69" s="25" t="str">
        <f t="shared" si="2"/>
        <v/>
      </c>
    </row>
    <row r="70" spans="1:9" hidden="1" x14ac:dyDescent="0.25">
      <c r="A70" s="3">
        <v>1276</v>
      </c>
      <c r="B70" s="3">
        <v>113.3319328</v>
      </c>
      <c r="C70" s="3">
        <v>23.01501537</v>
      </c>
      <c r="D70" s="3">
        <v>19</v>
      </c>
      <c r="E70" s="13">
        <f t="shared" si="5"/>
        <v>5.434100731571999E-3</v>
      </c>
      <c r="F70" s="13">
        <f t="shared" si="6"/>
        <v>13.565510994013815</v>
      </c>
      <c r="G70" s="14">
        <f>F70/$F$124*$D$2</f>
        <v>2717.0820016737903</v>
      </c>
      <c r="H70" s="14">
        <f>F70/$F$124*$E$2</f>
        <v>2717.0820016737903</v>
      </c>
      <c r="I70" s="25" t="str">
        <f t="shared" ref="I70:I127" si="7">IF(MOD(ROW()-1,3)=1,"选中","")</f>
        <v/>
      </c>
    </row>
    <row r="71" spans="1:9" x14ac:dyDescent="0.25">
      <c r="A71" s="3">
        <v>1286</v>
      </c>
      <c r="B71" s="3">
        <v>113.33241080000001</v>
      </c>
      <c r="C71" s="3">
        <v>23.016868670000001</v>
      </c>
      <c r="D71" s="3">
        <v>19</v>
      </c>
      <c r="E71" s="13">
        <f t="shared" si="5"/>
        <v>5.549479691725266E-3</v>
      </c>
      <c r="F71" s="13">
        <f t="shared" si="6"/>
        <v>13.423750352216659</v>
      </c>
      <c r="G71" s="14">
        <f>F71/$F$129*$D$2</f>
        <v>38.764902814455191</v>
      </c>
      <c r="H71" s="14">
        <f>F71/$F$129*$E$2</f>
        <v>38.764902814455191</v>
      </c>
      <c r="I71" s="25" t="str">
        <f t="shared" si="7"/>
        <v>选中</v>
      </c>
    </row>
    <row r="72" spans="1:9" hidden="1" x14ac:dyDescent="0.25">
      <c r="A72" s="3">
        <v>1267</v>
      </c>
      <c r="B72" s="3">
        <v>113.33242970000001</v>
      </c>
      <c r="C72" s="3">
        <v>23.017016569999999</v>
      </c>
      <c r="D72" s="3">
        <v>19</v>
      </c>
      <c r="E72" s="13">
        <f t="shared" si="5"/>
        <v>5.6036808012998153E-3</v>
      </c>
      <c r="F72" s="13">
        <f t="shared" si="6"/>
        <v>13.358672582918361</v>
      </c>
      <c r="G72" s="14">
        <f>F72/$F$124*$D$2</f>
        <v>2675.6536379143818</v>
      </c>
      <c r="H72" s="14">
        <f>F72/$F$124*$E$2</f>
        <v>2675.6536379143818</v>
      </c>
      <c r="I72" s="25" t="str">
        <f t="shared" si="7"/>
        <v/>
      </c>
    </row>
    <row r="73" spans="1:9" hidden="1" x14ac:dyDescent="0.25">
      <c r="A73" s="3">
        <v>1263</v>
      </c>
      <c r="B73" s="3">
        <v>113.332296</v>
      </c>
      <c r="C73" s="3">
        <v>23.01702182</v>
      </c>
      <c r="D73" s="3">
        <v>19</v>
      </c>
      <c r="E73" s="13">
        <f t="shared" si="5"/>
        <v>5.723158420874252E-3</v>
      </c>
      <c r="F73" s="13">
        <f t="shared" si="6"/>
        <v>13.218498198471794</v>
      </c>
      <c r="G73" s="14">
        <f>F73/$F$124*$D$2</f>
        <v>2647.5776371471757</v>
      </c>
      <c r="H73" s="14">
        <f>F73/$F$124*$E$2</f>
        <v>2647.5776371471757</v>
      </c>
      <c r="I73" s="25" t="str">
        <f t="shared" si="7"/>
        <v/>
      </c>
    </row>
    <row r="74" spans="1:9" x14ac:dyDescent="0.25">
      <c r="A74" s="3">
        <v>1265</v>
      </c>
      <c r="B74" s="3">
        <v>113.33214030000001</v>
      </c>
      <c r="C74" s="3">
        <v>23.01686917</v>
      </c>
      <c r="D74" s="3">
        <v>19</v>
      </c>
      <c r="E74" s="13">
        <f t="shared" si="5"/>
        <v>5.7901816792613617E-3</v>
      </c>
      <c r="F74" s="13">
        <f t="shared" si="6"/>
        <v>13.141771284059043</v>
      </c>
      <c r="G74" s="14">
        <f>F74/$F$129*$D$2</f>
        <v>37.950607935153023</v>
      </c>
      <c r="H74" s="14">
        <f>F74/$F$129*$E$2</f>
        <v>37.950607935153023</v>
      </c>
      <c r="I74" s="25" t="str">
        <f t="shared" si="7"/>
        <v>选中</v>
      </c>
    </row>
    <row r="75" spans="1:9" hidden="1" x14ac:dyDescent="0.25">
      <c r="A75" s="3">
        <v>1220</v>
      </c>
      <c r="B75" s="3">
        <v>113.3314878</v>
      </c>
      <c r="C75" s="3">
        <v>23.014353490000001</v>
      </c>
      <c r="D75" s="3">
        <v>19</v>
      </c>
      <c r="E75" s="13">
        <f t="shared" si="5"/>
        <v>5.828751089423624E-3</v>
      </c>
      <c r="F75" s="13">
        <f t="shared" si="6"/>
        <v>13.098218930609079</v>
      </c>
      <c r="G75" s="14">
        <f>F75/$F$124*$D$2</f>
        <v>2623.4864964574886</v>
      </c>
      <c r="H75" s="14">
        <f>F75/$F$124*$E$2</f>
        <v>2623.4864964574886</v>
      </c>
      <c r="I75" s="25" t="str">
        <f t="shared" si="7"/>
        <v/>
      </c>
    </row>
    <row r="76" spans="1:9" hidden="1" x14ac:dyDescent="0.25">
      <c r="A76" s="3">
        <v>1272</v>
      </c>
      <c r="B76" s="3">
        <v>113.3374975</v>
      </c>
      <c r="C76" s="3">
        <v>23.020107840000001</v>
      </c>
      <c r="D76" s="3">
        <v>19</v>
      </c>
      <c r="E76" s="13">
        <f t="shared" si="5"/>
        <v>5.8373223741735236E-3</v>
      </c>
      <c r="F76" s="13">
        <f t="shared" si="6"/>
        <v>13.088598954197321</v>
      </c>
      <c r="G76" s="14">
        <f>F76/$F$124*$D$2</f>
        <v>2621.5596788996063</v>
      </c>
      <c r="H76" s="14">
        <f>F76/$F$124*$E$2</f>
        <v>2621.5596788996063</v>
      </c>
      <c r="I76" s="25" t="str">
        <f t="shared" si="7"/>
        <v/>
      </c>
    </row>
    <row r="77" spans="1:9" x14ac:dyDescent="0.25">
      <c r="A77" s="3">
        <v>1243</v>
      </c>
      <c r="B77" s="3">
        <v>113.3374785</v>
      </c>
      <c r="C77" s="3">
        <v>23.02012586</v>
      </c>
      <c r="D77" s="3">
        <v>19</v>
      </c>
      <c r="E77" s="13">
        <f t="shared" si="5"/>
        <v>5.8547755380044426E-3</v>
      </c>
      <c r="F77" s="13">
        <f t="shared" si="6"/>
        <v>13.069075749730905</v>
      </c>
      <c r="G77" s="14">
        <f>F77/$F$129*$D$2</f>
        <v>37.740678872906287</v>
      </c>
      <c r="H77" s="14">
        <f>F77/$F$129*$E$2</f>
        <v>37.740678872906287</v>
      </c>
      <c r="I77" s="25" t="str">
        <f t="shared" si="7"/>
        <v>选中</v>
      </c>
    </row>
    <row r="78" spans="1:9" hidden="1" x14ac:dyDescent="0.25">
      <c r="A78" s="3">
        <v>1451</v>
      </c>
      <c r="B78" s="3">
        <v>113.33909319999999</v>
      </c>
      <c r="C78" s="3">
        <v>23.008553930000001</v>
      </c>
      <c r="D78" s="3">
        <v>19</v>
      </c>
      <c r="E78" s="13">
        <f t="shared" si="5"/>
        <v>5.9891644315417103E-3</v>
      </c>
      <c r="F78" s="13">
        <f t="shared" si="6"/>
        <v>12.921617515834111</v>
      </c>
      <c r="G78" s="14">
        <f>F78/$F$124*$D$2</f>
        <v>2588.1144027879664</v>
      </c>
      <c r="H78" s="14">
        <f>F78/$F$124*$E$2</f>
        <v>2588.1144027879664</v>
      </c>
      <c r="I78" s="25" t="str">
        <f t="shared" si="7"/>
        <v/>
      </c>
    </row>
    <row r="79" spans="1:9" hidden="1" x14ac:dyDescent="0.25">
      <c r="A79" s="3">
        <v>1484</v>
      </c>
      <c r="B79" s="3">
        <v>113.34207739999999</v>
      </c>
      <c r="C79" s="3">
        <v>23.010407799999999</v>
      </c>
      <c r="D79" s="3">
        <v>19</v>
      </c>
      <c r="E79" s="13">
        <f t="shared" si="5"/>
        <v>6.1329706873199186E-3</v>
      </c>
      <c r="F79" s="13">
        <f t="shared" si="6"/>
        <v>12.769225470389108</v>
      </c>
      <c r="G79" s="14">
        <f>F79/$F$124*$D$2</f>
        <v>2557.5912854457897</v>
      </c>
      <c r="H79" s="14">
        <f>F79/$F$124*$E$2</f>
        <v>2557.5912854457897</v>
      </c>
      <c r="I79" s="25" t="str">
        <f t="shared" si="7"/>
        <v/>
      </c>
    </row>
    <row r="80" spans="1:9" x14ac:dyDescent="0.25">
      <c r="A80" s="3">
        <v>1460</v>
      </c>
      <c r="B80" s="3">
        <v>113.33833970000001</v>
      </c>
      <c r="C80" s="3">
        <v>23.008158470000001</v>
      </c>
      <c r="D80" s="3">
        <v>19</v>
      </c>
      <c r="E80" s="13">
        <f t="shared" si="5"/>
        <v>6.199967484340505E-3</v>
      </c>
      <c r="F80" s="13">
        <f t="shared" si="6"/>
        <v>12.700046002512019</v>
      </c>
      <c r="G80" s="14">
        <f>F80/$F$129*$D$2</f>
        <v>36.675000361966099</v>
      </c>
      <c r="H80" s="14">
        <f>F80/$F$129*$E$2</f>
        <v>36.675000361966099</v>
      </c>
      <c r="I80" s="25" t="str">
        <f t="shared" si="7"/>
        <v>选中</v>
      </c>
    </row>
    <row r="81" spans="1:9" hidden="1" x14ac:dyDescent="0.25">
      <c r="A81" s="3">
        <v>1453</v>
      </c>
      <c r="B81" s="3">
        <v>113.3383985</v>
      </c>
      <c r="C81" s="3">
        <v>23.0080654</v>
      </c>
      <c r="D81" s="3">
        <v>19</v>
      </c>
      <c r="E81" s="13">
        <f t="shared" si="5"/>
        <v>6.3016129120712829E-3</v>
      </c>
      <c r="F81" s="13">
        <f t="shared" si="6"/>
        <v>12.597203316100796</v>
      </c>
      <c r="G81" s="14">
        <f>F81/$F$124*$D$2</f>
        <v>2523.1363873212604</v>
      </c>
      <c r="H81" s="14">
        <f>F81/$F$124*$E$2</f>
        <v>2523.1363873212604</v>
      </c>
      <c r="I81" s="25" t="str">
        <f t="shared" si="7"/>
        <v/>
      </c>
    </row>
    <row r="82" spans="1:9" hidden="1" x14ac:dyDescent="0.25">
      <c r="A82" s="3">
        <v>1297</v>
      </c>
      <c r="B82" s="3">
        <v>113.3436042</v>
      </c>
      <c r="C82" s="3">
        <v>23.014933169999999</v>
      </c>
      <c r="D82" s="3">
        <v>19</v>
      </c>
      <c r="E82" s="13">
        <f t="shared" si="5"/>
        <v>6.3227236906971034E-3</v>
      </c>
      <c r="F82" s="13">
        <f t="shared" si="6"/>
        <v>12.576155494209221</v>
      </c>
      <c r="G82" s="14">
        <f>F82/$F$124*$D$2</f>
        <v>2518.9206480054863</v>
      </c>
      <c r="H82" s="14">
        <f>F82/$F$124*$E$2</f>
        <v>2518.9206480054863</v>
      </c>
      <c r="I82" s="25" t="str">
        <f t="shared" si="7"/>
        <v/>
      </c>
    </row>
    <row r="83" spans="1:9" x14ac:dyDescent="0.25">
      <c r="A83" s="3">
        <v>1233</v>
      </c>
      <c r="B83" s="3">
        <v>113.3309429</v>
      </c>
      <c r="C83" s="3">
        <v>23.01412062</v>
      </c>
      <c r="D83" s="3">
        <v>19</v>
      </c>
      <c r="E83" s="13">
        <f t="shared" si="5"/>
        <v>6.3749295689018723E-3</v>
      </c>
      <c r="F83" s="13">
        <f t="shared" si="6"/>
        <v>12.524555007632337</v>
      </c>
      <c r="G83" s="14">
        <f>F83/$F$129*$D$2</f>
        <v>36.168220126724343</v>
      </c>
      <c r="H83" s="14">
        <f>F83/$F$129*$E$2</f>
        <v>36.168220126724343</v>
      </c>
      <c r="I83" s="25" t="str">
        <f t="shared" si="7"/>
        <v>选中</v>
      </c>
    </row>
    <row r="84" spans="1:9" hidden="1" x14ac:dyDescent="0.25">
      <c r="A84" s="3">
        <v>1443</v>
      </c>
      <c r="B84" s="3">
        <v>113.33088309999999</v>
      </c>
      <c r="C84" s="3">
        <v>23.013648929999999</v>
      </c>
      <c r="D84" s="3">
        <v>19</v>
      </c>
      <c r="E84" s="13">
        <f t="shared" si="5"/>
        <v>6.4631331611063698E-3</v>
      </c>
      <c r="F84" s="13">
        <f t="shared" si="6"/>
        <v>12.438798942927001</v>
      </c>
      <c r="G84" s="14">
        <f>F84/$F$124*$D$2</f>
        <v>2491.4090405573338</v>
      </c>
      <c r="H84" s="14">
        <f>F84/$F$124*$E$2</f>
        <v>2491.4090405573338</v>
      </c>
      <c r="I84" s="25" t="str">
        <f t="shared" si="7"/>
        <v/>
      </c>
    </row>
    <row r="85" spans="1:9" hidden="1" x14ac:dyDescent="0.25">
      <c r="A85" s="3">
        <v>1215</v>
      </c>
      <c r="B85" s="3">
        <v>113.33127899999999</v>
      </c>
      <c r="C85" s="3">
        <v>23.01680782</v>
      </c>
      <c r="D85" s="3">
        <v>19</v>
      </c>
      <c r="E85" s="13">
        <f t="shared" si="5"/>
        <v>6.5474390314444846E-3</v>
      </c>
      <c r="F85" s="13">
        <f t="shared" si="6"/>
        <v>12.358457502114584</v>
      </c>
      <c r="G85" s="14">
        <f>F85/$F$124*$D$2</f>
        <v>2475.3171820997877</v>
      </c>
      <c r="H85" s="14">
        <f>F85/$F$124*$E$2</f>
        <v>2475.3171820997877</v>
      </c>
      <c r="I85" s="25" t="str">
        <f t="shared" si="7"/>
        <v/>
      </c>
    </row>
    <row r="86" spans="1:9" x14ac:dyDescent="0.25">
      <c r="A86" s="3">
        <v>1446</v>
      </c>
      <c r="B86" s="3">
        <v>113.33817000000001</v>
      </c>
      <c r="C86" s="3">
        <v>23.007764949999999</v>
      </c>
      <c r="D86" s="3">
        <v>19</v>
      </c>
      <c r="E86" s="13">
        <f t="shared" si="5"/>
        <v>6.5641797958399077E-3</v>
      </c>
      <c r="F86" s="13">
        <f t="shared" si="6"/>
        <v>12.342688425913824</v>
      </c>
      <c r="G86" s="14">
        <f>F86/$F$129*$D$2</f>
        <v>35.643028568438908</v>
      </c>
      <c r="H86" s="14">
        <f>F86/$F$129*$E$2</f>
        <v>35.643028568438908</v>
      </c>
      <c r="I86" s="25" t="str">
        <f t="shared" si="7"/>
        <v>选中</v>
      </c>
    </row>
    <row r="87" spans="1:9" hidden="1" x14ac:dyDescent="0.25">
      <c r="A87" s="3">
        <v>1218</v>
      </c>
      <c r="B87" s="3">
        <v>113.3311264</v>
      </c>
      <c r="C87" s="3">
        <v>23.016593199999999</v>
      </c>
      <c r="D87" s="3">
        <v>19</v>
      </c>
      <c r="E87" s="13">
        <f t="shared" si="5"/>
        <v>6.6100604066519795E-3</v>
      </c>
      <c r="F87" s="13">
        <f t="shared" si="6"/>
        <v>12.299778366617929</v>
      </c>
      <c r="G87" s="14">
        <f>F87/$F$124*$D$2</f>
        <v>2463.5641399178826</v>
      </c>
      <c r="H87" s="14">
        <f>F87/$F$124*$E$2</f>
        <v>2463.5641399178826</v>
      </c>
      <c r="I87" s="25" t="str">
        <f t="shared" si="7"/>
        <v/>
      </c>
    </row>
    <row r="88" spans="1:9" hidden="1" x14ac:dyDescent="0.25">
      <c r="A88" s="3">
        <v>1211</v>
      </c>
      <c r="B88" s="3">
        <v>113.3306874</v>
      </c>
      <c r="C88" s="3">
        <v>23.014561910000001</v>
      </c>
      <c r="D88" s="3">
        <v>19</v>
      </c>
      <c r="E88" s="13">
        <f t="shared" si="5"/>
        <v>6.6348783413781795E-3</v>
      </c>
      <c r="F88" s="13">
        <f t="shared" si="6"/>
        <v>12.276752994508039</v>
      </c>
      <c r="G88" s="14">
        <f>F88/$F$124*$D$2</f>
        <v>2458.9523103915767</v>
      </c>
      <c r="H88" s="14">
        <f>F88/$F$124*$E$2</f>
        <v>2458.9523103915767</v>
      </c>
      <c r="I88" s="25" t="str">
        <f t="shared" si="7"/>
        <v/>
      </c>
    </row>
    <row r="89" spans="1:9" x14ac:dyDescent="0.25">
      <c r="A89" s="3">
        <v>1485</v>
      </c>
      <c r="B89" s="3">
        <v>113.3420186</v>
      </c>
      <c r="C89" s="3">
        <v>23.00956527</v>
      </c>
      <c r="D89" s="3">
        <v>19</v>
      </c>
      <c r="E89" s="13">
        <f t="shared" si="5"/>
        <v>6.6543496966203278E-3</v>
      </c>
      <c r="F89" s="13">
        <f t="shared" si="6"/>
        <v>12.258778274665961</v>
      </c>
      <c r="G89" s="14">
        <f>F89/$F$129*$D$2</f>
        <v>35.400714105422061</v>
      </c>
      <c r="H89" s="14">
        <f>F89/$F$129*$E$2</f>
        <v>35.400714105422061</v>
      </c>
      <c r="I89" s="25" t="str">
        <f t="shared" si="7"/>
        <v>选中</v>
      </c>
    </row>
    <row r="90" spans="1:9" hidden="1" x14ac:dyDescent="0.25">
      <c r="A90" s="3">
        <v>1436</v>
      </c>
      <c r="B90" s="3">
        <v>113.33121149999999</v>
      </c>
      <c r="C90" s="3">
        <v>23.011584209999999</v>
      </c>
      <c r="D90" s="3">
        <v>19</v>
      </c>
      <c r="E90" s="13">
        <f t="shared" si="5"/>
        <v>6.6705577283297313E-3</v>
      </c>
      <c r="F90" s="13">
        <f t="shared" si="6"/>
        <v>12.243876109365535</v>
      </c>
      <c r="G90" s="14">
        <f>F90/$F$124*$D$2</f>
        <v>2452.3672880558011</v>
      </c>
      <c r="H90" s="14">
        <f>F90/$F$124*$E$2</f>
        <v>2452.3672880558011</v>
      </c>
      <c r="I90" s="25" t="str">
        <f t="shared" si="7"/>
        <v/>
      </c>
    </row>
    <row r="91" spans="1:9" hidden="1" x14ac:dyDescent="0.25">
      <c r="A91" s="3">
        <v>1245</v>
      </c>
      <c r="B91" s="3">
        <v>113.33461610000001</v>
      </c>
      <c r="C91" s="3">
        <v>23.02049598</v>
      </c>
      <c r="D91" s="3">
        <v>19</v>
      </c>
      <c r="E91" s="13">
        <f t="shared" si="5"/>
        <v>6.7831193841467879E-3</v>
      </c>
      <c r="F91" s="13">
        <f t="shared" si="6"/>
        <v>12.141861358962347</v>
      </c>
      <c r="G91" s="14">
        <f>F91/$F$124*$D$2</f>
        <v>2431.9344092392148</v>
      </c>
      <c r="H91" s="14">
        <f>F91/$F$124*$E$2</f>
        <v>2431.9344092392148</v>
      </c>
      <c r="I91" s="25" t="str">
        <f t="shared" si="7"/>
        <v/>
      </c>
    </row>
    <row r="92" spans="1:9" x14ac:dyDescent="0.25">
      <c r="A92" s="3">
        <v>1483</v>
      </c>
      <c r="B92" s="3">
        <v>113.343317</v>
      </c>
      <c r="C92" s="3">
        <v>23.01110332</v>
      </c>
      <c r="D92" s="3">
        <v>19</v>
      </c>
      <c r="E92" s="13">
        <f t="shared" si="5"/>
        <v>6.7868275210414292E-3</v>
      </c>
      <c r="F92" s="13">
        <f t="shared" si="6"/>
        <v>12.13854391531558</v>
      </c>
      <c r="G92" s="14">
        <f>F92/$F$129*$D$2</f>
        <v>35.053503144782717</v>
      </c>
      <c r="H92" s="14">
        <f>F92/$F$129*$E$2</f>
        <v>35.053503144782717</v>
      </c>
      <c r="I92" s="25" t="str">
        <f t="shared" si="7"/>
        <v>选中</v>
      </c>
    </row>
    <row r="93" spans="1:9" hidden="1" x14ac:dyDescent="0.25">
      <c r="A93" s="3">
        <v>1295</v>
      </c>
      <c r="B93" s="3">
        <v>113.3441353</v>
      </c>
      <c r="C93" s="3">
        <v>23.01443446</v>
      </c>
      <c r="D93" s="3">
        <v>19</v>
      </c>
      <c r="E93" s="13">
        <f t="shared" si="5"/>
        <v>6.8212031302732831E-3</v>
      </c>
      <c r="F93" s="13">
        <f t="shared" si="6"/>
        <v>12.107919048017395</v>
      </c>
      <c r="G93" s="14">
        <f>F93/$F$124*$D$2</f>
        <v>2425.135989171999</v>
      </c>
      <c r="H93" s="14">
        <f>F93/$F$124*$E$2</f>
        <v>2425.135989171999</v>
      </c>
      <c r="I93" s="25" t="str">
        <f t="shared" si="7"/>
        <v/>
      </c>
    </row>
    <row r="94" spans="1:9" hidden="1" x14ac:dyDescent="0.25">
      <c r="A94" s="3">
        <v>1450</v>
      </c>
      <c r="B94" s="3">
        <v>113.3345132</v>
      </c>
      <c r="C94" s="3">
        <v>23.008027559999999</v>
      </c>
      <c r="D94" s="3">
        <v>19</v>
      </c>
      <c r="E94" s="13">
        <f t="shared" si="5"/>
        <v>6.8458349124407613E-3</v>
      </c>
      <c r="F94" s="13">
        <f t="shared" si="6"/>
        <v>12.086116858535094</v>
      </c>
      <c r="G94" s="14">
        <f>F94/$F$124*$D$2</f>
        <v>2420.7691550243148</v>
      </c>
      <c r="H94" s="14">
        <f>F94/$F$124*$E$2</f>
        <v>2420.7691550243148</v>
      </c>
      <c r="I94" s="25" t="str">
        <f t="shared" si="7"/>
        <v/>
      </c>
    </row>
    <row r="95" spans="1:9" x14ac:dyDescent="0.25">
      <c r="A95" s="3">
        <v>1228</v>
      </c>
      <c r="B95" s="3">
        <v>113.3315983</v>
      </c>
      <c r="C95" s="3">
        <v>23.01817063</v>
      </c>
      <c r="D95" s="3">
        <v>19</v>
      </c>
      <c r="E95" s="13">
        <f t="shared" si="5"/>
        <v>6.9196071155932896E-3</v>
      </c>
      <c r="F95" s="13">
        <f t="shared" si="6"/>
        <v>12.021517187743614</v>
      </c>
      <c r="G95" s="14">
        <f>F95/$F$129*$D$2</f>
        <v>34.71555513457767</v>
      </c>
      <c r="H95" s="14">
        <f>F95/$F$129*$E$2</f>
        <v>34.71555513457767</v>
      </c>
      <c r="I95" s="25" t="str">
        <f t="shared" si="7"/>
        <v>选中</v>
      </c>
    </row>
    <row r="96" spans="1:9" hidden="1" x14ac:dyDescent="0.25">
      <c r="A96" s="3">
        <v>1482</v>
      </c>
      <c r="B96" s="3">
        <v>113.343351</v>
      </c>
      <c r="C96" s="3">
        <v>23.010881359999999</v>
      </c>
      <c r="D96" s="3">
        <v>19</v>
      </c>
      <c r="E96" s="13">
        <f t="shared" si="5"/>
        <v>6.9229150883399577E-3</v>
      </c>
      <c r="F96" s="13">
        <f t="shared" si="6"/>
        <v>12.018644727060385</v>
      </c>
      <c r="G96" s="14">
        <f>F96/$F$124*$D$2</f>
        <v>2407.2549339879383</v>
      </c>
      <c r="H96" s="14">
        <f>F96/$F$124*$E$2</f>
        <v>2407.2549339879383</v>
      </c>
      <c r="I96" s="25" t="str">
        <f t="shared" si="7"/>
        <v/>
      </c>
    </row>
    <row r="97" spans="1:9" hidden="1" x14ac:dyDescent="0.25">
      <c r="A97" s="3">
        <v>1236</v>
      </c>
      <c r="B97" s="3">
        <v>113.33142170000001</v>
      </c>
      <c r="C97" s="3">
        <v>23.018028019999999</v>
      </c>
      <c r="D97" s="3">
        <v>19</v>
      </c>
      <c r="E97" s="13">
        <f t="shared" si="5"/>
        <v>6.988590300792648E-3</v>
      </c>
      <c r="F97" s="13">
        <f t="shared" si="6"/>
        <v>11.96203887379342</v>
      </c>
      <c r="G97" s="14">
        <f>F97/$F$124*$D$2</f>
        <v>2395.917156504368</v>
      </c>
      <c r="H97" s="14">
        <f>F97/$F$124*$E$2</f>
        <v>2395.917156504368</v>
      </c>
      <c r="I97" s="25" t="str">
        <f t="shared" si="7"/>
        <v/>
      </c>
    </row>
    <row r="98" spans="1:9" x14ac:dyDescent="0.25">
      <c r="A98" s="3">
        <v>1217</v>
      </c>
      <c r="B98" s="3">
        <v>113.3303112</v>
      </c>
      <c r="C98" s="3">
        <v>23.013971869999999</v>
      </c>
      <c r="D98" s="3">
        <v>19</v>
      </c>
      <c r="E98" s="13">
        <f t="shared" si="5"/>
        <v>7.0112842761479617E-3</v>
      </c>
      <c r="F98" s="13">
        <f t="shared" si="6"/>
        <v>11.942663946893809</v>
      </c>
      <c r="G98" s="14">
        <f>F98/$F$129*$D$2</f>
        <v>34.487843940764918</v>
      </c>
      <c r="H98" s="14">
        <f>F98/$F$129*$E$2</f>
        <v>34.487843940764918</v>
      </c>
      <c r="I98" s="25" t="str">
        <f t="shared" si="7"/>
        <v>选中</v>
      </c>
    </row>
    <row r="99" spans="1:9" hidden="1" x14ac:dyDescent="0.25">
      <c r="A99" s="3">
        <v>1479</v>
      </c>
      <c r="B99" s="3">
        <v>113.34365440000001</v>
      </c>
      <c r="C99" s="3">
        <v>23.01124068</v>
      </c>
      <c r="D99" s="3">
        <v>19</v>
      </c>
      <c r="E99" s="13">
        <f t="shared" si="5"/>
        <v>7.0265454695494405E-3</v>
      </c>
      <c r="F99" s="13">
        <f t="shared" si="6"/>
        <v>11.929687557825547</v>
      </c>
      <c r="G99" s="14">
        <f>F99/$F$124*$D$2</f>
        <v>2389.4374021931912</v>
      </c>
      <c r="H99" s="14">
        <f>F99/$F$124*$E$2</f>
        <v>2389.4374021931912</v>
      </c>
      <c r="I99" s="25" t="str">
        <f t="shared" si="7"/>
        <v/>
      </c>
    </row>
    <row r="100" spans="1:9" hidden="1" x14ac:dyDescent="0.25">
      <c r="A100" s="3">
        <v>1301</v>
      </c>
      <c r="B100" s="3">
        <v>113.3443709</v>
      </c>
      <c r="C100" s="3">
        <v>23.014422060000001</v>
      </c>
      <c r="D100" s="3">
        <v>19</v>
      </c>
      <c r="E100" s="13">
        <f t="shared" si="5"/>
        <v>7.0564673632349684E-3</v>
      </c>
      <c r="F100" s="13">
        <f t="shared" si="6"/>
        <v>11.904367660738796</v>
      </c>
      <c r="G100" s="14">
        <f>F100/$F$124*$D$2</f>
        <v>2384.3659945116819</v>
      </c>
      <c r="H100" s="14">
        <f>F100/$F$124*$E$2</f>
        <v>2384.3659945116819</v>
      </c>
      <c r="I100" s="25" t="str">
        <f t="shared" si="7"/>
        <v/>
      </c>
    </row>
    <row r="101" spans="1:9" x14ac:dyDescent="0.25">
      <c r="A101" s="3">
        <v>1205</v>
      </c>
      <c r="B101" s="3">
        <v>113.3304887</v>
      </c>
      <c r="C101" s="3">
        <v>23.016073630000001</v>
      </c>
      <c r="D101" s="3">
        <v>19</v>
      </c>
      <c r="E101" s="13">
        <f t="shared" ref="E101:E127" si="8">SQRT((B101-$B$2)^2+(C101-$C$2)^2)</f>
        <v>7.0606706037086332E-3</v>
      </c>
      <c r="F101" s="13">
        <f t="shared" ref="F101:F127" si="9">SQRT(1/E101)</f>
        <v>11.900823778593811</v>
      </c>
      <c r="G101" s="14">
        <f>F101/$F$129*$D$2</f>
        <v>34.367018536884991</v>
      </c>
      <c r="H101" s="14">
        <f>F101/$F$129*$E$2</f>
        <v>34.367018536884991</v>
      </c>
      <c r="I101" s="25" t="str">
        <f t="shared" si="7"/>
        <v>选中</v>
      </c>
    </row>
    <row r="102" spans="1:9" hidden="1" x14ac:dyDescent="0.25">
      <c r="A102" s="3">
        <v>1230</v>
      </c>
      <c r="B102" s="3">
        <v>113.3313917</v>
      </c>
      <c r="C102" s="3">
        <v>23.01815203</v>
      </c>
      <c r="D102" s="3">
        <v>19</v>
      </c>
      <c r="E102" s="13">
        <f t="shared" si="8"/>
        <v>7.0810710069980701E-3</v>
      </c>
      <c r="F102" s="13">
        <f t="shared" si="9"/>
        <v>11.883668413344637</v>
      </c>
      <c r="G102" s="14">
        <f>F102/$F$124*$D$2</f>
        <v>2380.2200723589758</v>
      </c>
      <c r="H102" s="14">
        <f>F102/$F$124*$E$2</f>
        <v>2380.2200723589758</v>
      </c>
      <c r="I102" s="25" t="str">
        <f t="shared" si="7"/>
        <v/>
      </c>
    </row>
    <row r="103" spans="1:9" hidden="1" x14ac:dyDescent="0.25">
      <c r="A103" s="3">
        <v>1208</v>
      </c>
      <c r="B103" s="3">
        <v>113.3308698</v>
      </c>
      <c r="C103" s="3">
        <v>23.01741333</v>
      </c>
      <c r="D103" s="3">
        <v>19</v>
      </c>
      <c r="E103" s="13">
        <f t="shared" si="8"/>
        <v>7.1702881141622399E-3</v>
      </c>
      <c r="F103" s="13">
        <f t="shared" si="9"/>
        <v>11.809505061970366</v>
      </c>
      <c r="G103" s="14">
        <f>F103/$F$124*$D$2</f>
        <v>2365.3656442956494</v>
      </c>
      <c r="H103" s="14">
        <f>F103/$F$124*$E$2</f>
        <v>2365.3656442956494</v>
      </c>
      <c r="I103" s="25" t="str">
        <f t="shared" si="7"/>
        <v/>
      </c>
    </row>
    <row r="104" spans="1:9" x14ac:dyDescent="0.25">
      <c r="A104" s="3">
        <v>1480</v>
      </c>
      <c r="B104" s="3">
        <v>113.34311150000001</v>
      </c>
      <c r="C104" s="3">
        <v>23.009923189999999</v>
      </c>
      <c r="D104" s="3">
        <v>19</v>
      </c>
      <c r="E104" s="13">
        <f t="shared" si="8"/>
        <v>7.2464905487112652E-3</v>
      </c>
      <c r="F104" s="13">
        <f t="shared" si="9"/>
        <v>11.747247934062651</v>
      </c>
      <c r="G104" s="14">
        <f>F104/$F$129*$D$2</f>
        <v>33.923524540669909</v>
      </c>
      <c r="H104" s="14">
        <f>F104/$F$129*$E$2</f>
        <v>33.923524540669909</v>
      </c>
      <c r="I104" s="25" t="str">
        <f t="shared" si="7"/>
        <v>选中</v>
      </c>
    </row>
    <row r="105" spans="1:9" hidden="1" x14ac:dyDescent="0.25">
      <c r="A105" s="3">
        <v>1207</v>
      </c>
      <c r="B105" s="3">
        <v>113.33005369999999</v>
      </c>
      <c r="C105" s="3">
        <v>23.014357199999999</v>
      </c>
      <c r="D105" s="3">
        <v>19</v>
      </c>
      <c r="E105" s="13">
        <f t="shared" si="8"/>
        <v>7.2627841624072582E-3</v>
      </c>
      <c r="F105" s="13">
        <f t="shared" si="9"/>
        <v>11.734063417796978</v>
      </c>
      <c r="G105" s="14">
        <f>F105/$F$124*$D$2</f>
        <v>2350.2551826513632</v>
      </c>
      <c r="H105" s="14">
        <f>F105/$F$124*$E$2</f>
        <v>2350.2551826513632</v>
      </c>
      <c r="I105" s="25" t="str">
        <f t="shared" si="7"/>
        <v/>
      </c>
    </row>
    <row r="106" spans="1:9" hidden="1" x14ac:dyDescent="0.25">
      <c r="A106" s="3">
        <v>1447</v>
      </c>
      <c r="B106" s="3">
        <v>113.3370912</v>
      </c>
      <c r="C106" s="3">
        <v>23.006984259999999</v>
      </c>
      <c r="D106" s="3">
        <v>19</v>
      </c>
      <c r="E106" s="13">
        <f t="shared" si="8"/>
        <v>7.2925456657050485E-3</v>
      </c>
      <c r="F106" s="13">
        <f t="shared" si="9"/>
        <v>11.710095079807973</v>
      </c>
      <c r="G106" s="14">
        <f>F106/$F$124*$D$2</f>
        <v>2345.4544833051532</v>
      </c>
      <c r="H106" s="14">
        <f>F106/$F$124*$E$2</f>
        <v>2345.4544833051532</v>
      </c>
      <c r="I106" s="25" t="str">
        <f t="shared" si="7"/>
        <v/>
      </c>
    </row>
    <row r="107" spans="1:9" x14ac:dyDescent="0.25">
      <c r="A107" s="3">
        <v>1291</v>
      </c>
      <c r="B107" s="3">
        <v>113.3421197</v>
      </c>
      <c r="C107" s="3">
        <v>23.01977467</v>
      </c>
      <c r="D107" s="3">
        <v>19</v>
      </c>
      <c r="E107" s="13">
        <f t="shared" si="8"/>
        <v>7.3034351820825353E-3</v>
      </c>
      <c r="F107" s="13">
        <f t="shared" si="9"/>
        <v>11.701361871604041</v>
      </c>
      <c r="G107" s="14">
        <f>F107/$F$129*$D$2</f>
        <v>33.79101546495901</v>
      </c>
      <c r="H107" s="14">
        <f>F107/$F$129*$E$2</f>
        <v>33.79101546495901</v>
      </c>
      <c r="I107" s="25" t="str">
        <f t="shared" si="7"/>
        <v>选中</v>
      </c>
    </row>
    <row r="108" spans="1:9" hidden="1" x14ac:dyDescent="0.25">
      <c r="A108" s="3">
        <v>1202</v>
      </c>
      <c r="B108" s="3">
        <v>113.3300157</v>
      </c>
      <c r="C108" s="3">
        <v>23.01487204</v>
      </c>
      <c r="D108" s="3">
        <v>19</v>
      </c>
      <c r="E108" s="13">
        <f t="shared" si="8"/>
        <v>7.324808651422903E-3</v>
      </c>
      <c r="F108" s="13">
        <f t="shared" si="9"/>
        <v>11.684277370012786</v>
      </c>
      <c r="G108" s="14">
        <f>F108/$F$124*$D$2</f>
        <v>2340.2833670353798</v>
      </c>
      <c r="H108" s="14">
        <f>F108/$F$124*$E$2</f>
        <v>2340.2833670353798</v>
      </c>
      <c r="I108" s="25" t="str">
        <f t="shared" si="7"/>
        <v/>
      </c>
    </row>
    <row r="109" spans="1:9" hidden="1" x14ac:dyDescent="0.25">
      <c r="A109" s="3">
        <v>1292</v>
      </c>
      <c r="B109" s="3">
        <v>113.3446213</v>
      </c>
      <c r="C109" s="3">
        <v>23.015635100000001</v>
      </c>
      <c r="D109" s="3">
        <v>19</v>
      </c>
      <c r="E109" s="13">
        <f t="shared" si="8"/>
        <v>7.4311370857753911E-3</v>
      </c>
      <c r="F109" s="13">
        <f t="shared" si="9"/>
        <v>11.600383942741827</v>
      </c>
      <c r="G109" s="14">
        <f>F109/$F$124*$D$2</f>
        <v>2323.4800692165772</v>
      </c>
      <c r="H109" s="14">
        <f>F109/$F$124*$E$2</f>
        <v>2323.4800692165772</v>
      </c>
      <c r="I109" s="25" t="str">
        <f t="shared" si="7"/>
        <v/>
      </c>
    </row>
    <row r="110" spans="1:9" x14ac:dyDescent="0.25">
      <c r="A110" s="3">
        <v>1481</v>
      </c>
      <c r="B110" s="3">
        <v>113.34326419999999</v>
      </c>
      <c r="C110" s="3">
        <v>23.009674029999999</v>
      </c>
      <c r="D110" s="3">
        <v>19</v>
      </c>
      <c r="E110" s="13">
        <f t="shared" si="8"/>
        <v>7.5189584196216248E-3</v>
      </c>
      <c r="F110" s="13">
        <f t="shared" si="9"/>
        <v>11.532438795702255</v>
      </c>
      <c r="G110" s="14">
        <f>F110/$F$129*$D$2</f>
        <v>33.303201966597108</v>
      </c>
      <c r="H110" s="14">
        <f>F110/$F$129*$E$2</f>
        <v>33.303201966597108</v>
      </c>
      <c r="I110" s="25" t="str">
        <f t="shared" si="7"/>
        <v>选中</v>
      </c>
    </row>
    <row r="111" spans="1:9" hidden="1" x14ac:dyDescent="0.25">
      <c r="A111" s="3">
        <v>1294</v>
      </c>
      <c r="B111" s="3">
        <v>113.3447741</v>
      </c>
      <c r="C111" s="3">
        <v>23.015233009999999</v>
      </c>
      <c r="D111" s="3">
        <v>19</v>
      </c>
      <c r="E111" s="13">
        <f t="shared" si="8"/>
        <v>7.5195892254037514E-3</v>
      </c>
      <c r="F111" s="13">
        <f t="shared" si="9"/>
        <v>11.531955067041759</v>
      </c>
      <c r="G111" s="14">
        <f>F111/$F$124*$D$2</f>
        <v>2309.7742186488049</v>
      </c>
      <c r="H111" s="14">
        <f>F111/$F$124*$E$2</f>
        <v>2309.7742186488049</v>
      </c>
      <c r="I111" s="25" t="str">
        <f t="shared" si="7"/>
        <v/>
      </c>
    </row>
    <row r="112" spans="1:9" hidden="1" x14ac:dyDescent="0.25">
      <c r="A112" s="3">
        <v>1462</v>
      </c>
      <c r="B112" s="3">
        <v>113.3390703</v>
      </c>
      <c r="C112" s="3">
        <v>23.006918679999998</v>
      </c>
      <c r="D112" s="3">
        <v>19</v>
      </c>
      <c r="E112" s="13">
        <f t="shared" si="8"/>
        <v>7.5609914829747682E-3</v>
      </c>
      <c r="F112" s="13">
        <f t="shared" si="9"/>
        <v>11.500338554115078</v>
      </c>
      <c r="G112" s="14">
        <f>F112/$F$124*$D$2</f>
        <v>2303.4416405198513</v>
      </c>
      <c r="H112" s="14">
        <f>F112/$F$124*$E$2</f>
        <v>2303.4416405198513</v>
      </c>
      <c r="I112" s="25" t="str">
        <f t="shared" si="7"/>
        <v/>
      </c>
    </row>
    <row r="113" spans="1:9" x14ac:dyDescent="0.25">
      <c r="A113" s="3">
        <v>1229</v>
      </c>
      <c r="B113" s="3">
        <v>113.3309276</v>
      </c>
      <c r="C113" s="3">
        <v>23.018687669999998</v>
      </c>
      <c r="D113" s="3">
        <v>19</v>
      </c>
      <c r="E113" s="13">
        <f t="shared" si="8"/>
        <v>7.7651763604550525E-3</v>
      </c>
      <c r="F113" s="13">
        <f t="shared" si="9"/>
        <v>11.348130936916247</v>
      </c>
      <c r="G113" s="14">
        <f>F113/$F$129*$D$2</f>
        <v>32.770960525396582</v>
      </c>
      <c r="H113" s="14">
        <f>F113/$F$129*$E$2</f>
        <v>32.770960525396582</v>
      </c>
      <c r="I113" s="25" t="str">
        <f t="shared" si="7"/>
        <v>选中</v>
      </c>
    </row>
    <row r="114" spans="1:9" hidden="1" x14ac:dyDescent="0.25">
      <c r="A114" s="3">
        <v>1196</v>
      </c>
      <c r="B114" s="3">
        <v>113.32983</v>
      </c>
      <c r="C114" s="3">
        <v>23.016804560000001</v>
      </c>
      <c r="D114" s="3">
        <v>19</v>
      </c>
      <c r="E114" s="13">
        <f t="shared" si="8"/>
        <v>7.9023585522557567E-3</v>
      </c>
      <c r="F114" s="13">
        <f t="shared" si="9"/>
        <v>11.249199905093661</v>
      </c>
      <c r="G114" s="14">
        <f>F114/$F$124*$D$2</f>
        <v>2253.1402325240979</v>
      </c>
      <c r="H114" s="14">
        <f>F114/$F$124*$E$2</f>
        <v>2253.1402325240979</v>
      </c>
      <c r="I114" s="25" t="str">
        <f t="shared" si="7"/>
        <v/>
      </c>
    </row>
    <row r="115" spans="1:9" hidden="1" x14ac:dyDescent="0.25">
      <c r="A115" s="3">
        <v>1293</v>
      </c>
      <c r="B115" s="3">
        <v>113.3454868</v>
      </c>
      <c r="C115" s="3">
        <v>23.015013880000001</v>
      </c>
      <c r="D115" s="3">
        <v>19</v>
      </c>
      <c r="E115" s="13">
        <f t="shared" si="8"/>
        <v>8.2042898615076274E-3</v>
      </c>
      <c r="F115" s="13">
        <f t="shared" si="9"/>
        <v>11.040265106531317</v>
      </c>
      <c r="G115" s="14">
        <f>F115/$F$124*$D$2</f>
        <v>2211.2919762403803</v>
      </c>
      <c r="H115" s="14">
        <f>F115/$F$124*$E$2</f>
        <v>2211.2919762403803</v>
      </c>
      <c r="I115" s="25" t="str">
        <f t="shared" si="7"/>
        <v/>
      </c>
    </row>
    <row r="116" spans="1:9" x14ac:dyDescent="0.25">
      <c r="A116" s="3">
        <v>1488</v>
      </c>
      <c r="B116" s="3">
        <v>113.345474</v>
      </c>
      <c r="C116" s="3">
        <v>23.013030759999999</v>
      </c>
      <c r="D116" s="3">
        <v>19</v>
      </c>
      <c r="E116" s="13">
        <f t="shared" si="8"/>
        <v>8.2520887692941157E-3</v>
      </c>
      <c r="F116" s="13">
        <f t="shared" si="9"/>
        <v>11.008244182948051</v>
      </c>
      <c r="G116" s="14">
        <f>F116/$F$129*$D$2</f>
        <v>31.789440708669503</v>
      </c>
      <c r="H116" s="14">
        <f>F116/$F$129*$E$2</f>
        <v>31.789440708669503</v>
      </c>
      <c r="I116" s="25" t="str">
        <f t="shared" si="7"/>
        <v>选中</v>
      </c>
    </row>
    <row r="117" spans="1:9" hidden="1" x14ac:dyDescent="0.25">
      <c r="A117" s="3">
        <v>1296</v>
      </c>
      <c r="B117" s="3">
        <v>113.3455817</v>
      </c>
      <c r="C117" s="3">
        <v>23.014197079999999</v>
      </c>
      <c r="D117" s="3">
        <v>19</v>
      </c>
      <c r="E117" s="13">
        <f t="shared" si="8"/>
        <v>8.2660517828964438E-3</v>
      </c>
      <c r="F117" s="13">
        <f t="shared" si="9"/>
        <v>10.998942690943197</v>
      </c>
      <c r="G117" s="14">
        <f>F117/$F$124*$D$2</f>
        <v>2203.0153700948613</v>
      </c>
      <c r="H117" s="14">
        <f>F117/$F$124*$E$2</f>
        <v>2203.0153700948613</v>
      </c>
      <c r="I117" s="25" t="str">
        <f t="shared" si="7"/>
        <v/>
      </c>
    </row>
    <row r="118" spans="1:9" hidden="1" x14ac:dyDescent="0.25">
      <c r="A118" s="3">
        <v>1492</v>
      </c>
      <c r="B118" s="3">
        <v>113.3455538</v>
      </c>
      <c r="C118" s="3">
        <v>23.013469440000001</v>
      </c>
      <c r="D118" s="3">
        <v>19</v>
      </c>
      <c r="E118" s="13">
        <f t="shared" si="8"/>
        <v>8.2769320433390119E-3</v>
      </c>
      <c r="F118" s="13">
        <f t="shared" si="9"/>
        <v>10.991711103553222</v>
      </c>
      <c r="G118" s="14">
        <f>F118/$F$124*$D$2</f>
        <v>2201.5669310386761</v>
      </c>
      <c r="H118" s="14">
        <f>F118/$F$124*$E$2</f>
        <v>2201.5669310386761</v>
      </c>
      <c r="I118" s="25" t="str">
        <f t="shared" si="7"/>
        <v/>
      </c>
    </row>
    <row r="119" spans="1:9" x14ac:dyDescent="0.25">
      <c r="A119" s="3">
        <v>1478</v>
      </c>
      <c r="B119" s="3">
        <v>113.34452690000001</v>
      </c>
      <c r="C119" s="3">
        <v>23.010131640000001</v>
      </c>
      <c r="D119" s="3">
        <v>19</v>
      </c>
      <c r="E119" s="13">
        <f t="shared" si="8"/>
        <v>8.3156934587587158E-3</v>
      </c>
      <c r="F119" s="13">
        <f t="shared" si="9"/>
        <v>10.966063697968048</v>
      </c>
      <c r="G119" s="14">
        <f>F119/$F$129*$D$2</f>
        <v>31.667632543438955</v>
      </c>
      <c r="H119" s="14">
        <f>F119/$F$129*$E$2</f>
        <v>31.667632543438955</v>
      </c>
      <c r="I119" s="25" t="str">
        <f t="shared" si="7"/>
        <v>选中</v>
      </c>
    </row>
    <row r="120" spans="1:9" hidden="1" x14ac:dyDescent="0.25">
      <c r="A120" s="3">
        <v>1477</v>
      </c>
      <c r="B120" s="3">
        <v>113.344977</v>
      </c>
      <c r="C120" s="3">
        <v>23.0105127</v>
      </c>
      <c r="D120" s="3">
        <v>19</v>
      </c>
      <c r="E120" s="13">
        <f t="shared" si="8"/>
        <v>8.5342447943316819E-3</v>
      </c>
      <c r="F120" s="13">
        <f t="shared" si="9"/>
        <v>10.824739457595319</v>
      </c>
      <c r="G120" s="14">
        <f>F120/$F$124*$D$2</f>
        <v>2168.1236162809596</v>
      </c>
      <c r="H120" s="14">
        <f>F120/$F$124*$E$2</f>
        <v>2168.1236162809596</v>
      </c>
      <c r="I120" s="25" t="str">
        <f t="shared" si="7"/>
        <v/>
      </c>
    </row>
    <row r="121" spans="1:9" hidden="1" x14ac:dyDescent="0.25">
      <c r="A121" s="3">
        <v>1487</v>
      </c>
      <c r="B121" s="3">
        <v>113.34760009999999</v>
      </c>
      <c r="C121" s="3">
        <v>23.013517960000001</v>
      </c>
      <c r="D121" s="3">
        <v>19</v>
      </c>
      <c r="E121" s="13">
        <f t="shared" si="8"/>
        <v>1.0311804485842714E-2</v>
      </c>
      <c r="F121" s="13">
        <f t="shared" si="9"/>
        <v>9.8476513654461719</v>
      </c>
      <c r="G121" s="14">
        <f>F121/$F$124*$D$2</f>
        <v>1972.4193431135318</v>
      </c>
      <c r="H121" s="14">
        <f>F121/$F$124*$E$2</f>
        <v>1972.4193431135318</v>
      </c>
      <c r="I121" s="25" t="str">
        <f t="shared" si="7"/>
        <v/>
      </c>
    </row>
    <row r="122" spans="1:9" x14ac:dyDescent="0.25">
      <c r="A122" s="3">
        <v>1476</v>
      </c>
      <c r="B122" s="3">
        <v>113.3479047</v>
      </c>
      <c r="C122" s="3">
        <v>23.01254587</v>
      </c>
      <c r="D122" s="3">
        <v>19</v>
      </c>
      <c r="E122" s="13">
        <f t="shared" si="8"/>
        <v>1.0728686792468422E-2</v>
      </c>
      <c r="F122" s="13">
        <f t="shared" si="9"/>
        <v>9.6544317456511966</v>
      </c>
      <c r="G122" s="14">
        <f>F122/$F$129*$D$2</f>
        <v>27.87992167085849</v>
      </c>
      <c r="H122" s="14">
        <f>F122/$F$129*$E$2</f>
        <v>27.87992167085849</v>
      </c>
      <c r="I122" s="25" t="str">
        <f t="shared" si="7"/>
        <v>选中</v>
      </c>
    </row>
    <row r="123" spans="1:9" hidden="1" x14ac:dyDescent="0.25">
      <c r="A123" s="3">
        <v>1300</v>
      </c>
      <c r="B123" s="3">
        <v>113.34965149999999</v>
      </c>
      <c r="C123" s="3">
        <v>23.015054920000001</v>
      </c>
      <c r="D123" s="3">
        <v>19</v>
      </c>
      <c r="E123" s="13">
        <f t="shared" si="8"/>
        <v>1.2360235739912137E-2</v>
      </c>
      <c r="F123" s="13">
        <f t="shared" si="9"/>
        <v>8.9946987603402793</v>
      </c>
      <c r="G123" s="14">
        <f>F123/$F$124*$D$2</f>
        <v>1801.5785857961937</v>
      </c>
      <c r="H123" s="14">
        <f>F123/$F$124*$E$2</f>
        <v>1801.5785857961937</v>
      </c>
      <c r="I123" s="25" t="str">
        <f t="shared" si="7"/>
        <v/>
      </c>
    </row>
    <row r="124" spans="1:9" hidden="1" x14ac:dyDescent="0.25">
      <c r="A124" s="3">
        <v>1302</v>
      </c>
      <c r="B124" s="3">
        <v>113.3496853</v>
      </c>
      <c r="C124" s="3">
        <v>23.016625179999998</v>
      </c>
      <c r="D124" s="3">
        <v>19</v>
      </c>
      <c r="E124" s="13">
        <f t="shared" si="8"/>
        <v>1.2590898850982579E-2</v>
      </c>
      <c r="F124" s="13">
        <f t="shared" si="9"/>
        <v>8.9119272474654654</v>
      </c>
      <c r="G124" s="14">
        <f>F124/$F$124*$D$2</f>
        <v>1785</v>
      </c>
      <c r="H124" s="14">
        <f>F124/$F$124*$E$2</f>
        <v>1785</v>
      </c>
      <c r="I124" s="25" t="str">
        <f t="shared" si="7"/>
        <v/>
      </c>
    </row>
    <row r="125" spans="1:9" x14ac:dyDescent="0.25">
      <c r="A125" s="3">
        <v>1298</v>
      </c>
      <c r="B125" s="3">
        <v>113.35051300000001</v>
      </c>
      <c r="C125" s="3">
        <v>23.015490329999999</v>
      </c>
      <c r="D125" s="3">
        <v>19</v>
      </c>
      <c r="E125" s="13">
        <f t="shared" si="8"/>
        <v>1.3252994893994233E-2</v>
      </c>
      <c r="F125" s="13">
        <f t="shared" si="9"/>
        <v>8.6864632112377791</v>
      </c>
      <c r="G125" s="14">
        <f>F125/$F$129*$D$2</f>
        <v>25.084636807877519</v>
      </c>
      <c r="H125" s="14">
        <f>F125/$F$129*$E$2</f>
        <v>25.084636807877519</v>
      </c>
      <c r="I125" s="25" t="str">
        <f t="shared" si="7"/>
        <v>选中</v>
      </c>
    </row>
    <row r="126" spans="1:9" hidden="1" x14ac:dyDescent="0.25">
      <c r="A126" s="3">
        <v>1309</v>
      </c>
      <c r="B126" s="3">
        <v>113.3525416</v>
      </c>
      <c r="C126" s="3">
        <v>23.015632050000001</v>
      </c>
      <c r="D126" s="3">
        <v>19</v>
      </c>
      <c r="E126" s="13">
        <f t="shared" si="8"/>
        <v>1.5286104416230895E-2</v>
      </c>
      <c r="F126" s="13">
        <f t="shared" si="9"/>
        <v>8.0881945507187361</v>
      </c>
      <c r="G126" s="14">
        <f>F126/$F$124*$D$2</f>
        <v>1620.0117967905223</v>
      </c>
      <c r="H126" s="14">
        <f>F126/$F$124*$E$2</f>
        <v>1620.0117967905223</v>
      </c>
      <c r="I126" s="25" t="str">
        <f t="shared" si="7"/>
        <v/>
      </c>
    </row>
    <row r="127" spans="1:9" hidden="1" x14ac:dyDescent="0.25">
      <c r="A127" s="3">
        <v>1304</v>
      </c>
      <c r="B127" s="3">
        <v>113.3537295</v>
      </c>
      <c r="C127" s="3">
        <v>23.017867240000001</v>
      </c>
      <c r="D127" s="3">
        <v>19</v>
      </c>
      <c r="E127" s="13">
        <f t="shared" si="8"/>
        <v>1.6802353985676338E-2</v>
      </c>
      <c r="F127" s="13">
        <f t="shared" si="9"/>
        <v>7.714627037228178</v>
      </c>
      <c r="G127" s="14">
        <f>F127/$F$124*$D$2</f>
        <v>1545.1886981425519</v>
      </c>
      <c r="H127" s="14">
        <f>F127/$F$124*$E$2</f>
        <v>1545.1886981425519</v>
      </c>
      <c r="I127" s="25" t="str">
        <f t="shared" si="7"/>
        <v/>
      </c>
    </row>
    <row r="128" spans="1:9" x14ac:dyDescent="0.25">
      <c r="A128" s="3"/>
      <c r="B128" s="3"/>
      <c r="C128" s="3"/>
      <c r="D128" s="3"/>
      <c r="G128" s="14"/>
      <c r="H128" s="14"/>
    </row>
    <row r="129" spans="1:8" x14ac:dyDescent="0.25">
      <c r="A129" s="3"/>
      <c r="B129" s="3"/>
      <c r="C129" s="3"/>
      <c r="D129" s="3"/>
      <c r="F129" s="13">
        <f>SUBTOTAL(9,F5:F127)</f>
        <v>618.12084228344008</v>
      </c>
      <c r="G129" s="13">
        <f t="shared" ref="G129:H129" si="10">SUBTOTAL(9,G5:G127)</f>
        <v>1785.0000000000002</v>
      </c>
      <c r="H129" s="13">
        <f t="shared" si="10"/>
        <v>1785.0000000000002</v>
      </c>
    </row>
    <row r="130" spans="1:8" x14ac:dyDescent="0.25">
      <c r="A130" s="3"/>
      <c r="B130" s="3"/>
      <c r="C130" s="3"/>
      <c r="D130" s="3"/>
      <c r="G130" s="14"/>
      <c r="H130" s="14"/>
    </row>
    <row r="131" spans="1:8" x14ac:dyDescent="0.25">
      <c r="A131" s="3"/>
      <c r="B131" s="3"/>
      <c r="C131" s="3"/>
      <c r="D131" s="3"/>
      <c r="G131" s="14"/>
      <c r="H131" s="14"/>
    </row>
    <row r="132" spans="1:8" x14ac:dyDescent="0.25">
      <c r="A132" s="3"/>
      <c r="B132" s="3"/>
      <c r="C132" s="3"/>
      <c r="D132" s="3"/>
      <c r="G132" s="14"/>
      <c r="H132" s="14"/>
    </row>
    <row r="133" spans="1:8" x14ac:dyDescent="0.25">
      <c r="A133" s="3"/>
      <c r="B133" s="3"/>
      <c r="C133" s="3"/>
      <c r="D133" s="3"/>
      <c r="G133" s="14"/>
      <c r="H133" s="14"/>
    </row>
    <row r="134" spans="1:8" x14ac:dyDescent="0.25">
      <c r="A134" s="3"/>
      <c r="B134" s="3"/>
      <c r="C134" s="3"/>
      <c r="D134" s="3"/>
      <c r="G134" s="14"/>
      <c r="H134" s="14"/>
    </row>
    <row r="135" spans="1:8" x14ac:dyDescent="0.25">
      <c r="A135" s="3"/>
      <c r="B135" s="3"/>
      <c r="C135" s="3"/>
      <c r="D135" s="3"/>
      <c r="G135" s="14"/>
      <c r="H135" s="14"/>
    </row>
    <row r="136" spans="1:8" x14ac:dyDescent="0.25">
      <c r="A136" s="3"/>
      <c r="B136" s="3"/>
      <c r="C136" s="3"/>
      <c r="D136" s="3"/>
      <c r="G136" s="14"/>
      <c r="H136" s="14"/>
    </row>
    <row r="137" spans="1:8" x14ac:dyDescent="0.25">
      <c r="A137" s="3"/>
      <c r="B137" s="3"/>
      <c r="C137" s="3"/>
      <c r="D137" s="3"/>
      <c r="G137" s="14"/>
      <c r="H137" s="14"/>
    </row>
    <row r="138" spans="1:8" x14ac:dyDescent="0.25">
      <c r="A138" s="3"/>
      <c r="B138" s="3"/>
      <c r="C138" s="3"/>
      <c r="D138" s="3"/>
      <c r="G138" s="14"/>
      <c r="H138" s="14"/>
    </row>
    <row r="139" spans="1:8" x14ac:dyDescent="0.25">
      <c r="A139" s="3"/>
      <c r="B139" s="3"/>
      <c r="C139" s="3"/>
      <c r="D139" s="3"/>
      <c r="G139" s="14"/>
      <c r="H139" s="14"/>
    </row>
    <row r="140" spans="1:8" x14ac:dyDescent="0.25">
      <c r="A140" s="3"/>
      <c r="B140" s="3"/>
      <c r="C140" s="3"/>
      <c r="D140" s="3"/>
      <c r="G140" s="14"/>
      <c r="H140" s="14"/>
    </row>
    <row r="141" spans="1:8" x14ac:dyDescent="0.25">
      <c r="A141" s="3"/>
      <c r="B141" s="3"/>
      <c r="C141" s="3"/>
      <c r="D141" s="3"/>
      <c r="G141" s="14"/>
      <c r="H141" s="14"/>
    </row>
    <row r="142" spans="1:8" x14ac:dyDescent="0.25">
      <c r="A142" s="3"/>
      <c r="B142" s="3"/>
      <c r="C142" s="3"/>
      <c r="D142" s="3"/>
      <c r="G142" s="14"/>
      <c r="H142" s="14"/>
    </row>
    <row r="143" spans="1:8" x14ac:dyDescent="0.25">
      <c r="A143" s="3"/>
      <c r="B143" s="3"/>
      <c r="C143" s="3"/>
      <c r="D143" s="3"/>
      <c r="G143" s="14"/>
      <c r="H143" s="14"/>
    </row>
    <row r="144" spans="1:8" x14ac:dyDescent="0.25">
      <c r="A144" s="3"/>
      <c r="B144" s="3"/>
      <c r="C144" s="3"/>
      <c r="D144" s="3"/>
      <c r="G144" s="14"/>
      <c r="H144" s="14"/>
    </row>
    <row r="145" spans="1:8" x14ac:dyDescent="0.25">
      <c r="A145" s="3"/>
      <c r="B145" s="3"/>
      <c r="C145" s="3"/>
      <c r="D145" s="3"/>
      <c r="G145" s="14"/>
      <c r="H145" s="14"/>
    </row>
    <row r="146" spans="1:8" x14ac:dyDescent="0.25">
      <c r="A146" s="3"/>
      <c r="B146" s="3"/>
      <c r="C146" s="3"/>
      <c r="D146" s="3"/>
      <c r="G146" s="14"/>
      <c r="H146" s="14"/>
    </row>
    <row r="147" spans="1:8" x14ac:dyDescent="0.25">
      <c r="A147" s="3"/>
      <c r="B147" s="3"/>
      <c r="C147" s="3"/>
      <c r="D147" s="3"/>
      <c r="G147" s="14"/>
      <c r="H147" s="14"/>
    </row>
    <row r="148" spans="1:8" x14ac:dyDescent="0.25">
      <c r="A148" s="3"/>
      <c r="B148" s="3"/>
      <c r="C148" s="3"/>
      <c r="D148" s="3"/>
      <c r="G148" s="14"/>
      <c r="H148" s="14"/>
    </row>
    <row r="149" spans="1:8" x14ac:dyDescent="0.25">
      <c r="A149" s="3"/>
      <c r="B149" s="3"/>
      <c r="C149" s="3"/>
      <c r="D149" s="3"/>
      <c r="G149" s="14"/>
      <c r="H149" s="14"/>
    </row>
    <row r="150" spans="1:8" x14ac:dyDescent="0.25">
      <c r="A150" s="3"/>
      <c r="B150" s="3"/>
      <c r="C150" s="3"/>
      <c r="D150" s="3"/>
      <c r="G150" s="14"/>
      <c r="H150" s="14"/>
    </row>
    <row r="151" spans="1:8" x14ac:dyDescent="0.25">
      <c r="A151" s="3"/>
      <c r="B151" s="3"/>
      <c r="C151" s="3"/>
      <c r="D151" s="3"/>
      <c r="G151" s="14"/>
      <c r="H151" s="14"/>
    </row>
    <row r="152" spans="1:8" x14ac:dyDescent="0.25">
      <c r="A152" s="3"/>
      <c r="B152" s="3"/>
      <c r="C152" s="3"/>
      <c r="D152" s="3"/>
      <c r="G152" s="14"/>
      <c r="H152" s="14"/>
    </row>
    <row r="153" spans="1:8" x14ac:dyDescent="0.25">
      <c r="A153" s="3"/>
      <c r="B153" s="3"/>
      <c r="C153" s="3"/>
      <c r="D153" s="3"/>
      <c r="G153" s="14"/>
      <c r="H153" s="14"/>
    </row>
    <row r="154" spans="1:8" x14ac:dyDescent="0.25">
      <c r="A154" s="3"/>
      <c r="B154" s="3"/>
      <c r="C154" s="3"/>
      <c r="D154" s="3"/>
      <c r="G154" s="14"/>
      <c r="H154" s="14"/>
    </row>
    <row r="155" spans="1:8" x14ac:dyDescent="0.25">
      <c r="A155" s="3"/>
      <c r="B155" s="3"/>
      <c r="C155" s="3"/>
      <c r="D155" s="3"/>
      <c r="G155" s="14"/>
      <c r="H155" s="14"/>
    </row>
    <row r="156" spans="1:8" x14ac:dyDescent="0.25">
      <c r="A156" s="3"/>
      <c r="B156" s="3"/>
      <c r="C156" s="3"/>
      <c r="D156" s="3"/>
      <c r="G156" s="14"/>
      <c r="H156" s="14"/>
    </row>
    <row r="157" spans="1:8" x14ac:dyDescent="0.25">
      <c r="A157" s="3"/>
      <c r="B157" s="3"/>
      <c r="C157" s="3"/>
      <c r="D157" s="3"/>
      <c r="G157" s="14"/>
      <c r="H157" s="14"/>
    </row>
    <row r="158" spans="1:8" x14ac:dyDescent="0.25">
      <c r="A158" s="3"/>
      <c r="B158" s="3"/>
      <c r="C158" s="3"/>
      <c r="D158" s="3"/>
      <c r="G158" s="14"/>
      <c r="H158" s="14"/>
    </row>
    <row r="159" spans="1:8" x14ac:dyDescent="0.25">
      <c r="A159" s="3"/>
      <c r="B159" s="3"/>
      <c r="C159" s="3"/>
      <c r="D159" s="3"/>
      <c r="G159" s="14"/>
      <c r="H159" s="14"/>
    </row>
    <row r="160" spans="1:8" x14ac:dyDescent="0.25">
      <c r="A160" s="3"/>
      <c r="B160" s="3"/>
      <c r="C160" s="3"/>
      <c r="D160" s="3"/>
      <c r="G160" s="14"/>
      <c r="H160" s="14"/>
    </row>
    <row r="161" spans="1:8" x14ac:dyDescent="0.25">
      <c r="A161" s="3"/>
      <c r="B161" s="3"/>
      <c r="C161" s="3"/>
      <c r="D161" s="3"/>
      <c r="G161" s="14"/>
      <c r="H161" s="14"/>
    </row>
    <row r="162" spans="1:8" x14ac:dyDescent="0.25">
      <c r="A162" s="3"/>
      <c r="B162" s="3"/>
      <c r="C162" s="3"/>
      <c r="D162" s="3"/>
      <c r="G162" s="14"/>
      <c r="H162" s="14"/>
    </row>
    <row r="163" spans="1:8" x14ac:dyDescent="0.25">
      <c r="A163" s="3"/>
      <c r="B163" s="3"/>
      <c r="C163" s="3"/>
      <c r="D163" s="3"/>
      <c r="G163" s="14"/>
      <c r="H163" s="14"/>
    </row>
    <row r="164" spans="1:8" x14ac:dyDescent="0.25">
      <c r="A164" s="3"/>
      <c r="B164" s="3"/>
      <c r="C164" s="3"/>
      <c r="D164" s="3"/>
      <c r="G164" s="14"/>
      <c r="H164" s="14"/>
    </row>
    <row r="165" spans="1:8" x14ac:dyDescent="0.25">
      <c r="A165" s="3"/>
      <c r="B165" s="3"/>
      <c r="C165" s="3"/>
      <c r="D165" s="3"/>
      <c r="G165" s="14"/>
      <c r="H165" s="14"/>
    </row>
    <row r="166" spans="1:8" x14ac:dyDescent="0.25">
      <c r="A166" s="3"/>
      <c r="B166" s="3"/>
      <c r="C166" s="3"/>
      <c r="D166" s="3"/>
      <c r="G166" s="14"/>
      <c r="H166" s="14"/>
    </row>
    <row r="167" spans="1:8" x14ac:dyDescent="0.25">
      <c r="A167" s="3"/>
      <c r="B167" s="3"/>
      <c r="C167" s="3"/>
      <c r="D167" s="3"/>
      <c r="G167" s="14"/>
      <c r="H167" s="14"/>
    </row>
    <row r="168" spans="1:8" x14ac:dyDescent="0.25">
      <c r="A168" s="3"/>
      <c r="B168" s="3"/>
      <c r="C168" s="3"/>
      <c r="D168" s="3"/>
      <c r="G168" s="14"/>
      <c r="H168" s="14"/>
    </row>
    <row r="169" spans="1:8" x14ac:dyDescent="0.25">
      <c r="A169" s="3"/>
      <c r="B169" s="3"/>
      <c r="C169" s="3"/>
      <c r="D169" s="3"/>
      <c r="G169" s="14"/>
      <c r="H169" s="14"/>
    </row>
    <row r="170" spans="1:8" x14ac:dyDescent="0.25">
      <c r="A170" s="3"/>
      <c r="B170" s="3"/>
      <c r="C170" s="3"/>
      <c r="D170" s="3"/>
      <c r="G170" s="14"/>
      <c r="H170" s="14"/>
    </row>
    <row r="171" spans="1:8" x14ac:dyDescent="0.25">
      <c r="A171" s="3"/>
      <c r="B171" s="3"/>
      <c r="C171" s="3"/>
      <c r="D171" s="3"/>
      <c r="G171" s="14"/>
      <c r="H171" s="14"/>
    </row>
    <row r="172" spans="1:8" x14ac:dyDescent="0.25">
      <c r="A172" s="3"/>
      <c r="B172" s="3"/>
      <c r="C172" s="3"/>
      <c r="D172" s="3"/>
      <c r="G172" s="14"/>
      <c r="H172" s="14"/>
    </row>
    <row r="173" spans="1:8" x14ac:dyDescent="0.25">
      <c r="A173" s="3"/>
      <c r="B173" s="3"/>
      <c r="C173" s="3"/>
      <c r="D173" s="3"/>
      <c r="G173" s="14"/>
      <c r="H173" s="14"/>
    </row>
    <row r="174" spans="1:8" x14ac:dyDescent="0.25">
      <c r="A174" s="3"/>
      <c r="B174" s="3"/>
      <c r="C174" s="3"/>
      <c r="D174" s="3"/>
      <c r="G174" s="14"/>
      <c r="H174" s="14"/>
    </row>
    <row r="175" spans="1:8" x14ac:dyDescent="0.25">
      <c r="A175" s="3"/>
      <c r="B175" s="3"/>
      <c r="C175" s="3"/>
      <c r="D175" s="3"/>
      <c r="G175" s="14"/>
      <c r="H175" s="14"/>
    </row>
    <row r="176" spans="1:8" x14ac:dyDescent="0.25">
      <c r="A176" s="3"/>
      <c r="B176" s="3"/>
      <c r="C176" s="3"/>
      <c r="D176" s="3"/>
      <c r="G176" s="14"/>
      <c r="H176" s="14"/>
    </row>
    <row r="177" spans="1:8" x14ac:dyDescent="0.25">
      <c r="A177" s="3"/>
      <c r="B177" s="3"/>
      <c r="C177" s="3"/>
      <c r="D177" s="3"/>
      <c r="G177" s="14"/>
      <c r="H177" s="14"/>
    </row>
    <row r="178" spans="1:8" x14ac:dyDescent="0.25">
      <c r="A178" s="3"/>
      <c r="B178" s="3"/>
      <c r="C178" s="3"/>
      <c r="D178" s="3"/>
      <c r="G178" s="14"/>
      <c r="H178" s="14"/>
    </row>
    <row r="179" spans="1:8" x14ac:dyDescent="0.25">
      <c r="A179" s="3"/>
      <c r="B179" s="3"/>
      <c r="C179" s="3"/>
      <c r="D179" s="3"/>
      <c r="G179" s="14"/>
      <c r="H179" s="14"/>
    </row>
    <row r="180" spans="1:8" x14ac:dyDescent="0.25">
      <c r="A180" s="3"/>
      <c r="B180" s="3"/>
      <c r="C180" s="3"/>
      <c r="D180" s="3"/>
      <c r="G180" s="14"/>
      <c r="H180" s="14"/>
    </row>
    <row r="181" spans="1:8" x14ac:dyDescent="0.25">
      <c r="A181" s="3"/>
      <c r="B181" s="3"/>
      <c r="C181" s="3"/>
      <c r="D181" s="3"/>
      <c r="G181" s="14"/>
      <c r="H181" s="14"/>
    </row>
    <row r="182" spans="1:8" x14ac:dyDescent="0.25">
      <c r="A182" s="3"/>
      <c r="B182" s="3"/>
      <c r="C182" s="3"/>
      <c r="D182" s="3"/>
      <c r="G182" s="14"/>
      <c r="H182" s="14"/>
    </row>
    <row r="183" spans="1:8" x14ac:dyDescent="0.25">
      <c r="A183" s="3"/>
      <c r="B183" s="3"/>
      <c r="C183" s="3"/>
      <c r="D183" s="3"/>
      <c r="G183" s="14"/>
      <c r="H183" s="14"/>
    </row>
    <row r="184" spans="1:8" x14ac:dyDescent="0.25">
      <c r="A184" s="3"/>
      <c r="B184" s="3"/>
      <c r="C184" s="3"/>
      <c r="D184" s="3"/>
      <c r="G184" s="14"/>
      <c r="H184" s="14"/>
    </row>
    <row r="185" spans="1:8" x14ac:dyDescent="0.25">
      <c r="A185" s="3"/>
      <c r="B185" s="3"/>
      <c r="C185" s="3"/>
      <c r="D185" s="3"/>
      <c r="G185" s="14"/>
      <c r="H185" s="14"/>
    </row>
    <row r="186" spans="1:8" x14ac:dyDescent="0.25">
      <c r="A186" s="3"/>
      <c r="B186" s="3"/>
      <c r="C186" s="3"/>
      <c r="D186" s="3"/>
      <c r="G186" s="14"/>
      <c r="H186" s="14"/>
    </row>
    <row r="187" spans="1:8" x14ac:dyDescent="0.25">
      <c r="A187" s="3"/>
      <c r="B187" s="3"/>
      <c r="C187" s="3"/>
      <c r="D187" s="3"/>
      <c r="G187" s="14"/>
      <c r="H187" s="14"/>
    </row>
    <row r="188" spans="1:8" x14ac:dyDescent="0.25">
      <c r="A188" s="3"/>
      <c r="B188" s="3"/>
      <c r="C188" s="3"/>
      <c r="D188" s="3"/>
      <c r="G188" s="14"/>
      <c r="H188" s="14"/>
    </row>
    <row r="189" spans="1:8" x14ac:dyDescent="0.25">
      <c r="A189" s="3"/>
      <c r="B189" s="3"/>
      <c r="C189" s="3"/>
      <c r="D189" s="3"/>
      <c r="G189" s="14"/>
      <c r="H189" s="14"/>
    </row>
    <row r="190" spans="1:8" x14ac:dyDescent="0.25">
      <c r="A190" s="3"/>
      <c r="B190" s="3"/>
      <c r="C190" s="3"/>
      <c r="D190" s="3"/>
      <c r="G190" s="14"/>
      <c r="H190" s="14"/>
    </row>
    <row r="191" spans="1:8" x14ac:dyDescent="0.25">
      <c r="A191" s="3"/>
      <c r="B191" s="3"/>
      <c r="C191" s="3"/>
      <c r="D191" s="3"/>
      <c r="G191" s="14"/>
      <c r="H191" s="14"/>
    </row>
    <row r="192" spans="1:8" x14ac:dyDescent="0.25">
      <c r="A192" s="3"/>
      <c r="B192" s="3"/>
      <c r="C192" s="3"/>
      <c r="D192" s="3"/>
      <c r="G192" s="14"/>
      <c r="H192" s="14"/>
    </row>
    <row r="193" spans="1:8" x14ac:dyDescent="0.25">
      <c r="A193" s="3"/>
      <c r="B193" s="3"/>
      <c r="C193" s="3"/>
      <c r="D193" s="3"/>
      <c r="G193" s="14"/>
      <c r="H193" s="14"/>
    </row>
    <row r="194" spans="1:8" x14ac:dyDescent="0.25">
      <c r="A194" s="3"/>
      <c r="B194" s="3"/>
      <c r="C194" s="3"/>
      <c r="D194" s="3"/>
      <c r="G194" s="14"/>
      <c r="H194" s="14"/>
    </row>
    <row r="195" spans="1:8" x14ac:dyDescent="0.25">
      <c r="A195" s="3"/>
      <c r="B195" s="3"/>
      <c r="C195" s="3"/>
      <c r="D195" s="3"/>
      <c r="G195" s="14"/>
      <c r="H195" s="14"/>
    </row>
    <row r="196" spans="1:8" x14ac:dyDescent="0.25">
      <c r="A196" s="3"/>
      <c r="B196" s="3"/>
      <c r="C196" s="3"/>
      <c r="D196" s="3"/>
      <c r="G196" s="14"/>
      <c r="H196" s="14"/>
    </row>
    <row r="197" spans="1:8" x14ac:dyDescent="0.25">
      <c r="A197" s="3"/>
      <c r="B197" s="3"/>
      <c r="C197" s="3"/>
      <c r="D197" s="3"/>
      <c r="G197" s="14"/>
      <c r="H197" s="14"/>
    </row>
    <row r="198" spans="1:8" x14ac:dyDescent="0.25">
      <c r="A198" s="3"/>
      <c r="B198" s="3"/>
      <c r="C198" s="3"/>
      <c r="D198" s="3"/>
      <c r="G198" s="14"/>
      <c r="H198" s="14"/>
    </row>
    <row r="199" spans="1:8" x14ac:dyDescent="0.25">
      <c r="A199" s="3"/>
      <c r="B199" s="3"/>
      <c r="C199" s="3"/>
      <c r="D199" s="3"/>
      <c r="G199" s="14"/>
      <c r="H199" s="14"/>
    </row>
    <row r="200" spans="1:8" x14ac:dyDescent="0.25">
      <c r="A200" s="3"/>
      <c r="B200" s="3"/>
      <c r="C200" s="3"/>
      <c r="D200" s="3"/>
      <c r="G200" s="14"/>
      <c r="H200" s="14"/>
    </row>
    <row r="201" spans="1:8" x14ac:dyDescent="0.25">
      <c r="A201" s="3"/>
      <c r="B201" s="3"/>
      <c r="C201" s="3"/>
      <c r="D201" s="3"/>
      <c r="G201" s="14"/>
      <c r="H201" s="14"/>
    </row>
    <row r="202" spans="1:8" x14ac:dyDescent="0.25">
      <c r="A202" s="3"/>
      <c r="B202" s="3"/>
      <c r="C202" s="3"/>
      <c r="D202" s="3"/>
      <c r="G202" s="14"/>
      <c r="H202" s="14"/>
    </row>
    <row r="203" spans="1:8" x14ac:dyDescent="0.25">
      <c r="A203" s="3"/>
      <c r="B203" s="3"/>
      <c r="C203" s="3"/>
      <c r="D203" s="3"/>
      <c r="G203" s="14"/>
      <c r="H203" s="14"/>
    </row>
    <row r="204" spans="1:8" x14ac:dyDescent="0.25">
      <c r="A204" s="3"/>
      <c r="B204" s="3"/>
      <c r="C204" s="3"/>
      <c r="D204" s="3"/>
      <c r="G204" s="14"/>
      <c r="H204" s="14"/>
    </row>
    <row r="205" spans="1:8" x14ac:dyDescent="0.25">
      <c r="A205" s="3"/>
      <c r="B205" s="3"/>
      <c r="C205" s="3"/>
      <c r="D205" s="3"/>
      <c r="G205" s="14"/>
      <c r="H205" s="14"/>
    </row>
    <row r="206" spans="1:8" x14ac:dyDescent="0.25">
      <c r="A206" s="3"/>
      <c r="B206" s="3"/>
      <c r="C206" s="3"/>
      <c r="D206" s="3"/>
      <c r="G206" s="14"/>
      <c r="H206" s="14"/>
    </row>
    <row r="207" spans="1:8" x14ac:dyDescent="0.25">
      <c r="A207" s="3"/>
      <c r="B207" s="3"/>
      <c r="C207" s="3"/>
      <c r="D207" s="3"/>
      <c r="G207" s="14"/>
      <c r="H207" s="14"/>
    </row>
    <row r="208" spans="1:8" x14ac:dyDescent="0.25">
      <c r="A208" s="3"/>
      <c r="B208" s="3"/>
      <c r="C208" s="3"/>
      <c r="D208" s="3"/>
      <c r="G208" s="14"/>
      <c r="H208" s="14"/>
    </row>
    <row r="209" spans="1:8" x14ac:dyDescent="0.25">
      <c r="A209" s="3"/>
      <c r="B209" s="3"/>
      <c r="C209" s="3"/>
      <c r="D209" s="3"/>
      <c r="G209" s="14"/>
      <c r="H209" s="14"/>
    </row>
    <row r="210" spans="1:8" x14ac:dyDescent="0.25">
      <c r="A210" s="3"/>
      <c r="B210" s="3"/>
      <c r="C210" s="3"/>
      <c r="D210" s="3"/>
      <c r="G210" s="14"/>
      <c r="H210" s="14"/>
    </row>
    <row r="211" spans="1:8" x14ac:dyDescent="0.25">
      <c r="A211" s="3"/>
      <c r="B211" s="3"/>
      <c r="C211" s="3"/>
      <c r="D211" s="3"/>
      <c r="G211" s="14"/>
      <c r="H211" s="14"/>
    </row>
    <row r="212" spans="1:8" x14ac:dyDescent="0.25">
      <c r="A212" s="3"/>
      <c r="B212" s="3"/>
      <c r="C212" s="3"/>
      <c r="D212" s="3"/>
      <c r="G212" s="14"/>
      <c r="H212" s="14"/>
    </row>
    <row r="213" spans="1:8" x14ac:dyDescent="0.25">
      <c r="A213" s="3"/>
      <c r="B213" s="3"/>
      <c r="C213" s="3"/>
      <c r="D213" s="3"/>
      <c r="G213" s="14"/>
      <c r="H213" s="14"/>
    </row>
    <row r="214" spans="1:8" x14ac:dyDescent="0.25">
      <c r="A214" s="3"/>
      <c r="B214" s="3"/>
      <c r="C214" s="3"/>
      <c r="D214" s="3"/>
      <c r="G214" s="14"/>
      <c r="H214" s="14"/>
    </row>
    <row r="215" spans="1:8" x14ac:dyDescent="0.25">
      <c r="A215" s="3"/>
      <c r="B215" s="3"/>
      <c r="C215" s="3"/>
      <c r="D215" s="3"/>
      <c r="G215" s="14"/>
      <c r="H215" s="14"/>
    </row>
    <row r="216" spans="1:8" x14ac:dyDescent="0.25">
      <c r="A216" s="3"/>
      <c r="B216" s="3"/>
      <c r="C216" s="3"/>
      <c r="D216" s="3"/>
      <c r="G216" s="14"/>
      <c r="H216" s="14"/>
    </row>
    <row r="217" spans="1:8" x14ac:dyDescent="0.25">
      <c r="A217" s="3"/>
      <c r="B217" s="3"/>
      <c r="C217" s="3"/>
      <c r="D217" s="3"/>
      <c r="G217" s="14"/>
      <c r="H217" s="14"/>
    </row>
    <row r="218" spans="1:8" x14ac:dyDescent="0.25">
      <c r="A218" s="3"/>
      <c r="B218" s="3"/>
      <c r="C218" s="3"/>
      <c r="D218" s="3"/>
      <c r="G218" s="14"/>
      <c r="H218" s="14"/>
    </row>
    <row r="219" spans="1:8" x14ac:dyDescent="0.25">
      <c r="A219" s="3"/>
      <c r="B219" s="3"/>
      <c r="C219" s="3"/>
      <c r="D219" s="3"/>
      <c r="G219" s="14"/>
      <c r="H219" s="14"/>
    </row>
    <row r="220" spans="1:8" x14ac:dyDescent="0.25">
      <c r="A220" s="3"/>
      <c r="B220" s="3"/>
      <c r="C220" s="3"/>
      <c r="D220" s="3"/>
      <c r="G220" s="14"/>
      <c r="H220" s="14"/>
    </row>
    <row r="221" spans="1:8" x14ac:dyDescent="0.25">
      <c r="A221" s="3"/>
      <c r="B221" s="3"/>
      <c r="C221" s="3"/>
      <c r="D221" s="3"/>
      <c r="G221" s="14"/>
      <c r="H221" s="14"/>
    </row>
    <row r="222" spans="1:8" x14ac:dyDescent="0.25">
      <c r="A222" s="3"/>
      <c r="B222" s="3"/>
      <c r="C222" s="3"/>
      <c r="D222" s="3"/>
      <c r="G222" s="14"/>
      <c r="H222" s="14"/>
    </row>
    <row r="223" spans="1:8" x14ac:dyDescent="0.25">
      <c r="A223" s="3"/>
      <c r="B223" s="3"/>
      <c r="C223" s="3"/>
      <c r="D223" s="3"/>
      <c r="G223" s="14"/>
      <c r="H223" s="14"/>
    </row>
    <row r="224" spans="1:8" x14ac:dyDescent="0.25">
      <c r="A224" s="3"/>
      <c r="B224" s="3"/>
      <c r="C224" s="3"/>
      <c r="D224" s="3"/>
      <c r="G224" s="14"/>
      <c r="H224" s="14"/>
    </row>
    <row r="225" spans="1:8" x14ac:dyDescent="0.25">
      <c r="A225" s="3"/>
      <c r="B225" s="3"/>
      <c r="C225" s="3"/>
      <c r="D225" s="3"/>
      <c r="G225" s="14"/>
      <c r="H225" s="14"/>
    </row>
    <row r="226" spans="1:8" x14ac:dyDescent="0.25">
      <c r="A226" s="3"/>
      <c r="B226" s="3"/>
      <c r="C226" s="3"/>
      <c r="D226" s="3"/>
      <c r="G226" s="14"/>
      <c r="H226" s="14"/>
    </row>
    <row r="227" spans="1:8" x14ac:dyDescent="0.25">
      <c r="A227" s="3"/>
      <c r="B227" s="3"/>
      <c r="C227" s="3"/>
      <c r="D227" s="3"/>
      <c r="G227" s="14"/>
      <c r="H227" s="14"/>
    </row>
    <row r="228" spans="1:8" x14ac:dyDescent="0.25">
      <c r="A228" s="3"/>
      <c r="B228" s="3"/>
      <c r="C228" s="3"/>
      <c r="D228" s="3"/>
      <c r="G228" s="14"/>
      <c r="H228" s="14"/>
    </row>
    <row r="229" spans="1:8" x14ac:dyDescent="0.25">
      <c r="A229" s="3"/>
      <c r="B229" s="3"/>
      <c r="C229" s="3"/>
      <c r="D229" s="3"/>
      <c r="G229" s="14"/>
      <c r="H229" s="14"/>
    </row>
    <row r="230" spans="1:8" x14ac:dyDescent="0.25">
      <c r="A230" s="3"/>
      <c r="B230" s="3"/>
      <c r="C230" s="3"/>
      <c r="D230" s="3"/>
      <c r="G230" s="14"/>
      <c r="H230" s="14"/>
    </row>
    <row r="231" spans="1:8" x14ac:dyDescent="0.25">
      <c r="A231" s="3"/>
      <c r="B231" s="3"/>
      <c r="C231" s="3"/>
      <c r="D231" s="3"/>
      <c r="G231" s="14"/>
      <c r="H231" s="14"/>
    </row>
    <row r="232" spans="1:8" x14ac:dyDescent="0.25">
      <c r="A232" s="3"/>
      <c r="B232" s="3"/>
      <c r="C232" s="3"/>
      <c r="D232" s="3"/>
      <c r="G232" s="14"/>
      <c r="H232" s="14"/>
    </row>
    <row r="233" spans="1:8" x14ac:dyDescent="0.25">
      <c r="A233" s="3"/>
      <c r="B233" s="3"/>
      <c r="C233" s="3"/>
      <c r="D233" s="3"/>
      <c r="G233" s="14"/>
      <c r="H233" s="14"/>
    </row>
    <row r="234" spans="1:8" x14ac:dyDescent="0.25">
      <c r="A234" s="3"/>
      <c r="B234" s="3"/>
      <c r="C234" s="3"/>
      <c r="D234" s="3"/>
      <c r="G234" s="14"/>
      <c r="H234" s="14"/>
    </row>
    <row r="235" spans="1:8" x14ac:dyDescent="0.25">
      <c r="A235" s="3"/>
      <c r="B235" s="3"/>
      <c r="C235" s="3"/>
      <c r="D235" s="3"/>
      <c r="G235" s="14"/>
      <c r="H235" s="14"/>
    </row>
    <row r="236" spans="1:8" x14ac:dyDescent="0.25">
      <c r="A236" s="3"/>
      <c r="B236" s="3"/>
      <c r="C236" s="3"/>
      <c r="D236" s="3"/>
      <c r="G236" s="14"/>
      <c r="H236" s="14"/>
    </row>
    <row r="237" spans="1:8" x14ac:dyDescent="0.25">
      <c r="A237" s="3"/>
      <c r="B237" s="3"/>
      <c r="C237" s="3"/>
      <c r="D237" s="3"/>
      <c r="G237" s="14"/>
      <c r="H237" s="14"/>
    </row>
    <row r="238" spans="1:8" x14ac:dyDescent="0.25">
      <c r="A238" s="3"/>
      <c r="B238" s="3"/>
      <c r="C238" s="3"/>
      <c r="D238" s="3"/>
      <c r="G238" s="14"/>
      <c r="H238" s="14"/>
    </row>
    <row r="239" spans="1:8" x14ac:dyDescent="0.25">
      <c r="A239" s="3"/>
      <c r="B239" s="3"/>
      <c r="C239" s="3"/>
      <c r="D239" s="3"/>
      <c r="G239" s="14"/>
      <c r="H239" s="14"/>
    </row>
    <row r="240" spans="1:8" x14ac:dyDescent="0.25">
      <c r="A240" s="3"/>
      <c r="B240" s="3"/>
      <c r="C240" s="3"/>
      <c r="D240" s="3"/>
      <c r="G240" s="14"/>
      <c r="H240" s="14"/>
    </row>
    <row r="241" spans="1:8" x14ac:dyDescent="0.25">
      <c r="A241" s="3"/>
      <c r="B241" s="3"/>
      <c r="C241" s="3"/>
      <c r="D241" s="3"/>
      <c r="G241" s="14"/>
      <c r="H241" s="14"/>
    </row>
    <row r="242" spans="1:8" x14ac:dyDescent="0.25">
      <c r="A242" s="3"/>
      <c r="B242" s="3"/>
      <c r="C242" s="3"/>
      <c r="D242" s="3"/>
      <c r="G242" s="14"/>
      <c r="H242" s="14"/>
    </row>
    <row r="243" spans="1:8" x14ac:dyDescent="0.25">
      <c r="A243" s="3"/>
      <c r="B243" s="3"/>
      <c r="C243" s="3"/>
      <c r="D243" s="3"/>
      <c r="G243" s="14"/>
      <c r="H243" s="14"/>
    </row>
    <row r="244" spans="1:8" x14ac:dyDescent="0.25">
      <c r="A244" s="3"/>
      <c r="B244" s="3"/>
      <c r="C244" s="3"/>
      <c r="D244" s="3"/>
      <c r="G244" s="14"/>
      <c r="H244" s="14"/>
    </row>
    <row r="245" spans="1:8" x14ac:dyDescent="0.25">
      <c r="A245" s="3"/>
      <c r="B245" s="3"/>
      <c r="C245" s="3"/>
      <c r="D245" s="3"/>
      <c r="G245" s="14"/>
      <c r="H245" s="14"/>
    </row>
    <row r="247" spans="1:8" x14ac:dyDescent="0.25">
      <c r="A247" s="3"/>
      <c r="G247" s="14"/>
      <c r="H247" s="14"/>
    </row>
  </sheetData>
  <phoneticPr fontId="1" type="noConversion"/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697499-F4A4-4782-97C3-0B7834A2036A}">
  <dimension ref="A1:I247"/>
  <sheetViews>
    <sheetView zoomScale="115" zoomScaleNormal="115" workbookViewId="0">
      <selection activeCell="A5" sqref="A5:H11"/>
    </sheetView>
  </sheetViews>
  <sheetFormatPr defaultRowHeight="15" x14ac:dyDescent="0.25"/>
  <cols>
    <col min="1" max="1" width="8.875" style="4" customWidth="1"/>
    <col min="2" max="3" width="15.125" style="4" customWidth="1"/>
    <col min="4" max="4" width="10.25" style="4" customWidth="1"/>
    <col min="5" max="5" width="12" style="13" customWidth="1"/>
    <col min="6" max="6" width="15" style="13" customWidth="1"/>
    <col min="7" max="7" width="13.875" customWidth="1"/>
    <col min="8" max="8" width="11.125" customWidth="1"/>
    <col min="11" max="12" width="15.125" customWidth="1"/>
    <col min="13" max="13" width="11.125" customWidth="1"/>
  </cols>
  <sheetData>
    <row r="1" spans="1:9" ht="14.25" x14ac:dyDescent="0.2">
      <c r="A1" s="2" t="s">
        <v>12</v>
      </c>
      <c r="B1" s="2" t="s">
        <v>4</v>
      </c>
      <c r="C1" s="2" t="s">
        <v>5</v>
      </c>
      <c r="D1" s="2" t="s">
        <v>13</v>
      </c>
      <c r="E1" s="2" t="s">
        <v>14</v>
      </c>
      <c r="F1" s="2" t="s">
        <v>15</v>
      </c>
      <c r="G1" s="2" t="s">
        <v>16</v>
      </c>
    </row>
    <row r="2" spans="1:9" x14ac:dyDescent="0.25">
      <c r="A2" s="11">
        <v>20</v>
      </c>
      <c r="B2" s="3">
        <v>113.2753134</v>
      </c>
      <c r="C2" s="8">
        <v>22.968918349999999</v>
      </c>
      <c r="D2" s="3">
        <v>1785</v>
      </c>
      <c r="E2" s="13">
        <v>1785</v>
      </c>
      <c r="F2" s="13">
        <v>5</v>
      </c>
      <c r="G2" s="19">
        <f>SUBTOTAL(2,A5:A250)</f>
        <v>7</v>
      </c>
    </row>
    <row r="3" spans="1:9" x14ac:dyDescent="0.25">
      <c r="A3" s="3"/>
      <c r="B3" s="3"/>
      <c r="C3" s="3"/>
      <c r="D3" s="3"/>
    </row>
    <row r="4" spans="1:9" ht="14.25" x14ac:dyDescent="0.2">
      <c r="A4" s="2" t="s">
        <v>0</v>
      </c>
      <c r="B4" s="2" t="s">
        <v>1</v>
      </c>
      <c r="C4" s="2" t="s">
        <v>2</v>
      </c>
      <c r="D4" s="2" t="s">
        <v>3</v>
      </c>
      <c r="E4" s="2" t="s">
        <v>7</v>
      </c>
      <c r="F4" s="2" t="s">
        <v>8</v>
      </c>
      <c r="G4" s="2" t="s">
        <v>13</v>
      </c>
      <c r="H4" s="2" t="s">
        <v>14</v>
      </c>
      <c r="I4" s="24" t="s">
        <v>20</v>
      </c>
    </row>
    <row r="5" spans="1:9" x14ac:dyDescent="0.25">
      <c r="A5" s="3">
        <v>2198</v>
      </c>
      <c r="B5" s="3">
        <v>113.2810092</v>
      </c>
      <c r="C5" s="3">
        <v>22.965882799999999</v>
      </c>
      <c r="D5" s="3">
        <v>20</v>
      </c>
      <c r="E5" s="13">
        <f t="shared" ref="E5:E11" si="0">SQRT((B5-$B$2)^2+(C5-$C$2)^2)</f>
        <v>6.4542002945738265E-3</v>
      </c>
      <c r="F5" s="13">
        <f t="shared" ref="F5:F11" si="1">SQRT(1/E5)</f>
        <v>12.447403859548425</v>
      </c>
      <c r="G5" s="14">
        <f>F5/$F$13*$D$2</f>
        <v>335.65538599257883</v>
      </c>
      <c r="H5" s="14">
        <f>F5/$F$13*$E$2</f>
        <v>335.65538599257883</v>
      </c>
      <c r="I5" s="25" t="str">
        <f>IF(MOD(ROW()-1,3)=1,"选中","")</f>
        <v>选中</v>
      </c>
    </row>
    <row r="6" spans="1:9" x14ac:dyDescent="0.25">
      <c r="A6" s="3">
        <v>2199</v>
      </c>
      <c r="B6" s="3">
        <v>113.2838988</v>
      </c>
      <c r="C6" s="3">
        <v>22.968447900000001</v>
      </c>
      <c r="D6" s="3">
        <v>20</v>
      </c>
      <c r="E6" s="13">
        <f t="shared" si="0"/>
        <v>8.5982798490464706E-3</v>
      </c>
      <c r="F6" s="13">
        <f t="shared" si="1"/>
        <v>10.784355904518408</v>
      </c>
      <c r="G6" s="14">
        <f t="shared" ref="G6:G11" si="2">F6/$F$13*$D$2</f>
        <v>290.80980939135327</v>
      </c>
      <c r="H6" s="14">
        <f t="shared" ref="H6:H11" si="3">F6/$F$13*$E$2</f>
        <v>290.80980939135327</v>
      </c>
      <c r="I6" s="26" t="s">
        <v>21</v>
      </c>
    </row>
    <row r="7" spans="1:9" x14ac:dyDescent="0.25">
      <c r="A7" s="3">
        <v>1955</v>
      </c>
      <c r="B7" s="3">
        <v>113.2688304</v>
      </c>
      <c r="C7" s="3">
        <v>22.9785866</v>
      </c>
      <c r="D7" s="3">
        <v>20</v>
      </c>
      <c r="E7" s="13">
        <f t="shared" si="0"/>
        <v>1.1640633447650149E-2</v>
      </c>
      <c r="F7" s="13">
        <f t="shared" si="1"/>
        <v>9.2685477787045816</v>
      </c>
      <c r="G7" s="14">
        <f t="shared" si="2"/>
        <v>249.93468657042587</v>
      </c>
      <c r="H7" s="14">
        <f t="shared" si="3"/>
        <v>249.93468657042587</v>
      </c>
      <c r="I7" s="26" t="s">
        <v>21</v>
      </c>
    </row>
    <row r="8" spans="1:9" x14ac:dyDescent="0.25">
      <c r="A8" s="3">
        <v>2474</v>
      </c>
      <c r="B8" s="3">
        <v>113.2831875</v>
      </c>
      <c r="C8" s="3">
        <v>22.959464700000002</v>
      </c>
      <c r="D8" s="3">
        <v>20</v>
      </c>
      <c r="E8" s="13">
        <f t="shared" si="0"/>
        <v>1.2303371453889232E-2</v>
      </c>
      <c r="F8" s="13">
        <f t="shared" si="1"/>
        <v>9.0154608536663083</v>
      </c>
      <c r="G8" s="14">
        <f t="shared" si="2"/>
        <v>243.10997111393888</v>
      </c>
      <c r="H8" s="14">
        <f t="shared" si="3"/>
        <v>243.10997111393888</v>
      </c>
      <c r="I8" s="25" t="str">
        <f t="shared" ref="I8:I11" si="4">IF(MOD(ROW()-1,3)=1,"选中","")</f>
        <v>选中</v>
      </c>
    </row>
    <row r="9" spans="1:9" x14ac:dyDescent="0.25">
      <c r="A9" s="3">
        <v>2475</v>
      </c>
      <c r="B9" s="3">
        <v>113.2883073</v>
      </c>
      <c r="C9" s="3">
        <v>22.963056980000001</v>
      </c>
      <c r="D9" s="3">
        <v>20</v>
      </c>
      <c r="E9" s="13">
        <f t="shared" si="0"/>
        <v>1.4254721866343897E-2</v>
      </c>
      <c r="F9" s="13">
        <f t="shared" si="1"/>
        <v>8.3756906003646208</v>
      </c>
      <c r="G9" s="14">
        <f t="shared" si="2"/>
        <v>225.85799361392236</v>
      </c>
      <c r="H9" s="14">
        <f t="shared" si="3"/>
        <v>225.85799361392236</v>
      </c>
      <c r="I9" s="26" t="s">
        <v>21</v>
      </c>
    </row>
    <row r="10" spans="1:9" x14ac:dyDescent="0.25">
      <c r="A10" s="3">
        <v>2197</v>
      </c>
      <c r="B10" s="3">
        <v>113.2611186</v>
      </c>
      <c r="C10" s="3">
        <v>22.972956870000001</v>
      </c>
      <c r="D10" s="3">
        <v>20</v>
      </c>
      <c r="E10" s="13">
        <f t="shared" si="0"/>
        <v>1.4758116100314819E-2</v>
      </c>
      <c r="F10" s="13">
        <f t="shared" si="1"/>
        <v>8.2316053112910748</v>
      </c>
      <c r="G10" s="14">
        <f t="shared" si="2"/>
        <v>221.9726048320091</v>
      </c>
      <c r="H10" s="14">
        <f t="shared" si="3"/>
        <v>221.9726048320091</v>
      </c>
      <c r="I10" s="26" t="s">
        <v>21</v>
      </c>
    </row>
    <row r="11" spans="1:9" x14ac:dyDescent="0.25">
      <c r="A11" s="3">
        <v>1954</v>
      </c>
      <c r="B11" s="3">
        <v>113.2608417</v>
      </c>
      <c r="C11" s="3">
        <v>22.974032579999999</v>
      </c>
      <c r="D11" s="3">
        <v>20</v>
      </c>
      <c r="E11" s="13">
        <f t="shared" si="0"/>
        <v>1.5348793092062428E-2</v>
      </c>
      <c r="F11" s="13">
        <f t="shared" si="1"/>
        <v>8.0716604498319118</v>
      </c>
      <c r="G11" s="14">
        <f t="shared" si="2"/>
        <v>217.65954848577172</v>
      </c>
      <c r="H11" s="14">
        <f t="shared" si="3"/>
        <v>217.65954848577172</v>
      </c>
      <c r="I11" s="25" t="str">
        <f t="shared" si="4"/>
        <v>选中</v>
      </c>
    </row>
    <row r="12" spans="1:9" x14ac:dyDescent="0.25">
      <c r="A12" s="3"/>
      <c r="B12" s="3"/>
      <c r="C12" s="3"/>
      <c r="D12" s="3"/>
      <c r="G12" s="14"/>
      <c r="H12" s="14"/>
    </row>
    <row r="13" spans="1:9" x14ac:dyDescent="0.25">
      <c r="A13" s="3"/>
      <c r="B13" s="3"/>
      <c r="C13" s="3"/>
      <c r="D13" s="3"/>
      <c r="F13" s="13">
        <f>SUBTOTAL(9,F5:F11)</f>
        <v>66.194724757925329</v>
      </c>
      <c r="G13" s="13">
        <f t="shared" ref="G13:H13" si="5">SUBTOTAL(9,G5:G11)</f>
        <v>1785</v>
      </c>
      <c r="H13" s="13">
        <f t="shared" si="5"/>
        <v>1785</v>
      </c>
    </row>
    <row r="14" spans="1:9" x14ac:dyDescent="0.25">
      <c r="A14" s="3"/>
      <c r="B14" s="3"/>
      <c r="C14" s="3"/>
      <c r="D14" s="3"/>
      <c r="G14" s="14"/>
      <c r="H14" s="14"/>
    </row>
    <row r="15" spans="1:9" x14ac:dyDescent="0.25">
      <c r="A15" s="3"/>
      <c r="B15" s="3"/>
      <c r="C15" s="3"/>
      <c r="D15" s="3"/>
      <c r="G15" s="14"/>
      <c r="H15" s="14"/>
    </row>
    <row r="16" spans="1:9" x14ac:dyDescent="0.25">
      <c r="A16" s="3"/>
      <c r="B16" s="3"/>
      <c r="C16" s="3"/>
      <c r="D16" s="3"/>
      <c r="G16" s="14"/>
      <c r="H16" s="14"/>
    </row>
    <row r="17" spans="1:8" x14ac:dyDescent="0.25">
      <c r="A17" s="3"/>
      <c r="B17" s="3"/>
      <c r="C17" s="3"/>
      <c r="D17" s="3"/>
      <c r="G17" s="14"/>
      <c r="H17" s="14"/>
    </row>
    <row r="18" spans="1:8" x14ac:dyDescent="0.25">
      <c r="A18" s="3"/>
      <c r="B18" s="3"/>
      <c r="C18" s="3"/>
      <c r="D18" s="3"/>
      <c r="G18" s="14"/>
      <c r="H18" s="14"/>
    </row>
    <row r="19" spans="1:8" x14ac:dyDescent="0.25">
      <c r="A19" s="3"/>
      <c r="B19" s="3"/>
      <c r="C19" s="3"/>
      <c r="D19" s="3"/>
      <c r="G19" s="14"/>
      <c r="H19" s="14"/>
    </row>
    <row r="20" spans="1:8" x14ac:dyDescent="0.25">
      <c r="A20" s="3"/>
      <c r="B20" s="3"/>
      <c r="C20" s="3"/>
      <c r="D20" s="3"/>
      <c r="G20" s="14"/>
      <c r="H20" s="14"/>
    </row>
    <row r="21" spans="1:8" x14ac:dyDescent="0.25">
      <c r="A21" s="3"/>
      <c r="B21" s="3"/>
      <c r="C21" s="3"/>
      <c r="D21" s="3"/>
      <c r="G21" s="14"/>
      <c r="H21" s="14"/>
    </row>
    <row r="22" spans="1:8" x14ac:dyDescent="0.25">
      <c r="A22" s="3"/>
      <c r="B22" s="3"/>
      <c r="C22" s="3"/>
      <c r="D22" s="3"/>
      <c r="G22" s="14"/>
      <c r="H22" s="14"/>
    </row>
    <row r="23" spans="1:8" x14ac:dyDescent="0.25">
      <c r="A23" s="3"/>
      <c r="B23" s="3"/>
      <c r="C23" s="3"/>
      <c r="D23" s="3"/>
      <c r="G23" s="14"/>
      <c r="H23" s="14"/>
    </row>
    <row r="24" spans="1:8" x14ac:dyDescent="0.25">
      <c r="A24" s="3"/>
      <c r="B24" s="3"/>
      <c r="C24" s="3"/>
      <c r="D24" s="3"/>
      <c r="G24" s="14"/>
      <c r="H24" s="14"/>
    </row>
    <row r="25" spans="1:8" x14ac:dyDescent="0.25">
      <c r="A25" s="3"/>
      <c r="B25" s="3"/>
      <c r="C25" s="3"/>
      <c r="D25" s="3"/>
      <c r="G25" s="14"/>
      <c r="H25" s="14"/>
    </row>
    <row r="26" spans="1:8" x14ac:dyDescent="0.25">
      <c r="A26" s="3"/>
      <c r="B26" s="3"/>
      <c r="C26" s="3"/>
      <c r="D26" s="3"/>
      <c r="G26" s="14"/>
      <c r="H26" s="14"/>
    </row>
    <row r="27" spans="1:8" x14ac:dyDescent="0.25">
      <c r="A27" s="3"/>
      <c r="B27" s="3"/>
      <c r="C27" s="3"/>
      <c r="D27" s="3"/>
      <c r="G27" s="14"/>
      <c r="H27" s="14"/>
    </row>
    <row r="28" spans="1:8" x14ac:dyDescent="0.25">
      <c r="A28" s="3"/>
      <c r="B28" s="3"/>
      <c r="C28" s="3"/>
      <c r="D28" s="3"/>
      <c r="G28" s="14"/>
      <c r="H28" s="14"/>
    </row>
    <row r="29" spans="1:8" x14ac:dyDescent="0.25">
      <c r="A29" s="3"/>
      <c r="B29" s="3"/>
      <c r="C29" s="3"/>
      <c r="D29" s="3"/>
      <c r="G29" s="14"/>
      <c r="H29" s="14"/>
    </row>
    <row r="30" spans="1:8" x14ac:dyDescent="0.25">
      <c r="A30" s="3"/>
      <c r="B30" s="3"/>
      <c r="C30" s="3"/>
      <c r="D30" s="3"/>
      <c r="G30" s="14"/>
      <c r="H30" s="14"/>
    </row>
    <row r="31" spans="1:8" x14ac:dyDescent="0.25">
      <c r="A31" s="3"/>
      <c r="B31" s="3"/>
      <c r="C31" s="3"/>
      <c r="D31" s="3"/>
      <c r="G31" s="14"/>
      <c r="H31" s="14"/>
    </row>
    <row r="32" spans="1:8" x14ac:dyDescent="0.25">
      <c r="A32" s="3"/>
      <c r="B32" s="3"/>
      <c r="C32" s="3"/>
      <c r="D32" s="3"/>
      <c r="G32" s="14"/>
      <c r="H32" s="14"/>
    </row>
    <row r="33" spans="1:8" x14ac:dyDescent="0.25">
      <c r="A33" s="3"/>
      <c r="B33" s="3"/>
      <c r="C33" s="3"/>
      <c r="D33" s="3"/>
      <c r="G33" s="14"/>
      <c r="H33" s="14"/>
    </row>
    <row r="34" spans="1:8" x14ac:dyDescent="0.25">
      <c r="A34" s="3"/>
      <c r="B34" s="3"/>
      <c r="C34" s="3"/>
      <c r="D34" s="3"/>
      <c r="G34" s="14"/>
      <c r="H34" s="14"/>
    </row>
    <row r="35" spans="1:8" x14ac:dyDescent="0.25">
      <c r="A35" s="3"/>
      <c r="B35" s="3"/>
      <c r="C35" s="3"/>
      <c r="D35" s="3"/>
      <c r="G35" s="14"/>
      <c r="H35" s="14"/>
    </row>
    <row r="36" spans="1:8" x14ac:dyDescent="0.25">
      <c r="A36" s="3"/>
      <c r="B36" s="3"/>
      <c r="C36" s="3"/>
      <c r="D36" s="3"/>
      <c r="G36" s="14"/>
      <c r="H36" s="14"/>
    </row>
    <row r="37" spans="1:8" x14ac:dyDescent="0.25">
      <c r="A37" s="3"/>
      <c r="B37" s="3"/>
      <c r="C37" s="3"/>
      <c r="D37" s="3"/>
      <c r="G37" s="14"/>
      <c r="H37" s="14"/>
    </row>
    <row r="38" spans="1:8" x14ac:dyDescent="0.25">
      <c r="A38" s="3"/>
      <c r="B38" s="3"/>
      <c r="C38" s="3"/>
      <c r="D38" s="3"/>
      <c r="G38" s="14"/>
      <c r="H38" s="14"/>
    </row>
    <row r="39" spans="1:8" x14ac:dyDescent="0.25">
      <c r="A39" s="3"/>
      <c r="B39" s="3"/>
      <c r="C39" s="3"/>
      <c r="D39" s="3"/>
      <c r="G39" s="14"/>
      <c r="H39" s="14"/>
    </row>
    <row r="40" spans="1:8" x14ac:dyDescent="0.25">
      <c r="A40" s="3"/>
      <c r="B40" s="3"/>
      <c r="C40" s="3"/>
      <c r="D40" s="3"/>
      <c r="G40" s="14"/>
      <c r="H40" s="14"/>
    </row>
    <row r="41" spans="1:8" x14ac:dyDescent="0.25">
      <c r="A41" s="3"/>
      <c r="B41" s="3"/>
      <c r="C41" s="3"/>
      <c r="D41" s="3"/>
      <c r="G41" s="14"/>
      <c r="H41" s="14"/>
    </row>
    <row r="42" spans="1:8" x14ac:dyDescent="0.25">
      <c r="A42" s="3"/>
      <c r="B42" s="3"/>
      <c r="C42" s="3"/>
      <c r="D42" s="3"/>
      <c r="G42" s="14"/>
      <c r="H42" s="14"/>
    </row>
    <row r="43" spans="1:8" x14ac:dyDescent="0.25">
      <c r="A43" s="3"/>
      <c r="B43" s="3"/>
      <c r="C43" s="3"/>
      <c r="D43" s="3"/>
      <c r="G43" s="14"/>
      <c r="H43" s="14"/>
    </row>
    <row r="44" spans="1:8" x14ac:dyDescent="0.25">
      <c r="A44" s="3"/>
      <c r="B44" s="3"/>
      <c r="C44" s="3"/>
      <c r="D44" s="3"/>
      <c r="G44" s="14"/>
      <c r="H44" s="14"/>
    </row>
    <row r="45" spans="1:8" x14ac:dyDescent="0.25">
      <c r="A45" s="3"/>
      <c r="B45" s="3"/>
      <c r="C45" s="3"/>
      <c r="D45" s="3"/>
      <c r="G45" s="14"/>
      <c r="H45" s="14"/>
    </row>
    <row r="46" spans="1:8" x14ac:dyDescent="0.25">
      <c r="A46" s="3"/>
      <c r="B46" s="3"/>
      <c r="C46" s="3"/>
      <c r="D46" s="3"/>
      <c r="G46" s="14"/>
      <c r="H46" s="14"/>
    </row>
    <row r="47" spans="1:8" x14ac:dyDescent="0.25">
      <c r="A47" s="3"/>
      <c r="B47" s="3"/>
      <c r="C47" s="3"/>
      <c r="D47" s="3"/>
      <c r="G47" s="14"/>
      <c r="H47" s="14"/>
    </row>
    <row r="48" spans="1:8" x14ac:dyDescent="0.25">
      <c r="A48" s="3"/>
      <c r="B48" s="3"/>
      <c r="C48" s="3"/>
      <c r="D48" s="3"/>
      <c r="G48" s="14"/>
      <c r="H48" s="14"/>
    </row>
    <row r="49" spans="1:8" x14ac:dyDescent="0.25">
      <c r="A49" s="3"/>
      <c r="B49" s="3"/>
      <c r="C49" s="3"/>
      <c r="D49" s="3"/>
      <c r="G49" s="14"/>
      <c r="H49" s="14"/>
    </row>
    <row r="50" spans="1:8" x14ac:dyDescent="0.25">
      <c r="A50" s="3"/>
      <c r="B50" s="3"/>
      <c r="C50" s="3"/>
      <c r="D50" s="3"/>
      <c r="G50" s="14"/>
      <c r="H50" s="14"/>
    </row>
    <row r="51" spans="1:8" x14ac:dyDescent="0.25">
      <c r="A51" s="3"/>
      <c r="B51" s="3"/>
      <c r="C51" s="3"/>
      <c r="D51" s="3"/>
      <c r="G51" s="14"/>
      <c r="H51" s="14"/>
    </row>
    <row r="52" spans="1:8" x14ac:dyDescent="0.25">
      <c r="A52" s="3"/>
      <c r="B52" s="3"/>
      <c r="C52" s="3"/>
      <c r="D52" s="3"/>
      <c r="G52" s="14"/>
      <c r="H52" s="14"/>
    </row>
    <row r="53" spans="1:8" x14ac:dyDescent="0.25">
      <c r="A53" s="3"/>
      <c r="B53" s="3"/>
      <c r="C53" s="3"/>
      <c r="D53" s="3"/>
      <c r="G53" s="14"/>
      <c r="H53" s="14"/>
    </row>
    <row r="54" spans="1:8" x14ac:dyDescent="0.25">
      <c r="A54" s="3"/>
      <c r="B54" s="3"/>
      <c r="C54" s="3"/>
      <c r="D54" s="3"/>
      <c r="G54" s="14"/>
      <c r="H54" s="14"/>
    </row>
    <row r="55" spans="1:8" x14ac:dyDescent="0.25">
      <c r="A55" s="3"/>
      <c r="B55" s="3"/>
      <c r="C55" s="3"/>
      <c r="D55" s="3"/>
      <c r="G55" s="14"/>
      <c r="H55" s="14"/>
    </row>
    <row r="56" spans="1:8" x14ac:dyDescent="0.25">
      <c r="A56" s="3"/>
      <c r="B56" s="3"/>
      <c r="C56" s="3"/>
      <c r="D56" s="3"/>
      <c r="G56" s="14"/>
      <c r="H56" s="14"/>
    </row>
    <row r="57" spans="1:8" x14ac:dyDescent="0.25">
      <c r="A57" s="3"/>
      <c r="B57" s="3"/>
      <c r="C57" s="3"/>
      <c r="D57" s="3"/>
      <c r="G57" s="14"/>
      <c r="H57" s="14"/>
    </row>
    <row r="58" spans="1:8" x14ac:dyDescent="0.25">
      <c r="A58" s="3"/>
      <c r="B58" s="3"/>
      <c r="C58" s="3"/>
      <c r="D58" s="3"/>
      <c r="G58" s="14"/>
      <c r="H58" s="14"/>
    </row>
    <row r="59" spans="1:8" x14ac:dyDescent="0.25">
      <c r="A59" s="3"/>
      <c r="B59" s="3"/>
      <c r="C59" s="3"/>
      <c r="D59" s="3"/>
      <c r="G59" s="14"/>
      <c r="H59" s="14"/>
    </row>
    <row r="60" spans="1:8" x14ac:dyDescent="0.25">
      <c r="A60" s="3"/>
      <c r="B60" s="3"/>
      <c r="C60" s="3"/>
      <c r="D60" s="3"/>
      <c r="G60" s="14"/>
      <c r="H60" s="14"/>
    </row>
    <row r="61" spans="1:8" x14ac:dyDescent="0.25">
      <c r="A61" s="3"/>
      <c r="B61" s="3"/>
      <c r="C61" s="3"/>
      <c r="D61" s="3"/>
      <c r="G61" s="14"/>
      <c r="H61" s="14"/>
    </row>
    <row r="62" spans="1:8" x14ac:dyDescent="0.25">
      <c r="A62" s="3"/>
      <c r="B62" s="3"/>
      <c r="C62" s="3"/>
      <c r="D62" s="3"/>
      <c r="G62" s="14"/>
      <c r="H62" s="14"/>
    </row>
    <row r="63" spans="1:8" x14ac:dyDescent="0.25">
      <c r="A63" s="3"/>
      <c r="B63" s="3"/>
      <c r="C63" s="3"/>
      <c r="D63" s="3"/>
      <c r="G63" s="14"/>
      <c r="H63" s="14"/>
    </row>
    <row r="64" spans="1:8" x14ac:dyDescent="0.25">
      <c r="A64" s="3"/>
      <c r="B64" s="3"/>
      <c r="C64" s="3"/>
      <c r="D64" s="3"/>
      <c r="G64" s="14"/>
      <c r="H64" s="14"/>
    </row>
    <row r="65" spans="1:8" x14ac:dyDescent="0.25">
      <c r="A65" s="3"/>
      <c r="B65" s="3"/>
      <c r="C65" s="3"/>
      <c r="D65" s="3"/>
      <c r="G65" s="14"/>
      <c r="H65" s="14"/>
    </row>
    <row r="66" spans="1:8" x14ac:dyDescent="0.25">
      <c r="A66" s="3"/>
      <c r="B66" s="3"/>
      <c r="C66" s="3"/>
      <c r="D66" s="3"/>
      <c r="G66" s="14"/>
      <c r="H66" s="14"/>
    </row>
    <row r="67" spans="1:8" x14ac:dyDescent="0.25">
      <c r="A67" s="3"/>
      <c r="B67" s="3"/>
      <c r="C67" s="3"/>
      <c r="D67" s="3"/>
      <c r="G67" s="14"/>
      <c r="H67" s="14"/>
    </row>
    <row r="68" spans="1:8" x14ac:dyDescent="0.25">
      <c r="A68" s="3"/>
      <c r="B68" s="3"/>
      <c r="C68" s="3"/>
      <c r="D68" s="3"/>
      <c r="G68" s="14"/>
      <c r="H68" s="14"/>
    </row>
    <row r="69" spans="1:8" x14ac:dyDescent="0.25">
      <c r="A69" s="3"/>
      <c r="B69" s="3"/>
      <c r="C69" s="3"/>
      <c r="D69" s="3"/>
      <c r="G69" s="14"/>
      <c r="H69" s="14"/>
    </row>
    <row r="70" spans="1:8" x14ac:dyDescent="0.25">
      <c r="A70" s="3"/>
      <c r="B70" s="3"/>
      <c r="C70" s="3"/>
      <c r="D70" s="3"/>
      <c r="G70" s="14"/>
      <c r="H70" s="14"/>
    </row>
    <row r="71" spans="1:8" x14ac:dyDescent="0.25">
      <c r="A71" s="3"/>
      <c r="B71" s="3"/>
      <c r="C71" s="3"/>
      <c r="D71" s="3"/>
      <c r="G71" s="14"/>
      <c r="H71" s="14"/>
    </row>
    <row r="72" spans="1:8" x14ac:dyDescent="0.25">
      <c r="A72" s="3"/>
      <c r="B72" s="3"/>
      <c r="C72" s="3"/>
      <c r="D72" s="3"/>
      <c r="G72" s="14"/>
      <c r="H72" s="14"/>
    </row>
    <row r="73" spans="1:8" x14ac:dyDescent="0.25">
      <c r="A73" s="3"/>
      <c r="B73" s="3"/>
      <c r="C73" s="3"/>
      <c r="D73" s="3"/>
      <c r="G73" s="14"/>
      <c r="H73" s="14"/>
    </row>
    <row r="74" spans="1:8" x14ac:dyDescent="0.25">
      <c r="A74" s="3"/>
      <c r="B74" s="3"/>
      <c r="C74" s="3"/>
      <c r="D74" s="3"/>
      <c r="G74" s="14"/>
      <c r="H74" s="14"/>
    </row>
    <row r="75" spans="1:8" x14ac:dyDescent="0.25">
      <c r="A75" s="3"/>
      <c r="B75" s="3"/>
      <c r="C75" s="3"/>
      <c r="D75" s="3"/>
      <c r="G75" s="14"/>
      <c r="H75" s="14"/>
    </row>
    <row r="76" spans="1:8" x14ac:dyDescent="0.25">
      <c r="A76" s="3"/>
      <c r="B76" s="3"/>
      <c r="C76" s="3"/>
      <c r="D76" s="3"/>
      <c r="G76" s="14"/>
      <c r="H76" s="14"/>
    </row>
    <row r="77" spans="1:8" x14ac:dyDescent="0.25">
      <c r="A77" s="3"/>
      <c r="B77" s="3"/>
      <c r="C77" s="3"/>
      <c r="D77" s="3"/>
      <c r="G77" s="14"/>
      <c r="H77" s="14"/>
    </row>
    <row r="78" spans="1:8" x14ac:dyDescent="0.25">
      <c r="A78" s="3"/>
      <c r="B78" s="3"/>
      <c r="C78" s="3"/>
      <c r="D78" s="3"/>
      <c r="G78" s="14"/>
      <c r="H78" s="14"/>
    </row>
    <row r="79" spans="1:8" x14ac:dyDescent="0.25">
      <c r="A79" s="3"/>
      <c r="B79" s="3"/>
      <c r="C79" s="3"/>
      <c r="D79" s="3"/>
      <c r="G79" s="14"/>
      <c r="H79" s="14"/>
    </row>
    <row r="80" spans="1:8" x14ac:dyDescent="0.25">
      <c r="A80" s="3"/>
      <c r="B80" s="3"/>
      <c r="C80" s="3"/>
      <c r="D80" s="3"/>
      <c r="G80" s="14"/>
      <c r="H80" s="14"/>
    </row>
    <row r="81" spans="1:8" x14ac:dyDescent="0.25">
      <c r="A81" s="3"/>
      <c r="B81" s="3"/>
      <c r="C81" s="3"/>
      <c r="D81" s="3"/>
      <c r="G81" s="14"/>
      <c r="H81" s="14"/>
    </row>
    <row r="82" spans="1:8" x14ac:dyDescent="0.25">
      <c r="A82" s="3"/>
      <c r="B82" s="3"/>
      <c r="C82" s="3"/>
      <c r="D82" s="3"/>
      <c r="G82" s="14"/>
      <c r="H82" s="14"/>
    </row>
    <row r="83" spans="1:8" x14ac:dyDescent="0.25">
      <c r="A83" s="3"/>
      <c r="B83" s="3"/>
      <c r="C83" s="3"/>
      <c r="D83" s="3"/>
      <c r="G83" s="14"/>
      <c r="H83" s="14"/>
    </row>
    <row r="84" spans="1:8" x14ac:dyDescent="0.25">
      <c r="A84" s="3"/>
      <c r="B84" s="3"/>
      <c r="C84" s="3"/>
      <c r="D84" s="3"/>
      <c r="G84" s="14"/>
      <c r="H84" s="14"/>
    </row>
    <row r="85" spans="1:8" x14ac:dyDescent="0.25">
      <c r="A85" s="3"/>
      <c r="B85" s="3"/>
      <c r="C85" s="3"/>
      <c r="D85" s="3"/>
      <c r="G85" s="14"/>
      <c r="H85" s="14"/>
    </row>
    <row r="86" spans="1:8" x14ac:dyDescent="0.25">
      <c r="A86" s="3"/>
      <c r="B86" s="3"/>
      <c r="C86" s="3"/>
      <c r="D86" s="3"/>
      <c r="G86" s="14"/>
      <c r="H86" s="14"/>
    </row>
    <row r="87" spans="1:8" x14ac:dyDescent="0.25">
      <c r="A87" s="3"/>
      <c r="B87" s="3"/>
      <c r="C87" s="3"/>
      <c r="D87" s="3"/>
      <c r="G87" s="14"/>
      <c r="H87" s="14"/>
    </row>
    <row r="88" spans="1:8" x14ac:dyDescent="0.25">
      <c r="A88" s="3"/>
      <c r="B88" s="3"/>
      <c r="C88" s="3"/>
      <c r="D88" s="3"/>
      <c r="G88" s="14"/>
      <c r="H88" s="14"/>
    </row>
    <row r="89" spans="1:8" x14ac:dyDescent="0.25">
      <c r="A89" s="3"/>
      <c r="B89" s="3"/>
      <c r="C89" s="3"/>
      <c r="D89" s="3"/>
      <c r="G89" s="14"/>
      <c r="H89" s="14"/>
    </row>
    <row r="90" spans="1:8" x14ac:dyDescent="0.25">
      <c r="A90" s="3"/>
      <c r="B90" s="3"/>
      <c r="C90" s="3"/>
      <c r="D90" s="3"/>
      <c r="G90" s="14"/>
      <c r="H90" s="14"/>
    </row>
    <row r="91" spans="1:8" x14ac:dyDescent="0.25">
      <c r="A91" s="3"/>
      <c r="B91" s="3"/>
      <c r="C91" s="3"/>
      <c r="D91" s="3"/>
      <c r="G91" s="14"/>
      <c r="H91" s="14"/>
    </row>
    <row r="92" spans="1:8" x14ac:dyDescent="0.25">
      <c r="A92" s="3"/>
      <c r="B92" s="3"/>
      <c r="C92" s="3"/>
      <c r="D92" s="3"/>
      <c r="G92" s="14"/>
      <c r="H92" s="14"/>
    </row>
    <row r="93" spans="1:8" x14ac:dyDescent="0.25">
      <c r="A93" s="3"/>
      <c r="B93" s="3"/>
      <c r="C93" s="3"/>
      <c r="D93" s="3"/>
      <c r="G93" s="14"/>
      <c r="H93" s="14"/>
    </row>
    <row r="94" spans="1:8" x14ac:dyDescent="0.25">
      <c r="A94" s="3"/>
      <c r="B94" s="3"/>
      <c r="C94" s="3"/>
      <c r="D94" s="3"/>
      <c r="G94" s="14"/>
      <c r="H94" s="14"/>
    </row>
    <row r="95" spans="1:8" x14ac:dyDescent="0.25">
      <c r="A95" s="3"/>
      <c r="B95" s="3"/>
      <c r="C95" s="3"/>
      <c r="D95" s="3"/>
      <c r="G95" s="14"/>
      <c r="H95" s="14"/>
    </row>
    <row r="96" spans="1:8" x14ac:dyDescent="0.25">
      <c r="A96" s="3"/>
      <c r="B96" s="3"/>
      <c r="C96" s="3"/>
      <c r="D96" s="3"/>
      <c r="G96" s="14"/>
      <c r="H96" s="14"/>
    </row>
    <row r="97" spans="1:8" x14ac:dyDescent="0.25">
      <c r="A97" s="3"/>
      <c r="B97" s="3"/>
      <c r="C97" s="3"/>
      <c r="D97" s="3"/>
      <c r="G97" s="14"/>
      <c r="H97" s="14"/>
    </row>
    <row r="98" spans="1:8" x14ac:dyDescent="0.25">
      <c r="A98" s="3"/>
      <c r="B98" s="3"/>
      <c r="C98" s="3"/>
      <c r="D98" s="3"/>
      <c r="G98" s="14"/>
      <c r="H98" s="14"/>
    </row>
    <row r="99" spans="1:8" x14ac:dyDescent="0.25">
      <c r="A99" s="3"/>
      <c r="B99" s="3"/>
      <c r="C99" s="3"/>
      <c r="D99" s="3"/>
      <c r="G99" s="14"/>
      <c r="H99" s="14"/>
    </row>
    <row r="100" spans="1:8" x14ac:dyDescent="0.25">
      <c r="A100" s="3"/>
      <c r="B100" s="3"/>
      <c r="C100" s="3"/>
      <c r="D100" s="3"/>
      <c r="G100" s="14"/>
      <c r="H100" s="14"/>
    </row>
    <row r="101" spans="1:8" x14ac:dyDescent="0.25">
      <c r="A101" s="3"/>
      <c r="B101" s="3"/>
      <c r="C101" s="3"/>
      <c r="D101" s="3"/>
      <c r="G101" s="14"/>
      <c r="H101" s="14"/>
    </row>
    <row r="102" spans="1:8" x14ac:dyDescent="0.25">
      <c r="A102" s="3"/>
      <c r="B102" s="3"/>
      <c r="C102" s="3"/>
      <c r="D102" s="3"/>
      <c r="G102" s="14"/>
      <c r="H102" s="14"/>
    </row>
    <row r="103" spans="1:8" x14ac:dyDescent="0.25">
      <c r="A103" s="3"/>
      <c r="B103" s="3"/>
      <c r="C103" s="3"/>
      <c r="D103" s="3"/>
      <c r="G103" s="14"/>
      <c r="H103" s="14"/>
    </row>
    <row r="104" spans="1:8" x14ac:dyDescent="0.25">
      <c r="A104" s="3"/>
      <c r="B104" s="3"/>
      <c r="C104" s="3"/>
      <c r="D104" s="3"/>
      <c r="G104" s="14"/>
      <c r="H104" s="14"/>
    </row>
    <row r="105" spans="1:8" x14ac:dyDescent="0.25">
      <c r="A105" s="3"/>
      <c r="B105" s="3"/>
      <c r="C105" s="3"/>
      <c r="D105" s="3"/>
      <c r="G105" s="14"/>
      <c r="H105" s="14"/>
    </row>
    <row r="106" spans="1:8" x14ac:dyDescent="0.25">
      <c r="A106" s="3"/>
      <c r="B106" s="3"/>
      <c r="C106" s="3"/>
      <c r="D106" s="3"/>
      <c r="G106" s="14"/>
      <c r="H106" s="14"/>
    </row>
    <row r="107" spans="1:8" x14ac:dyDescent="0.25">
      <c r="A107" s="3"/>
      <c r="B107" s="3"/>
      <c r="C107" s="3"/>
      <c r="D107" s="3"/>
      <c r="G107" s="14"/>
      <c r="H107" s="14"/>
    </row>
    <row r="108" spans="1:8" x14ac:dyDescent="0.25">
      <c r="A108" s="3"/>
      <c r="B108" s="3"/>
      <c r="C108" s="3"/>
      <c r="D108" s="3"/>
      <c r="G108" s="14"/>
      <c r="H108" s="14"/>
    </row>
    <row r="109" spans="1:8" x14ac:dyDescent="0.25">
      <c r="A109" s="3"/>
      <c r="B109" s="3"/>
      <c r="C109" s="3"/>
      <c r="D109" s="3"/>
      <c r="G109" s="14"/>
      <c r="H109" s="14"/>
    </row>
    <row r="110" spans="1:8" x14ac:dyDescent="0.25">
      <c r="A110" s="3"/>
      <c r="B110" s="3"/>
      <c r="C110" s="3"/>
      <c r="D110" s="3"/>
      <c r="G110" s="14"/>
      <c r="H110" s="14"/>
    </row>
    <row r="111" spans="1:8" x14ac:dyDescent="0.25">
      <c r="A111" s="3"/>
      <c r="B111" s="3"/>
      <c r="C111" s="3"/>
      <c r="D111" s="3"/>
      <c r="G111" s="14"/>
      <c r="H111" s="14"/>
    </row>
    <row r="112" spans="1:8" x14ac:dyDescent="0.25">
      <c r="A112" s="3"/>
      <c r="B112" s="3"/>
      <c r="C112" s="3"/>
      <c r="D112" s="3"/>
      <c r="G112" s="14"/>
      <c r="H112" s="14"/>
    </row>
    <row r="113" spans="1:8" x14ac:dyDescent="0.25">
      <c r="A113" s="3"/>
      <c r="B113" s="3"/>
      <c r="C113" s="3"/>
      <c r="D113" s="3"/>
      <c r="G113" s="14"/>
      <c r="H113" s="14"/>
    </row>
    <row r="114" spans="1:8" x14ac:dyDescent="0.25">
      <c r="A114" s="3"/>
      <c r="B114" s="3"/>
      <c r="C114" s="3"/>
      <c r="D114" s="3"/>
      <c r="G114" s="14"/>
      <c r="H114" s="14"/>
    </row>
    <row r="115" spans="1:8" x14ac:dyDescent="0.25">
      <c r="A115" s="3"/>
      <c r="B115" s="3"/>
      <c r="C115" s="3"/>
      <c r="D115" s="3"/>
      <c r="G115" s="14"/>
      <c r="H115" s="14"/>
    </row>
    <row r="116" spans="1:8" x14ac:dyDescent="0.25">
      <c r="A116" s="3"/>
      <c r="B116" s="3"/>
      <c r="C116" s="3"/>
      <c r="D116" s="3"/>
      <c r="G116" s="14"/>
      <c r="H116" s="14"/>
    </row>
    <row r="117" spans="1:8" x14ac:dyDescent="0.25">
      <c r="A117" s="3"/>
      <c r="B117" s="3"/>
      <c r="C117" s="3"/>
      <c r="D117" s="3"/>
      <c r="G117" s="14"/>
      <c r="H117" s="14"/>
    </row>
    <row r="118" spans="1:8" x14ac:dyDescent="0.25">
      <c r="A118" s="3"/>
      <c r="B118" s="3"/>
      <c r="C118" s="3"/>
      <c r="D118" s="3"/>
      <c r="G118" s="14"/>
      <c r="H118" s="14"/>
    </row>
    <row r="119" spans="1:8" x14ac:dyDescent="0.25">
      <c r="A119" s="3"/>
      <c r="B119" s="3"/>
      <c r="C119" s="3"/>
      <c r="D119" s="3"/>
      <c r="G119" s="14"/>
      <c r="H119" s="14"/>
    </row>
    <row r="120" spans="1:8" x14ac:dyDescent="0.25">
      <c r="A120" s="3"/>
      <c r="B120" s="3"/>
      <c r="C120" s="3"/>
      <c r="D120" s="3"/>
      <c r="G120" s="14"/>
      <c r="H120" s="14"/>
    </row>
    <row r="121" spans="1:8" x14ac:dyDescent="0.25">
      <c r="A121" s="3"/>
      <c r="B121" s="3"/>
      <c r="C121" s="3"/>
      <c r="D121" s="3"/>
      <c r="G121" s="14"/>
      <c r="H121" s="14"/>
    </row>
    <row r="122" spans="1:8" x14ac:dyDescent="0.25">
      <c r="A122" s="3"/>
      <c r="B122" s="3"/>
      <c r="C122" s="3"/>
      <c r="D122" s="3"/>
      <c r="G122" s="14"/>
      <c r="H122" s="14"/>
    </row>
    <row r="123" spans="1:8" x14ac:dyDescent="0.25">
      <c r="A123" s="3"/>
      <c r="B123" s="3"/>
      <c r="C123" s="3"/>
      <c r="D123" s="3"/>
      <c r="G123" s="14"/>
      <c r="H123" s="14"/>
    </row>
    <row r="124" spans="1:8" x14ac:dyDescent="0.25">
      <c r="A124" s="3"/>
      <c r="B124" s="3"/>
      <c r="C124" s="3"/>
      <c r="D124" s="3"/>
      <c r="G124" s="14"/>
      <c r="H124" s="14"/>
    </row>
    <row r="125" spans="1:8" x14ac:dyDescent="0.25">
      <c r="A125" s="3"/>
      <c r="B125" s="3"/>
      <c r="C125" s="3"/>
      <c r="D125" s="3"/>
      <c r="G125" s="14"/>
      <c r="H125" s="14"/>
    </row>
    <row r="126" spans="1:8" x14ac:dyDescent="0.25">
      <c r="A126" s="18"/>
      <c r="B126" s="3"/>
      <c r="C126" s="3"/>
      <c r="D126" s="3"/>
      <c r="G126" s="14"/>
      <c r="H126" s="14"/>
    </row>
    <row r="127" spans="1:8" x14ac:dyDescent="0.25">
      <c r="A127" s="3"/>
      <c r="B127" s="3"/>
      <c r="C127" s="3"/>
      <c r="D127" s="3"/>
      <c r="G127" s="14"/>
      <c r="H127" s="14"/>
    </row>
    <row r="128" spans="1:8" x14ac:dyDescent="0.25">
      <c r="A128" s="3"/>
      <c r="B128" s="3"/>
      <c r="C128" s="3"/>
      <c r="D128" s="3"/>
      <c r="G128" s="14"/>
      <c r="H128" s="14"/>
    </row>
    <row r="129" spans="1:8" x14ac:dyDescent="0.25">
      <c r="A129" s="3"/>
      <c r="B129" s="3"/>
      <c r="C129" s="3"/>
      <c r="D129" s="3"/>
      <c r="G129" s="14"/>
      <c r="H129" s="14"/>
    </row>
    <row r="130" spans="1:8" x14ac:dyDescent="0.25">
      <c r="A130" s="3"/>
      <c r="B130" s="3"/>
      <c r="C130" s="3"/>
      <c r="D130" s="3"/>
      <c r="G130" s="14"/>
      <c r="H130" s="14"/>
    </row>
    <row r="131" spans="1:8" x14ac:dyDescent="0.25">
      <c r="A131" s="3"/>
      <c r="B131" s="3"/>
      <c r="C131" s="3"/>
      <c r="D131" s="3"/>
      <c r="G131" s="14"/>
      <c r="H131" s="14"/>
    </row>
    <row r="132" spans="1:8" x14ac:dyDescent="0.25">
      <c r="A132" s="3"/>
      <c r="B132" s="3"/>
      <c r="C132" s="3"/>
      <c r="D132" s="3"/>
      <c r="G132" s="14"/>
      <c r="H132" s="14"/>
    </row>
    <row r="133" spans="1:8" x14ac:dyDescent="0.25">
      <c r="A133" s="3"/>
      <c r="B133" s="3"/>
      <c r="C133" s="3"/>
      <c r="D133" s="3"/>
      <c r="G133" s="14"/>
      <c r="H133" s="14"/>
    </row>
    <row r="134" spans="1:8" x14ac:dyDescent="0.25">
      <c r="A134" s="3"/>
      <c r="B134" s="3"/>
      <c r="C134" s="3"/>
      <c r="D134" s="3"/>
      <c r="G134" s="14"/>
      <c r="H134" s="14"/>
    </row>
    <row r="135" spans="1:8" x14ac:dyDescent="0.25">
      <c r="A135" s="3"/>
      <c r="B135" s="3"/>
      <c r="C135" s="3"/>
      <c r="D135" s="3"/>
      <c r="G135" s="14"/>
      <c r="H135" s="14"/>
    </row>
    <row r="136" spans="1:8" x14ac:dyDescent="0.25">
      <c r="A136" s="3"/>
      <c r="B136" s="3"/>
      <c r="C136" s="3"/>
      <c r="D136" s="3"/>
      <c r="G136" s="14"/>
      <c r="H136" s="14"/>
    </row>
    <row r="137" spans="1:8" x14ac:dyDescent="0.25">
      <c r="A137" s="3"/>
      <c r="B137" s="3"/>
      <c r="C137" s="3"/>
      <c r="D137" s="3"/>
      <c r="G137" s="14"/>
      <c r="H137" s="14"/>
    </row>
    <row r="138" spans="1:8" x14ac:dyDescent="0.25">
      <c r="A138" s="3"/>
      <c r="B138" s="3"/>
      <c r="C138" s="3"/>
      <c r="D138" s="3"/>
      <c r="G138" s="14"/>
      <c r="H138" s="14"/>
    </row>
    <row r="139" spans="1:8" x14ac:dyDescent="0.25">
      <c r="A139" s="3"/>
      <c r="B139" s="3"/>
      <c r="C139" s="3"/>
      <c r="D139" s="3"/>
      <c r="G139" s="14"/>
      <c r="H139" s="14"/>
    </row>
    <row r="140" spans="1:8" x14ac:dyDescent="0.25">
      <c r="A140" s="3"/>
      <c r="B140" s="3"/>
      <c r="C140" s="3"/>
      <c r="D140" s="3"/>
      <c r="G140" s="14"/>
      <c r="H140" s="14"/>
    </row>
    <row r="141" spans="1:8" x14ac:dyDescent="0.25">
      <c r="A141" s="3"/>
      <c r="B141" s="3"/>
      <c r="C141" s="3"/>
      <c r="D141" s="3"/>
      <c r="G141" s="14"/>
      <c r="H141" s="14"/>
    </row>
    <row r="142" spans="1:8" x14ac:dyDescent="0.25">
      <c r="A142" s="3"/>
      <c r="B142" s="3"/>
      <c r="C142" s="3"/>
      <c r="D142" s="3"/>
      <c r="G142" s="14"/>
      <c r="H142" s="14"/>
    </row>
    <row r="143" spans="1:8" x14ac:dyDescent="0.25">
      <c r="A143" s="3"/>
      <c r="B143" s="3"/>
      <c r="C143" s="3"/>
      <c r="D143" s="3"/>
      <c r="G143" s="14"/>
      <c r="H143" s="14"/>
    </row>
    <row r="144" spans="1:8" x14ac:dyDescent="0.25">
      <c r="A144" s="3"/>
      <c r="B144" s="3"/>
      <c r="C144" s="3"/>
      <c r="D144" s="3"/>
      <c r="G144" s="14"/>
      <c r="H144" s="14"/>
    </row>
    <row r="145" spans="1:8" x14ac:dyDescent="0.25">
      <c r="A145" s="3"/>
      <c r="B145" s="3"/>
      <c r="C145" s="3"/>
      <c r="D145" s="3"/>
      <c r="G145" s="14"/>
      <c r="H145" s="14"/>
    </row>
    <row r="146" spans="1:8" x14ac:dyDescent="0.25">
      <c r="A146" s="3"/>
      <c r="B146" s="3"/>
      <c r="C146" s="3"/>
      <c r="D146" s="3"/>
      <c r="G146" s="14"/>
      <c r="H146" s="14"/>
    </row>
    <row r="147" spans="1:8" x14ac:dyDescent="0.25">
      <c r="A147" s="3"/>
      <c r="B147" s="3"/>
      <c r="C147" s="3"/>
      <c r="D147" s="3"/>
      <c r="G147" s="14"/>
      <c r="H147" s="14"/>
    </row>
    <row r="148" spans="1:8" x14ac:dyDescent="0.25">
      <c r="A148" s="3"/>
      <c r="B148" s="3"/>
      <c r="C148" s="3"/>
      <c r="D148" s="3"/>
      <c r="G148" s="14"/>
      <c r="H148" s="14"/>
    </row>
    <row r="149" spans="1:8" x14ac:dyDescent="0.25">
      <c r="A149" s="3"/>
      <c r="B149" s="3"/>
      <c r="C149" s="3"/>
      <c r="D149" s="3"/>
      <c r="G149" s="14"/>
      <c r="H149" s="14"/>
    </row>
    <row r="150" spans="1:8" x14ac:dyDescent="0.25">
      <c r="A150" s="3"/>
      <c r="B150" s="3"/>
      <c r="C150" s="3"/>
      <c r="D150" s="3"/>
      <c r="G150" s="14"/>
      <c r="H150" s="14"/>
    </row>
    <row r="151" spans="1:8" x14ac:dyDescent="0.25">
      <c r="A151" s="3"/>
      <c r="B151" s="3"/>
      <c r="C151" s="3"/>
      <c r="D151" s="3"/>
      <c r="G151" s="14"/>
      <c r="H151" s="14"/>
    </row>
    <row r="152" spans="1:8" x14ac:dyDescent="0.25">
      <c r="A152" s="3"/>
      <c r="B152" s="3"/>
      <c r="C152" s="3"/>
      <c r="D152" s="3"/>
      <c r="G152" s="14"/>
      <c r="H152" s="14"/>
    </row>
    <row r="153" spans="1:8" x14ac:dyDescent="0.25">
      <c r="A153" s="3"/>
      <c r="B153" s="3"/>
      <c r="C153" s="3"/>
      <c r="D153" s="3"/>
      <c r="G153" s="14"/>
      <c r="H153" s="14"/>
    </row>
    <row r="154" spans="1:8" x14ac:dyDescent="0.25">
      <c r="A154" s="3"/>
      <c r="B154" s="3"/>
      <c r="C154" s="3"/>
      <c r="D154" s="3"/>
      <c r="G154" s="14"/>
      <c r="H154" s="14"/>
    </row>
    <row r="155" spans="1:8" x14ac:dyDescent="0.25">
      <c r="A155" s="3"/>
      <c r="B155" s="3"/>
      <c r="C155" s="3"/>
      <c r="D155" s="3"/>
      <c r="G155" s="14"/>
      <c r="H155" s="14"/>
    </row>
    <row r="156" spans="1:8" x14ac:dyDescent="0.25">
      <c r="A156" s="3"/>
      <c r="B156" s="3"/>
      <c r="C156" s="3"/>
      <c r="D156" s="3"/>
      <c r="G156" s="14"/>
      <c r="H156" s="14"/>
    </row>
    <row r="157" spans="1:8" x14ac:dyDescent="0.25">
      <c r="A157" s="3"/>
      <c r="B157" s="3"/>
      <c r="C157" s="3"/>
      <c r="D157" s="3"/>
      <c r="G157" s="14"/>
      <c r="H157" s="14"/>
    </row>
    <row r="158" spans="1:8" x14ac:dyDescent="0.25">
      <c r="A158" s="3"/>
      <c r="B158" s="3"/>
      <c r="C158" s="3"/>
      <c r="D158" s="3"/>
      <c r="G158" s="14"/>
      <c r="H158" s="14"/>
    </row>
    <row r="159" spans="1:8" x14ac:dyDescent="0.25">
      <c r="A159" s="3"/>
      <c r="B159" s="3"/>
      <c r="C159" s="3"/>
      <c r="D159" s="3"/>
      <c r="G159" s="14"/>
      <c r="H159" s="14"/>
    </row>
    <row r="160" spans="1:8" x14ac:dyDescent="0.25">
      <c r="A160" s="3"/>
      <c r="B160" s="3"/>
      <c r="C160" s="3"/>
      <c r="D160" s="3"/>
      <c r="G160" s="14"/>
      <c r="H160" s="14"/>
    </row>
    <row r="161" spans="1:8" x14ac:dyDescent="0.25">
      <c r="A161" s="3"/>
      <c r="B161" s="3"/>
      <c r="C161" s="3"/>
      <c r="D161" s="3"/>
      <c r="G161" s="14"/>
      <c r="H161" s="14"/>
    </row>
    <row r="162" spans="1:8" x14ac:dyDescent="0.25">
      <c r="A162" s="3"/>
      <c r="B162" s="3"/>
      <c r="C162" s="3"/>
      <c r="D162" s="3"/>
      <c r="G162" s="14"/>
      <c r="H162" s="14"/>
    </row>
    <row r="163" spans="1:8" x14ac:dyDescent="0.25">
      <c r="A163" s="3"/>
      <c r="B163" s="3"/>
      <c r="C163" s="3"/>
      <c r="D163" s="3"/>
      <c r="G163" s="14"/>
      <c r="H163" s="14"/>
    </row>
    <row r="164" spans="1:8" x14ac:dyDescent="0.25">
      <c r="A164" s="3"/>
      <c r="B164" s="3"/>
      <c r="C164" s="3"/>
      <c r="D164" s="3"/>
      <c r="G164" s="14"/>
      <c r="H164" s="14"/>
    </row>
    <row r="165" spans="1:8" x14ac:dyDescent="0.25">
      <c r="A165" s="3"/>
      <c r="B165" s="3"/>
      <c r="C165" s="3"/>
      <c r="D165" s="3"/>
      <c r="G165" s="14"/>
      <c r="H165" s="14"/>
    </row>
    <row r="166" spans="1:8" x14ac:dyDescent="0.25">
      <c r="A166" s="3"/>
      <c r="B166" s="3"/>
      <c r="C166" s="3"/>
      <c r="D166" s="3"/>
      <c r="G166" s="14"/>
      <c r="H166" s="14"/>
    </row>
    <row r="167" spans="1:8" x14ac:dyDescent="0.25">
      <c r="A167" s="3"/>
      <c r="B167" s="3"/>
      <c r="C167" s="3"/>
      <c r="D167" s="3"/>
      <c r="G167" s="14"/>
      <c r="H167" s="14"/>
    </row>
    <row r="168" spans="1:8" x14ac:dyDescent="0.25">
      <c r="A168" s="3"/>
      <c r="B168" s="3"/>
      <c r="C168" s="3"/>
      <c r="D168" s="3"/>
      <c r="G168" s="14"/>
      <c r="H168" s="14"/>
    </row>
    <row r="169" spans="1:8" x14ac:dyDescent="0.25">
      <c r="A169" s="3"/>
      <c r="B169" s="3"/>
      <c r="C169" s="3"/>
      <c r="D169" s="3"/>
      <c r="G169" s="14"/>
      <c r="H169" s="14"/>
    </row>
    <row r="170" spans="1:8" x14ac:dyDescent="0.25">
      <c r="A170" s="3"/>
      <c r="B170" s="3"/>
      <c r="C170" s="3"/>
      <c r="D170" s="3"/>
      <c r="G170" s="14"/>
      <c r="H170" s="14"/>
    </row>
    <row r="171" spans="1:8" x14ac:dyDescent="0.25">
      <c r="A171" s="3"/>
      <c r="B171" s="3"/>
      <c r="C171" s="3"/>
      <c r="D171" s="3"/>
      <c r="G171" s="14"/>
      <c r="H171" s="14"/>
    </row>
    <row r="172" spans="1:8" x14ac:dyDescent="0.25">
      <c r="A172" s="3"/>
      <c r="B172" s="3"/>
      <c r="C172" s="3"/>
      <c r="D172" s="3"/>
      <c r="G172" s="14"/>
      <c r="H172" s="14"/>
    </row>
    <row r="173" spans="1:8" x14ac:dyDescent="0.25">
      <c r="A173" s="3"/>
      <c r="B173" s="3"/>
      <c r="C173" s="3"/>
      <c r="D173" s="3"/>
      <c r="G173" s="14"/>
      <c r="H173" s="14"/>
    </row>
    <row r="174" spans="1:8" x14ac:dyDescent="0.25">
      <c r="A174" s="3"/>
      <c r="B174" s="3"/>
      <c r="C174" s="3"/>
      <c r="D174" s="3"/>
      <c r="G174" s="14"/>
      <c r="H174" s="14"/>
    </row>
    <row r="175" spans="1:8" x14ac:dyDescent="0.25">
      <c r="A175" s="3"/>
      <c r="B175" s="3"/>
      <c r="C175" s="3"/>
      <c r="D175" s="3"/>
      <c r="G175" s="14"/>
      <c r="H175" s="14"/>
    </row>
    <row r="176" spans="1:8" x14ac:dyDescent="0.25">
      <c r="A176" s="3"/>
      <c r="B176" s="3"/>
      <c r="C176" s="3"/>
      <c r="D176" s="3"/>
      <c r="G176" s="14"/>
      <c r="H176" s="14"/>
    </row>
    <row r="177" spans="1:8" x14ac:dyDescent="0.25">
      <c r="A177" s="3"/>
      <c r="B177" s="3"/>
      <c r="C177" s="3"/>
      <c r="D177" s="3"/>
      <c r="G177" s="14"/>
      <c r="H177" s="14"/>
    </row>
    <row r="178" spans="1:8" x14ac:dyDescent="0.25">
      <c r="A178" s="3"/>
      <c r="B178" s="3"/>
      <c r="C178" s="3"/>
      <c r="D178" s="3"/>
      <c r="G178" s="14"/>
      <c r="H178" s="14"/>
    </row>
    <row r="179" spans="1:8" x14ac:dyDescent="0.25">
      <c r="A179" s="3"/>
      <c r="B179" s="3"/>
      <c r="C179" s="3"/>
      <c r="D179" s="3"/>
      <c r="G179" s="14"/>
      <c r="H179" s="14"/>
    </row>
    <row r="180" spans="1:8" x14ac:dyDescent="0.25">
      <c r="A180" s="3"/>
      <c r="B180" s="3"/>
      <c r="C180" s="3"/>
      <c r="D180" s="3"/>
      <c r="G180" s="14"/>
      <c r="H180" s="14"/>
    </row>
    <row r="181" spans="1:8" x14ac:dyDescent="0.25">
      <c r="A181" s="3"/>
      <c r="B181" s="3"/>
      <c r="C181" s="3"/>
      <c r="D181" s="3"/>
      <c r="G181" s="14"/>
      <c r="H181" s="14"/>
    </row>
    <row r="182" spans="1:8" x14ac:dyDescent="0.25">
      <c r="A182" s="3"/>
      <c r="B182" s="3"/>
      <c r="C182" s="3"/>
      <c r="D182" s="3"/>
      <c r="G182" s="14"/>
      <c r="H182" s="14"/>
    </row>
    <row r="183" spans="1:8" x14ac:dyDescent="0.25">
      <c r="A183" s="3"/>
      <c r="B183" s="3"/>
      <c r="C183" s="3"/>
      <c r="D183" s="3"/>
      <c r="G183" s="14"/>
      <c r="H183" s="14"/>
    </row>
    <row r="184" spans="1:8" x14ac:dyDescent="0.25">
      <c r="A184" s="3"/>
      <c r="B184" s="3"/>
      <c r="C184" s="3"/>
      <c r="D184" s="3"/>
      <c r="G184" s="14"/>
      <c r="H184" s="14"/>
    </row>
    <row r="185" spans="1:8" x14ac:dyDescent="0.25">
      <c r="A185" s="3"/>
      <c r="B185" s="3"/>
      <c r="C185" s="3"/>
      <c r="D185" s="3"/>
      <c r="G185" s="14"/>
      <c r="H185" s="14"/>
    </row>
    <row r="186" spans="1:8" x14ac:dyDescent="0.25">
      <c r="A186" s="3"/>
      <c r="B186" s="3"/>
      <c r="C186" s="3"/>
      <c r="D186" s="3"/>
      <c r="G186" s="14"/>
      <c r="H186" s="14"/>
    </row>
    <row r="187" spans="1:8" x14ac:dyDescent="0.25">
      <c r="A187" s="3"/>
      <c r="B187" s="3"/>
      <c r="C187" s="3"/>
      <c r="D187" s="3"/>
      <c r="G187" s="14"/>
      <c r="H187" s="14"/>
    </row>
    <row r="188" spans="1:8" x14ac:dyDescent="0.25">
      <c r="A188" s="3"/>
      <c r="B188" s="3"/>
      <c r="C188" s="3"/>
      <c r="D188" s="3"/>
      <c r="G188" s="14"/>
      <c r="H188" s="14"/>
    </row>
    <row r="189" spans="1:8" x14ac:dyDescent="0.25">
      <c r="A189" s="3"/>
      <c r="B189" s="3"/>
      <c r="C189" s="3"/>
      <c r="D189" s="3"/>
      <c r="G189" s="14"/>
      <c r="H189" s="14"/>
    </row>
    <row r="190" spans="1:8" x14ac:dyDescent="0.25">
      <c r="A190" s="3"/>
      <c r="B190" s="3"/>
      <c r="C190" s="3"/>
      <c r="D190" s="3"/>
      <c r="G190" s="14"/>
      <c r="H190" s="14"/>
    </row>
    <row r="191" spans="1:8" x14ac:dyDescent="0.25">
      <c r="A191" s="3"/>
      <c r="B191" s="3"/>
      <c r="C191" s="3"/>
      <c r="D191" s="3"/>
      <c r="G191" s="14"/>
      <c r="H191" s="14"/>
    </row>
    <row r="192" spans="1:8" x14ac:dyDescent="0.25">
      <c r="A192" s="3"/>
      <c r="B192" s="3"/>
      <c r="C192" s="3"/>
      <c r="D192" s="3"/>
      <c r="G192" s="14"/>
      <c r="H192" s="14"/>
    </row>
    <row r="193" spans="1:8" x14ac:dyDescent="0.25">
      <c r="A193" s="3"/>
      <c r="B193" s="3"/>
      <c r="C193" s="3"/>
      <c r="D193" s="3"/>
      <c r="G193" s="14"/>
      <c r="H193" s="14"/>
    </row>
    <row r="194" spans="1:8" x14ac:dyDescent="0.25">
      <c r="A194" s="3"/>
      <c r="B194" s="3"/>
      <c r="C194" s="3"/>
      <c r="D194" s="3"/>
      <c r="G194" s="14"/>
      <c r="H194" s="14"/>
    </row>
    <row r="195" spans="1:8" x14ac:dyDescent="0.25">
      <c r="A195" s="3"/>
      <c r="B195" s="3"/>
      <c r="C195" s="3"/>
      <c r="D195" s="3"/>
      <c r="G195" s="14"/>
      <c r="H195" s="14"/>
    </row>
    <row r="196" spans="1:8" x14ac:dyDescent="0.25">
      <c r="A196" s="3"/>
      <c r="B196" s="3"/>
      <c r="C196" s="3"/>
      <c r="D196" s="3"/>
      <c r="G196" s="14"/>
      <c r="H196" s="14"/>
    </row>
    <row r="197" spans="1:8" x14ac:dyDescent="0.25">
      <c r="A197" s="3"/>
      <c r="B197" s="3"/>
      <c r="C197" s="3"/>
      <c r="D197" s="3"/>
      <c r="G197" s="14"/>
      <c r="H197" s="14"/>
    </row>
    <row r="198" spans="1:8" x14ac:dyDescent="0.25">
      <c r="A198" s="3"/>
      <c r="B198" s="3"/>
      <c r="C198" s="3"/>
      <c r="D198" s="3"/>
      <c r="G198" s="14"/>
      <c r="H198" s="14"/>
    </row>
    <row r="199" spans="1:8" x14ac:dyDescent="0.25">
      <c r="A199" s="3"/>
      <c r="B199" s="3"/>
      <c r="C199" s="3"/>
      <c r="D199" s="3"/>
      <c r="G199" s="14"/>
      <c r="H199" s="14"/>
    </row>
    <row r="200" spans="1:8" x14ac:dyDescent="0.25">
      <c r="A200" s="3"/>
      <c r="B200" s="3"/>
      <c r="C200" s="3"/>
      <c r="D200" s="3"/>
      <c r="G200" s="14"/>
      <c r="H200" s="14"/>
    </row>
    <row r="201" spans="1:8" x14ac:dyDescent="0.25">
      <c r="A201" s="3"/>
      <c r="B201" s="3"/>
      <c r="C201" s="3"/>
      <c r="D201" s="3"/>
      <c r="G201" s="14"/>
      <c r="H201" s="14"/>
    </row>
    <row r="202" spans="1:8" x14ac:dyDescent="0.25">
      <c r="A202" s="3"/>
      <c r="B202" s="3"/>
      <c r="C202" s="3"/>
      <c r="D202" s="3"/>
      <c r="G202" s="14"/>
      <c r="H202" s="14"/>
    </row>
    <row r="203" spans="1:8" x14ac:dyDescent="0.25">
      <c r="A203" s="3"/>
      <c r="B203" s="3"/>
      <c r="C203" s="3"/>
      <c r="D203" s="3"/>
      <c r="G203" s="14"/>
      <c r="H203" s="14"/>
    </row>
    <row r="204" spans="1:8" x14ac:dyDescent="0.25">
      <c r="A204" s="3"/>
      <c r="B204" s="3"/>
      <c r="C204" s="3"/>
      <c r="D204" s="3"/>
      <c r="G204" s="14"/>
      <c r="H204" s="14"/>
    </row>
    <row r="205" spans="1:8" x14ac:dyDescent="0.25">
      <c r="A205" s="3"/>
      <c r="B205" s="3"/>
      <c r="C205" s="3"/>
      <c r="D205" s="3"/>
      <c r="G205" s="14"/>
      <c r="H205" s="14"/>
    </row>
    <row r="206" spans="1:8" x14ac:dyDescent="0.25">
      <c r="A206" s="3"/>
      <c r="B206" s="3"/>
      <c r="C206" s="3"/>
      <c r="D206" s="3"/>
      <c r="G206" s="14"/>
      <c r="H206" s="14"/>
    </row>
    <row r="207" spans="1:8" x14ac:dyDescent="0.25">
      <c r="A207" s="3"/>
      <c r="B207" s="3"/>
      <c r="C207" s="3"/>
      <c r="D207" s="3"/>
      <c r="G207" s="14"/>
      <c r="H207" s="14"/>
    </row>
    <row r="208" spans="1:8" x14ac:dyDescent="0.25">
      <c r="A208" s="3"/>
      <c r="B208" s="3"/>
      <c r="C208" s="3"/>
      <c r="D208" s="3"/>
      <c r="G208" s="14"/>
      <c r="H208" s="14"/>
    </row>
    <row r="209" spans="1:8" x14ac:dyDescent="0.25">
      <c r="A209" s="3"/>
      <c r="B209" s="3"/>
      <c r="C209" s="3"/>
      <c r="D209" s="3"/>
      <c r="G209" s="14"/>
      <c r="H209" s="14"/>
    </row>
    <row r="210" spans="1:8" x14ac:dyDescent="0.25">
      <c r="A210" s="3"/>
      <c r="B210" s="3"/>
      <c r="C210" s="3"/>
      <c r="D210" s="3"/>
      <c r="G210" s="14"/>
      <c r="H210" s="14"/>
    </row>
    <row r="211" spans="1:8" x14ac:dyDescent="0.25">
      <c r="A211" s="3"/>
      <c r="B211" s="3"/>
      <c r="C211" s="3"/>
      <c r="D211" s="3"/>
      <c r="G211" s="14"/>
      <c r="H211" s="14"/>
    </row>
    <row r="212" spans="1:8" x14ac:dyDescent="0.25">
      <c r="A212" s="3"/>
      <c r="B212" s="3"/>
      <c r="C212" s="3"/>
      <c r="D212" s="3"/>
      <c r="G212" s="14"/>
      <c r="H212" s="14"/>
    </row>
    <row r="213" spans="1:8" x14ac:dyDescent="0.25">
      <c r="A213" s="3"/>
      <c r="B213" s="3"/>
      <c r="C213" s="3"/>
      <c r="D213" s="3"/>
      <c r="G213" s="14"/>
      <c r="H213" s="14"/>
    </row>
    <row r="214" spans="1:8" x14ac:dyDescent="0.25">
      <c r="A214" s="3"/>
      <c r="B214" s="3"/>
      <c r="C214" s="3"/>
      <c r="D214" s="3"/>
      <c r="G214" s="14"/>
      <c r="H214" s="14"/>
    </row>
    <row r="215" spans="1:8" x14ac:dyDescent="0.25">
      <c r="A215" s="3"/>
      <c r="B215" s="3"/>
      <c r="C215" s="3"/>
      <c r="D215" s="3"/>
      <c r="G215" s="14"/>
      <c r="H215" s="14"/>
    </row>
    <row r="216" spans="1:8" x14ac:dyDescent="0.25">
      <c r="A216" s="3"/>
      <c r="B216" s="3"/>
      <c r="C216" s="3"/>
      <c r="D216" s="3"/>
      <c r="G216" s="14"/>
      <c r="H216" s="14"/>
    </row>
    <row r="217" spans="1:8" x14ac:dyDescent="0.25">
      <c r="A217" s="3"/>
      <c r="B217" s="3"/>
      <c r="C217" s="3"/>
      <c r="D217" s="3"/>
      <c r="G217" s="14"/>
      <c r="H217" s="14"/>
    </row>
    <row r="218" spans="1:8" x14ac:dyDescent="0.25">
      <c r="A218" s="3"/>
      <c r="B218" s="3"/>
      <c r="C218" s="3"/>
      <c r="D218" s="3"/>
      <c r="G218" s="14"/>
      <c r="H218" s="14"/>
    </row>
    <row r="219" spans="1:8" x14ac:dyDescent="0.25">
      <c r="A219" s="3"/>
      <c r="B219" s="3"/>
      <c r="C219" s="3"/>
      <c r="D219" s="3"/>
      <c r="G219" s="14"/>
      <c r="H219" s="14"/>
    </row>
    <row r="220" spans="1:8" x14ac:dyDescent="0.25">
      <c r="A220" s="3"/>
      <c r="B220" s="3"/>
      <c r="C220" s="3"/>
      <c r="D220" s="3"/>
      <c r="G220" s="14"/>
      <c r="H220" s="14"/>
    </row>
    <row r="221" spans="1:8" x14ac:dyDescent="0.25">
      <c r="A221" s="3"/>
      <c r="B221" s="3"/>
      <c r="C221" s="3"/>
      <c r="D221" s="3"/>
      <c r="G221" s="14"/>
      <c r="H221" s="14"/>
    </row>
    <row r="222" spans="1:8" x14ac:dyDescent="0.25">
      <c r="A222" s="3"/>
      <c r="B222" s="3"/>
      <c r="C222" s="3"/>
      <c r="D222" s="3"/>
      <c r="G222" s="14"/>
      <c r="H222" s="14"/>
    </row>
    <row r="223" spans="1:8" x14ac:dyDescent="0.25">
      <c r="A223" s="3"/>
      <c r="B223" s="3"/>
      <c r="C223" s="3"/>
      <c r="D223" s="3"/>
      <c r="G223" s="14"/>
      <c r="H223" s="14"/>
    </row>
    <row r="224" spans="1:8" x14ac:dyDescent="0.25">
      <c r="A224" s="3"/>
      <c r="B224" s="3"/>
      <c r="C224" s="3"/>
      <c r="D224" s="3"/>
      <c r="G224" s="14"/>
      <c r="H224" s="14"/>
    </row>
    <row r="225" spans="1:8" x14ac:dyDescent="0.25">
      <c r="A225" s="3"/>
      <c r="B225" s="3"/>
      <c r="C225" s="3"/>
      <c r="D225" s="3"/>
      <c r="G225" s="14"/>
      <c r="H225" s="14"/>
    </row>
    <row r="226" spans="1:8" x14ac:dyDescent="0.25">
      <c r="A226" s="3"/>
      <c r="B226" s="3"/>
      <c r="C226" s="3"/>
      <c r="D226" s="3"/>
      <c r="G226" s="14"/>
      <c r="H226" s="14"/>
    </row>
    <row r="227" spans="1:8" x14ac:dyDescent="0.25">
      <c r="A227" s="3"/>
      <c r="B227" s="3"/>
      <c r="C227" s="3"/>
      <c r="D227" s="3"/>
      <c r="G227" s="14"/>
      <c r="H227" s="14"/>
    </row>
    <row r="228" spans="1:8" x14ac:dyDescent="0.25">
      <c r="A228" s="3"/>
      <c r="B228" s="3"/>
      <c r="C228" s="3"/>
      <c r="D228" s="3"/>
      <c r="G228" s="14"/>
      <c r="H228" s="14"/>
    </row>
    <row r="229" spans="1:8" x14ac:dyDescent="0.25">
      <c r="A229" s="3"/>
      <c r="B229" s="3"/>
      <c r="C229" s="3"/>
      <c r="D229" s="3"/>
      <c r="G229" s="14"/>
      <c r="H229" s="14"/>
    </row>
    <row r="230" spans="1:8" x14ac:dyDescent="0.25">
      <c r="A230" s="3"/>
      <c r="B230" s="3"/>
      <c r="C230" s="3"/>
      <c r="D230" s="3"/>
      <c r="G230" s="14"/>
      <c r="H230" s="14"/>
    </row>
    <row r="231" spans="1:8" x14ac:dyDescent="0.25">
      <c r="A231" s="3"/>
      <c r="B231" s="3"/>
      <c r="C231" s="3"/>
      <c r="D231" s="3"/>
      <c r="G231" s="14"/>
      <c r="H231" s="14"/>
    </row>
    <row r="232" spans="1:8" x14ac:dyDescent="0.25">
      <c r="A232" s="3"/>
      <c r="B232" s="3"/>
      <c r="C232" s="3"/>
      <c r="D232" s="3"/>
      <c r="G232" s="14"/>
      <c r="H232" s="14"/>
    </row>
    <row r="233" spans="1:8" x14ac:dyDescent="0.25">
      <c r="A233" s="3"/>
      <c r="B233" s="3"/>
      <c r="C233" s="3"/>
      <c r="D233" s="3"/>
      <c r="G233" s="14"/>
      <c r="H233" s="14"/>
    </row>
    <row r="234" spans="1:8" x14ac:dyDescent="0.25">
      <c r="A234" s="3"/>
      <c r="B234" s="3"/>
      <c r="C234" s="3"/>
      <c r="D234" s="3"/>
      <c r="G234" s="14"/>
      <c r="H234" s="14"/>
    </row>
    <row r="235" spans="1:8" x14ac:dyDescent="0.25">
      <c r="A235" s="3"/>
      <c r="B235" s="3"/>
      <c r="C235" s="3"/>
      <c r="D235" s="3"/>
      <c r="G235" s="14"/>
      <c r="H235" s="14"/>
    </row>
    <row r="236" spans="1:8" x14ac:dyDescent="0.25">
      <c r="A236" s="3"/>
      <c r="B236" s="3"/>
      <c r="C236" s="3"/>
      <c r="D236" s="3"/>
      <c r="G236" s="14"/>
      <c r="H236" s="14"/>
    </row>
    <row r="237" spans="1:8" x14ac:dyDescent="0.25">
      <c r="A237" s="3"/>
      <c r="B237" s="3"/>
      <c r="C237" s="3"/>
      <c r="D237" s="3"/>
      <c r="G237" s="14"/>
      <c r="H237" s="14"/>
    </row>
    <row r="238" spans="1:8" x14ac:dyDescent="0.25">
      <c r="A238" s="3"/>
      <c r="B238" s="3"/>
      <c r="C238" s="3"/>
      <c r="D238" s="3"/>
      <c r="G238" s="14"/>
      <c r="H238" s="14"/>
    </row>
    <row r="239" spans="1:8" x14ac:dyDescent="0.25">
      <c r="A239" s="3"/>
      <c r="B239" s="3"/>
      <c r="C239" s="3"/>
      <c r="D239" s="3"/>
      <c r="G239" s="14"/>
      <c r="H239" s="14"/>
    </row>
    <row r="240" spans="1:8" x14ac:dyDescent="0.25">
      <c r="A240" s="3"/>
      <c r="B240" s="3"/>
      <c r="C240" s="3"/>
      <c r="D240" s="3"/>
      <c r="G240" s="14"/>
      <c r="H240" s="14"/>
    </row>
    <row r="241" spans="1:8" x14ac:dyDescent="0.25">
      <c r="A241" s="3"/>
      <c r="B241" s="3"/>
      <c r="C241" s="3"/>
      <c r="D241" s="3"/>
      <c r="G241" s="14"/>
      <c r="H241" s="14"/>
    </row>
    <row r="242" spans="1:8" x14ac:dyDescent="0.25">
      <c r="A242" s="3"/>
      <c r="B242" s="3"/>
      <c r="C242" s="3"/>
      <c r="D242" s="3"/>
      <c r="G242" s="14"/>
      <c r="H242" s="14"/>
    </row>
    <row r="243" spans="1:8" x14ac:dyDescent="0.25">
      <c r="A243" s="3"/>
      <c r="B243" s="3"/>
      <c r="C243" s="3"/>
      <c r="D243" s="3"/>
      <c r="G243" s="14"/>
      <c r="H243" s="14"/>
    </row>
    <row r="244" spans="1:8" x14ac:dyDescent="0.25">
      <c r="A244" s="3"/>
      <c r="B244" s="3"/>
      <c r="C244" s="3"/>
      <c r="D244" s="3"/>
      <c r="G244" s="14"/>
      <c r="H244" s="14"/>
    </row>
    <row r="245" spans="1:8" x14ac:dyDescent="0.25">
      <c r="A245" s="3"/>
      <c r="B245" s="3"/>
      <c r="C245" s="3"/>
      <c r="D245" s="3"/>
      <c r="G245" s="14"/>
      <c r="H245" s="14"/>
    </row>
    <row r="247" spans="1:8" x14ac:dyDescent="0.25">
      <c r="A247" s="3"/>
      <c r="G247" s="14"/>
      <c r="H247" s="14"/>
    </row>
  </sheetData>
  <phoneticPr fontId="1" type="noConversion"/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F4C95B-C4A1-4E3E-86D2-26E7189161EC}">
  <sheetPr/>
  <dimension ref="A1:I247"/>
  <sheetViews>
    <sheetView zoomScale="115" zoomScaleNormal="115" workbookViewId="0">
      <selection activeCell="A5" sqref="A5:H137"/>
    </sheetView>
  </sheetViews>
  <sheetFormatPr defaultRowHeight="15" x14ac:dyDescent="0.25"/>
  <cols>
    <col min="1" max="1" width="8.875" style="4" customWidth="1"/>
    <col min="2" max="3" width="15.125" style="4" customWidth="1"/>
    <col min="4" max="4" width="10.25" style="4" customWidth="1"/>
    <col min="5" max="5" width="12" style="13" customWidth="1"/>
    <col min="6" max="6" width="15" style="13" customWidth="1"/>
    <col min="7" max="7" width="13.875" customWidth="1"/>
    <col min="8" max="8" width="11.125" customWidth="1"/>
    <col min="11" max="12" width="15.125" customWidth="1"/>
    <col min="13" max="13" width="11.125" customWidth="1"/>
  </cols>
  <sheetData>
    <row r="1" spans="1:9" ht="14.25" x14ac:dyDescent="0.2">
      <c r="A1" s="2" t="s">
        <v>12</v>
      </c>
      <c r="B1" s="2" t="s">
        <v>4</v>
      </c>
      <c r="C1" s="2" t="s">
        <v>5</v>
      </c>
      <c r="D1" s="2" t="s">
        <v>13</v>
      </c>
      <c r="E1" s="2" t="s">
        <v>14</v>
      </c>
      <c r="F1" s="2" t="s">
        <v>15</v>
      </c>
      <c r="G1" s="2" t="s">
        <v>16</v>
      </c>
    </row>
    <row r="2" spans="1:9" x14ac:dyDescent="0.25">
      <c r="A2" s="11">
        <v>21</v>
      </c>
      <c r="B2" s="3">
        <v>113.36405259999999</v>
      </c>
      <c r="C2" s="8">
        <v>22.9258183</v>
      </c>
      <c r="D2" s="3">
        <v>1785</v>
      </c>
      <c r="E2" s="13">
        <v>1785</v>
      </c>
      <c r="F2" s="13">
        <v>8</v>
      </c>
      <c r="G2" s="19">
        <f>SUBTOTAL(2,A5:A250)</f>
        <v>45</v>
      </c>
    </row>
    <row r="3" spans="1:9" x14ac:dyDescent="0.25">
      <c r="A3" s="3"/>
      <c r="B3" s="3"/>
      <c r="C3" s="3"/>
      <c r="D3" s="3"/>
    </row>
    <row r="4" spans="1:9" ht="14.25" x14ac:dyDescent="0.2">
      <c r="A4" s="2" t="s">
        <v>0</v>
      </c>
      <c r="B4" s="2" t="s">
        <v>1</v>
      </c>
      <c r="C4" s="2" t="s">
        <v>2</v>
      </c>
      <c r="D4" s="2" t="s">
        <v>3</v>
      </c>
      <c r="E4" s="2" t="s">
        <v>7</v>
      </c>
      <c r="F4" s="2" t="s">
        <v>8</v>
      </c>
      <c r="G4" s="2" t="s">
        <v>13</v>
      </c>
      <c r="H4" s="2" t="s">
        <v>14</v>
      </c>
      <c r="I4" s="24" t="s">
        <v>20</v>
      </c>
    </row>
    <row r="5" spans="1:9" x14ac:dyDescent="0.25">
      <c r="A5" s="3">
        <v>4023</v>
      </c>
      <c r="B5" s="3">
        <v>113.36450309999999</v>
      </c>
      <c r="C5" s="3">
        <v>22.926270469999999</v>
      </c>
      <c r="D5" s="3">
        <v>21</v>
      </c>
      <c r="E5" s="13">
        <f t="shared" ref="E5:E36" si="0">SQRT((B5-$B$2)^2+(C5-$C$2)^2)</f>
        <v>6.3828517051447422E-4</v>
      </c>
      <c r="F5" s="13">
        <f t="shared" ref="F5:F36" si="1">SQRT(1/E5)</f>
        <v>39.581534118995513</v>
      </c>
      <c r="G5" s="14">
        <f>F5/$F$139*$D$2</f>
        <v>92.862677021108297</v>
      </c>
      <c r="H5" s="14">
        <f>F5/$F$139*$E$2</f>
        <v>92.862677021108297</v>
      </c>
      <c r="I5" s="25" t="str">
        <f>IF(MOD(ROW()-1,3)=1,"选中","")</f>
        <v>选中</v>
      </c>
    </row>
    <row r="6" spans="1:9" hidden="1" x14ac:dyDescent="0.25">
      <c r="A6" s="3">
        <v>4043</v>
      </c>
      <c r="B6" s="3">
        <v>113.3636472</v>
      </c>
      <c r="C6" s="3">
        <v>22.926553420000001</v>
      </c>
      <c r="D6" s="3">
        <v>21</v>
      </c>
      <c r="E6" s="13">
        <f t="shared" si="0"/>
        <v>8.3949423726146859E-4</v>
      </c>
      <c r="F6" s="13">
        <f t="shared" si="1"/>
        <v>34.513669845978612</v>
      </c>
      <c r="G6" s="14">
        <f>F6/$F$124*$D$2</f>
        <v>5328.093891213427</v>
      </c>
      <c r="H6" s="14">
        <f>F6/$F$124*$E$2</f>
        <v>5328.093891213427</v>
      </c>
      <c r="I6" s="25" t="str">
        <f t="shared" ref="I6:I69" si="2">IF(MOD(ROW()-1,3)=1,"选中","")</f>
        <v/>
      </c>
    </row>
    <row r="7" spans="1:9" hidden="1" x14ac:dyDescent="0.25">
      <c r="A7" s="3">
        <v>4037</v>
      </c>
      <c r="B7" s="3">
        <v>113.3647398</v>
      </c>
      <c r="C7" s="3">
        <v>22.92633215</v>
      </c>
      <c r="D7" s="3">
        <v>21</v>
      </c>
      <c r="E7" s="13">
        <f t="shared" si="0"/>
        <v>8.580708959654629E-4</v>
      </c>
      <c r="F7" s="13">
        <f t="shared" si="1"/>
        <v>34.138026727935419</v>
      </c>
      <c r="G7" s="14">
        <f>F7/$F$124*$D$2</f>
        <v>5270.1034830228737</v>
      </c>
      <c r="H7" s="14">
        <f>F7/$F$124*$E$2</f>
        <v>5270.1034830228737</v>
      </c>
      <c r="I7" s="25" t="str">
        <f t="shared" si="2"/>
        <v/>
      </c>
    </row>
    <row r="8" spans="1:9" x14ac:dyDescent="0.25">
      <c r="A8" s="3">
        <v>4070</v>
      </c>
      <c r="B8" s="3">
        <v>113.36337260000001</v>
      </c>
      <c r="C8" s="3">
        <v>22.926464809999999</v>
      </c>
      <c r="D8" s="3">
        <v>21</v>
      </c>
      <c r="E8" s="13">
        <f t="shared" si="0"/>
        <v>9.3828310231154047E-4</v>
      </c>
      <c r="F8" s="13">
        <f t="shared" si="1"/>
        <v>32.646231235705287</v>
      </c>
      <c r="G8" s="14">
        <f>F8/$F$139*$D$2</f>
        <v>76.591685862494614</v>
      </c>
      <c r="H8" s="14">
        <f>F8/$F$139*$E$2</f>
        <v>76.591685862494614</v>
      </c>
      <c r="I8" s="25" t="str">
        <f t="shared" si="2"/>
        <v>选中</v>
      </c>
    </row>
    <row r="9" spans="1:9" hidden="1" x14ac:dyDescent="0.25">
      <c r="A9" s="3">
        <v>4041</v>
      </c>
      <c r="B9" s="3">
        <v>113.3635673</v>
      </c>
      <c r="C9" s="3">
        <v>22.92667947</v>
      </c>
      <c r="D9" s="3">
        <v>21</v>
      </c>
      <c r="E9" s="13">
        <f t="shared" si="0"/>
        <v>9.8849879053781271E-4</v>
      </c>
      <c r="F9" s="13">
        <f t="shared" si="1"/>
        <v>31.806210499479334</v>
      </c>
      <c r="G9" s="14">
        <f>F9/$F$124*$D$2</f>
        <v>4910.1262375513434</v>
      </c>
      <c r="H9" s="14">
        <f>F9/$F$124*$E$2</f>
        <v>4910.1262375513434</v>
      </c>
      <c r="I9" s="25" t="str">
        <f t="shared" si="2"/>
        <v/>
      </c>
    </row>
    <row r="10" spans="1:9" hidden="1" x14ac:dyDescent="0.25">
      <c r="A10" s="3">
        <v>4095</v>
      </c>
      <c r="B10" s="3">
        <v>113.36478769999999</v>
      </c>
      <c r="C10" s="3">
        <v>22.926551</v>
      </c>
      <c r="D10" s="3">
        <v>21</v>
      </c>
      <c r="E10" s="13">
        <f t="shared" si="0"/>
        <v>1.0378927208534205E-3</v>
      </c>
      <c r="F10" s="13">
        <f t="shared" si="1"/>
        <v>31.040146830854312</v>
      </c>
      <c r="G10" s="14">
        <f>F10/$F$124*$D$2</f>
        <v>4791.864135280086</v>
      </c>
      <c r="H10" s="14">
        <f>F10/$F$124*$E$2</f>
        <v>4791.864135280086</v>
      </c>
      <c r="I10" s="25" t="str">
        <f t="shared" si="2"/>
        <v/>
      </c>
    </row>
    <row r="11" spans="1:9" x14ac:dyDescent="0.25">
      <c r="A11" s="3">
        <v>4063</v>
      </c>
      <c r="B11" s="3">
        <v>113.3629402</v>
      </c>
      <c r="C11" s="3">
        <v>22.92599856</v>
      </c>
      <c r="D11" s="3">
        <v>21</v>
      </c>
      <c r="E11" s="13">
        <f t="shared" si="0"/>
        <v>1.1269105676994938E-3</v>
      </c>
      <c r="F11" s="13">
        <f t="shared" si="1"/>
        <v>29.788955401083946</v>
      </c>
      <c r="G11" s="14">
        <f>F11/$F$139*$D$2</f>
        <v>69.888199277235586</v>
      </c>
      <c r="H11" s="14">
        <f>F11/$F$139*$E$2</f>
        <v>69.888199277235586</v>
      </c>
      <c r="I11" s="25" t="str">
        <f t="shared" si="2"/>
        <v>选中</v>
      </c>
    </row>
    <row r="12" spans="1:9" hidden="1" x14ac:dyDescent="0.25">
      <c r="A12" s="3">
        <v>4073</v>
      </c>
      <c r="B12" s="3">
        <v>113.3636983</v>
      </c>
      <c r="C12" s="3">
        <v>22.924738120000001</v>
      </c>
      <c r="D12" s="3">
        <v>21</v>
      </c>
      <c r="E12" s="13">
        <f t="shared" si="0"/>
        <v>1.1368013557328728E-3</v>
      </c>
      <c r="F12" s="13">
        <f t="shared" si="1"/>
        <v>29.659082262251953</v>
      </c>
      <c r="G12" s="14">
        <f>F12/$F$124*$D$2</f>
        <v>4578.6604474607539</v>
      </c>
      <c r="H12" s="14">
        <f>F12/$F$124*$E$2</f>
        <v>4578.6604474607539</v>
      </c>
      <c r="I12" s="25" t="str">
        <f t="shared" si="2"/>
        <v/>
      </c>
    </row>
    <row r="13" spans="1:9" hidden="1" x14ac:dyDescent="0.25">
      <c r="A13" s="3">
        <v>4087</v>
      </c>
      <c r="B13" s="3">
        <v>113.3627884</v>
      </c>
      <c r="C13" s="3">
        <v>22.925812830000002</v>
      </c>
      <c r="D13" s="3">
        <v>21</v>
      </c>
      <c r="E13" s="13">
        <f t="shared" si="0"/>
        <v>1.2642118338654731E-3</v>
      </c>
      <c r="F13" s="13">
        <f t="shared" si="1"/>
        <v>28.124840899666534</v>
      </c>
      <c r="G13" s="14">
        <f>F13/$F$124*$D$2</f>
        <v>4341.8098874328462</v>
      </c>
      <c r="H13" s="14">
        <f>F13/$F$124*$E$2</f>
        <v>4341.8098874328462</v>
      </c>
      <c r="I13" s="25" t="str">
        <f t="shared" si="2"/>
        <v/>
      </c>
    </row>
    <row r="14" spans="1:9" x14ac:dyDescent="0.25">
      <c r="A14" s="3">
        <v>4028</v>
      </c>
      <c r="B14" s="3">
        <v>113.3638381</v>
      </c>
      <c r="C14" s="3">
        <v>22.92448405</v>
      </c>
      <c r="D14" s="3">
        <v>21</v>
      </c>
      <c r="E14" s="13">
        <f t="shared" si="0"/>
        <v>1.3513820009521764E-3</v>
      </c>
      <c r="F14" s="13">
        <f t="shared" si="1"/>
        <v>27.202632531783504</v>
      </c>
      <c r="G14" s="14">
        <f>F14/$F$139*$D$2</f>
        <v>63.820398454707792</v>
      </c>
      <c r="H14" s="14">
        <f>F14/$F$139*$E$2</f>
        <v>63.820398454707792</v>
      </c>
      <c r="I14" s="25" t="str">
        <f t="shared" si="2"/>
        <v>选中</v>
      </c>
    </row>
    <row r="15" spans="1:9" hidden="1" x14ac:dyDescent="0.25">
      <c r="A15" s="3">
        <v>4092</v>
      </c>
      <c r="B15" s="3">
        <v>113.36374000000001</v>
      </c>
      <c r="C15" s="3">
        <v>22.927135060000001</v>
      </c>
      <c r="D15" s="3">
        <v>21</v>
      </c>
      <c r="E15" s="13">
        <f t="shared" si="0"/>
        <v>1.3533571803467581E-3</v>
      </c>
      <c r="F15" s="13">
        <f t="shared" si="1"/>
        <v>27.182774618932914</v>
      </c>
      <c r="G15" s="14">
        <f>F15/$F$124*$D$2</f>
        <v>4196.3771467855977</v>
      </c>
      <c r="H15" s="14">
        <f>F15/$F$124*$E$2</f>
        <v>4196.3771467855977</v>
      </c>
      <c r="I15" s="25" t="str">
        <f t="shared" si="2"/>
        <v/>
      </c>
    </row>
    <row r="16" spans="1:9" hidden="1" x14ac:dyDescent="0.25">
      <c r="A16" s="3">
        <v>4036</v>
      </c>
      <c r="B16" s="3">
        <v>113.3641715</v>
      </c>
      <c r="C16" s="3">
        <v>22.927323439999999</v>
      </c>
      <c r="D16" s="3">
        <v>21</v>
      </c>
      <c r="E16" s="13">
        <f t="shared" si="0"/>
        <v>1.5098290067414824E-3</v>
      </c>
      <c r="F16" s="13">
        <f t="shared" si="1"/>
        <v>25.735707837097582</v>
      </c>
      <c r="G16" s="14">
        <f>F16/$F$124*$D$2</f>
        <v>3972.98427912238</v>
      </c>
      <c r="H16" s="14">
        <f>F16/$F$124*$E$2</f>
        <v>3972.98427912238</v>
      </c>
      <c r="I16" s="25" t="str">
        <f t="shared" si="2"/>
        <v/>
      </c>
    </row>
    <row r="17" spans="1:9" x14ac:dyDescent="0.25">
      <c r="A17" s="3">
        <v>4067</v>
      </c>
      <c r="B17" s="3">
        <v>113.363743</v>
      </c>
      <c r="C17" s="3">
        <v>22.927330980000001</v>
      </c>
      <c r="D17" s="3">
        <v>21</v>
      </c>
      <c r="E17" s="13">
        <f t="shared" si="0"/>
        <v>1.5440378694837539E-3</v>
      </c>
      <c r="F17" s="13">
        <f t="shared" si="1"/>
        <v>25.449017837531013</v>
      </c>
      <c r="G17" s="14">
        <f>F17/$F$139*$D$2</f>
        <v>59.706223534598067</v>
      </c>
      <c r="H17" s="14">
        <f>F17/$F$139*$E$2</f>
        <v>59.706223534598067</v>
      </c>
      <c r="I17" s="25" t="str">
        <f t="shared" si="2"/>
        <v>选中</v>
      </c>
    </row>
    <row r="18" spans="1:9" hidden="1" x14ac:dyDescent="0.25">
      <c r="A18" s="3">
        <v>4054</v>
      </c>
      <c r="B18" s="3">
        <v>113.3656208</v>
      </c>
      <c r="C18" s="3">
        <v>22.925203549999999</v>
      </c>
      <c r="D18" s="3">
        <v>21</v>
      </c>
      <c r="E18" s="13">
        <f t="shared" si="0"/>
        <v>1.6843897418729193E-3</v>
      </c>
      <c r="F18" s="13">
        <f t="shared" si="1"/>
        <v>24.365689529290485</v>
      </c>
      <c r="G18" s="14">
        <f>F18/$F$124*$D$2</f>
        <v>3761.4858725706331</v>
      </c>
      <c r="H18" s="14">
        <f>F18/$F$124*$E$2</f>
        <v>3761.4858725706331</v>
      </c>
      <c r="I18" s="25" t="str">
        <f t="shared" si="2"/>
        <v/>
      </c>
    </row>
    <row r="19" spans="1:9" hidden="1" x14ac:dyDescent="0.25">
      <c r="A19" s="3">
        <v>4099</v>
      </c>
      <c r="B19" s="3">
        <v>113.362329</v>
      </c>
      <c r="C19" s="3">
        <v>22.9258904</v>
      </c>
      <c r="D19" s="3">
        <v>21</v>
      </c>
      <c r="E19" s="13">
        <f t="shared" si="0"/>
        <v>1.7251073502740717E-3</v>
      </c>
      <c r="F19" s="13">
        <f t="shared" si="1"/>
        <v>24.076421466361687</v>
      </c>
      <c r="G19" s="14">
        <f>F19/$F$124*$D$2</f>
        <v>3716.8297289066277</v>
      </c>
      <c r="H19" s="14">
        <f>F19/$F$124*$E$2</f>
        <v>3716.8297289066277</v>
      </c>
      <c r="I19" s="25" t="str">
        <f t="shared" si="2"/>
        <v/>
      </c>
    </row>
    <row r="20" spans="1:9" x14ac:dyDescent="0.25">
      <c r="A20" s="3">
        <v>4100</v>
      </c>
      <c r="B20" s="3">
        <v>113.36232699999999</v>
      </c>
      <c r="C20" s="3">
        <v>22.92615129</v>
      </c>
      <c r="D20" s="3">
        <v>21</v>
      </c>
      <c r="E20" s="13">
        <f t="shared" si="0"/>
        <v>1.7574349774888995E-3</v>
      </c>
      <c r="F20" s="13">
        <f t="shared" si="1"/>
        <v>23.853953434798481</v>
      </c>
      <c r="G20" s="14">
        <f>F20/$F$139*$D$2</f>
        <v>55.964025215212232</v>
      </c>
      <c r="H20" s="14">
        <f>F20/$F$139*$E$2</f>
        <v>55.964025215212232</v>
      </c>
      <c r="I20" s="25" t="str">
        <f t="shared" si="2"/>
        <v>选中</v>
      </c>
    </row>
    <row r="21" spans="1:9" hidden="1" x14ac:dyDescent="0.25">
      <c r="A21" s="3">
        <v>4076</v>
      </c>
      <c r="B21" s="3">
        <v>113.36471899999999</v>
      </c>
      <c r="C21" s="3">
        <v>22.92419207</v>
      </c>
      <c r="D21" s="3">
        <v>21</v>
      </c>
      <c r="E21" s="13">
        <f t="shared" si="0"/>
        <v>1.7574734629285653E-3</v>
      </c>
      <c r="F21" s="13">
        <f t="shared" si="1"/>
        <v>23.853692254493083</v>
      </c>
      <c r="G21" s="14">
        <f>F21/$F$124*$D$2</f>
        <v>3682.4456092680102</v>
      </c>
      <c r="H21" s="14">
        <f>F21/$F$124*$E$2</f>
        <v>3682.4456092680102</v>
      </c>
      <c r="I21" s="25" t="str">
        <f t="shared" si="2"/>
        <v/>
      </c>
    </row>
    <row r="22" spans="1:9" hidden="1" x14ac:dyDescent="0.25">
      <c r="A22" s="3">
        <v>4064</v>
      </c>
      <c r="B22" s="3">
        <v>113.36228699999999</v>
      </c>
      <c r="C22" s="3">
        <v>22.926156339999999</v>
      </c>
      <c r="D22" s="3">
        <v>21</v>
      </c>
      <c r="E22" s="13">
        <f t="shared" si="0"/>
        <v>1.7976691579918587E-3</v>
      </c>
      <c r="F22" s="13">
        <f t="shared" si="1"/>
        <v>23.585501563443369</v>
      </c>
      <c r="G22" s="14">
        <f>F22/$F$124*$D$2</f>
        <v>3641.0433130462775</v>
      </c>
      <c r="H22" s="14">
        <f>F22/$F$124*$E$2</f>
        <v>3641.0433130462775</v>
      </c>
      <c r="I22" s="25" t="str">
        <f t="shared" si="2"/>
        <v/>
      </c>
    </row>
    <row r="23" spans="1:9" x14ac:dyDescent="0.25">
      <c r="A23" s="3">
        <v>4042</v>
      </c>
      <c r="B23" s="3">
        <v>113.3656847</v>
      </c>
      <c r="C23" s="3">
        <v>22.924797640000001</v>
      </c>
      <c r="D23" s="3">
        <v>21</v>
      </c>
      <c r="E23" s="13">
        <f t="shared" si="0"/>
        <v>1.9249668167596614E-3</v>
      </c>
      <c r="F23" s="13">
        <f t="shared" si="1"/>
        <v>22.792311740243889</v>
      </c>
      <c r="G23" s="14">
        <f>F23/$F$139*$D$2</f>
        <v>53.473295838802024</v>
      </c>
      <c r="H23" s="14">
        <f>F23/$F$139*$E$2</f>
        <v>53.473295838802024</v>
      </c>
      <c r="I23" s="25" t="str">
        <f t="shared" si="2"/>
        <v>选中</v>
      </c>
    </row>
    <row r="24" spans="1:9" hidden="1" x14ac:dyDescent="0.25">
      <c r="A24" s="3">
        <v>4091</v>
      </c>
      <c r="B24" s="3">
        <v>113.3624907</v>
      </c>
      <c r="C24" s="3">
        <v>22.926974730000001</v>
      </c>
      <c r="D24" s="3">
        <v>21</v>
      </c>
      <c r="E24" s="13">
        <f t="shared" si="0"/>
        <v>1.9434150238433194E-3</v>
      </c>
      <c r="F24" s="13">
        <f t="shared" si="1"/>
        <v>22.683873781865621</v>
      </c>
      <c r="G24" s="14">
        <f>F24/$F$124*$D$2</f>
        <v>3501.8533197302681</v>
      </c>
      <c r="H24" s="14">
        <f>F24/$F$124*$E$2</f>
        <v>3501.8533197302681</v>
      </c>
      <c r="I24" s="25" t="str">
        <f t="shared" si="2"/>
        <v/>
      </c>
    </row>
    <row r="25" spans="1:9" hidden="1" x14ac:dyDescent="0.25">
      <c r="A25" s="3">
        <v>4026</v>
      </c>
      <c r="B25" s="3">
        <v>113.3652561</v>
      </c>
      <c r="C25" s="3">
        <v>22.927376079999998</v>
      </c>
      <c r="D25" s="3">
        <v>21</v>
      </c>
      <c r="E25" s="13">
        <f t="shared" si="0"/>
        <v>1.9685250261052304E-3</v>
      </c>
      <c r="F25" s="13">
        <f t="shared" si="1"/>
        <v>22.538734607814263</v>
      </c>
      <c r="G25" s="14">
        <f>F25/$F$124*$D$2</f>
        <v>3479.4472658365553</v>
      </c>
      <c r="H25" s="14">
        <f>F25/$F$124*$E$2</f>
        <v>3479.4472658365553</v>
      </c>
      <c r="I25" s="25" t="str">
        <f t="shared" si="2"/>
        <v/>
      </c>
    </row>
    <row r="26" spans="1:9" x14ac:dyDescent="0.25">
      <c r="A26" s="3">
        <v>4053</v>
      </c>
      <c r="B26" s="3">
        <v>113.3625356</v>
      </c>
      <c r="C26" s="3">
        <v>22.92719258</v>
      </c>
      <c r="D26" s="3">
        <v>21</v>
      </c>
      <c r="E26" s="13">
        <f t="shared" si="0"/>
        <v>2.0469329540506493E-3</v>
      </c>
      <c r="F26" s="13">
        <f t="shared" si="1"/>
        <v>22.102845658357108</v>
      </c>
      <c r="G26" s="14">
        <f>F26/$F$139*$D$2</f>
        <v>51.855731802835692</v>
      </c>
      <c r="H26" s="14">
        <f>F26/$F$139*$E$2</f>
        <v>51.855731802835692</v>
      </c>
      <c r="I26" s="25" t="str">
        <f t="shared" si="2"/>
        <v>选中</v>
      </c>
    </row>
    <row r="27" spans="1:9" hidden="1" x14ac:dyDescent="0.25">
      <c r="A27" s="3">
        <v>4058</v>
      </c>
      <c r="B27" s="3">
        <v>113.36214320000001</v>
      </c>
      <c r="C27" s="3">
        <v>22.92667831</v>
      </c>
      <c r="D27" s="3">
        <v>21</v>
      </c>
      <c r="E27" s="13">
        <f t="shared" si="0"/>
        <v>2.0941407689205826E-3</v>
      </c>
      <c r="F27" s="13">
        <f t="shared" si="1"/>
        <v>21.852295472022647</v>
      </c>
      <c r="G27" s="14">
        <f>F27/$F$124*$D$2</f>
        <v>3373.4773071963186</v>
      </c>
      <c r="H27" s="14">
        <f>F27/$F$124*$E$2</f>
        <v>3373.4773071963186</v>
      </c>
      <c r="I27" s="25" t="str">
        <f t="shared" si="2"/>
        <v/>
      </c>
    </row>
    <row r="28" spans="1:9" hidden="1" x14ac:dyDescent="0.25">
      <c r="A28" s="3">
        <v>4035</v>
      </c>
      <c r="B28" s="3">
        <v>113.36305419999999</v>
      </c>
      <c r="C28" s="3">
        <v>22.923838320000002</v>
      </c>
      <c r="D28" s="3">
        <v>21</v>
      </c>
      <c r="E28" s="13">
        <f t="shared" si="0"/>
        <v>2.2174587618245872E-3</v>
      </c>
      <c r="F28" s="13">
        <f t="shared" si="1"/>
        <v>21.235975909975185</v>
      </c>
      <c r="G28" s="14">
        <f>F28/$F$124*$D$2</f>
        <v>3278.3321514294935</v>
      </c>
      <c r="H28" s="14">
        <f>F28/$F$124*$E$2</f>
        <v>3278.3321514294935</v>
      </c>
      <c r="I28" s="25" t="str">
        <f t="shared" si="2"/>
        <v/>
      </c>
    </row>
    <row r="29" spans="1:9" x14ac:dyDescent="0.25">
      <c r="A29" s="3">
        <v>4046</v>
      </c>
      <c r="B29" s="3">
        <v>113.36216810000001</v>
      </c>
      <c r="C29" s="3">
        <v>22.927191059999998</v>
      </c>
      <c r="D29" s="3">
        <v>21</v>
      </c>
      <c r="E29" s="13">
        <f t="shared" si="0"/>
        <v>2.3314824184526056E-3</v>
      </c>
      <c r="F29" s="13">
        <f t="shared" si="1"/>
        <v>20.710182578126943</v>
      </c>
      <c r="G29" s="14">
        <f>F29/$F$139*$D$2</f>
        <v>48.588389475228169</v>
      </c>
      <c r="H29" s="14">
        <f>F29/$F$139*$E$2</f>
        <v>48.588389475228169</v>
      </c>
      <c r="I29" s="25" t="str">
        <f t="shared" si="2"/>
        <v>选中</v>
      </c>
    </row>
    <row r="30" spans="1:9" hidden="1" x14ac:dyDescent="0.25">
      <c r="A30" s="3">
        <v>4061</v>
      </c>
      <c r="B30" s="3">
        <v>113.36216810000001</v>
      </c>
      <c r="C30" s="3">
        <v>22.927191059999998</v>
      </c>
      <c r="D30" s="3">
        <v>21</v>
      </c>
      <c r="E30" s="13">
        <f t="shared" si="0"/>
        <v>2.3314824184526056E-3</v>
      </c>
      <c r="F30" s="13">
        <f t="shared" si="1"/>
        <v>20.710182578126943</v>
      </c>
      <c r="G30" s="14">
        <f>F30/$F$124*$D$2</f>
        <v>3197.1621033887232</v>
      </c>
      <c r="H30" s="14">
        <f>F30/$F$124*$E$2</f>
        <v>3197.1621033887232</v>
      </c>
      <c r="I30" s="25" t="str">
        <f t="shared" si="2"/>
        <v/>
      </c>
    </row>
    <row r="31" spans="1:9" hidden="1" x14ac:dyDescent="0.25">
      <c r="A31" s="3">
        <v>4083</v>
      </c>
      <c r="B31" s="3">
        <v>113.3634983</v>
      </c>
      <c r="C31" s="3">
        <v>22.928175929999998</v>
      </c>
      <c r="D31" s="3">
        <v>21</v>
      </c>
      <c r="E31" s="13">
        <f t="shared" si="0"/>
        <v>2.4219140585255167E-3</v>
      </c>
      <c r="F31" s="13">
        <f t="shared" si="1"/>
        <v>20.319856467554107</v>
      </c>
      <c r="G31" s="14">
        <f>F31/$F$124*$D$2</f>
        <v>3136.9049886105754</v>
      </c>
      <c r="H31" s="14">
        <f>F31/$F$124*$E$2</f>
        <v>3136.9049886105754</v>
      </c>
      <c r="I31" s="25" t="str">
        <f t="shared" si="2"/>
        <v/>
      </c>
    </row>
    <row r="32" spans="1:9" x14ac:dyDescent="0.25">
      <c r="A32" s="3">
        <v>4074</v>
      </c>
      <c r="B32" s="3">
        <v>113.3620822</v>
      </c>
      <c r="C32" s="3">
        <v>22.927306130000002</v>
      </c>
      <c r="D32" s="3">
        <v>21</v>
      </c>
      <c r="E32" s="13">
        <f t="shared" si="0"/>
        <v>2.4690310384579426E-3</v>
      </c>
      <c r="F32" s="13">
        <f t="shared" si="1"/>
        <v>20.125038748933395</v>
      </c>
      <c r="G32" s="14">
        <f>F32/$F$139*$D$2</f>
        <v>47.215577035519878</v>
      </c>
      <c r="H32" s="14">
        <f>F32/$F$139*$E$2</f>
        <v>47.215577035519878</v>
      </c>
      <c r="I32" s="25" t="str">
        <f t="shared" si="2"/>
        <v>选中</v>
      </c>
    </row>
    <row r="33" spans="1:9" hidden="1" x14ac:dyDescent="0.25">
      <c r="A33" s="3">
        <v>4084</v>
      </c>
      <c r="B33" s="3">
        <v>113.3625488</v>
      </c>
      <c r="C33" s="3">
        <v>22.923767999999999</v>
      </c>
      <c r="D33" s="3">
        <v>21</v>
      </c>
      <c r="E33" s="13">
        <f t="shared" si="0"/>
        <v>2.5426648481438143E-3</v>
      </c>
      <c r="F33" s="13">
        <f t="shared" si="1"/>
        <v>19.831494346467441</v>
      </c>
      <c r="G33" s="14">
        <f>F33/$F$124*$D$2</f>
        <v>3061.5134337375698</v>
      </c>
      <c r="H33" s="14">
        <f>F33/$F$124*$E$2</f>
        <v>3061.5134337375698</v>
      </c>
      <c r="I33" s="25" t="str">
        <f t="shared" si="2"/>
        <v/>
      </c>
    </row>
    <row r="34" spans="1:9" hidden="1" x14ac:dyDescent="0.25">
      <c r="A34" s="3">
        <v>4080</v>
      </c>
      <c r="B34" s="3">
        <v>113.36165099999999</v>
      </c>
      <c r="C34" s="3">
        <v>22.924736769999999</v>
      </c>
      <c r="D34" s="3">
        <v>21</v>
      </c>
      <c r="E34" s="13">
        <f t="shared" si="0"/>
        <v>2.6338924998745941E-3</v>
      </c>
      <c r="F34" s="13">
        <f t="shared" si="1"/>
        <v>19.485025441704931</v>
      </c>
      <c r="G34" s="14">
        <f>F34/$F$124*$D$2</f>
        <v>3008.0268336976833</v>
      </c>
      <c r="H34" s="14">
        <f>F34/$F$124*$E$2</f>
        <v>3008.0268336976833</v>
      </c>
      <c r="I34" s="25" t="str">
        <f t="shared" si="2"/>
        <v/>
      </c>
    </row>
    <row r="35" spans="1:9" x14ac:dyDescent="0.25">
      <c r="A35" s="3">
        <v>4056</v>
      </c>
      <c r="B35" s="3">
        <v>113.36210819999999</v>
      </c>
      <c r="C35" s="3">
        <v>22.92765395</v>
      </c>
      <c r="D35" s="3">
        <v>21</v>
      </c>
      <c r="E35" s="13">
        <f t="shared" si="0"/>
        <v>2.6740049144491755E-3</v>
      </c>
      <c r="F35" s="13">
        <f t="shared" si="1"/>
        <v>19.338326992072119</v>
      </c>
      <c r="G35" s="14">
        <f>F35/$F$139*$D$2</f>
        <v>45.3698638409154</v>
      </c>
      <c r="H35" s="14">
        <f>F35/$F$139*$E$2</f>
        <v>45.3698638409154</v>
      </c>
      <c r="I35" s="25" t="str">
        <f t="shared" si="2"/>
        <v>选中</v>
      </c>
    </row>
    <row r="36" spans="1:9" hidden="1" x14ac:dyDescent="0.25">
      <c r="A36" s="3">
        <v>4052</v>
      </c>
      <c r="B36" s="3">
        <v>113.36648080000001</v>
      </c>
      <c r="C36" s="3">
        <v>22.92461677</v>
      </c>
      <c r="D36" s="3">
        <v>21</v>
      </c>
      <c r="E36" s="13">
        <f t="shared" si="0"/>
        <v>2.7092119852373375E-3</v>
      </c>
      <c r="F36" s="13">
        <f t="shared" si="1"/>
        <v>19.212262237188323</v>
      </c>
      <c r="G36" s="14">
        <f>F36/$F$124*$D$2</f>
        <v>2965.9186496008224</v>
      </c>
      <c r="H36" s="14">
        <f>F36/$F$124*$E$2</f>
        <v>2965.9186496008224</v>
      </c>
      <c r="I36" s="25" t="str">
        <f t="shared" si="2"/>
        <v/>
      </c>
    </row>
    <row r="37" spans="1:9" hidden="1" x14ac:dyDescent="0.25">
      <c r="A37" s="3">
        <v>4030</v>
      </c>
      <c r="B37" s="3">
        <v>113.36661549999999</v>
      </c>
      <c r="C37" s="3">
        <v>22.926768710000001</v>
      </c>
      <c r="D37" s="3">
        <v>21</v>
      </c>
      <c r="E37" s="13">
        <f t="shared" ref="E37:E68" si="3">SQRT((B37-$B$2)^2+(C37-$C$2)^2)</f>
        <v>2.7334475627140906E-3</v>
      </c>
      <c r="F37" s="13">
        <f t="shared" ref="F37:F68" si="4">SQRT(1/E37)</f>
        <v>19.126901727635449</v>
      </c>
      <c r="G37" s="14">
        <f>F37/$F$124*$D$2</f>
        <v>2952.7410069007224</v>
      </c>
      <c r="H37" s="14">
        <f>F37/$F$124*$E$2</f>
        <v>2952.7410069007224</v>
      </c>
      <c r="I37" s="25" t="str">
        <f t="shared" si="2"/>
        <v/>
      </c>
    </row>
    <row r="38" spans="1:9" x14ac:dyDescent="0.25">
      <c r="A38" s="3">
        <v>4311</v>
      </c>
      <c r="B38" s="3">
        <v>113.3636344</v>
      </c>
      <c r="C38" s="3">
        <v>22.9230719</v>
      </c>
      <c r="D38" s="3">
        <v>21</v>
      </c>
      <c r="E38" s="13">
        <f t="shared" si="3"/>
        <v>2.7780576307909776E-3</v>
      </c>
      <c r="F38" s="13">
        <f t="shared" si="4"/>
        <v>18.972710262456239</v>
      </c>
      <c r="G38" s="14">
        <f>F38/$F$139*$D$2</f>
        <v>44.51208636888105</v>
      </c>
      <c r="H38" s="14">
        <f>F38/$F$139*$E$2</f>
        <v>44.51208636888105</v>
      </c>
      <c r="I38" s="25" t="str">
        <f t="shared" si="2"/>
        <v>选中</v>
      </c>
    </row>
    <row r="39" spans="1:9" hidden="1" x14ac:dyDescent="0.25">
      <c r="A39" s="3">
        <v>4075</v>
      </c>
      <c r="B39" s="3">
        <v>113.36179559999999</v>
      </c>
      <c r="C39" s="3">
        <v>22.927646360000001</v>
      </c>
      <c r="D39" s="3">
        <v>21</v>
      </c>
      <c r="E39" s="13">
        <f t="shared" si="3"/>
        <v>2.9044538838833242E-3</v>
      </c>
      <c r="F39" s="13">
        <f t="shared" si="4"/>
        <v>18.555290472489265</v>
      </c>
      <c r="G39" s="14">
        <f>F39/$F$124*$D$2</f>
        <v>2864.4977557401076</v>
      </c>
      <c r="H39" s="14">
        <f>F39/$F$124*$E$2</f>
        <v>2864.4977557401076</v>
      </c>
      <c r="I39" s="25" t="str">
        <f t="shared" si="2"/>
        <v/>
      </c>
    </row>
    <row r="40" spans="1:9" hidden="1" x14ac:dyDescent="0.25">
      <c r="A40" s="3">
        <v>4312</v>
      </c>
      <c r="B40" s="3">
        <v>113.36337880000001</v>
      </c>
      <c r="C40" s="3">
        <v>22.922985260000001</v>
      </c>
      <c r="D40" s="3">
        <v>21</v>
      </c>
      <c r="E40" s="13">
        <f t="shared" si="3"/>
        <v>2.9120649171293193E-3</v>
      </c>
      <c r="F40" s="13">
        <f t="shared" si="4"/>
        <v>18.531026361869163</v>
      </c>
      <c r="G40" s="14">
        <f>F40/$F$124*$D$2</f>
        <v>2860.7519512473482</v>
      </c>
      <c r="H40" s="14">
        <f>F40/$F$124*$E$2</f>
        <v>2860.7519512473482</v>
      </c>
      <c r="I40" s="25" t="str">
        <f t="shared" si="2"/>
        <v/>
      </c>
    </row>
    <row r="41" spans="1:9" x14ac:dyDescent="0.25">
      <c r="A41" s="3">
        <v>4307</v>
      </c>
      <c r="B41" s="3">
        <v>113.3637513</v>
      </c>
      <c r="C41" s="3">
        <v>22.92288083</v>
      </c>
      <c r="D41" s="3">
        <v>21</v>
      </c>
      <c r="E41" s="13">
        <f t="shared" si="3"/>
        <v>2.9528819297236584E-3</v>
      </c>
      <c r="F41" s="13">
        <f t="shared" si="4"/>
        <v>18.402505615338768</v>
      </c>
      <c r="G41" s="14">
        <f>F41/$F$139*$D$2</f>
        <v>43.174322910243575</v>
      </c>
      <c r="H41" s="14">
        <f>F41/$F$139*$E$2</f>
        <v>43.174322910243575</v>
      </c>
      <c r="I41" s="25" t="str">
        <f t="shared" si="2"/>
        <v>选中</v>
      </c>
    </row>
    <row r="42" spans="1:9" hidden="1" x14ac:dyDescent="0.25">
      <c r="A42" s="3">
        <v>4317</v>
      </c>
      <c r="B42" s="3">
        <v>113.3638122</v>
      </c>
      <c r="C42" s="3">
        <v>22.922844770000001</v>
      </c>
      <c r="D42" s="3">
        <v>21</v>
      </c>
      <c r="E42" s="13">
        <f t="shared" si="3"/>
        <v>2.9832319421876415E-3</v>
      </c>
      <c r="F42" s="13">
        <f t="shared" si="4"/>
        <v>18.308657051281564</v>
      </c>
      <c r="G42" s="14">
        <f>F42/$F$124*$D$2</f>
        <v>2826.4233918497976</v>
      </c>
      <c r="H42" s="14">
        <f>F42/$F$124*$E$2</f>
        <v>2826.4233918497976</v>
      </c>
      <c r="I42" s="25" t="str">
        <f t="shared" si="2"/>
        <v/>
      </c>
    </row>
    <row r="43" spans="1:9" hidden="1" x14ac:dyDescent="0.25">
      <c r="A43" s="3">
        <v>4033</v>
      </c>
      <c r="B43" s="3">
        <v>113.36184950000001</v>
      </c>
      <c r="C43" s="3">
        <v>22.92784121</v>
      </c>
      <c r="D43" s="3">
        <v>21</v>
      </c>
      <c r="E43" s="13">
        <f t="shared" si="3"/>
        <v>2.9909554456816526E-3</v>
      </c>
      <c r="F43" s="13">
        <f t="shared" si="4"/>
        <v>18.285002672996743</v>
      </c>
      <c r="G43" s="14">
        <f>F43/$F$124*$D$2</f>
        <v>2822.7717156008721</v>
      </c>
      <c r="H43" s="14">
        <f>F43/$F$124*$E$2</f>
        <v>2822.7717156008721</v>
      </c>
      <c r="I43" s="25" t="str">
        <f t="shared" si="2"/>
        <v/>
      </c>
    </row>
    <row r="44" spans="1:9" x14ac:dyDescent="0.25">
      <c r="A44" s="3">
        <v>4007</v>
      </c>
      <c r="B44" s="3">
        <v>113.36136740000001</v>
      </c>
      <c r="C44" s="3">
        <v>22.924365309999999</v>
      </c>
      <c r="D44" s="3">
        <v>21</v>
      </c>
      <c r="E44" s="13">
        <f t="shared" si="3"/>
        <v>3.0531097228950043E-3</v>
      </c>
      <c r="F44" s="13">
        <f t="shared" si="4"/>
        <v>18.097925406060057</v>
      </c>
      <c r="G44" s="14">
        <f>F44/$F$139*$D$2</f>
        <v>42.459743896801626</v>
      </c>
      <c r="H44" s="14">
        <f>F44/$F$139*$E$2</f>
        <v>42.459743896801626</v>
      </c>
      <c r="I44" s="25" t="str">
        <f t="shared" si="2"/>
        <v>选中</v>
      </c>
    </row>
    <row r="45" spans="1:9" hidden="1" x14ac:dyDescent="0.25">
      <c r="A45" s="3">
        <v>4027</v>
      </c>
      <c r="B45" s="3">
        <v>113.3650133</v>
      </c>
      <c r="C45" s="3">
        <v>22.928734810000002</v>
      </c>
      <c r="D45" s="3">
        <v>21</v>
      </c>
      <c r="E45" s="13">
        <f t="shared" si="3"/>
        <v>3.0706636204779385E-3</v>
      </c>
      <c r="F45" s="13">
        <f t="shared" si="4"/>
        <v>18.046121545417861</v>
      </c>
      <c r="G45" s="14">
        <f>F45/$F$124*$D$2</f>
        <v>2785.8941223962333</v>
      </c>
      <c r="H45" s="14">
        <f>F45/$F$124*$E$2</f>
        <v>2785.8941223962333</v>
      </c>
      <c r="I45" s="25" t="str">
        <f t="shared" si="2"/>
        <v/>
      </c>
    </row>
    <row r="46" spans="1:9" hidden="1" x14ac:dyDescent="0.25">
      <c r="A46" s="3">
        <v>4089</v>
      </c>
      <c r="B46" s="3">
        <v>113.36400759999999</v>
      </c>
      <c r="C46" s="3">
        <v>22.928924970000001</v>
      </c>
      <c r="D46" s="3">
        <v>21</v>
      </c>
      <c r="E46" s="13">
        <f t="shared" si="3"/>
        <v>3.1069958945751388E-3</v>
      </c>
      <c r="F46" s="13">
        <f t="shared" si="4"/>
        <v>17.94029831469992</v>
      </c>
      <c r="G46" s="14">
        <f>F46/$F$124*$D$2</f>
        <v>2769.5575197789826</v>
      </c>
      <c r="H46" s="14">
        <f>F46/$F$124*$E$2</f>
        <v>2769.5575197789826</v>
      </c>
      <c r="I46" s="25" t="str">
        <f t="shared" si="2"/>
        <v/>
      </c>
    </row>
    <row r="47" spans="1:9" x14ac:dyDescent="0.25">
      <c r="A47" s="3">
        <v>4039</v>
      </c>
      <c r="B47" s="3">
        <v>113.3636001</v>
      </c>
      <c r="C47" s="3">
        <v>22.929075430000001</v>
      </c>
      <c r="D47" s="3">
        <v>21</v>
      </c>
      <c r="E47" s="13">
        <f t="shared" si="3"/>
        <v>3.2884117879159675E-3</v>
      </c>
      <c r="F47" s="13">
        <f t="shared" si="4"/>
        <v>17.438410704481434</v>
      </c>
      <c r="G47" s="14">
        <f>F47/$F$139*$D$2</f>
        <v>40.912449126991874</v>
      </c>
      <c r="H47" s="14">
        <f>F47/$F$139*$E$2</f>
        <v>40.912449126991874</v>
      </c>
      <c r="I47" s="25" t="str">
        <f t="shared" si="2"/>
        <v>选中</v>
      </c>
    </row>
    <row r="48" spans="1:9" hidden="1" x14ac:dyDescent="0.25">
      <c r="A48" s="3">
        <v>4044</v>
      </c>
      <c r="B48" s="3">
        <v>113.3626733</v>
      </c>
      <c r="C48" s="3">
        <v>22.92884871</v>
      </c>
      <c r="D48" s="3">
        <v>21</v>
      </c>
      <c r="E48" s="13">
        <f t="shared" si="3"/>
        <v>3.3295424998182172E-3</v>
      </c>
      <c r="F48" s="13">
        <f t="shared" si="4"/>
        <v>17.330365358509418</v>
      </c>
      <c r="G48" s="14">
        <f>F48/$F$124*$D$2</f>
        <v>2675.3983048235496</v>
      </c>
      <c r="H48" s="14">
        <f>F48/$F$124*$E$2</f>
        <v>2675.3983048235496</v>
      </c>
      <c r="I48" s="25" t="str">
        <f t="shared" si="2"/>
        <v/>
      </c>
    </row>
    <row r="49" spans="1:9" hidden="1" x14ac:dyDescent="0.25">
      <c r="A49" s="3">
        <v>4319</v>
      </c>
      <c r="B49" s="3">
        <v>113.3647331</v>
      </c>
      <c r="C49" s="3">
        <v>22.922420800000001</v>
      </c>
      <c r="D49" s="3">
        <v>21</v>
      </c>
      <c r="E49" s="13">
        <f t="shared" si="3"/>
        <v>3.464980014371075E-3</v>
      </c>
      <c r="F49" s="13">
        <f t="shared" si="4"/>
        <v>16.988288707678969</v>
      </c>
      <c r="G49" s="14">
        <f>F49/$F$124*$D$2</f>
        <v>2622.5897648522828</v>
      </c>
      <c r="H49" s="14">
        <f>F49/$F$124*$E$2</f>
        <v>2622.5897648522828</v>
      </c>
      <c r="I49" s="25" t="str">
        <f t="shared" si="2"/>
        <v/>
      </c>
    </row>
    <row r="50" spans="1:9" x14ac:dyDescent="0.25">
      <c r="A50" s="3">
        <v>4284</v>
      </c>
      <c r="B50" s="3">
        <v>113.3655251</v>
      </c>
      <c r="C50" s="3">
        <v>22.92266673</v>
      </c>
      <c r="D50" s="3">
        <v>21</v>
      </c>
      <c r="E50" s="13">
        <f t="shared" si="3"/>
        <v>3.4785988148845598E-3</v>
      </c>
      <c r="F50" s="13">
        <f t="shared" si="4"/>
        <v>16.955001309964945</v>
      </c>
      <c r="G50" s="14">
        <f>F50/$F$139*$D$2</f>
        <v>39.778316974938399</v>
      </c>
      <c r="H50" s="14">
        <f>F50/$F$139*$E$2</f>
        <v>39.778316974938399</v>
      </c>
      <c r="I50" s="25" t="str">
        <f t="shared" si="2"/>
        <v>选中</v>
      </c>
    </row>
    <row r="51" spans="1:9" hidden="1" x14ac:dyDescent="0.25">
      <c r="A51" s="3">
        <v>3976</v>
      </c>
      <c r="B51" s="3">
        <v>113.36111649999999</v>
      </c>
      <c r="C51" s="3">
        <v>22.92769225</v>
      </c>
      <c r="D51" s="3">
        <v>21</v>
      </c>
      <c r="E51" s="13">
        <f t="shared" si="3"/>
        <v>3.4831554390376556E-3</v>
      </c>
      <c r="F51" s="13">
        <f t="shared" si="4"/>
        <v>16.943907511074123</v>
      </c>
      <c r="G51" s="14">
        <f>F51/$F$124*$D$2</f>
        <v>2615.7383583350888</v>
      </c>
      <c r="H51" s="14">
        <f>F51/$F$124*$E$2</f>
        <v>2615.7383583350888</v>
      </c>
      <c r="I51" s="25" t="str">
        <f t="shared" si="2"/>
        <v/>
      </c>
    </row>
    <row r="52" spans="1:9" hidden="1" x14ac:dyDescent="0.25">
      <c r="A52" s="3">
        <v>3972</v>
      </c>
      <c r="B52" s="3">
        <v>113.36108659999999</v>
      </c>
      <c r="C52" s="3">
        <v>22.9276673</v>
      </c>
      <c r="D52" s="3">
        <v>21</v>
      </c>
      <c r="E52" s="13">
        <f t="shared" si="3"/>
        <v>3.4951333307906948E-3</v>
      </c>
      <c r="F52" s="13">
        <f t="shared" si="4"/>
        <v>16.914849038937259</v>
      </c>
      <c r="G52" s="14">
        <f>F52/$F$124*$D$2</f>
        <v>2611.2524178781237</v>
      </c>
      <c r="H52" s="14">
        <f>F52/$F$124*$E$2</f>
        <v>2611.2524178781237</v>
      </c>
      <c r="I52" s="25" t="str">
        <f t="shared" si="2"/>
        <v/>
      </c>
    </row>
    <row r="53" spans="1:9" x14ac:dyDescent="0.25">
      <c r="A53" s="3">
        <v>4297</v>
      </c>
      <c r="B53" s="3">
        <v>113.36446239999999</v>
      </c>
      <c r="C53" s="3">
        <v>22.92232417</v>
      </c>
      <c r="D53" s="3">
        <v>21</v>
      </c>
      <c r="E53" s="13">
        <f t="shared" si="3"/>
        <v>3.5180790919050998E-3</v>
      </c>
      <c r="F53" s="13">
        <f t="shared" si="4"/>
        <v>16.859597436115624</v>
      </c>
      <c r="G53" s="14">
        <f>F53/$F$139*$D$2</f>
        <v>39.554488886385855</v>
      </c>
      <c r="H53" s="14">
        <f>F53/$F$139*$E$2</f>
        <v>39.554488886385855</v>
      </c>
      <c r="I53" s="25" t="str">
        <f t="shared" si="2"/>
        <v>选中</v>
      </c>
    </row>
    <row r="54" spans="1:9" hidden="1" x14ac:dyDescent="0.25">
      <c r="A54" s="3">
        <v>4299</v>
      </c>
      <c r="B54" s="3">
        <v>113.36414480000001</v>
      </c>
      <c r="C54" s="3">
        <v>22.92221061</v>
      </c>
      <c r="D54" s="3">
        <v>21</v>
      </c>
      <c r="E54" s="13">
        <f t="shared" si="3"/>
        <v>3.6088679632393472E-3</v>
      </c>
      <c r="F54" s="13">
        <f t="shared" si="4"/>
        <v>16.646176821054674</v>
      </c>
      <c r="G54" s="14">
        <f>F54/$F$124*$D$2</f>
        <v>2569.7757853082676</v>
      </c>
      <c r="H54" s="14">
        <f>F54/$F$124*$E$2</f>
        <v>2569.7757853082676</v>
      </c>
      <c r="I54" s="25" t="str">
        <f t="shared" si="2"/>
        <v/>
      </c>
    </row>
    <row r="55" spans="1:9" hidden="1" x14ac:dyDescent="0.25">
      <c r="A55" s="3">
        <v>4050</v>
      </c>
      <c r="B55" s="3">
        <v>113.3675645</v>
      </c>
      <c r="C55" s="3">
        <v>22.924901389999999</v>
      </c>
      <c r="D55" s="3">
        <v>21</v>
      </c>
      <c r="E55" s="13">
        <f t="shared" si="3"/>
        <v>3.6296233355745892E-3</v>
      </c>
      <c r="F55" s="13">
        <f t="shared" si="4"/>
        <v>16.598514446726877</v>
      </c>
      <c r="G55" s="14">
        <f>F55/$F$124*$D$2</f>
        <v>2562.4178425965843</v>
      </c>
      <c r="H55" s="14">
        <f>F55/$F$124*$E$2</f>
        <v>2562.4178425965843</v>
      </c>
      <c r="I55" s="25" t="str">
        <f t="shared" si="2"/>
        <v/>
      </c>
    </row>
    <row r="56" spans="1:9" x14ac:dyDescent="0.25">
      <c r="A56" s="3">
        <v>4293</v>
      </c>
      <c r="B56" s="3">
        <v>113.3657039</v>
      </c>
      <c r="C56" s="3">
        <v>22.922516569999999</v>
      </c>
      <c r="D56" s="3">
        <v>21</v>
      </c>
      <c r="E56" s="13">
        <f t="shared" si="3"/>
        <v>3.6916409200954017E-3</v>
      </c>
      <c r="F56" s="13">
        <f t="shared" si="4"/>
        <v>16.458500854323958</v>
      </c>
      <c r="G56" s="14">
        <f>F56/$F$139*$D$2</f>
        <v>38.613471738914683</v>
      </c>
      <c r="H56" s="14">
        <f>F56/$F$139*$E$2</f>
        <v>38.613471738914683</v>
      </c>
      <c r="I56" s="25" t="str">
        <f t="shared" si="2"/>
        <v>选中</v>
      </c>
    </row>
    <row r="57" spans="1:9" hidden="1" x14ac:dyDescent="0.25">
      <c r="A57" s="3">
        <v>4278</v>
      </c>
      <c r="B57" s="3">
        <v>113.3643726</v>
      </c>
      <c r="C57" s="3">
        <v>22.922059390000001</v>
      </c>
      <c r="D57" s="3">
        <v>21</v>
      </c>
      <c r="E57" s="13">
        <f t="shared" si="3"/>
        <v>3.772506380125721E-3</v>
      </c>
      <c r="F57" s="13">
        <f t="shared" si="4"/>
        <v>16.281147413769652</v>
      </c>
      <c r="G57" s="14">
        <f>F57/$F$124*$D$2</f>
        <v>2513.4238828954558</v>
      </c>
      <c r="H57" s="14">
        <f>F57/$F$124*$E$2</f>
        <v>2513.4238828954558</v>
      </c>
      <c r="I57" s="25" t="str">
        <f t="shared" si="2"/>
        <v/>
      </c>
    </row>
    <row r="58" spans="1:9" hidden="1" x14ac:dyDescent="0.25">
      <c r="A58" s="3">
        <v>4313</v>
      </c>
      <c r="B58" s="3">
        <v>113.3668984</v>
      </c>
      <c r="C58" s="3">
        <v>22.92317688</v>
      </c>
      <c r="D58" s="3">
        <v>21</v>
      </c>
      <c r="E58" s="13">
        <f t="shared" si="3"/>
        <v>3.8827409463438761E-3</v>
      </c>
      <c r="F58" s="13">
        <f t="shared" si="4"/>
        <v>16.048364958470593</v>
      </c>
      <c r="G58" s="14">
        <f>F58/$F$124*$D$2</f>
        <v>2477.4877803715717</v>
      </c>
      <c r="H58" s="14">
        <f>F58/$F$124*$E$2</f>
        <v>2477.4877803715717</v>
      </c>
      <c r="I58" s="25" t="str">
        <f t="shared" si="2"/>
        <v/>
      </c>
    </row>
    <row r="59" spans="1:9" x14ac:dyDescent="0.25">
      <c r="A59" s="3">
        <v>4001</v>
      </c>
      <c r="B59" s="3">
        <v>113.36026200000001</v>
      </c>
      <c r="C59" s="3">
        <v>22.924346809999999</v>
      </c>
      <c r="D59" s="3">
        <v>21</v>
      </c>
      <c r="E59" s="13">
        <f t="shared" si="3"/>
        <v>4.0661936968138237E-3</v>
      </c>
      <c r="F59" s="13">
        <f t="shared" si="4"/>
        <v>15.682163180837712</v>
      </c>
      <c r="G59" s="14">
        <f>F59/$F$139*$D$2</f>
        <v>36.792097296591749</v>
      </c>
      <c r="H59" s="14">
        <f>F59/$F$139*$E$2</f>
        <v>36.792097296591749</v>
      </c>
      <c r="I59" s="25" t="str">
        <f t="shared" si="2"/>
        <v>选中</v>
      </c>
    </row>
    <row r="60" spans="1:9" hidden="1" x14ac:dyDescent="0.25">
      <c r="A60" s="3">
        <v>4024</v>
      </c>
      <c r="B60" s="3">
        <v>113.3629109</v>
      </c>
      <c r="C60" s="3">
        <v>22.929808999999999</v>
      </c>
      <c r="D60" s="3">
        <v>21</v>
      </c>
      <c r="E60" s="13">
        <f t="shared" si="3"/>
        <v>4.1508029801441033E-3</v>
      </c>
      <c r="F60" s="13">
        <f t="shared" si="4"/>
        <v>15.52150896464749</v>
      </c>
      <c r="G60" s="14">
        <f>F60/$F$124*$D$2</f>
        <v>2396.1536824687623</v>
      </c>
      <c r="H60" s="14">
        <f>F60/$F$124*$E$2</f>
        <v>2396.1536824687623</v>
      </c>
      <c r="I60" s="25" t="str">
        <f t="shared" si="2"/>
        <v/>
      </c>
    </row>
    <row r="61" spans="1:9" hidden="1" x14ac:dyDescent="0.25">
      <c r="A61" s="3">
        <v>4303</v>
      </c>
      <c r="B61" s="3">
        <v>113.3636535</v>
      </c>
      <c r="C61" s="3">
        <v>22.921684450000001</v>
      </c>
      <c r="D61" s="3">
        <v>21</v>
      </c>
      <c r="E61" s="13">
        <f t="shared" si="3"/>
        <v>4.153070747349049E-3</v>
      </c>
      <c r="F61" s="13">
        <f t="shared" si="4"/>
        <v>15.517270657916683</v>
      </c>
      <c r="G61" s="14">
        <f>F61/$F$124*$D$2</f>
        <v>2395.4993882050035</v>
      </c>
      <c r="H61" s="14">
        <f>F61/$F$124*$E$2</f>
        <v>2395.4993882050035</v>
      </c>
      <c r="I61" s="25" t="str">
        <f t="shared" si="2"/>
        <v/>
      </c>
    </row>
    <row r="62" spans="1:9" x14ac:dyDescent="0.25">
      <c r="A62" s="3">
        <v>4055</v>
      </c>
      <c r="B62" s="3">
        <v>113.3624296</v>
      </c>
      <c r="C62" s="3">
        <v>22.929660680000001</v>
      </c>
      <c r="D62" s="3">
        <v>21</v>
      </c>
      <c r="E62" s="13">
        <f t="shared" si="3"/>
        <v>4.1710925504474042E-3</v>
      </c>
      <c r="F62" s="13">
        <f t="shared" si="4"/>
        <v>15.483712074227943</v>
      </c>
      <c r="G62" s="14">
        <f>F62/$F$139*$D$2</f>
        <v>36.326508950213316</v>
      </c>
      <c r="H62" s="14">
        <f>F62/$F$139*$E$2</f>
        <v>36.326508950213316</v>
      </c>
      <c r="I62" s="25" t="str">
        <f t="shared" si="2"/>
        <v>选中</v>
      </c>
    </row>
    <row r="63" spans="1:9" hidden="1" x14ac:dyDescent="0.25">
      <c r="A63" s="3">
        <v>4048</v>
      </c>
      <c r="B63" s="3">
        <v>113.3627302</v>
      </c>
      <c r="C63" s="3">
        <v>22.929838220000001</v>
      </c>
      <c r="D63" s="3">
        <v>21</v>
      </c>
      <c r="E63" s="13">
        <f t="shared" si="3"/>
        <v>4.2318434005038704E-3</v>
      </c>
      <c r="F63" s="13">
        <f t="shared" si="4"/>
        <v>15.372170963471401</v>
      </c>
      <c r="G63" s="14">
        <f>F63/$F$124*$D$2</f>
        <v>2373.0994290282219</v>
      </c>
      <c r="H63" s="14">
        <f>F63/$F$124*$E$2</f>
        <v>2373.0994290282219</v>
      </c>
      <c r="I63" s="25" t="str">
        <f t="shared" si="2"/>
        <v/>
      </c>
    </row>
    <row r="64" spans="1:9" hidden="1" x14ac:dyDescent="0.25">
      <c r="A64" s="3">
        <v>4032</v>
      </c>
      <c r="B64" s="3">
        <v>113.364408</v>
      </c>
      <c r="C64" s="3">
        <v>22.930156960000001</v>
      </c>
      <c r="D64" s="3">
        <v>21</v>
      </c>
      <c r="E64" s="13">
        <f t="shared" si="3"/>
        <v>4.3531919042949872E-3</v>
      </c>
      <c r="F64" s="13">
        <f t="shared" si="4"/>
        <v>15.156401226650285</v>
      </c>
      <c r="G64" s="14">
        <f>F64/$F$124*$D$2</f>
        <v>2339.7896876476116</v>
      </c>
      <c r="H64" s="14">
        <f>F64/$F$124*$E$2</f>
        <v>2339.7896876476116</v>
      </c>
      <c r="I64" s="25" t="str">
        <f t="shared" si="2"/>
        <v/>
      </c>
    </row>
    <row r="65" spans="1:9" x14ac:dyDescent="0.25">
      <c r="A65" s="3">
        <v>4021</v>
      </c>
      <c r="B65" s="3">
        <v>113.3656914</v>
      </c>
      <c r="C65" s="3">
        <v>22.929861509999999</v>
      </c>
      <c r="D65" s="3">
        <v>21</v>
      </c>
      <c r="E65" s="13">
        <f t="shared" si="3"/>
        <v>4.3627070202022084E-3</v>
      </c>
      <c r="F65" s="13">
        <f t="shared" si="4"/>
        <v>15.139864059105204</v>
      </c>
      <c r="G65" s="14">
        <f>F65/$F$139*$D$2</f>
        <v>35.519803301142261</v>
      </c>
      <c r="H65" s="14">
        <f>F65/$F$139*$E$2</f>
        <v>35.519803301142261</v>
      </c>
      <c r="I65" s="25" t="str">
        <f t="shared" si="2"/>
        <v>选中</v>
      </c>
    </row>
    <row r="66" spans="1:9" hidden="1" x14ac:dyDescent="0.25">
      <c r="A66" s="3">
        <v>3963</v>
      </c>
      <c r="B66" s="3">
        <v>113.3599572</v>
      </c>
      <c r="C66" s="3">
        <v>22.92769182</v>
      </c>
      <c r="D66" s="3">
        <v>21</v>
      </c>
      <c r="E66" s="13">
        <f t="shared" si="3"/>
        <v>4.5035961575586253E-3</v>
      </c>
      <c r="F66" s="13">
        <f t="shared" si="4"/>
        <v>14.90116693417319</v>
      </c>
      <c r="G66" s="14">
        <f>F66/$F$124*$D$2</f>
        <v>2300.3875527647037</v>
      </c>
      <c r="H66" s="14">
        <f>F66/$F$124*$E$2</f>
        <v>2300.3875527647037</v>
      </c>
      <c r="I66" s="25" t="str">
        <f t="shared" si="2"/>
        <v/>
      </c>
    </row>
    <row r="67" spans="1:9" hidden="1" x14ac:dyDescent="0.25">
      <c r="A67" s="3">
        <v>4047</v>
      </c>
      <c r="B67" s="3">
        <v>113.36853139999999</v>
      </c>
      <c r="C67" s="3">
        <v>22.924932290000001</v>
      </c>
      <c r="D67" s="3">
        <v>21</v>
      </c>
      <c r="E67" s="13">
        <f t="shared" si="3"/>
        <v>4.5655955975214685E-3</v>
      </c>
      <c r="F67" s="13">
        <f t="shared" si="4"/>
        <v>14.799644371178347</v>
      </c>
      <c r="G67" s="14">
        <f>F67/$F$124*$D$2</f>
        <v>2284.7148714727091</v>
      </c>
      <c r="H67" s="14">
        <f>F67/$F$124*$E$2</f>
        <v>2284.7148714727091</v>
      </c>
      <c r="I67" s="25" t="str">
        <f t="shared" si="2"/>
        <v/>
      </c>
    </row>
    <row r="68" spans="1:9" x14ac:dyDescent="0.25">
      <c r="A68" s="3">
        <v>3961</v>
      </c>
      <c r="B68" s="3">
        <v>113.3597994</v>
      </c>
      <c r="C68" s="3">
        <v>22.927655049999998</v>
      </c>
      <c r="D68" s="3">
        <v>21</v>
      </c>
      <c r="E68" s="13">
        <f t="shared" si="3"/>
        <v>4.632856656798575E-3</v>
      </c>
      <c r="F68" s="13">
        <f t="shared" si="4"/>
        <v>14.691818971572303</v>
      </c>
      <c r="G68" s="14">
        <f>F68/$F$139*$D$2</f>
        <v>34.468639742666277</v>
      </c>
      <c r="H68" s="14">
        <f>F68/$F$139*$E$2</f>
        <v>34.468639742666277</v>
      </c>
      <c r="I68" s="25" t="str">
        <f t="shared" si="2"/>
        <v>选中</v>
      </c>
    </row>
    <row r="69" spans="1:9" hidden="1" x14ac:dyDescent="0.25">
      <c r="A69" s="3">
        <v>4065</v>
      </c>
      <c r="B69" s="3">
        <v>113.3620131</v>
      </c>
      <c r="C69" s="3">
        <v>22.929982089999999</v>
      </c>
      <c r="D69" s="3">
        <v>21</v>
      </c>
      <c r="E69" s="13">
        <f t="shared" ref="E69:E100" si="5">SQRT((B69-$B$2)^2+(C69-$C$2)^2)</f>
        <v>4.6364541854824913E-3</v>
      </c>
      <c r="F69" s="13">
        <f t="shared" ref="F69:F100" si="6">SQRT(1/E69)</f>
        <v>14.686118009723966</v>
      </c>
      <c r="G69" s="14">
        <f>F69/$F$124*$D$2</f>
        <v>2267.1890877569776</v>
      </c>
      <c r="H69" s="14">
        <f>F69/$F$124*$E$2</f>
        <v>2267.1890877569776</v>
      </c>
      <c r="I69" s="25" t="str">
        <f t="shared" si="2"/>
        <v/>
      </c>
    </row>
    <row r="70" spans="1:9" hidden="1" x14ac:dyDescent="0.25">
      <c r="A70" s="3">
        <v>4289</v>
      </c>
      <c r="B70" s="3">
        <v>113.3639032</v>
      </c>
      <c r="C70" s="3">
        <v>22.921054399999999</v>
      </c>
      <c r="D70" s="3">
        <v>21</v>
      </c>
      <c r="E70" s="13">
        <f t="shared" si="5"/>
        <v>4.766242080507764E-3</v>
      </c>
      <c r="F70" s="13">
        <f t="shared" si="6"/>
        <v>14.484781610783017</v>
      </c>
      <c r="G70" s="14">
        <f>F70/$F$124*$D$2</f>
        <v>2236.1075121939207</v>
      </c>
      <c r="H70" s="14">
        <f>F70/$F$124*$E$2</f>
        <v>2236.1075121939207</v>
      </c>
      <c r="I70" s="25" t="str">
        <f t="shared" ref="I70:I133" si="7">IF(MOD(ROW()-1,3)=1,"选中","")</f>
        <v/>
      </c>
    </row>
    <row r="71" spans="1:9" x14ac:dyDescent="0.25">
      <c r="A71" s="3">
        <v>4285</v>
      </c>
      <c r="B71" s="3">
        <v>113.3672121</v>
      </c>
      <c r="C71" s="3">
        <v>22.92218493</v>
      </c>
      <c r="D71" s="3">
        <v>21</v>
      </c>
      <c r="E71" s="13">
        <f t="shared" si="5"/>
        <v>4.8149577160090566E-3</v>
      </c>
      <c r="F71" s="13">
        <f t="shared" si="6"/>
        <v>14.411319983811635</v>
      </c>
      <c r="G71" s="14">
        <f>F71/$F$139*$D$2</f>
        <v>33.810557950615021</v>
      </c>
      <c r="H71" s="14">
        <f>F71/$F$139*$E$2</f>
        <v>33.810557950615021</v>
      </c>
      <c r="I71" s="25" t="str">
        <f t="shared" si="7"/>
        <v>选中</v>
      </c>
    </row>
    <row r="72" spans="1:9" hidden="1" x14ac:dyDescent="0.25">
      <c r="A72" s="3">
        <v>3944</v>
      </c>
      <c r="B72" s="3">
        <v>113.35939399999999</v>
      </c>
      <c r="C72" s="3">
        <v>22.92712384</v>
      </c>
      <c r="D72" s="3">
        <v>21</v>
      </c>
      <c r="E72" s="13">
        <f t="shared" si="5"/>
        <v>4.8380769580064461E-3</v>
      </c>
      <c r="F72" s="13">
        <f t="shared" si="6"/>
        <v>14.376845771935088</v>
      </c>
      <c r="G72" s="14">
        <f>F72/$F$124*$D$2</f>
        <v>2219.4447728742525</v>
      </c>
      <c r="H72" s="14">
        <f>F72/$F$124*$E$2</f>
        <v>2219.4447728742525</v>
      </c>
      <c r="I72" s="25" t="str">
        <f t="shared" si="7"/>
        <v/>
      </c>
    </row>
    <row r="73" spans="1:9" hidden="1" x14ac:dyDescent="0.25">
      <c r="A73" s="3">
        <v>4006</v>
      </c>
      <c r="B73" s="3">
        <v>113.3594721</v>
      </c>
      <c r="C73" s="3">
        <v>22.924222950000001</v>
      </c>
      <c r="D73" s="3">
        <v>21</v>
      </c>
      <c r="E73" s="13">
        <f t="shared" si="5"/>
        <v>4.8503733745345057E-3</v>
      </c>
      <c r="F73" s="13">
        <f t="shared" si="6"/>
        <v>14.358610488197023</v>
      </c>
      <c r="G73" s="14">
        <f>F73/$F$124*$D$2</f>
        <v>2216.6296765856541</v>
      </c>
      <c r="H73" s="14">
        <f>F73/$F$124*$E$2</f>
        <v>2216.6296765856541</v>
      </c>
      <c r="I73" s="25" t="str">
        <f t="shared" si="7"/>
        <v/>
      </c>
    </row>
    <row r="74" spans="1:9" x14ac:dyDescent="0.25">
      <c r="A74" s="3">
        <v>3956</v>
      </c>
      <c r="B74" s="3">
        <v>113.359421</v>
      </c>
      <c r="C74" s="3">
        <v>22.927300729999999</v>
      </c>
      <c r="D74" s="3">
        <v>21</v>
      </c>
      <c r="E74" s="13">
        <f t="shared" si="5"/>
        <v>4.863056370726415E-3</v>
      </c>
      <c r="F74" s="13">
        <f t="shared" si="6"/>
        <v>14.339874421765764</v>
      </c>
      <c r="G74" s="14">
        <f>F74/$F$139*$D$2</f>
        <v>33.642938723605994</v>
      </c>
      <c r="H74" s="14">
        <f>F74/$F$139*$E$2</f>
        <v>33.642938723605994</v>
      </c>
      <c r="I74" s="25" t="str">
        <f t="shared" si="7"/>
        <v>选中</v>
      </c>
    </row>
    <row r="75" spans="1:9" hidden="1" x14ac:dyDescent="0.25">
      <c r="A75" s="3">
        <v>4280</v>
      </c>
      <c r="B75" s="3">
        <v>113.36576890000001</v>
      </c>
      <c r="C75" s="3">
        <v>22.921263020000001</v>
      </c>
      <c r="D75" s="3">
        <v>21</v>
      </c>
      <c r="E75" s="13">
        <f t="shared" si="5"/>
        <v>4.8678806033453578E-3</v>
      </c>
      <c r="F75" s="13">
        <f t="shared" si="6"/>
        <v>14.33276701263615</v>
      </c>
      <c r="G75" s="14">
        <f>F75/$F$124*$D$2</f>
        <v>2212.6400555202008</v>
      </c>
      <c r="H75" s="14">
        <f>F75/$F$124*$E$2</f>
        <v>2212.6400555202008</v>
      </c>
      <c r="I75" s="25" t="str">
        <f t="shared" si="7"/>
        <v/>
      </c>
    </row>
    <row r="76" spans="1:9" hidden="1" x14ac:dyDescent="0.25">
      <c r="A76" s="3">
        <v>4277</v>
      </c>
      <c r="B76" s="3">
        <v>113.366467</v>
      </c>
      <c r="C76" s="3">
        <v>22.921570060000001</v>
      </c>
      <c r="D76" s="3">
        <v>21</v>
      </c>
      <c r="E76" s="13">
        <f t="shared" si="5"/>
        <v>4.8863964695491481E-3</v>
      </c>
      <c r="F76" s="13">
        <f t="shared" si="6"/>
        <v>14.305585890736182</v>
      </c>
      <c r="G76" s="14">
        <f>F76/$F$124*$D$2</f>
        <v>2208.4439335141133</v>
      </c>
      <c r="H76" s="14">
        <f>F76/$F$124*$E$2</f>
        <v>2208.4439335141133</v>
      </c>
      <c r="I76" s="25" t="str">
        <f t="shared" si="7"/>
        <v/>
      </c>
    </row>
    <row r="77" spans="1:9" x14ac:dyDescent="0.25">
      <c r="A77" s="3">
        <v>3984</v>
      </c>
      <c r="B77" s="3">
        <v>113.3591504</v>
      </c>
      <c r="C77" s="3">
        <v>22.926365499999999</v>
      </c>
      <c r="D77" s="3">
        <v>21</v>
      </c>
      <c r="E77" s="13">
        <f t="shared" si="5"/>
        <v>4.9326456065580063E-3</v>
      </c>
      <c r="F77" s="13">
        <f t="shared" si="6"/>
        <v>14.23836241375613</v>
      </c>
      <c r="G77" s="14">
        <f>F77/$F$139*$D$2</f>
        <v>33.404780273627203</v>
      </c>
      <c r="H77" s="14">
        <f>F77/$F$139*$E$2</f>
        <v>33.404780273627203</v>
      </c>
      <c r="I77" s="25" t="str">
        <f t="shared" si="7"/>
        <v>选中</v>
      </c>
    </row>
    <row r="78" spans="1:9" hidden="1" x14ac:dyDescent="0.25">
      <c r="A78" s="3">
        <v>4002</v>
      </c>
      <c r="B78" s="3">
        <v>113.35912140000001</v>
      </c>
      <c r="C78" s="3">
        <v>22.92635954</v>
      </c>
      <c r="D78" s="3">
        <v>21</v>
      </c>
      <c r="E78" s="13">
        <f t="shared" si="5"/>
        <v>4.9608138624095549E-3</v>
      </c>
      <c r="F78" s="13">
        <f t="shared" si="6"/>
        <v>14.197881073138955</v>
      </c>
      <c r="G78" s="14">
        <f>F78/$F$124*$D$2</f>
        <v>2191.8168584086561</v>
      </c>
      <c r="H78" s="14">
        <f>F78/$F$124*$E$2</f>
        <v>2191.8168584086561</v>
      </c>
      <c r="I78" s="25" t="str">
        <f t="shared" si="7"/>
        <v/>
      </c>
    </row>
    <row r="79" spans="1:9" hidden="1" x14ac:dyDescent="0.25">
      <c r="A79" s="3">
        <v>4051</v>
      </c>
      <c r="B79" s="3">
        <v>113.36892690000001</v>
      </c>
      <c r="C79" s="3">
        <v>22.924890869999999</v>
      </c>
      <c r="D79" s="3">
        <v>21</v>
      </c>
      <c r="E79" s="13">
        <f t="shared" si="5"/>
        <v>4.9617463553686516E-3</v>
      </c>
      <c r="F79" s="13">
        <f t="shared" si="6"/>
        <v>14.196546860818579</v>
      </c>
      <c r="G79" s="14">
        <f>F79/$F$124*$D$2</f>
        <v>2191.6108875992495</v>
      </c>
      <c r="H79" s="14">
        <f>F79/$F$124*$E$2</f>
        <v>2191.6108875992495</v>
      </c>
      <c r="I79" s="25" t="str">
        <f t="shared" si="7"/>
        <v/>
      </c>
    </row>
    <row r="80" spans="1:9" x14ac:dyDescent="0.25">
      <c r="A80" s="3">
        <v>3955</v>
      </c>
      <c r="B80" s="3">
        <v>113.3592222</v>
      </c>
      <c r="C80" s="3">
        <v>22.927160059999999</v>
      </c>
      <c r="D80" s="3">
        <v>21</v>
      </c>
      <c r="E80" s="13">
        <f t="shared" si="5"/>
        <v>5.0132907413682906E-3</v>
      </c>
      <c r="F80" s="13">
        <f t="shared" si="6"/>
        <v>14.123377066031779</v>
      </c>
      <c r="G80" s="14">
        <f>F80/$F$139*$D$2</f>
        <v>33.135011871629821</v>
      </c>
      <c r="H80" s="14">
        <f>F80/$F$139*$E$2</f>
        <v>33.135011871629821</v>
      </c>
      <c r="I80" s="25" t="str">
        <f t="shared" si="7"/>
        <v>选中</v>
      </c>
    </row>
    <row r="81" spans="1:9" hidden="1" x14ac:dyDescent="0.25">
      <c r="A81" s="3">
        <v>4085</v>
      </c>
      <c r="B81" s="3">
        <v>113.36175249999999</v>
      </c>
      <c r="C81" s="3">
        <v>22.93029031</v>
      </c>
      <c r="D81" s="3">
        <v>21</v>
      </c>
      <c r="E81" s="13">
        <f t="shared" si="5"/>
        <v>5.0288501121133799E-3</v>
      </c>
      <c r="F81" s="13">
        <f t="shared" si="6"/>
        <v>14.101511122825702</v>
      </c>
      <c r="G81" s="14">
        <f>F81/$F$124*$D$2</f>
        <v>2176.9396185830451</v>
      </c>
      <c r="H81" s="14">
        <f>F81/$F$124*$E$2</f>
        <v>2176.9396185830451</v>
      </c>
      <c r="I81" s="25" t="str">
        <f t="shared" si="7"/>
        <v/>
      </c>
    </row>
    <row r="82" spans="1:9" hidden="1" x14ac:dyDescent="0.25">
      <c r="A82" s="3">
        <v>4093</v>
      </c>
      <c r="B82" s="3">
        <v>113.36379169999999</v>
      </c>
      <c r="C82" s="3">
        <v>22.93085743</v>
      </c>
      <c r="D82" s="3">
        <v>21</v>
      </c>
      <c r="E82" s="13">
        <f t="shared" si="5"/>
        <v>5.0458795038032271E-3</v>
      </c>
      <c r="F82" s="13">
        <f t="shared" si="6"/>
        <v>14.077695342875483</v>
      </c>
      <c r="G82" s="14">
        <f>F82/$F$124*$D$2</f>
        <v>2173.2630257363985</v>
      </c>
      <c r="H82" s="14">
        <f>F82/$F$124*$E$2</f>
        <v>2173.2630257363985</v>
      </c>
      <c r="I82" s="25" t="str">
        <f t="shared" si="7"/>
        <v/>
      </c>
    </row>
    <row r="83" spans="1:9" x14ac:dyDescent="0.25">
      <c r="A83" s="3">
        <v>4062</v>
      </c>
      <c r="B83" s="3">
        <v>113.3631096</v>
      </c>
      <c r="C83" s="3">
        <v>22.930777339999999</v>
      </c>
      <c r="D83" s="3">
        <v>21</v>
      </c>
      <c r="E83" s="13">
        <f t="shared" si="5"/>
        <v>5.0479032004960385E-3</v>
      </c>
      <c r="F83" s="13">
        <f t="shared" si="6"/>
        <v>14.074873196704456</v>
      </c>
      <c r="G83" s="14">
        <f>F83/$F$139*$D$2</f>
        <v>33.021216404832693</v>
      </c>
      <c r="H83" s="14">
        <f>F83/$F$139*$E$2</f>
        <v>33.021216404832693</v>
      </c>
      <c r="I83" s="25" t="str">
        <f t="shared" si="7"/>
        <v>选中</v>
      </c>
    </row>
    <row r="84" spans="1:9" hidden="1" x14ac:dyDescent="0.25">
      <c r="A84" s="3">
        <v>4286</v>
      </c>
      <c r="B84" s="3">
        <v>113.3659586</v>
      </c>
      <c r="C84" s="3">
        <v>22.92113384</v>
      </c>
      <c r="D84" s="3">
        <v>21</v>
      </c>
      <c r="E84" s="13">
        <f t="shared" si="5"/>
        <v>5.0573710059298779E-3</v>
      </c>
      <c r="F84" s="13">
        <f t="shared" si="6"/>
        <v>14.061692377389175</v>
      </c>
      <c r="G84" s="14">
        <f>F84/$F$124*$D$2</f>
        <v>2170.7925465601938</v>
      </c>
      <c r="H84" s="14">
        <f>F84/$F$124*$E$2</f>
        <v>2170.7925465601938</v>
      </c>
      <c r="I84" s="25" t="str">
        <f t="shared" si="7"/>
        <v/>
      </c>
    </row>
    <row r="85" spans="1:9" hidden="1" x14ac:dyDescent="0.25">
      <c r="A85" s="3">
        <v>4318</v>
      </c>
      <c r="B85" s="3">
        <v>113.3662753</v>
      </c>
      <c r="C85" s="3">
        <v>22.92112947</v>
      </c>
      <c r="D85" s="3">
        <v>21</v>
      </c>
      <c r="E85" s="13">
        <f t="shared" si="5"/>
        <v>5.1889808304629382E-3</v>
      </c>
      <c r="F85" s="13">
        <f t="shared" si="6"/>
        <v>13.882221412952369</v>
      </c>
      <c r="G85" s="14">
        <f>F85/$F$124*$D$2</f>
        <v>2143.0864766599702</v>
      </c>
      <c r="H85" s="14">
        <f>F85/$F$124*$E$2</f>
        <v>2143.0864766599702</v>
      </c>
      <c r="I85" s="25" t="str">
        <f t="shared" si="7"/>
        <v/>
      </c>
    </row>
    <row r="86" spans="1:9" x14ac:dyDescent="0.25">
      <c r="A86" s="3">
        <v>4082</v>
      </c>
      <c r="B86" s="3">
        <v>113.3666052</v>
      </c>
      <c r="C86" s="3">
        <v>22.930409189999999</v>
      </c>
      <c r="D86" s="3">
        <v>21</v>
      </c>
      <c r="E86" s="13">
        <f t="shared" si="5"/>
        <v>5.2528123659712897E-3</v>
      </c>
      <c r="F86" s="13">
        <f t="shared" si="6"/>
        <v>13.797616067742714</v>
      </c>
      <c r="G86" s="14">
        <f>F86/$F$139*$D$2</f>
        <v>32.370740373732687</v>
      </c>
      <c r="H86" s="14">
        <f>F86/$F$139*$E$2</f>
        <v>32.370740373732687</v>
      </c>
      <c r="I86" s="25" t="str">
        <f t="shared" si="7"/>
        <v>选中</v>
      </c>
    </row>
    <row r="87" spans="1:9" hidden="1" x14ac:dyDescent="0.25">
      <c r="A87" s="3">
        <v>4276</v>
      </c>
      <c r="B87" s="3">
        <v>113.364079</v>
      </c>
      <c r="C87" s="3">
        <v>22.920546389999998</v>
      </c>
      <c r="D87" s="3">
        <v>21</v>
      </c>
      <c r="E87" s="13">
        <f t="shared" si="5"/>
        <v>5.2719761008669912E-3</v>
      </c>
      <c r="F87" s="13">
        <f t="shared" si="6"/>
        <v>13.772515936735021</v>
      </c>
      <c r="G87" s="14">
        <f>F87/$F$124*$D$2</f>
        <v>2126.1505472072399</v>
      </c>
      <c r="H87" s="14">
        <f>F87/$F$124*$E$2</f>
        <v>2126.1505472072399</v>
      </c>
      <c r="I87" s="25" t="str">
        <f t="shared" si="7"/>
        <v/>
      </c>
    </row>
    <row r="88" spans="1:9" hidden="1" x14ac:dyDescent="0.25">
      <c r="A88" s="3">
        <v>4291</v>
      </c>
      <c r="B88" s="3">
        <v>113.3679602</v>
      </c>
      <c r="C88" s="3">
        <v>22.92218708</v>
      </c>
      <c r="D88" s="3">
        <v>21</v>
      </c>
      <c r="E88" s="13">
        <f t="shared" si="5"/>
        <v>5.3343318652323349E-3</v>
      </c>
      <c r="F88" s="13">
        <f t="shared" si="6"/>
        <v>13.691782277488628</v>
      </c>
      <c r="G88" s="14">
        <f>F88/$F$124*$D$2</f>
        <v>2113.6871807044704</v>
      </c>
      <c r="H88" s="14">
        <f>F88/$F$124*$E$2</f>
        <v>2113.6871807044704</v>
      </c>
      <c r="I88" s="25" t="str">
        <f t="shared" si="7"/>
        <v/>
      </c>
    </row>
    <row r="89" spans="1:9" x14ac:dyDescent="0.25">
      <c r="A89" s="3">
        <v>4270</v>
      </c>
      <c r="B89" s="3">
        <v>113.3607614</v>
      </c>
      <c r="C89" s="3">
        <v>22.92160427</v>
      </c>
      <c r="D89" s="3">
        <v>21</v>
      </c>
      <c r="E89" s="13">
        <f t="shared" si="5"/>
        <v>5.3469660818870413E-3</v>
      </c>
      <c r="F89" s="13">
        <f t="shared" si="6"/>
        <v>13.675596720350249</v>
      </c>
      <c r="G89" s="14">
        <f>F89/$F$139*$D$2</f>
        <v>32.084469426953113</v>
      </c>
      <c r="H89" s="14">
        <f>F89/$F$139*$E$2</f>
        <v>32.084469426953113</v>
      </c>
      <c r="I89" s="25" t="str">
        <f t="shared" si="7"/>
        <v>选中</v>
      </c>
    </row>
    <row r="90" spans="1:9" hidden="1" x14ac:dyDescent="0.25">
      <c r="A90" s="3">
        <v>4088</v>
      </c>
      <c r="B90" s="3">
        <v>113.3654935</v>
      </c>
      <c r="C90" s="3">
        <v>22.930978280000001</v>
      </c>
      <c r="D90" s="3">
        <v>21</v>
      </c>
      <c r="E90" s="13">
        <f t="shared" si="5"/>
        <v>5.3573861546874404E-3</v>
      </c>
      <c r="F90" s="13">
        <f t="shared" si="6"/>
        <v>13.662290784633695</v>
      </c>
      <c r="G90" s="14">
        <f>F90/$F$124*$D$2</f>
        <v>2109.1343920956569</v>
      </c>
      <c r="H90" s="14">
        <f>F90/$F$124*$E$2</f>
        <v>2109.1343920956569</v>
      </c>
      <c r="I90" s="25" t="str">
        <f t="shared" si="7"/>
        <v/>
      </c>
    </row>
    <row r="91" spans="1:9" hidden="1" x14ac:dyDescent="0.25">
      <c r="A91" s="3">
        <v>4097</v>
      </c>
      <c r="B91" s="3">
        <v>113.3654935</v>
      </c>
      <c r="C91" s="3">
        <v>22.930978280000001</v>
      </c>
      <c r="D91" s="3">
        <v>21</v>
      </c>
      <c r="E91" s="13">
        <f t="shared" si="5"/>
        <v>5.3573861546874404E-3</v>
      </c>
      <c r="F91" s="13">
        <f t="shared" si="6"/>
        <v>13.662290784633695</v>
      </c>
      <c r="G91" s="14">
        <f>F91/$F$124*$D$2</f>
        <v>2109.1343920956569</v>
      </c>
      <c r="H91" s="14">
        <f>F91/$F$124*$E$2</f>
        <v>2109.1343920956569</v>
      </c>
      <c r="I91" s="25" t="str">
        <f t="shared" si="7"/>
        <v/>
      </c>
    </row>
    <row r="92" spans="1:9" x14ac:dyDescent="0.25">
      <c r="A92" s="3">
        <v>3952</v>
      </c>
      <c r="B92" s="3">
        <v>113.3590634</v>
      </c>
      <c r="C92" s="3">
        <v>22.927823010000001</v>
      </c>
      <c r="D92" s="3">
        <v>21</v>
      </c>
      <c r="E92" s="13">
        <f t="shared" si="5"/>
        <v>5.3768930456237355E-3</v>
      </c>
      <c r="F92" s="13">
        <f t="shared" si="6"/>
        <v>13.637485476897487</v>
      </c>
      <c r="G92" s="14">
        <f>F92/$F$139*$D$2</f>
        <v>31.995056215201718</v>
      </c>
      <c r="H92" s="14">
        <f>F92/$F$139*$E$2</f>
        <v>31.995056215201718</v>
      </c>
      <c r="I92" s="25" t="str">
        <f t="shared" si="7"/>
        <v>选中</v>
      </c>
    </row>
    <row r="93" spans="1:9" hidden="1" x14ac:dyDescent="0.25">
      <c r="A93" s="3">
        <v>3949</v>
      </c>
      <c r="B93" s="3">
        <v>113.3588508</v>
      </c>
      <c r="C93" s="3">
        <v>22.927671369999999</v>
      </c>
      <c r="D93" s="3">
        <v>21</v>
      </c>
      <c r="E93" s="13">
        <f t="shared" si="5"/>
        <v>5.5220097487094387E-3</v>
      </c>
      <c r="F93" s="13">
        <f t="shared" si="6"/>
        <v>13.457098011227263</v>
      </c>
      <c r="G93" s="14">
        <f>F93/$F$124*$D$2</f>
        <v>2077.4574835725448</v>
      </c>
      <c r="H93" s="14">
        <f>F93/$F$124*$E$2</f>
        <v>2077.4574835725448</v>
      </c>
      <c r="I93" s="25" t="str">
        <f t="shared" si="7"/>
        <v/>
      </c>
    </row>
    <row r="94" spans="1:9" hidden="1" x14ac:dyDescent="0.25">
      <c r="A94" s="3">
        <v>4275</v>
      </c>
      <c r="B94" s="3">
        <v>113.3640491</v>
      </c>
      <c r="C94" s="3">
        <v>22.920232559999999</v>
      </c>
      <c r="D94" s="3">
        <v>21</v>
      </c>
      <c r="E94" s="13">
        <f t="shared" si="5"/>
        <v>5.5857410965429359E-3</v>
      </c>
      <c r="F94" s="13">
        <f t="shared" si="6"/>
        <v>13.380107386738034</v>
      </c>
      <c r="G94" s="14">
        <f>F94/$F$124*$D$2</f>
        <v>2065.5719530609417</v>
      </c>
      <c r="H94" s="14">
        <f>F94/$F$124*$E$2</f>
        <v>2065.5719530609417</v>
      </c>
      <c r="I94" s="25" t="str">
        <f t="shared" si="7"/>
        <v/>
      </c>
    </row>
    <row r="95" spans="1:9" x14ac:dyDescent="0.25">
      <c r="A95" s="3">
        <v>4288</v>
      </c>
      <c r="B95" s="3">
        <v>113.368109</v>
      </c>
      <c r="C95" s="3">
        <v>22.921972</v>
      </c>
      <c r="D95" s="3">
        <v>21</v>
      </c>
      <c r="E95" s="13">
        <f t="shared" si="5"/>
        <v>5.5900272494933401E-3</v>
      </c>
      <c r="F95" s="13">
        <f t="shared" si="6"/>
        <v>13.374976804942106</v>
      </c>
      <c r="G95" s="14">
        <f>F95/$F$139*$D$2</f>
        <v>31.379181702967145</v>
      </c>
      <c r="H95" s="14">
        <f>F95/$F$139*$E$2</f>
        <v>31.379181702967145</v>
      </c>
      <c r="I95" s="25" t="str">
        <f t="shared" si="7"/>
        <v>选中</v>
      </c>
    </row>
    <row r="96" spans="1:9" hidden="1" x14ac:dyDescent="0.25">
      <c r="A96" s="3">
        <v>3988</v>
      </c>
      <c r="B96" s="3">
        <v>113.361361</v>
      </c>
      <c r="C96" s="3">
        <v>22.930728640000002</v>
      </c>
      <c r="D96" s="3">
        <v>21</v>
      </c>
      <c r="E96" s="13">
        <f t="shared" si="5"/>
        <v>5.5996561926224464E-3</v>
      </c>
      <c r="F96" s="13">
        <f t="shared" si="6"/>
        <v>13.363472321593928</v>
      </c>
      <c r="G96" s="14">
        <f>F96/$F$124*$D$2</f>
        <v>2063.0038926556072</v>
      </c>
      <c r="H96" s="14">
        <f>F96/$F$124*$E$2</f>
        <v>2063.0038926556072</v>
      </c>
      <c r="I96" s="25" t="str">
        <f t="shared" si="7"/>
        <v/>
      </c>
    </row>
    <row r="97" spans="1:9" hidden="1" x14ac:dyDescent="0.25">
      <c r="A97" s="3">
        <v>4279</v>
      </c>
      <c r="B97" s="3">
        <v>113.36398320000001</v>
      </c>
      <c r="C97" s="3">
        <v>22.9200847</v>
      </c>
      <c r="D97" s="3">
        <v>21</v>
      </c>
      <c r="E97" s="13">
        <f t="shared" si="5"/>
        <v>5.7340199964762348E-3</v>
      </c>
      <c r="F97" s="13">
        <f t="shared" si="6"/>
        <v>13.205972799829908</v>
      </c>
      <c r="G97" s="14">
        <f>F97/$F$124*$D$2</f>
        <v>2038.689693570873</v>
      </c>
      <c r="H97" s="14">
        <f>F97/$F$124*$E$2</f>
        <v>2038.689693570873</v>
      </c>
      <c r="I97" s="25" t="str">
        <f t="shared" si="7"/>
        <v/>
      </c>
    </row>
    <row r="98" spans="1:9" x14ac:dyDescent="0.25">
      <c r="A98" s="3">
        <v>4320</v>
      </c>
      <c r="B98" s="3">
        <v>113.36206869999999</v>
      </c>
      <c r="C98" s="3">
        <v>22.920426020000001</v>
      </c>
      <c r="D98" s="3">
        <v>21</v>
      </c>
      <c r="E98" s="13">
        <f t="shared" si="5"/>
        <v>5.7456542541631682E-3</v>
      </c>
      <c r="F98" s="13">
        <f t="shared" si="6"/>
        <v>13.192595772681884</v>
      </c>
      <c r="G98" s="14">
        <f>F98/$F$139*$D$2</f>
        <v>30.951295536588631</v>
      </c>
      <c r="H98" s="14">
        <f>F98/$F$139*$E$2</f>
        <v>30.951295536588631</v>
      </c>
      <c r="I98" s="25" t="str">
        <f t="shared" si="7"/>
        <v>选中</v>
      </c>
    </row>
    <row r="99" spans="1:9" hidden="1" x14ac:dyDescent="0.25">
      <c r="A99" s="3">
        <v>4066</v>
      </c>
      <c r="B99" s="3">
        <v>113.3625134</v>
      </c>
      <c r="C99" s="3">
        <v>22.931404839999999</v>
      </c>
      <c r="D99" s="3">
        <v>21</v>
      </c>
      <c r="E99" s="13">
        <f t="shared" si="5"/>
        <v>5.7947015291197456E-3</v>
      </c>
      <c r="F99" s="13">
        <f t="shared" si="6"/>
        <v>13.13664501310047</v>
      </c>
      <c r="G99" s="14">
        <f>F99/$F$124*$D$2</f>
        <v>2027.9871238756512</v>
      </c>
      <c r="H99" s="14">
        <f>F99/$F$124*$E$2</f>
        <v>2027.9871238756512</v>
      </c>
      <c r="I99" s="25" t="str">
        <f t="shared" si="7"/>
        <v/>
      </c>
    </row>
    <row r="100" spans="1:9" hidden="1" x14ac:dyDescent="0.25">
      <c r="A100" s="3">
        <v>4094</v>
      </c>
      <c r="B100" s="3">
        <v>113.3698709</v>
      </c>
      <c r="C100" s="3">
        <v>22.925089759999999</v>
      </c>
      <c r="D100" s="3">
        <v>21</v>
      </c>
      <c r="E100" s="13">
        <f t="shared" si="5"/>
        <v>5.8637347673319313E-3</v>
      </c>
      <c r="F100" s="13">
        <f t="shared" si="6"/>
        <v>13.059087780395203</v>
      </c>
      <c r="G100" s="14">
        <f>F100/$F$124*$D$2</f>
        <v>2016.0141224637334</v>
      </c>
      <c r="H100" s="14">
        <f>F100/$F$124*$E$2</f>
        <v>2016.0141224637334</v>
      </c>
      <c r="I100" s="25" t="str">
        <f t="shared" si="7"/>
        <v/>
      </c>
    </row>
    <row r="101" spans="1:9" x14ac:dyDescent="0.25">
      <c r="A101" s="3">
        <v>4267</v>
      </c>
      <c r="B101" s="3">
        <v>113.36026219999999</v>
      </c>
      <c r="C101" s="3">
        <v>22.921319069999999</v>
      </c>
      <c r="D101" s="3">
        <v>21</v>
      </c>
      <c r="E101" s="13">
        <f t="shared" ref="E101:E137" si="8">SQRT((B101-$B$2)^2+(C101-$C$2)^2)</f>
        <v>5.8830436640315512E-3</v>
      </c>
      <c r="F101" s="13">
        <f t="shared" ref="F101:F132" si="9">SQRT(1/E101)</f>
        <v>13.03763937425774</v>
      </c>
      <c r="G101" s="14">
        <f>F101/$F$139*$D$2</f>
        <v>30.587750608391676</v>
      </c>
      <c r="H101" s="14">
        <f>F101/$F$139*$E$2</f>
        <v>30.587750608391676</v>
      </c>
      <c r="I101" s="25" t="str">
        <f t="shared" si="7"/>
        <v>选中</v>
      </c>
    </row>
    <row r="102" spans="1:9" hidden="1" x14ac:dyDescent="0.25">
      <c r="A102" s="3">
        <v>4078</v>
      </c>
      <c r="B102" s="3">
        <v>113.3699038</v>
      </c>
      <c r="C102" s="3">
        <v>22.92501476</v>
      </c>
      <c r="D102" s="3">
        <v>21</v>
      </c>
      <c r="E102" s="13">
        <f t="shared" si="8"/>
        <v>5.9061169961073436E-3</v>
      </c>
      <c r="F102" s="13">
        <f t="shared" si="9"/>
        <v>13.012147484901984</v>
      </c>
      <c r="G102" s="14">
        <f>F102/$F$124*$D$2</f>
        <v>2008.7676516368037</v>
      </c>
      <c r="H102" s="14">
        <f>F102/$F$124*$E$2</f>
        <v>2008.7676516368037</v>
      </c>
      <c r="I102" s="25" t="str">
        <f t="shared" si="7"/>
        <v/>
      </c>
    </row>
    <row r="103" spans="1:9" hidden="1" x14ac:dyDescent="0.25">
      <c r="A103" s="3">
        <v>3974</v>
      </c>
      <c r="B103" s="3">
        <v>113.3582528</v>
      </c>
      <c r="C103" s="3">
        <v>22.92468646</v>
      </c>
      <c r="D103" s="3">
        <v>21</v>
      </c>
      <c r="E103" s="13">
        <f t="shared" si="8"/>
        <v>5.9092082232306718E-3</v>
      </c>
      <c r="F103" s="13">
        <f t="shared" si="9"/>
        <v>13.008743580053137</v>
      </c>
      <c r="G103" s="14">
        <f>F103/$F$124*$D$2</f>
        <v>2008.2421692782962</v>
      </c>
      <c r="H103" s="14">
        <f>F103/$F$124*$E$2</f>
        <v>2008.2421692782962</v>
      </c>
      <c r="I103" s="25" t="str">
        <f t="shared" si="7"/>
        <v/>
      </c>
    </row>
    <row r="104" spans="1:9" x14ac:dyDescent="0.25">
      <c r="A104" s="3">
        <v>4096</v>
      </c>
      <c r="B104" s="3">
        <v>113.36254630000001</v>
      </c>
      <c r="C104" s="3">
        <v>22.93156973</v>
      </c>
      <c r="D104" s="3">
        <v>21</v>
      </c>
      <c r="E104" s="13">
        <f t="shared" si="8"/>
        <v>5.945408878695089E-3</v>
      </c>
      <c r="F104" s="13">
        <f t="shared" si="9"/>
        <v>12.969079017718981</v>
      </c>
      <c r="G104" s="14">
        <f>F104/$F$139*$D$2</f>
        <v>30.426900394082892</v>
      </c>
      <c r="H104" s="14">
        <f>F104/$F$139*$E$2</f>
        <v>30.426900394082892</v>
      </c>
      <c r="I104" s="25" t="str">
        <f t="shared" si="7"/>
        <v>选中</v>
      </c>
    </row>
    <row r="105" spans="1:9" hidden="1" x14ac:dyDescent="0.25">
      <c r="A105" s="3">
        <v>4068</v>
      </c>
      <c r="B105" s="3">
        <v>113.3643819</v>
      </c>
      <c r="C105" s="3">
        <v>22.931785300000001</v>
      </c>
      <c r="D105" s="3">
        <v>21</v>
      </c>
      <c r="E105" s="13">
        <f t="shared" si="8"/>
        <v>5.9760796087422246E-3</v>
      </c>
      <c r="F105" s="13">
        <f t="shared" si="9"/>
        <v>12.935755934142524</v>
      </c>
      <c r="G105" s="14">
        <f>F105/$F$124*$D$2</f>
        <v>1996.9746039325701</v>
      </c>
      <c r="H105" s="14">
        <f>F105/$F$124*$E$2</f>
        <v>1996.9746039325701</v>
      </c>
      <c r="I105" s="25" t="str">
        <f t="shared" si="7"/>
        <v/>
      </c>
    </row>
    <row r="106" spans="1:9" hidden="1" x14ac:dyDescent="0.25">
      <c r="A106" s="3">
        <v>4031</v>
      </c>
      <c r="B106" s="3">
        <v>113.3698799</v>
      </c>
      <c r="C106" s="3">
        <v>22.924341070000001</v>
      </c>
      <c r="D106" s="3">
        <v>21</v>
      </c>
      <c r="E106" s="13">
        <f t="shared" si="8"/>
        <v>6.0116248854182189E-3</v>
      </c>
      <c r="F106" s="13">
        <f t="shared" si="9"/>
        <v>12.897456245776393</v>
      </c>
      <c r="G106" s="14">
        <f>F106/$F$124*$D$2</f>
        <v>1991.0620383743544</v>
      </c>
      <c r="H106" s="14">
        <f>F106/$F$124*$E$2</f>
        <v>1991.0620383743544</v>
      </c>
      <c r="I106" s="25" t="str">
        <f t="shared" si="7"/>
        <v/>
      </c>
    </row>
    <row r="107" spans="1:9" x14ac:dyDescent="0.25">
      <c r="A107" s="3">
        <v>4272</v>
      </c>
      <c r="B107" s="3">
        <v>113.35953619999999</v>
      </c>
      <c r="C107" s="3">
        <v>22.92178088</v>
      </c>
      <c r="D107" s="3">
        <v>21</v>
      </c>
      <c r="E107" s="13">
        <f t="shared" si="8"/>
        <v>6.0579393539714355E-3</v>
      </c>
      <c r="F107" s="13">
        <f t="shared" si="9"/>
        <v>12.848059505121675</v>
      </c>
      <c r="G107" s="14">
        <f>F107/$F$139*$D$2</f>
        <v>30.142975170826272</v>
      </c>
      <c r="H107" s="14">
        <f>F107/$F$139*$E$2</f>
        <v>30.142975170826272</v>
      </c>
      <c r="I107" s="25" t="str">
        <f t="shared" si="7"/>
        <v>选中</v>
      </c>
    </row>
    <row r="108" spans="1:9" hidden="1" x14ac:dyDescent="0.25">
      <c r="A108" s="3">
        <v>4022</v>
      </c>
      <c r="B108" s="3">
        <v>113.3652618</v>
      </c>
      <c r="C108" s="3">
        <v>22.93179722</v>
      </c>
      <c r="D108" s="3">
        <v>21</v>
      </c>
      <c r="E108" s="13">
        <f t="shared" si="8"/>
        <v>6.099971229966414E-3</v>
      </c>
      <c r="F108" s="13">
        <f t="shared" si="9"/>
        <v>12.803718187046696</v>
      </c>
      <c r="G108" s="14">
        <f>F108/$F$124*$D$2</f>
        <v>1976.591100328046</v>
      </c>
      <c r="H108" s="14">
        <f>F108/$F$124*$E$2</f>
        <v>1976.591100328046</v>
      </c>
      <c r="I108" s="25" t="str">
        <f t="shared" si="7"/>
        <v/>
      </c>
    </row>
    <row r="109" spans="1:9" hidden="1" x14ac:dyDescent="0.25">
      <c r="A109" s="3">
        <v>4038</v>
      </c>
      <c r="B109" s="3">
        <v>113.36438990000001</v>
      </c>
      <c r="C109" s="3">
        <v>22.931914240000001</v>
      </c>
      <c r="D109" s="3">
        <v>21</v>
      </c>
      <c r="E109" s="13">
        <f t="shared" si="8"/>
        <v>6.1052645948908389E-3</v>
      </c>
      <c r="F109" s="13">
        <f t="shared" si="9"/>
        <v>12.798166466189357</v>
      </c>
      <c r="G109" s="14">
        <f>F109/$F$124*$D$2</f>
        <v>1975.7340460038399</v>
      </c>
      <c r="H109" s="14">
        <f>F109/$F$124*$E$2</f>
        <v>1975.7340460038399</v>
      </c>
      <c r="I109" s="25" t="str">
        <f t="shared" si="7"/>
        <v/>
      </c>
    </row>
    <row r="110" spans="1:9" x14ac:dyDescent="0.25">
      <c r="A110" s="3">
        <v>4071</v>
      </c>
      <c r="B110" s="3">
        <v>113.3625163</v>
      </c>
      <c r="C110" s="3">
        <v>22.93178868</v>
      </c>
      <c r="D110" s="3">
        <v>21</v>
      </c>
      <c r="E110" s="13">
        <f t="shared" si="8"/>
        <v>6.1648726697640377E-3</v>
      </c>
      <c r="F110" s="13">
        <f t="shared" si="9"/>
        <v>12.736143523451947</v>
      </c>
      <c r="G110" s="14">
        <f>F110/$F$139*$D$2</f>
        <v>29.880407842636011</v>
      </c>
      <c r="H110" s="14">
        <f>F110/$F$139*$E$2</f>
        <v>29.880407842636011</v>
      </c>
      <c r="I110" s="25" t="str">
        <f t="shared" si="7"/>
        <v>选中</v>
      </c>
    </row>
    <row r="111" spans="1:9" hidden="1" x14ac:dyDescent="0.25">
      <c r="A111" s="3">
        <v>4086</v>
      </c>
      <c r="B111" s="3">
        <v>113.3701666</v>
      </c>
      <c r="C111" s="3">
        <v>22.92485155</v>
      </c>
      <c r="D111" s="3">
        <v>21</v>
      </c>
      <c r="E111" s="13">
        <f t="shared" si="8"/>
        <v>6.1899597383692478E-3</v>
      </c>
      <c r="F111" s="13">
        <f t="shared" si="9"/>
        <v>12.710308387782128</v>
      </c>
      <c r="G111" s="14">
        <f>F111/$F$124*$D$2</f>
        <v>1962.1708377752066</v>
      </c>
      <c r="H111" s="14">
        <f>F111/$F$124*$E$2</f>
        <v>1962.1708377752066</v>
      </c>
      <c r="I111" s="25" t="str">
        <f t="shared" si="7"/>
        <v/>
      </c>
    </row>
    <row r="112" spans="1:9" hidden="1" x14ac:dyDescent="0.25">
      <c r="A112" s="3">
        <v>3985</v>
      </c>
      <c r="B112" s="3">
        <v>113.3600898</v>
      </c>
      <c r="C112" s="3">
        <v>22.930598419999999</v>
      </c>
      <c r="D112" s="3">
        <v>21</v>
      </c>
      <c r="E112" s="13">
        <f t="shared" si="8"/>
        <v>6.2091328745942781E-3</v>
      </c>
      <c r="F112" s="13">
        <f t="shared" si="9"/>
        <v>12.690669180724621</v>
      </c>
      <c r="G112" s="14">
        <f>F112/$F$124*$D$2</f>
        <v>1959.1390089485899</v>
      </c>
      <c r="H112" s="14">
        <f>F112/$F$124*$E$2</f>
        <v>1959.1390089485899</v>
      </c>
      <c r="I112" s="25" t="str">
        <f t="shared" si="7"/>
        <v/>
      </c>
    </row>
    <row r="113" spans="1:9" x14ac:dyDescent="0.25">
      <c r="A113" s="3">
        <v>4283</v>
      </c>
      <c r="B113" s="3">
        <v>113.3634699</v>
      </c>
      <c r="C113" s="3">
        <v>22.919632539999998</v>
      </c>
      <c r="D113" s="3">
        <v>21</v>
      </c>
      <c r="E113" s="13">
        <f t="shared" si="8"/>
        <v>6.2131446198851253E-3</v>
      </c>
      <c r="F113" s="13">
        <f t="shared" si="9"/>
        <v>12.686571420544309</v>
      </c>
      <c r="G113" s="14">
        <f>F113/$F$139*$D$2</f>
        <v>29.764106181166049</v>
      </c>
      <c r="H113" s="14">
        <f>F113/$F$139*$E$2</f>
        <v>29.764106181166049</v>
      </c>
      <c r="I113" s="25" t="str">
        <f t="shared" si="7"/>
        <v>选中</v>
      </c>
    </row>
    <row r="114" spans="1:9" hidden="1" x14ac:dyDescent="0.25">
      <c r="A114" s="3">
        <v>3968</v>
      </c>
      <c r="B114" s="3">
        <v>113.3602166</v>
      </c>
      <c r="C114" s="3">
        <v>22.930719190000001</v>
      </c>
      <c r="D114" s="3">
        <v>21</v>
      </c>
      <c r="E114" s="13">
        <f t="shared" si="8"/>
        <v>6.2236338896227879E-3</v>
      </c>
      <c r="F114" s="13">
        <f t="shared" si="9"/>
        <v>12.67587598204633</v>
      </c>
      <c r="G114" s="14">
        <f>F114/$F$124*$D$2</f>
        <v>1956.8552891395677</v>
      </c>
      <c r="H114" s="14">
        <f>F114/$F$124*$E$2</f>
        <v>1956.8552891395677</v>
      </c>
      <c r="I114" s="25" t="str">
        <f t="shared" si="7"/>
        <v/>
      </c>
    </row>
    <row r="115" spans="1:9" hidden="1" x14ac:dyDescent="0.25">
      <c r="A115" s="3">
        <v>4029</v>
      </c>
      <c r="B115" s="3">
        <v>113.36791669999999</v>
      </c>
      <c r="C115" s="3">
        <v>22.930921470000001</v>
      </c>
      <c r="D115" s="3">
        <v>21</v>
      </c>
      <c r="E115" s="13">
        <f t="shared" si="8"/>
        <v>6.4010634162557072E-3</v>
      </c>
      <c r="F115" s="13">
        <f t="shared" si="9"/>
        <v>12.498961636960853</v>
      </c>
      <c r="G115" s="14">
        <f>F115/$F$124*$D$2</f>
        <v>1929.5439007672362</v>
      </c>
      <c r="H115" s="14">
        <f>F115/$F$124*$E$2</f>
        <v>1929.5439007672362</v>
      </c>
      <c r="I115" s="25" t="str">
        <f t="shared" si="7"/>
        <v/>
      </c>
    </row>
    <row r="116" spans="1:9" x14ac:dyDescent="0.25">
      <c r="A116" s="3">
        <v>4045</v>
      </c>
      <c r="B116" s="3">
        <v>113.37058209999999</v>
      </c>
      <c r="C116" s="3">
        <v>22.925696760000001</v>
      </c>
      <c r="D116" s="3">
        <v>21</v>
      </c>
      <c r="E116" s="13">
        <f t="shared" si="8"/>
        <v>6.5306310737622475E-3</v>
      </c>
      <c r="F116" s="13">
        <f t="shared" si="9"/>
        <v>12.374350832099861</v>
      </c>
      <c r="G116" s="14">
        <f>F116/$F$139*$D$2</f>
        <v>29.031601989264527</v>
      </c>
      <c r="H116" s="14">
        <f>F116/$F$139*$E$2</f>
        <v>29.031601989264527</v>
      </c>
      <c r="I116" s="25" t="str">
        <f t="shared" si="7"/>
        <v>选中</v>
      </c>
    </row>
    <row r="117" spans="1:9" hidden="1" x14ac:dyDescent="0.25">
      <c r="A117" s="3">
        <v>4310</v>
      </c>
      <c r="B117" s="3">
        <v>113.3700389</v>
      </c>
      <c r="C117" s="3">
        <v>22.92256064</v>
      </c>
      <c r="D117" s="3">
        <v>21</v>
      </c>
      <c r="E117" s="13">
        <f t="shared" si="8"/>
        <v>6.8152869613565857E-3</v>
      </c>
      <c r="F117" s="13">
        <f t="shared" si="9"/>
        <v>12.113173188885042</v>
      </c>
      <c r="G117" s="14">
        <f>F117/$F$124*$D$2</f>
        <v>1869.9872936991837</v>
      </c>
      <c r="H117" s="14">
        <f>F117/$F$124*$E$2</f>
        <v>1869.9872936991837</v>
      </c>
      <c r="I117" s="25" t="str">
        <f t="shared" si="7"/>
        <v/>
      </c>
    </row>
    <row r="118" spans="1:9" hidden="1" x14ac:dyDescent="0.25">
      <c r="A118" s="3">
        <v>4034</v>
      </c>
      <c r="B118" s="3">
        <v>113.36998850000001</v>
      </c>
      <c r="C118" s="3">
        <v>22.929207909999999</v>
      </c>
      <c r="D118" s="3">
        <v>21</v>
      </c>
      <c r="E118" s="13">
        <f t="shared" si="8"/>
        <v>6.8355222742838536E-3</v>
      </c>
      <c r="F118" s="13">
        <f t="shared" si="9"/>
        <v>12.095230483642048</v>
      </c>
      <c r="G118" s="14">
        <f>F118/$F$124*$D$2</f>
        <v>1867.217364606634</v>
      </c>
      <c r="H118" s="14">
        <f>F118/$F$124*$E$2</f>
        <v>1867.217364606634</v>
      </c>
      <c r="I118" s="25" t="str">
        <f t="shared" si="7"/>
        <v/>
      </c>
    </row>
    <row r="119" spans="1:9" x14ac:dyDescent="0.25">
      <c r="A119" s="3">
        <v>4077</v>
      </c>
      <c r="B119" s="3">
        <v>113.3709997</v>
      </c>
      <c r="C119" s="3">
        <v>22.925301489999999</v>
      </c>
      <c r="D119" s="3">
        <v>21</v>
      </c>
      <c r="E119" s="13">
        <f t="shared" si="8"/>
        <v>6.9662967914215224E-3</v>
      </c>
      <c r="F119" s="13">
        <f t="shared" si="9"/>
        <v>11.981164014506028</v>
      </c>
      <c r="G119" s="14">
        <f>F119/$F$139*$D$2</f>
        <v>28.109142027470099</v>
      </c>
      <c r="H119" s="14">
        <f>F119/$F$139*$E$2</f>
        <v>28.109142027470099</v>
      </c>
      <c r="I119" s="25" t="str">
        <f t="shared" si="7"/>
        <v>选中</v>
      </c>
    </row>
    <row r="120" spans="1:9" hidden="1" x14ac:dyDescent="0.25">
      <c r="A120" s="3">
        <v>4081</v>
      </c>
      <c r="B120" s="3">
        <v>113.3616565</v>
      </c>
      <c r="C120" s="3">
        <v>22.932410539999999</v>
      </c>
      <c r="D120" s="3">
        <v>21</v>
      </c>
      <c r="E120" s="13">
        <f t="shared" si="8"/>
        <v>7.0141944247069862E-3</v>
      </c>
      <c r="F120" s="13">
        <f t="shared" si="9"/>
        <v>11.940186218888019</v>
      </c>
      <c r="G120" s="14">
        <f>F120/$F$124*$D$2</f>
        <v>1843.2821991029318</v>
      </c>
      <c r="H120" s="14">
        <f>F120/$F$124*$E$2</f>
        <v>1843.2821991029318</v>
      </c>
      <c r="I120" s="25" t="str">
        <f t="shared" si="7"/>
        <v/>
      </c>
    </row>
    <row r="121" spans="1:9" hidden="1" x14ac:dyDescent="0.25">
      <c r="A121" s="3">
        <v>4005</v>
      </c>
      <c r="B121" s="3">
        <v>113.36143680000001</v>
      </c>
      <c r="C121" s="3">
        <v>22.932503799999999</v>
      </c>
      <c r="D121" s="3">
        <v>21</v>
      </c>
      <c r="E121" s="13">
        <f t="shared" si="8"/>
        <v>7.1790194239830752E-3</v>
      </c>
      <c r="F121" s="13">
        <f t="shared" si="9"/>
        <v>11.802321363715473</v>
      </c>
      <c r="G121" s="14">
        <f>F121/$F$124*$D$2</f>
        <v>1821.9991279043049</v>
      </c>
      <c r="H121" s="14">
        <f>F121/$F$124*$E$2</f>
        <v>1821.9991279043049</v>
      </c>
      <c r="I121" s="25" t="str">
        <f t="shared" si="7"/>
        <v/>
      </c>
    </row>
    <row r="122" spans="1:9" x14ac:dyDescent="0.25">
      <c r="A122" s="3">
        <v>4304</v>
      </c>
      <c r="B122" s="3">
        <v>113.3702916</v>
      </c>
      <c r="C122" s="3">
        <v>22.921919639999999</v>
      </c>
      <c r="D122" s="3">
        <v>21</v>
      </c>
      <c r="E122" s="13">
        <f t="shared" si="8"/>
        <v>7.3569471111123779E-3</v>
      </c>
      <c r="F122" s="13">
        <f t="shared" si="9"/>
        <v>11.658728343078268</v>
      </c>
      <c r="G122" s="14">
        <f>F122/$F$139*$D$2</f>
        <v>27.352672115872846</v>
      </c>
      <c r="H122" s="14">
        <f>F122/$F$139*$E$2</f>
        <v>27.352672115872846</v>
      </c>
      <c r="I122" s="25" t="str">
        <f t="shared" si="7"/>
        <v>选中</v>
      </c>
    </row>
    <row r="123" spans="1:9" hidden="1" x14ac:dyDescent="0.25">
      <c r="A123" s="3">
        <v>4290</v>
      </c>
      <c r="B123" s="3">
        <v>113.36969929999999</v>
      </c>
      <c r="C123" s="3">
        <v>22.92101765</v>
      </c>
      <c r="D123" s="3">
        <v>21</v>
      </c>
      <c r="E123" s="13">
        <f t="shared" si="8"/>
        <v>7.411576169243434E-3</v>
      </c>
      <c r="F123" s="13">
        <f t="shared" si="9"/>
        <v>11.615681945081857</v>
      </c>
      <c r="G123" s="14">
        <f>F123/$F$124*$D$2</f>
        <v>1793.18641831071</v>
      </c>
      <c r="H123" s="14">
        <f>F123/$F$124*$E$2</f>
        <v>1793.18641831071</v>
      </c>
      <c r="I123" s="25" t="str">
        <f t="shared" si="7"/>
        <v/>
      </c>
    </row>
    <row r="124" spans="1:9" hidden="1" x14ac:dyDescent="0.25">
      <c r="A124" s="3">
        <v>4260</v>
      </c>
      <c r="B124" s="3">
        <v>113.3583699</v>
      </c>
      <c r="C124" s="3">
        <v>22.920954859999998</v>
      </c>
      <c r="D124" s="3">
        <v>21</v>
      </c>
      <c r="E124" s="13">
        <f t="shared" si="8"/>
        <v>7.4797144279407412E-3</v>
      </c>
      <c r="F124" s="13">
        <f t="shared" si="9"/>
        <v>11.562652973639956</v>
      </c>
      <c r="G124" s="14">
        <f>F124/$F$124*$D$2</f>
        <v>1785</v>
      </c>
      <c r="H124" s="14">
        <f>F124/$F$124*$E$2</f>
        <v>1785</v>
      </c>
      <c r="I124" s="25" t="str">
        <f t="shared" si="7"/>
        <v/>
      </c>
    </row>
    <row r="125" spans="1:9" x14ac:dyDescent="0.25">
      <c r="A125" s="3">
        <v>4263</v>
      </c>
      <c r="B125" s="3">
        <v>113.3596821</v>
      </c>
      <c r="C125" s="3">
        <v>22.919552599999999</v>
      </c>
      <c r="D125" s="3">
        <v>21</v>
      </c>
      <c r="E125" s="13">
        <f t="shared" si="8"/>
        <v>7.6393891601319935E-3</v>
      </c>
      <c r="F125" s="13">
        <f t="shared" si="9"/>
        <v>11.441176435451485</v>
      </c>
      <c r="G125" s="14">
        <f>F125/$F$139*$D$2</f>
        <v>26.84227116798294</v>
      </c>
      <c r="H125" s="14">
        <f>F125/$F$139*$E$2</f>
        <v>26.84227116798294</v>
      </c>
      <c r="I125" s="25" t="str">
        <f t="shared" si="7"/>
        <v>选中</v>
      </c>
    </row>
    <row r="126" spans="1:9" hidden="1" x14ac:dyDescent="0.25">
      <c r="A126" s="3">
        <v>4258</v>
      </c>
      <c r="B126" s="3">
        <v>113.3576869</v>
      </c>
      <c r="C126" s="3">
        <v>22.92158457</v>
      </c>
      <c r="D126" s="3">
        <v>21</v>
      </c>
      <c r="E126" s="13">
        <f t="shared" si="8"/>
        <v>7.64503801185822E-3</v>
      </c>
      <c r="F126" s="13">
        <f t="shared" si="9"/>
        <v>11.436948761755509</v>
      </c>
      <c r="G126" s="14">
        <f>F126/$F$124*$D$2</f>
        <v>1765.5942443550564</v>
      </c>
      <c r="H126" s="14">
        <f>F126/$F$124*$E$2</f>
        <v>1765.5942443550564</v>
      </c>
      <c r="I126" s="25" t="str">
        <f t="shared" si="7"/>
        <v/>
      </c>
    </row>
    <row r="127" spans="1:9" hidden="1" x14ac:dyDescent="0.25">
      <c r="A127" s="3">
        <v>4254</v>
      </c>
      <c r="B127" s="3">
        <v>113.3588053</v>
      </c>
      <c r="C127" s="3">
        <v>22.920180569999999</v>
      </c>
      <c r="D127" s="3">
        <v>21</v>
      </c>
      <c r="E127" s="13">
        <f t="shared" si="8"/>
        <v>7.7018281493963026E-3</v>
      </c>
      <c r="F127" s="13">
        <f t="shared" si="9"/>
        <v>11.394705049414689</v>
      </c>
      <c r="G127" s="14">
        <f>F127/$F$124*$D$2</f>
        <v>1759.072814826706</v>
      </c>
      <c r="H127" s="14">
        <f>F127/$F$124*$E$2</f>
        <v>1759.072814826706</v>
      </c>
      <c r="I127" s="25" t="str">
        <f t="shared" si="7"/>
        <v/>
      </c>
    </row>
    <row r="128" spans="1:9" x14ac:dyDescent="0.25">
      <c r="A128" s="3">
        <v>3998</v>
      </c>
      <c r="B128" s="3">
        <v>113.3604301</v>
      </c>
      <c r="C128" s="3">
        <v>22.932664079999999</v>
      </c>
      <c r="D128" s="3">
        <v>21</v>
      </c>
      <c r="E128" s="13">
        <f t="shared" si="8"/>
        <v>7.7451410612283961E-3</v>
      </c>
      <c r="F128" s="13">
        <f t="shared" si="9"/>
        <v>11.362799252834858</v>
      </c>
      <c r="G128" s="14">
        <f>F128/$F$139*$D$2</f>
        <v>26.658389588929658</v>
      </c>
      <c r="H128" s="14">
        <f>F128/$F$139*$E$2</f>
        <v>26.658389588929658</v>
      </c>
      <c r="I128" s="25" t="str">
        <f t="shared" si="7"/>
        <v>选中</v>
      </c>
    </row>
    <row r="129" spans="1:9" hidden="1" x14ac:dyDescent="0.25">
      <c r="A129" s="3">
        <v>4256</v>
      </c>
      <c r="B129" s="3">
        <v>113.3573394</v>
      </c>
      <c r="C129" s="3">
        <v>22.92126021</v>
      </c>
      <c r="D129" s="3">
        <v>21</v>
      </c>
      <c r="E129" s="13">
        <f t="shared" si="8"/>
        <v>8.1143846771029628E-3</v>
      </c>
      <c r="F129" s="13">
        <f t="shared" si="9"/>
        <v>11.101258198729745</v>
      </c>
      <c r="G129" s="14">
        <f>F129/$F$124*$D$2</f>
        <v>1713.7715652201694</v>
      </c>
      <c r="H129" s="14">
        <f>F129/$F$124*$E$2</f>
        <v>1713.7715652201694</v>
      </c>
      <c r="I129" s="25" t="str">
        <f t="shared" si="7"/>
        <v/>
      </c>
    </row>
    <row r="130" spans="1:9" hidden="1" x14ac:dyDescent="0.25">
      <c r="A130" s="3">
        <v>4139</v>
      </c>
      <c r="B130" s="3">
        <v>113.37209470000001</v>
      </c>
      <c r="C130" s="3">
        <v>22.923746040000001</v>
      </c>
      <c r="D130" s="3">
        <v>21</v>
      </c>
      <c r="E130" s="13">
        <f t="shared" si="8"/>
        <v>8.3047958384164094E-3</v>
      </c>
      <c r="F130" s="13">
        <f t="shared" si="9"/>
        <v>10.973256218008647</v>
      </c>
      <c r="G130" s="14">
        <f>F130/$F$124*$D$2</f>
        <v>1694.01108844135</v>
      </c>
      <c r="H130" s="14">
        <f>F130/$F$124*$E$2</f>
        <v>1694.01108844135</v>
      </c>
      <c r="I130" s="25" t="str">
        <f t="shared" si="7"/>
        <v/>
      </c>
    </row>
    <row r="131" spans="1:9" x14ac:dyDescent="0.25">
      <c r="A131" s="3">
        <v>4110</v>
      </c>
      <c r="B131" s="3">
        <v>113.3724181</v>
      </c>
      <c r="C131" s="3">
        <v>22.926960380000001</v>
      </c>
      <c r="D131" s="3">
        <v>21</v>
      </c>
      <c r="E131" s="13">
        <f t="shared" si="8"/>
        <v>8.4430999624889643E-3</v>
      </c>
      <c r="F131" s="13">
        <f t="shared" si="9"/>
        <v>10.883010155196695</v>
      </c>
      <c r="G131" s="14">
        <f>F131/$F$139*$D$2</f>
        <v>25.532751055610664</v>
      </c>
      <c r="H131" s="14">
        <f>F131/$F$139*$E$2</f>
        <v>25.532751055610664</v>
      </c>
      <c r="I131" s="25" t="str">
        <f t="shared" si="7"/>
        <v>选中</v>
      </c>
    </row>
    <row r="132" spans="1:9" hidden="1" x14ac:dyDescent="0.25">
      <c r="A132" s="3">
        <v>4295</v>
      </c>
      <c r="B132" s="3">
        <v>113.3705145</v>
      </c>
      <c r="C132" s="3">
        <v>22.920211120000001</v>
      </c>
      <c r="D132" s="3">
        <v>21</v>
      </c>
      <c r="E132" s="13">
        <f t="shared" si="8"/>
        <v>8.5555022741184913E-3</v>
      </c>
      <c r="F132" s="13">
        <f t="shared" si="9"/>
        <v>10.811283217115724</v>
      </c>
      <c r="G132" s="14">
        <f>F132/$F$124*$D$2</f>
        <v>1669.0062900397206</v>
      </c>
      <c r="H132" s="14">
        <f>F132/$F$124*$E$2</f>
        <v>1669.0062900397206</v>
      </c>
      <c r="I132" s="25" t="str">
        <f t="shared" si="7"/>
        <v/>
      </c>
    </row>
    <row r="133" spans="1:9" hidden="1" x14ac:dyDescent="0.25">
      <c r="A133" s="3">
        <v>4069</v>
      </c>
      <c r="B133" s="3">
        <v>113.37145580000001</v>
      </c>
      <c r="C133" s="3">
        <v>22.930478860000001</v>
      </c>
      <c r="D133" s="3">
        <v>21</v>
      </c>
      <c r="E133" s="13">
        <f t="shared" si="8"/>
        <v>8.7480391948027928E-3</v>
      </c>
      <c r="F133" s="13">
        <f t="shared" ref="F133:F137" si="10">SQRT(1/E133)</f>
        <v>10.691647700096308</v>
      </c>
      <c r="G133" s="14">
        <f>F133/$F$124*$D$2</f>
        <v>1650.5373972720747</v>
      </c>
      <c r="H133" s="14">
        <f>F133/$F$124*$E$2</f>
        <v>1650.5373972720747</v>
      </c>
      <c r="I133" s="25" t="str">
        <f t="shared" si="7"/>
        <v/>
      </c>
    </row>
    <row r="134" spans="1:9" x14ac:dyDescent="0.25">
      <c r="A134" s="3">
        <v>4255</v>
      </c>
      <c r="B134" s="3">
        <v>113.3560714</v>
      </c>
      <c r="C134" s="3">
        <v>22.92118309</v>
      </c>
      <c r="D134" s="3">
        <v>21</v>
      </c>
      <c r="E134" s="13">
        <f t="shared" si="8"/>
        <v>9.2295571499354679E-3</v>
      </c>
      <c r="F134" s="13">
        <f t="shared" si="10"/>
        <v>10.409013417072797</v>
      </c>
      <c r="G134" s="14">
        <f>F134/$F$139*$D$2</f>
        <v>24.420702041311991</v>
      </c>
      <c r="H134" s="14">
        <f>F134/$F$139*$E$2</f>
        <v>24.420702041311991</v>
      </c>
      <c r="I134" s="25" t="str">
        <f t="shared" ref="I134:I137" si="11">IF(MOD(ROW()-1,3)=1,"选中","")</f>
        <v>选中</v>
      </c>
    </row>
    <row r="135" spans="1:9" hidden="1" x14ac:dyDescent="0.25">
      <c r="A135" s="3">
        <v>4326</v>
      </c>
      <c r="B135" s="3">
        <v>113.37321059999999</v>
      </c>
      <c r="C135" s="3">
        <v>22.92301926</v>
      </c>
      <c r="D135" s="3">
        <v>21</v>
      </c>
      <c r="E135" s="13">
        <f t="shared" si="8"/>
        <v>9.5761990853147957E-3</v>
      </c>
      <c r="F135" s="13">
        <f t="shared" si="10"/>
        <v>10.218882766535218</v>
      </c>
      <c r="G135" s="14">
        <f>F135/$F$124*$D$2</f>
        <v>1577.5536790604845</v>
      </c>
      <c r="H135" s="14">
        <f>F135/$F$124*$E$2</f>
        <v>1577.5536790604845</v>
      </c>
      <c r="I135" s="25" t="str">
        <f t="shared" si="11"/>
        <v/>
      </c>
    </row>
    <row r="136" spans="1:9" hidden="1" x14ac:dyDescent="0.25">
      <c r="A136" s="3">
        <v>4108</v>
      </c>
      <c r="B136" s="3">
        <v>113.3740786</v>
      </c>
      <c r="C136" s="3">
        <v>22.926213109999999</v>
      </c>
      <c r="D136" s="3">
        <v>21</v>
      </c>
      <c r="E136" s="13">
        <f t="shared" si="8"/>
        <v>1.0033770524399624E-2</v>
      </c>
      <c r="F136" s="13">
        <f t="shared" si="10"/>
        <v>9.9831573846118769</v>
      </c>
      <c r="G136" s="14">
        <f>F136/$F$124*$D$2</f>
        <v>1541.1632583073565</v>
      </c>
      <c r="H136" s="14">
        <f>F136/$F$124*$E$2</f>
        <v>1541.1632583073565</v>
      </c>
      <c r="I136" s="25" t="str">
        <f t="shared" si="11"/>
        <v/>
      </c>
    </row>
    <row r="137" spans="1:9" x14ac:dyDescent="0.25">
      <c r="A137" s="3">
        <v>4324</v>
      </c>
      <c r="B137" s="3">
        <v>113.37395890000001</v>
      </c>
      <c r="C137" s="3">
        <v>22.922656709999998</v>
      </c>
      <c r="D137" s="3">
        <v>21</v>
      </c>
      <c r="E137" s="13">
        <f t="shared" si="8"/>
        <v>1.0398578317170828E-2</v>
      </c>
      <c r="F137" s="13">
        <f t="shared" si="10"/>
        <v>9.8064770538579165</v>
      </c>
      <c r="G137" s="14">
        <f>F137/$F$139*$D$2</f>
        <v>23.007084784272823</v>
      </c>
      <c r="H137" s="14">
        <f>F137/$F$139*$E$2</f>
        <v>23.007084784272823</v>
      </c>
      <c r="I137" s="25" t="str">
        <f t="shared" si="11"/>
        <v>选中</v>
      </c>
    </row>
    <row r="138" spans="1:9" x14ac:dyDescent="0.25">
      <c r="A138" s="3"/>
      <c r="B138" s="3"/>
      <c r="C138" s="3"/>
      <c r="D138" s="3"/>
      <c r="G138" s="14"/>
      <c r="H138" s="14"/>
    </row>
    <row r="139" spans="1:9" x14ac:dyDescent="0.25">
      <c r="A139" s="3"/>
      <c r="B139" s="3"/>
      <c r="C139" s="3"/>
      <c r="D139" s="3"/>
      <c r="F139" s="13">
        <f>SUBTOTAL(9,F5:F137)</f>
        <v>760.83353042199178</v>
      </c>
      <c r="G139" s="13">
        <f t="shared" ref="G139:H139" si="12">SUBTOTAL(9,G5:G137)</f>
        <v>1785.0000000000007</v>
      </c>
      <c r="H139" s="13">
        <f t="shared" si="12"/>
        <v>1785.0000000000007</v>
      </c>
    </row>
    <row r="140" spans="1:9" x14ac:dyDescent="0.25">
      <c r="A140" s="3"/>
      <c r="B140" s="3"/>
      <c r="C140" s="3"/>
      <c r="D140" s="3"/>
      <c r="G140" s="14"/>
      <c r="H140" s="14"/>
    </row>
    <row r="141" spans="1:9" x14ac:dyDescent="0.25">
      <c r="A141" s="3"/>
      <c r="B141" s="3"/>
      <c r="C141" s="3"/>
      <c r="D141" s="3"/>
      <c r="G141" s="14"/>
      <c r="H141" s="14"/>
    </row>
    <row r="142" spans="1:9" x14ac:dyDescent="0.25">
      <c r="A142" s="3"/>
      <c r="B142" s="3"/>
      <c r="C142" s="3"/>
      <c r="D142" s="3"/>
      <c r="G142" s="14"/>
      <c r="H142" s="14"/>
    </row>
    <row r="143" spans="1:9" x14ac:dyDescent="0.25">
      <c r="A143" s="3"/>
      <c r="B143" s="3"/>
      <c r="C143" s="3"/>
      <c r="D143" s="3"/>
      <c r="G143" s="14"/>
      <c r="H143" s="14"/>
    </row>
    <row r="144" spans="1:9" x14ac:dyDescent="0.25">
      <c r="A144" s="3"/>
      <c r="B144" s="3"/>
      <c r="C144" s="3"/>
      <c r="D144" s="3"/>
      <c r="G144" s="14"/>
      <c r="H144" s="14"/>
    </row>
    <row r="145" spans="1:8" x14ac:dyDescent="0.25">
      <c r="A145" s="3"/>
      <c r="B145" s="3"/>
      <c r="C145" s="3"/>
      <c r="D145" s="3"/>
      <c r="G145" s="14"/>
      <c r="H145" s="14"/>
    </row>
    <row r="146" spans="1:8" x14ac:dyDescent="0.25">
      <c r="A146" s="3"/>
      <c r="B146" s="3"/>
      <c r="C146" s="3"/>
      <c r="D146" s="3"/>
      <c r="G146" s="14"/>
      <c r="H146" s="14"/>
    </row>
    <row r="147" spans="1:8" x14ac:dyDescent="0.25">
      <c r="A147" s="3"/>
      <c r="B147" s="3"/>
      <c r="C147" s="3"/>
      <c r="D147" s="3"/>
      <c r="G147" s="14"/>
      <c r="H147" s="14"/>
    </row>
    <row r="148" spans="1:8" x14ac:dyDescent="0.25">
      <c r="A148" s="3"/>
      <c r="B148" s="3"/>
      <c r="C148" s="3"/>
      <c r="D148" s="3"/>
      <c r="G148" s="14"/>
      <c r="H148" s="14"/>
    </row>
    <row r="149" spans="1:8" x14ac:dyDescent="0.25">
      <c r="A149" s="3"/>
      <c r="B149" s="3"/>
      <c r="C149" s="3"/>
      <c r="D149" s="3"/>
      <c r="G149" s="14"/>
      <c r="H149" s="14"/>
    </row>
    <row r="150" spans="1:8" x14ac:dyDescent="0.25">
      <c r="A150" s="3"/>
      <c r="B150" s="3"/>
      <c r="C150" s="3"/>
      <c r="D150" s="3"/>
      <c r="G150" s="14"/>
      <c r="H150" s="14"/>
    </row>
    <row r="151" spans="1:8" x14ac:dyDescent="0.25">
      <c r="A151" s="3"/>
      <c r="B151" s="3"/>
      <c r="C151" s="3"/>
      <c r="D151" s="3"/>
      <c r="G151" s="14"/>
      <c r="H151" s="14"/>
    </row>
    <row r="152" spans="1:8" x14ac:dyDescent="0.25">
      <c r="A152" s="3"/>
      <c r="B152" s="3"/>
      <c r="C152" s="3"/>
      <c r="D152" s="3"/>
      <c r="G152" s="14"/>
      <c r="H152" s="14"/>
    </row>
    <row r="153" spans="1:8" x14ac:dyDescent="0.25">
      <c r="A153" s="3"/>
      <c r="B153" s="3"/>
      <c r="C153" s="3"/>
      <c r="D153" s="3"/>
      <c r="G153" s="14"/>
      <c r="H153" s="14"/>
    </row>
    <row r="154" spans="1:8" x14ac:dyDescent="0.25">
      <c r="A154" s="3"/>
      <c r="B154" s="3"/>
      <c r="C154" s="3"/>
      <c r="D154" s="3"/>
      <c r="G154" s="14"/>
      <c r="H154" s="14"/>
    </row>
    <row r="155" spans="1:8" x14ac:dyDescent="0.25">
      <c r="A155" s="3"/>
      <c r="B155" s="3"/>
      <c r="C155" s="3"/>
      <c r="D155" s="3"/>
      <c r="G155" s="14"/>
      <c r="H155" s="14"/>
    </row>
    <row r="156" spans="1:8" x14ac:dyDescent="0.25">
      <c r="A156" s="3"/>
      <c r="B156" s="3"/>
      <c r="C156" s="3"/>
      <c r="D156" s="3"/>
      <c r="G156" s="14"/>
      <c r="H156" s="14"/>
    </row>
    <row r="157" spans="1:8" x14ac:dyDescent="0.25">
      <c r="A157" s="3"/>
      <c r="B157" s="3"/>
      <c r="C157" s="3"/>
      <c r="D157" s="3"/>
      <c r="G157" s="14"/>
      <c r="H157" s="14"/>
    </row>
    <row r="158" spans="1:8" x14ac:dyDescent="0.25">
      <c r="A158" s="3"/>
      <c r="B158" s="3"/>
      <c r="C158" s="3"/>
      <c r="D158" s="3"/>
      <c r="G158" s="14"/>
      <c r="H158" s="14"/>
    </row>
    <row r="159" spans="1:8" x14ac:dyDescent="0.25">
      <c r="A159" s="3"/>
      <c r="B159" s="3"/>
      <c r="C159" s="3"/>
      <c r="D159" s="3"/>
      <c r="G159" s="14"/>
      <c r="H159" s="14"/>
    </row>
    <row r="160" spans="1:8" x14ac:dyDescent="0.25">
      <c r="A160" s="3"/>
      <c r="B160" s="3"/>
      <c r="C160" s="3"/>
      <c r="D160" s="3"/>
      <c r="G160" s="14"/>
      <c r="H160" s="14"/>
    </row>
    <row r="161" spans="1:8" x14ac:dyDescent="0.25">
      <c r="A161" s="3"/>
      <c r="B161" s="3"/>
      <c r="C161" s="3"/>
      <c r="D161" s="3"/>
      <c r="G161" s="14"/>
      <c r="H161" s="14"/>
    </row>
    <row r="162" spans="1:8" x14ac:dyDescent="0.25">
      <c r="A162" s="3"/>
      <c r="B162" s="3"/>
      <c r="C162" s="3"/>
      <c r="D162" s="3"/>
      <c r="G162" s="14"/>
      <c r="H162" s="14"/>
    </row>
    <row r="163" spans="1:8" x14ac:dyDescent="0.25">
      <c r="A163" s="3"/>
      <c r="B163" s="3"/>
      <c r="C163" s="3"/>
      <c r="D163" s="3"/>
      <c r="G163" s="14"/>
      <c r="H163" s="14"/>
    </row>
    <row r="164" spans="1:8" x14ac:dyDescent="0.25">
      <c r="A164" s="3"/>
      <c r="B164" s="3"/>
      <c r="C164" s="3"/>
      <c r="D164" s="3"/>
      <c r="G164" s="14"/>
      <c r="H164" s="14"/>
    </row>
    <row r="165" spans="1:8" x14ac:dyDescent="0.25">
      <c r="A165" s="3"/>
      <c r="B165" s="3"/>
      <c r="C165" s="3"/>
      <c r="D165" s="3"/>
      <c r="G165" s="14"/>
      <c r="H165" s="14"/>
    </row>
    <row r="166" spans="1:8" x14ac:dyDescent="0.25">
      <c r="A166" s="3"/>
      <c r="B166" s="3"/>
      <c r="C166" s="3"/>
      <c r="D166" s="3"/>
      <c r="G166" s="14"/>
      <c r="H166" s="14"/>
    </row>
    <row r="167" spans="1:8" x14ac:dyDescent="0.25">
      <c r="A167" s="3"/>
      <c r="B167" s="3"/>
      <c r="C167" s="3"/>
      <c r="D167" s="3"/>
      <c r="G167" s="14"/>
      <c r="H167" s="14"/>
    </row>
    <row r="168" spans="1:8" x14ac:dyDescent="0.25">
      <c r="A168" s="3"/>
      <c r="B168" s="3"/>
      <c r="C168" s="3"/>
      <c r="D168" s="3"/>
      <c r="G168" s="14"/>
      <c r="H168" s="14"/>
    </row>
    <row r="169" spans="1:8" x14ac:dyDescent="0.25">
      <c r="A169" s="3"/>
      <c r="B169" s="3"/>
      <c r="C169" s="3"/>
      <c r="D169" s="3"/>
      <c r="G169" s="14"/>
      <c r="H169" s="14"/>
    </row>
    <row r="170" spans="1:8" x14ac:dyDescent="0.25">
      <c r="A170" s="3"/>
      <c r="B170" s="3"/>
      <c r="C170" s="3"/>
      <c r="D170" s="3"/>
      <c r="G170" s="14"/>
      <c r="H170" s="14"/>
    </row>
    <row r="171" spans="1:8" x14ac:dyDescent="0.25">
      <c r="A171" s="3"/>
      <c r="B171" s="3"/>
      <c r="C171" s="3"/>
      <c r="D171" s="3"/>
      <c r="G171" s="14"/>
      <c r="H171" s="14"/>
    </row>
    <row r="172" spans="1:8" x14ac:dyDescent="0.25">
      <c r="A172" s="3"/>
      <c r="B172" s="3"/>
      <c r="C172" s="3"/>
      <c r="D172" s="3"/>
      <c r="G172" s="14"/>
      <c r="H172" s="14"/>
    </row>
    <row r="173" spans="1:8" x14ac:dyDescent="0.25">
      <c r="A173" s="3"/>
      <c r="B173" s="3"/>
      <c r="C173" s="3"/>
      <c r="D173" s="3"/>
      <c r="G173" s="14"/>
      <c r="H173" s="14"/>
    </row>
    <row r="174" spans="1:8" x14ac:dyDescent="0.25">
      <c r="A174" s="3"/>
      <c r="B174" s="3"/>
      <c r="C174" s="3"/>
      <c r="D174" s="3"/>
      <c r="G174" s="14"/>
      <c r="H174" s="14"/>
    </row>
    <row r="175" spans="1:8" x14ac:dyDescent="0.25">
      <c r="A175" s="3"/>
      <c r="B175" s="3"/>
      <c r="C175" s="3"/>
      <c r="D175" s="3"/>
      <c r="G175" s="14"/>
      <c r="H175" s="14"/>
    </row>
    <row r="176" spans="1:8" x14ac:dyDescent="0.25">
      <c r="A176" s="3"/>
      <c r="B176" s="3"/>
      <c r="C176" s="3"/>
      <c r="D176" s="3"/>
      <c r="G176" s="14"/>
      <c r="H176" s="14"/>
    </row>
    <row r="177" spans="1:8" x14ac:dyDescent="0.25">
      <c r="A177" s="3"/>
      <c r="B177" s="3"/>
      <c r="C177" s="3"/>
      <c r="D177" s="3"/>
      <c r="G177" s="14"/>
      <c r="H177" s="14"/>
    </row>
    <row r="178" spans="1:8" x14ac:dyDescent="0.25">
      <c r="A178" s="3"/>
      <c r="B178" s="3"/>
      <c r="C178" s="3"/>
      <c r="D178" s="3"/>
      <c r="G178" s="14"/>
      <c r="H178" s="14"/>
    </row>
    <row r="179" spans="1:8" x14ac:dyDescent="0.25">
      <c r="A179" s="3"/>
      <c r="B179" s="3"/>
      <c r="C179" s="3"/>
      <c r="D179" s="3"/>
      <c r="G179" s="14"/>
      <c r="H179" s="14"/>
    </row>
    <row r="180" spans="1:8" x14ac:dyDescent="0.25">
      <c r="A180" s="3"/>
      <c r="B180" s="3"/>
      <c r="C180" s="3"/>
      <c r="D180" s="3"/>
      <c r="G180" s="14"/>
      <c r="H180" s="14"/>
    </row>
    <row r="181" spans="1:8" x14ac:dyDescent="0.25">
      <c r="A181" s="3"/>
      <c r="B181" s="3"/>
      <c r="C181" s="3"/>
      <c r="D181" s="3"/>
      <c r="G181" s="14"/>
      <c r="H181" s="14"/>
    </row>
    <row r="182" spans="1:8" x14ac:dyDescent="0.25">
      <c r="A182" s="3"/>
      <c r="B182" s="3"/>
      <c r="C182" s="3"/>
      <c r="D182" s="3"/>
      <c r="G182" s="14"/>
      <c r="H182" s="14"/>
    </row>
    <row r="183" spans="1:8" x14ac:dyDescent="0.25">
      <c r="A183" s="3"/>
      <c r="B183" s="3"/>
      <c r="C183" s="3"/>
      <c r="D183" s="3"/>
      <c r="G183" s="14"/>
      <c r="H183" s="14"/>
    </row>
    <row r="184" spans="1:8" x14ac:dyDescent="0.25">
      <c r="A184" s="3"/>
      <c r="B184" s="3"/>
      <c r="C184" s="3"/>
      <c r="D184" s="3"/>
      <c r="G184" s="14"/>
      <c r="H184" s="14"/>
    </row>
    <row r="185" spans="1:8" x14ac:dyDescent="0.25">
      <c r="A185" s="3"/>
      <c r="B185" s="3"/>
      <c r="C185" s="3"/>
      <c r="D185" s="3"/>
      <c r="G185" s="14"/>
      <c r="H185" s="14"/>
    </row>
    <row r="186" spans="1:8" x14ac:dyDescent="0.25">
      <c r="A186" s="3"/>
      <c r="B186" s="3"/>
      <c r="C186" s="3"/>
      <c r="D186" s="3"/>
      <c r="G186" s="14"/>
      <c r="H186" s="14"/>
    </row>
    <row r="187" spans="1:8" x14ac:dyDescent="0.25">
      <c r="A187" s="3"/>
      <c r="B187" s="3"/>
      <c r="C187" s="3"/>
      <c r="D187" s="3"/>
      <c r="G187" s="14"/>
      <c r="H187" s="14"/>
    </row>
    <row r="188" spans="1:8" x14ac:dyDescent="0.25">
      <c r="A188" s="3"/>
      <c r="B188" s="3"/>
      <c r="C188" s="3"/>
      <c r="D188" s="3"/>
      <c r="G188" s="14"/>
      <c r="H188" s="14"/>
    </row>
    <row r="189" spans="1:8" x14ac:dyDescent="0.25">
      <c r="A189" s="3"/>
      <c r="B189" s="3"/>
      <c r="C189" s="3"/>
      <c r="D189" s="3"/>
      <c r="G189" s="14"/>
      <c r="H189" s="14"/>
    </row>
    <row r="190" spans="1:8" x14ac:dyDescent="0.25">
      <c r="A190" s="3"/>
      <c r="B190" s="3"/>
      <c r="C190" s="3"/>
      <c r="D190" s="3"/>
      <c r="G190" s="14"/>
      <c r="H190" s="14"/>
    </row>
    <row r="191" spans="1:8" x14ac:dyDescent="0.25">
      <c r="A191" s="3"/>
      <c r="B191" s="3"/>
      <c r="C191" s="3"/>
      <c r="D191" s="3"/>
      <c r="G191" s="14"/>
      <c r="H191" s="14"/>
    </row>
    <row r="192" spans="1:8" x14ac:dyDescent="0.25">
      <c r="A192" s="3"/>
      <c r="B192" s="3"/>
      <c r="C192" s="3"/>
      <c r="D192" s="3"/>
      <c r="G192" s="14"/>
      <c r="H192" s="14"/>
    </row>
    <row r="193" spans="1:8" x14ac:dyDescent="0.25">
      <c r="A193" s="3"/>
      <c r="B193" s="3"/>
      <c r="C193" s="3"/>
      <c r="D193" s="3"/>
      <c r="G193" s="14"/>
      <c r="H193" s="14"/>
    </row>
    <row r="194" spans="1:8" x14ac:dyDescent="0.25">
      <c r="A194" s="3"/>
      <c r="B194" s="3"/>
      <c r="C194" s="3"/>
      <c r="D194" s="3"/>
      <c r="G194" s="14"/>
      <c r="H194" s="14"/>
    </row>
    <row r="195" spans="1:8" x14ac:dyDescent="0.25">
      <c r="A195" s="3"/>
      <c r="B195" s="3"/>
      <c r="C195" s="3"/>
      <c r="D195" s="3"/>
      <c r="G195" s="14"/>
      <c r="H195" s="14"/>
    </row>
    <row r="196" spans="1:8" x14ac:dyDescent="0.25">
      <c r="A196" s="3"/>
      <c r="B196" s="3"/>
      <c r="C196" s="3"/>
      <c r="D196" s="3"/>
      <c r="G196" s="14"/>
      <c r="H196" s="14"/>
    </row>
    <row r="197" spans="1:8" x14ac:dyDescent="0.25">
      <c r="A197" s="3"/>
      <c r="B197" s="3"/>
      <c r="C197" s="3"/>
      <c r="D197" s="3"/>
      <c r="G197" s="14"/>
      <c r="H197" s="14"/>
    </row>
    <row r="198" spans="1:8" x14ac:dyDescent="0.25">
      <c r="A198" s="3"/>
      <c r="B198" s="3"/>
      <c r="C198" s="3"/>
      <c r="D198" s="3"/>
      <c r="G198" s="14"/>
      <c r="H198" s="14"/>
    </row>
    <row r="199" spans="1:8" x14ac:dyDescent="0.25">
      <c r="A199" s="3"/>
      <c r="B199" s="3"/>
      <c r="C199" s="3"/>
      <c r="D199" s="3"/>
      <c r="G199" s="14"/>
      <c r="H199" s="14"/>
    </row>
    <row r="200" spans="1:8" x14ac:dyDescent="0.25">
      <c r="A200" s="3"/>
      <c r="B200" s="3"/>
      <c r="C200" s="3"/>
      <c r="D200" s="3"/>
      <c r="G200" s="14"/>
      <c r="H200" s="14"/>
    </row>
    <row r="201" spans="1:8" x14ac:dyDescent="0.25">
      <c r="A201" s="3"/>
      <c r="B201" s="3"/>
      <c r="C201" s="3"/>
      <c r="D201" s="3"/>
      <c r="G201" s="14"/>
      <c r="H201" s="14"/>
    </row>
    <row r="202" spans="1:8" x14ac:dyDescent="0.25">
      <c r="A202" s="3"/>
      <c r="B202" s="3"/>
      <c r="C202" s="3"/>
      <c r="D202" s="3"/>
      <c r="G202" s="14"/>
      <c r="H202" s="14"/>
    </row>
    <row r="203" spans="1:8" x14ac:dyDescent="0.25">
      <c r="A203" s="3"/>
      <c r="B203" s="3"/>
      <c r="C203" s="3"/>
      <c r="D203" s="3"/>
      <c r="G203" s="14"/>
      <c r="H203" s="14"/>
    </row>
    <row r="204" spans="1:8" x14ac:dyDescent="0.25">
      <c r="A204" s="3"/>
      <c r="B204" s="3"/>
      <c r="C204" s="3"/>
      <c r="D204" s="3"/>
      <c r="G204" s="14"/>
      <c r="H204" s="14"/>
    </row>
    <row r="205" spans="1:8" x14ac:dyDescent="0.25">
      <c r="A205" s="3"/>
      <c r="B205" s="3"/>
      <c r="C205" s="3"/>
      <c r="D205" s="3"/>
      <c r="G205" s="14"/>
      <c r="H205" s="14"/>
    </row>
    <row r="206" spans="1:8" x14ac:dyDescent="0.25">
      <c r="A206" s="3"/>
      <c r="B206" s="3"/>
      <c r="C206" s="3"/>
      <c r="D206" s="3"/>
      <c r="G206" s="14"/>
      <c r="H206" s="14"/>
    </row>
    <row r="207" spans="1:8" x14ac:dyDescent="0.25">
      <c r="A207" s="3"/>
      <c r="B207" s="3"/>
      <c r="C207" s="3"/>
      <c r="D207" s="3"/>
      <c r="G207" s="14"/>
      <c r="H207" s="14"/>
    </row>
    <row r="208" spans="1:8" x14ac:dyDescent="0.25">
      <c r="A208" s="3"/>
      <c r="B208" s="3"/>
      <c r="C208" s="3"/>
      <c r="D208" s="3"/>
      <c r="G208" s="14"/>
      <c r="H208" s="14"/>
    </row>
    <row r="209" spans="1:8" x14ac:dyDescent="0.25">
      <c r="A209" s="3"/>
      <c r="B209" s="3"/>
      <c r="C209" s="3"/>
      <c r="D209" s="3"/>
      <c r="G209" s="14"/>
      <c r="H209" s="14"/>
    </row>
    <row r="210" spans="1:8" x14ac:dyDescent="0.25">
      <c r="A210" s="3"/>
      <c r="B210" s="3"/>
      <c r="C210" s="3"/>
      <c r="D210" s="3"/>
      <c r="G210" s="14"/>
      <c r="H210" s="14"/>
    </row>
    <row r="211" spans="1:8" x14ac:dyDescent="0.25">
      <c r="A211" s="3"/>
      <c r="B211" s="3"/>
      <c r="C211" s="3"/>
      <c r="D211" s="3"/>
      <c r="G211" s="14"/>
      <c r="H211" s="14"/>
    </row>
    <row r="212" spans="1:8" x14ac:dyDescent="0.25">
      <c r="A212" s="3"/>
      <c r="B212" s="3"/>
      <c r="C212" s="3"/>
      <c r="D212" s="3"/>
      <c r="G212" s="14"/>
      <c r="H212" s="14"/>
    </row>
    <row r="213" spans="1:8" x14ac:dyDescent="0.25">
      <c r="A213" s="3"/>
      <c r="B213" s="3"/>
      <c r="C213" s="3"/>
      <c r="D213" s="3"/>
      <c r="G213" s="14"/>
      <c r="H213" s="14"/>
    </row>
    <row r="214" spans="1:8" x14ac:dyDescent="0.25">
      <c r="A214" s="3"/>
      <c r="B214" s="3"/>
      <c r="C214" s="3"/>
      <c r="D214" s="3"/>
      <c r="G214" s="14"/>
      <c r="H214" s="14"/>
    </row>
    <row r="215" spans="1:8" x14ac:dyDescent="0.25">
      <c r="A215" s="3"/>
      <c r="B215" s="3"/>
      <c r="C215" s="3"/>
      <c r="D215" s="3"/>
      <c r="G215" s="14"/>
      <c r="H215" s="14"/>
    </row>
    <row r="216" spans="1:8" x14ac:dyDescent="0.25">
      <c r="A216" s="3"/>
      <c r="B216" s="3"/>
      <c r="C216" s="3"/>
      <c r="D216" s="3"/>
      <c r="G216" s="14"/>
      <c r="H216" s="14"/>
    </row>
    <row r="217" spans="1:8" x14ac:dyDescent="0.25">
      <c r="A217" s="3"/>
      <c r="B217" s="3"/>
      <c r="C217" s="3"/>
      <c r="D217" s="3"/>
      <c r="G217" s="14"/>
      <c r="H217" s="14"/>
    </row>
    <row r="218" spans="1:8" x14ac:dyDescent="0.25">
      <c r="A218" s="3"/>
      <c r="B218" s="3"/>
      <c r="C218" s="3"/>
      <c r="D218" s="3"/>
      <c r="G218" s="14"/>
      <c r="H218" s="14"/>
    </row>
    <row r="219" spans="1:8" x14ac:dyDescent="0.25">
      <c r="A219" s="3"/>
      <c r="B219" s="3"/>
      <c r="C219" s="3"/>
      <c r="D219" s="3"/>
      <c r="G219" s="14"/>
      <c r="H219" s="14"/>
    </row>
    <row r="220" spans="1:8" x14ac:dyDescent="0.25">
      <c r="A220" s="3"/>
      <c r="B220" s="3"/>
      <c r="C220" s="3"/>
      <c r="D220" s="3"/>
      <c r="G220" s="14"/>
      <c r="H220" s="14"/>
    </row>
    <row r="221" spans="1:8" x14ac:dyDescent="0.25">
      <c r="A221" s="3"/>
      <c r="B221" s="3"/>
      <c r="C221" s="3"/>
      <c r="D221" s="3"/>
      <c r="G221" s="14"/>
      <c r="H221" s="14"/>
    </row>
    <row r="222" spans="1:8" x14ac:dyDescent="0.25">
      <c r="A222" s="3"/>
      <c r="B222" s="3"/>
      <c r="C222" s="3"/>
      <c r="D222" s="3"/>
      <c r="G222" s="14"/>
      <c r="H222" s="14"/>
    </row>
    <row r="223" spans="1:8" x14ac:dyDescent="0.25">
      <c r="A223" s="3"/>
      <c r="B223" s="3"/>
      <c r="C223" s="3"/>
      <c r="D223" s="3"/>
      <c r="G223" s="14"/>
      <c r="H223" s="14"/>
    </row>
    <row r="224" spans="1:8" x14ac:dyDescent="0.25">
      <c r="A224" s="3"/>
      <c r="B224" s="3"/>
      <c r="C224" s="3"/>
      <c r="D224" s="3"/>
      <c r="G224" s="14"/>
      <c r="H224" s="14"/>
    </row>
    <row r="225" spans="1:8" x14ac:dyDescent="0.25">
      <c r="A225" s="3"/>
      <c r="B225" s="3"/>
      <c r="C225" s="3"/>
      <c r="D225" s="3"/>
      <c r="G225" s="14"/>
      <c r="H225" s="14"/>
    </row>
    <row r="226" spans="1:8" x14ac:dyDescent="0.25">
      <c r="A226" s="3"/>
      <c r="B226" s="3"/>
      <c r="C226" s="3"/>
      <c r="D226" s="3"/>
      <c r="G226" s="14"/>
      <c r="H226" s="14"/>
    </row>
    <row r="227" spans="1:8" x14ac:dyDescent="0.25">
      <c r="A227" s="3"/>
      <c r="B227" s="3"/>
      <c r="C227" s="3"/>
      <c r="D227" s="3"/>
      <c r="G227" s="14"/>
      <c r="H227" s="14"/>
    </row>
    <row r="228" spans="1:8" x14ac:dyDescent="0.25">
      <c r="A228" s="3"/>
      <c r="B228" s="3"/>
      <c r="C228" s="3"/>
      <c r="D228" s="3"/>
      <c r="G228" s="14"/>
      <c r="H228" s="14"/>
    </row>
    <row r="229" spans="1:8" x14ac:dyDescent="0.25">
      <c r="A229" s="3"/>
      <c r="B229" s="3"/>
      <c r="C229" s="3"/>
      <c r="D229" s="3"/>
      <c r="G229" s="14"/>
      <c r="H229" s="14"/>
    </row>
    <row r="230" spans="1:8" x14ac:dyDescent="0.25">
      <c r="A230" s="3"/>
      <c r="B230" s="3"/>
      <c r="C230" s="3"/>
      <c r="D230" s="3"/>
      <c r="G230" s="14"/>
      <c r="H230" s="14"/>
    </row>
    <row r="231" spans="1:8" x14ac:dyDescent="0.25">
      <c r="A231" s="3"/>
      <c r="B231" s="3"/>
      <c r="C231" s="3"/>
      <c r="D231" s="3"/>
      <c r="G231" s="14"/>
      <c r="H231" s="14"/>
    </row>
    <row r="232" spans="1:8" x14ac:dyDescent="0.25">
      <c r="A232" s="3"/>
      <c r="B232" s="3"/>
      <c r="C232" s="3"/>
      <c r="D232" s="3"/>
      <c r="G232" s="14"/>
      <c r="H232" s="14"/>
    </row>
    <row r="233" spans="1:8" x14ac:dyDescent="0.25">
      <c r="A233" s="3"/>
      <c r="B233" s="3"/>
      <c r="C233" s="3"/>
      <c r="D233" s="3"/>
      <c r="G233" s="14"/>
      <c r="H233" s="14"/>
    </row>
    <row r="234" spans="1:8" x14ac:dyDescent="0.25">
      <c r="A234" s="3"/>
      <c r="B234" s="3"/>
      <c r="C234" s="3"/>
      <c r="D234" s="3"/>
      <c r="G234" s="14"/>
      <c r="H234" s="14"/>
    </row>
    <row r="235" spans="1:8" x14ac:dyDescent="0.25">
      <c r="A235" s="3"/>
      <c r="B235" s="3"/>
      <c r="C235" s="3"/>
      <c r="D235" s="3"/>
      <c r="G235" s="14"/>
      <c r="H235" s="14"/>
    </row>
    <row r="236" spans="1:8" x14ac:dyDescent="0.25">
      <c r="A236" s="3"/>
      <c r="B236" s="3"/>
      <c r="C236" s="3"/>
      <c r="D236" s="3"/>
      <c r="G236" s="14"/>
      <c r="H236" s="14"/>
    </row>
    <row r="237" spans="1:8" x14ac:dyDescent="0.25">
      <c r="A237" s="3"/>
      <c r="B237" s="3"/>
      <c r="C237" s="3"/>
      <c r="D237" s="3"/>
      <c r="G237" s="14"/>
      <c r="H237" s="14"/>
    </row>
    <row r="238" spans="1:8" x14ac:dyDescent="0.25">
      <c r="A238" s="3"/>
      <c r="B238" s="3"/>
      <c r="C238" s="3"/>
      <c r="D238" s="3"/>
      <c r="G238" s="14"/>
      <c r="H238" s="14"/>
    </row>
    <row r="239" spans="1:8" x14ac:dyDescent="0.25">
      <c r="A239" s="3"/>
      <c r="B239" s="3"/>
      <c r="C239" s="3"/>
      <c r="D239" s="3"/>
      <c r="G239" s="14"/>
      <c r="H239" s="14"/>
    </row>
    <row r="240" spans="1:8" x14ac:dyDescent="0.25">
      <c r="A240" s="3"/>
      <c r="B240" s="3"/>
      <c r="C240" s="3"/>
      <c r="D240" s="3"/>
      <c r="G240" s="14"/>
      <c r="H240" s="14"/>
    </row>
    <row r="241" spans="1:8" x14ac:dyDescent="0.25">
      <c r="A241" s="3"/>
      <c r="B241" s="3"/>
      <c r="C241" s="3"/>
      <c r="D241" s="3"/>
      <c r="G241" s="14"/>
      <c r="H241" s="14"/>
    </row>
    <row r="242" spans="1:8" x14ac:dyDescent="0.25">
      <c r="A242" s="3"/>
      <c r="B242" s="3"/>
      <c r="C242" s="3"/>
      <c r="D242" s="3"/>
      <c r="G242" s="14"/>
      <c r="H242" s="14"/>
    </row>
    <row r="243" spans="1:8" x14ac:dyDescent="0.25">
      <c r="A243" s="3"/>
      <c r="B243" s="3"/>
      <c r="C243" s="3"/>
      <c r="D243" s="3"/>
      <c r="G243" s="14"/>
      <c r="H243" s="14"/>
    </row>
    <row r="244" spans="1:8" x14ac:dyDescent="0.25">
      <c r="A244" s="3"/>
      <c r="B244" s="3"/>
      <c r="C244" s="3"/>
      <c r="D244" s="3"/>
      <c r="G244" s="14"/>
      <c r="H244" s="14"/>
    </row>
    <row r="245" spans="1:8" x14ac:dyDescent="0.25">
      <c r="A245" s="3"/>
      <c r="B245" s="3"/>
      <c r="C245" s="3"/>
      <c r="D245" s="3"/>
      <c r="G245" s="14"/>
      <c r="H245" s="14"/>
    </row>
    <row r="247" spans="1:8" x14ac:dyDescent="0.25">
      <c r="A247" s="3"/>
      <c r="G247" s="14"/>
      <c r="H247" s="14"/>
    </row>
  </sheetData>
  <phoneticPr fontId="1" type="noConversion"/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F36D75-2D3E-4668-B411-22BCE4592432}">
  <sheetPr/>
  <dimension ref="A1:I247"/>
  <sheetViews>
    <sheetView zoomScale="115" zoomScaleNormal="115" workbookViewId="0">
      <selection activeCell="A5" sqref="A5:H39"/>
    </sheetView>
  </sheetViews>
  <sheetFormatPr defaultRowHeight="15" x14ac:dyDescent="0.25"/>
  <cols>
    <col min="1" max="1" width="8.875" style="4" customWidth="1"/>
    <col min="2" max="3" width="15.125" style="4" customWidth="1"/>
    <col min="4" max="4" width="10.25" style="4" customWidth="1"/>
    <col min="5" max="5" width="12" style="13" customWidth="1"/>
    <col min="6" max="6" width="15" style="13" customWidth="1"/>
    <col min="7" max="7" width="13.875" customWidth="1"/>
    <col min="8" max="8" width="11.125" customWidth="1"/>
    <col min="11" max="12" width="15.125" customWidth="1"/>
    <col min="13" max="13" width="11.125" customWidth="1"/>
  </cols>
  <sheetData>
    <row r="1" spans="1:9" ht="14.25" x14ac:dyDescent="0.2">
      <c r="A1" s="2" t="s">
        <v>12</v>
      </c>
      <c r="B1" s="2" t="s">
        <v>4</v>
      </c>
      <c r="C1" s="2" t="s">
        <v>5</v>
      </c>
      <c r="D1" s="2" t="s">
        <v>13</v>
      </c>
      <c r="E1" s="2" t="s">
        <v>14</v>
      </c>
      <c r="F1" s="2" t="s">
        <v>15</v>
      </c>
      <c r="G1" s="2" t="s">
        <v>16</v>
      </c>
    </row>
    <row r="2" spans="1:9" x14ac:dyDescent="0.25">
      <c r="A2" s="11">
        <v>23</v>
      </c>
      <c r="B2" s="3">
        <v>113.26713549999999</v>
      </c>
      <c r="C2" s="8">
        <v>22.995450609999999</v>
      </c>
      <c r="D2" s="3">
        <v>1750</v>
      </c>
      <c r="E2" s="13">
        <v>1785</v>
      </c>
      <c r="F2" s="13">
        <v>5</v>
      </c>
      <c r="G2" s="19">
        <f>SUBTOTAL(2,A5:A250)</f>
        <v>12</v>
      </c>
    </row>
    <row r="3" spans="1:9" x14ac:dyDescent="0.25">
      <c r="A3" s="3"/>
      <c r="B3" s="3"/>
      <c r="C3" s="3"/>
      <c r="D3" s="3"/>
    </row>
    <row r="4" spans="1:9" ht="14.25" x14ac:dyDescent="0.2">
      <c r="A4" s="2" t="s">
        <v>0</v>
      </c>
      <c r="B4" s="2" t="s">
        <v>1</v>
      </c>
      <c r="C4" s="2" t="s">
        <v>2</v>
      </c>
      <c r="D4" s="2" t="s">
        <v>3</v>
      </c>
      <c r="E4" s="2" t="s">
        <v>7</v>
      </c>
      <c r="F4" s="2" t="s">
        <v>8</v>
      </c>
      <c r="G4" s="2" t="s">
        <v>13</v>
      </c>
      <c r="H4" s="2" t="s">
        <v>14</v>
      </c>
      <c r="I4" s="24" t="s">
        <v>20</v>
      </c>
    </row>
    <row r="5" spans="1:9" x14ac:dyDescent="0.25">
      <c r="A5" s="3">
        <v>1617</v>
      </c>
      <c r="B5" s="3">
        <v>113.26496710000001</v>
      </c>
      <c r="C5" s="3">
        <v>22.99388119</v>
      </c>
      <c r="D5" s="3">
        <v>23</v>
      </c>
      <c r="E5" s="13">
        <f t="shared" ref="E5:E38" si="0">SQRT((B5-$B$2)^2+(C5-$C$2)^2)</f>
        <v>2.6767588042902134E-3</v>
      </c>
      <c r="F5" s="13">
        <f t="shared" ref="F5:F38" si="1">SQRT(1/E5)</f>
        <v>19.328376650868734</v>
      </c>
      <c r="G5" s="14">
        <f>F5/$F$40*$D$2</f>
        <v>236.26711555211952</v>
      </c>
      <c r="H5" s="14">
        <f>F5/$F$40*$E$2</f>
        <v>240.99245786316192</v>
      </c>
      <c r="I5" s="25" t="str">
        <f>IF(MOD(ROW()-1,3)=1,"选中","")</f>
        <v>选中</v>
      </c>
    </row>
    <row r="6" spans="1:9" hidden="1" x14ac:dyDescent="0.25">
      <c r="A6" s="3">
        <v>1613</v>
      </c>
      <c r="B6" s="3">
        <v>113.2651237</v>
      </c>
      <c r="C6" s="3">
        <v>22.997797380000002</v>
      </c>
      <c r="D6" s="3">
        <v>23</v>
      </c>
      <c r="E6" s="13">
        <f t="shared" si="0"/>
        <v>3.0910627093083264E-3</v>
      </c>
      <c r="F6" s="13">
        <f t="shared" si="1"/>
        <v>17.986476395594917</v>
      </c>
      <c r="G6" s="14" t="e">
        <f>F6/$F$124*$D$2</f>
        <v>#DIV/0!</v>
      </c>
      <c r="H6" s="14" t="e">
        <f>F6/$F$124*$E$2</f>
        <v>#DIV/0!</v>
      </c>
      <c r="I6" s="25" t="str">
        <f t="shared" ref="I6:I38" si="2">IF(MOD(ROW()-1,3)=1,"选中","")</f>
        <v/>
      </c>
    </row>
    <row r="7" spans="1:9" hidden="1" x14ac:dyDescent="0.25">
      <c r="A7" s="3">
        <v>1612</v>
      </c>
      <c r="B7" s="3">
        <v>113.26562319999999</v>
      </c>
      <c r="C7" s="3">
        <v>22.998164840000001</v>
      </c>
      <c r="D7" s="3">
        <v>23</v>
      </c>
      <c r="E7" s="13">
        <f t="shared" si="0"/>
        <v>3.1071040830518331E-3</v>
      </c>
      <c r="F7" s="13">
        <f t="shared" si="1"/>
        <v>17.939985973949465</v>
      </c>
      <c r="G7" s="14" t="e">
        <f>F7/$F$124*$D$2</f>
        <v>#DIV/0!</v>
      </c>
      <c r="H7" s="14" t="e">
        <f>F7/$F$124*$E$2</f>
        <v>#DIV/0!</v>
      </c>
      <c r="I7" s="25" t="str">
        <f t="shared" si="2"/>
        <v/>
      </c>
    </row>
    <row r="8" spans="1:9" x14ac:dyDescent="0.25">
      <c r="A8" s="3">
        <v>1788</v>
      </c>
      <c r="B8" s="3">
        <v>113.269289</v>
      </c>
      <c r="C8" s="3">
        <v>22.992519179999999</v>
      </c>
      <c r="D8" s="3">
        <v>23</v>
      </c>
      <c r="E8" s="13">
        <f t="shared" si="0"/>
        <v>3.6374227270041378E-3</v>
      </c>
      <c r="F8" s="13">
        <f t="shared" si="1"/>
        <v>16.580709562344214</v>
      </c>
      <c r="G8" s="14">
        <f>F8/$F$40*$D$2</f>
        <v>202.68005393647161</v>
      </c>
      <c r="H8" s="14">
        <f>F8/$F$40*$E$2</f>
        <v>206.73365501520104</v>
      </c>
      <c r="I8" s="25" t="str">
        <f t="shared" si="2"/>
        <v>选中</v>
      </c>
    </row>
    <row r="9" spans="1:9" hidden="1" x14ac:dyDescent="0.25">
      <c r="A9" s="3">
        <v>1618</v>
      </c>
      <c r="B9" s="3">
        <v>113.2634403</v>
      </c>
      <c r="C9" s="3">
        <v>22.99480591</v>
      </c>
      <c r="D9" s="3">
        <v>23</v>
      </c>
      <c r="E9" s="13">
        <f t="shared" si="0"/>
        <v>3.751018678967944E-3</v>
      </c>
      <c r="F9" s="13">
        <f t="shared" si="1"/>
        <v>16.327714075952059</v>
      </c>
      <c r="G9" s="14" t="e">
        <f>F9/$F$124*$D$2</f>
        <v>#DIV/0!</v>
      </c>
      <c r="H9" s="14" t="e">
        <f>F9/$F$124*$E$2</f>
        <v>#DIV/0!</v>
      </c>
      <c r="I9" s="25" t="str">
        <f t="shared" si="2"/>
        <v/>
      </c>
    </row>
    <row r="10" spans="1:9" hidden="1" x14ac:dyDescent="0.25">
      <c r="A10" s="3">
        <v>1616</v>
      </c>
      <c r="B10" s="3">
        <v>113.2633864</v>
      </c>
      <c r="C10" s="3">
        <v>22.994754969999999</v>
      </c>
      <c r="D10" s="3">
        <v>23</v>
      </c>
      <c r="E10" s="13">
        <f t="shared" si="0"/>
        <v>3.8130913730920267E-3</v>
      </c>
      <c r="F10" s="13">
        <f t="shared" si="1"/>
        <v>16.194270671175435</v>
      </c>
      <c r="G10" s="14" t="e">
        <f>F10/$F$124*$D$2</f>
        <v>#DIV/0!</v>
      </c>
      <c r="H10" s="14" t="e">
        <f>F10/$F$124*$E$2</f>
        <v>#DIV/0!</v>
      </c>
      <c r="I10" s="25" t="str">
        <f t="shared" si="2"/>
        <v/>
      </c>
    </row>
    <row r="11" spans="1:9" x14ac:dyDescent="0.25">
      <c r="A11" s="3">
        <v>1610</v>
      </c>
      <c r="B11" s="3">
        <v>113.2656111</v>
      </c>
      <c r="C11" s="3">
        <v>22.999798139999999</v>
      </c>
      <c r="D11" s="3">
        <v>23</v>
      </c>
      <c r="E11" s="13">
        <f t="shared" si="0"/>
        <v>4.6070394464216482E-3</v>
      </c>
      <c r="F11" s="13">
        <f t="shared" si="1"/>
        <v>14.732926919603123</v>
      </c>
      <c r="G11" s="14">
        <f>F11/$F$40*$D$2</f>
        <v>180.09304194609385</v>
      </c>
      <c r="H11" s="14">
        <f>F11/$F$40*$E$2</f>
        <v>183.69490278501573</v>
      </c>
      <c r="I11" s="25" t="str">
        <f t="shared" si="2"/>
        <v>选中</v>
      </c>
    </row>
    <row r="12" spans="1:9" hidden="1" x14ac:dyDescent="0.25">
      <c r="A12" s="3">
        <v>1785</v>
      </c>
      <c r="B12" s="3">
        <v>113.2657226</v>
      </c>
      <c r="C12" s="3">
        <v>22.990959870000001</v>
      </c>
      <c r="D12" s="3">
        <v>23</v>
      </c>
      <c r="E12" s="13">
        <f t="shared" si="0"/>
        <v>4.7077629674353331E-3</v>
      </c>
      <c r="F12" s="13">
        <f t="shared" si="1"/>
        <v>14.574467826490919</v>
      </c>
      <c r="G12" s="14" t="e">
        <f>F12/$F$124*$D$2</f>
        <v>#DIV/0!</v>
      </c>
      <c r="H12" s="14" t="e">
        <f>F12/$F$124*$E$2</f>
        <v>#DIV/0!</v>
      </c>
      <c r="I12" s="25" t="str">
        <f t="shared" si="2"/>
        <v/>
      </c>
    </row>
    <row r="13" spans="1:9" hidden="1" x14ac:dyDescent="0.25">
      <c r="A13" s="3">
        <v>1789</v>
      </c>
      <c r="B13" s="3">
        <v>113.2703449</v>
      </c>
      <c r="C13" s="3">
        <v>22.990992859999999</v>
      </c>
      <c r="D13" s="3">
        <v>23</v>
      </c>
      <c r="E13" s="13">
        <f t="shared" si="0"/>
        <v>5.4928847996768542E-3</v>
      </c>
      <c r="F13" s="13">
        <f t="shared" si="1"/>
        <v>13.492727661044841</v>
      </c>
      <c r="G13" s="14" t="e">
        <f>F13/$F$124*$D$2</f>
        <v>#DIV/0!</v>
      </c>
      <c r="H13" s="14" t="e">
        <f>F13/$F$124*$E$2</f>
        <v>#DIV/0!</v>
      </c>
      <c r="I13" s="25" t="str">
        <f t="shared" si="2"/>
        <v/>
      </c>
    </row>
    <row r="14" spans="1:9" x14ac:dyDescent="0.25">
      <c r="A14" s="3">
        <v>1792</v>
      </c>
      <c r="B14" s="3">
        <v>113.2718812</v>
      </c>
      <c r="C14" s="3">
        <v>22.991436180000001</v>
      </c>
      <c r="D14" s="3">
        <v>23</v>
      </c>
      <c r="E14" s="13">
        <f t="shared" si="0"/>
        <v>6.2158922702128735E-3</v>
      </c>
      <c r="F14" s="13">
        <f t="shared" si="1"/>
        <v>12.683767147753491</v>
      </c>
      <c r="G14" s="14">
        <f>F14/$F$40*$D$2</f>
        <v>155.04442677547672</v>
      </c>
      <c r="H14" s="14">
        <f>F14/$F$40*$E$2</f>
        <v>158.14531531098626</v>
      </c>
      <c r="I14" s="25" t="str">
        <f t="shared" si="2"/>
        <v>选中</v>
      </c>
    </row>
    <row r="15" spans="1:9" hidden="1" x14ac:dyDescent="0.25">
      <c r="A15" s="3">
        <v>1780</v>
      </c>
      <c r="B15" s="3">
        <v>113.26172680000001</v>
      </c>
      <c r="C15" s="3">
        <v>22.992293149999998</v>
      </c>
      <c r="D15" s="3">
        <v>23</v>
      </c>
      <c r="E15" s="13">
        <f t="shared" si="0"/>
        <v>6.2628738883591974E-3</v>
      </c>
      <c r="F15" s="13">
        <f t="shared" si="1"/>
        <v>12.636103272817483</v>
      </c>
      <c r="G15" s="14" t="e">
        <f>F15/$F$124*$D$2</f>
        <v>#DIV/0!</v>
      </c>
      <c r="H15" s="14" t="e">
        <f>F15/$F$124*$E$2</f>
        <v>#DIV/0!</v>
      </c>
      <c r="I15" s="25" t="str">
        <f t="shared" si="2"/>
        <v/>
      </c>
    </row>
    <row r="16" spans="1:9" hidden="1" x14ac:dyDescent="0.25">
      <c r="A16" s="3">
        <v>1786</v>
      </c>
      <c r="B16" s="3">
        <v>113.2706866</v>
      </c>
      <c r="C16" s="3">
        <v>22.990234860000001</v>
      </c>
      <c r="D16" s="3">
        <v>23</v>
      </c>
      <c r="E16" s="13">
        <f t="shared" si="0"/>
        <v>6.3098620644628988E-3</v>
      </c>
      <c r="F16" s="13">
        <f t="shared" si="1"/>
        <v>12.588966191853173</v>
      </c>
      <c r="G16" s="14" t="e">
        <f>F16/$F$124*$D$2</f>
        <v>#DIV/0!</v>
      </c>
      <c r="H16" s="14" t="e">
        <f>F16/$F$124*$E$2</f>
        <v>#DIV/0!</v>
      </c>
      <c r="I16" s="25" t="str">
        <f t="shared" si="2"/>
        <v/>
      </c>
    </row>
    <row r="17" spans="1:9" x14ac:dyDescent="0.25">
      <c r="A17" s="3">
        <v>1779</v>
      </c>
      <c r="B17" s="3">
        <v>113.26172889999999</v>
      </c>
      <c r="C17" s="3">
        <v>22.992066250000001</v>
      </c>
      <c r="D17" s="3">
        <v>23</v>
      </c>
      <c r="E17" s="13">
        <f t="shared" si="0"/>
        <v>6.3784963878327147E-3</v>
      </c>
      <c r="F17" s="13">
        <f t="shared" si="1"/>
        <v>12.521052687953178</v>
      </c>
      <c r="G17" s="14">
        <f>F17/$F$40*$D$2</f>
        <v>153.05543014269881</v>
      </c>
      <c r="H17" s="14">
        <f>F17/$F$40*$E$2</f>
        <v>156.11653874555279</v>
      </c>
      <c r="I17" s="25" t="str">
        <f t="shared" si="2"/>
        <v>选中</v>
      </c>
    </row>
    <row r="18" spans="1:9" hidden="1" x14ac:dyDescent="0.25">
      <c r="A18" s="3">
        <v>1787</v>
      </c>
      <c r="B18" s="3">
        <v>113.2700394</v>
      </c>
      <c r="C18" s="3">
        <v>22.98959675</v>
      </c>
      <c r="D18" s="3">
        <v>23</v>
      </c>
      <c r="E18" s="13">
        <f t="shared" si="0"/>
        <v>6.5345475826273855E-3</v>
      </c>
      <c r="F18" s="13">
        <f t="shared" si="1"/>
        <v>12.370641966404675</v>
      </c>
      <c r="G18" s="14" t="e">
        <f>F18/$F$124*$D$2</f>
        <v>#DIV/0!</v>
      </c>
      <c r="H18" s="14" t="e">
        <f>F18/$F$124*$E$2</f>
        <v>#DIV/0!</v>
      </c>
      <c r="I18" s="25" t="str">
        <f t="shared" si="2"/>
        <v/>
      </c>
    </row>
    <row r="19" spans="1:9" hidden="1" x14ac:dyDescent="0.25">
      <c r="A19" s="3">
        <v>1791</v>
      </c>
      <c r="B19" s="3">
        <v>113.27269920000001</v>
      </c>
      <c r="C19" s="3">
        <v>22.992023100000001</v>
      </c>
      <c r="D19" s="3">
        <v>23</v>
      </c>
      <c r="E19" s="13">
        <f t="shared" si="0"/>
        <v>6.5347213016472552E-3</v>
      </c>
      <c r="F19" s="13">
        <f t="shared" si="1"/>
        <v>12.370477534749451</v>
      </c>
      <c r="G19" s="14" t="e">
        <f>F19/$F$124*$D$2</f>
        <v>#DIV/0!</v>
      </c>
      <c r="H19" s="14" t="e">
        <f>F19/$F$124*$E$2</f>
        <v>#DIV/0!</v>
      </c>
      <c r="I19" s="25" t="str">
        <f t="shared" si="2"/>
        <v/>
      </c>
    </row>
    <row r="20" spans="1:9" x14ac:dyDescent="0.25">
      <c r="A20" s="3">
        <v>1781</v>
      </c>
      <c r="B20" s="3">
        <v>113.2614051</v>
      </c>
      <c r="C20" s="3">
        <v>22.992293360000001</v>
      </c>
      <c r="D20" s="3">
        <v>23</v>
      </c>
      <c r="E20" s="13">
        <f t="shared" si="0"/>
        <v>6.5426074100752964E-3</v>
      </c>
      <c r="F20" s="13">
        <f t="shared" si="1"/>
        <v>12.36301993140953</v>
      </c>
      <c r="G20" s="14">
        <f>F20/$F$40*$D$2</f>
        <v>151.12366193340949</v>
      </c>
      <c r="H20" s="14">
        <f>F20/$F$40*$E$2</f>
        <v>154.14613517207769</v>
      </c>
      <c r="I20" s="25" t="str">
        <f t="shared" si="2"/>
        <v>选中</v>
      </c>
    </row>
    <row r="21" spans="1:9" hidden="1" x14ac:dyDescent="0.25">
      <c r="A21" s="3">
        <v>1784</v>
      </c>
      <c r="B21" s="3">
        <v>113.2700304</v>
      </c>
      <c r="C21" s="3">
        <v>22.989555769999999</v>
      </c>
      <c r="D21" s="3">
        <v>23</v>
      </c>
      <c r="E21" s="13">
        <f t="shared" si="0"/>
        <v>6.5673118271941987E-3</v>
      </c>
      <c r="F21" s="13">
        <f t="shared" si="1"/>
        <v>12.339744885364517</v>
      </c>
      <c r="G21" s="14" t="e">
        <f>F21/$F$124*$D$2</f>
        <v>#DIV/0!</v>
      </c>
      <c r="H21" s="14" t="e">
        <f>F21/$F$124*$E$2</f>
        <v>#DIV/0!</v>
      </c>
      <c r="I21" s="25" t="str">
        <f t="shared" si="2"/>
        <v/>
      </c>
    </row>
    <row r="22" spans="1:9" hidden="1" x14ac:dyDescent="0.25">
      <c r="A22" s="3">
        <v>1615</v>
      </c>
      <c r="B22" s="3">
        <v>113.2707777</v>
      </c>
      <c r="C22" s="3">
        <v>23.00191173</v>
      </c>
      <c r="D22" s="3">
        <v>23</v>
      </c>
      <c r="E22" s="13">
        <f t="shared" si="0"/>
        <v>7.4169867530165454E-3</v>
      </c>
      <c r="F22" s="13">
        <f t="shared" si="1"/>
        <v>11.611444436769714</v>
      </c>
      <c r="G22" s="14" t="e">
        <f>F22/$F$124*$D$2</f>
        <v>#DIV/0!</v>
      </c>
      <c r="H22" s="14" t="e">
        <f>F22/$F$124*$E$2</f>
        <v>#DIV/0!</v>
      </c>
      <c r="I22" s="25" t="str">
        <f t="shared" si="2"/>
        <v/>
      </c>
    </row>
    <row r="23" spans="1:9" x14ac:dyDescent="0.25">
      <c r="A23" s="3">
        <v>1614</v>
      </c>
      <c r="B23" s="3">
        <v>113.2656319</v>
      </c>
      <c r="C23" s="3">
        <v>23.002807820000001</v>
      </c>
      <c r="D23" s="3">
        <v>23</v>
      </c>
      <c r="E23" s="13">
        <f t="shared" si="0"/>
        <v>7.5092843829560876E-3</v>
      </c>
      <c r="F23" s="13">
        <f t="shared" si="1"/>
        <v>11.539864891283793</v>
      </c>
      <c r="G23" s="14">
        <f>F23/$F$40*$D$2</f>
        <v>141.06154080985638</v>
      </c>
      <c r="H23" s="14">
        <f>F23/$F$40*$E$2</f>
        <v>143.88277162605351</v>
      </c>
      <c r="I23" s="25" t="str">
        <f t="shared" si="2"/>
        <v>选中</v>
      </c>
    </row>
    <row r="24" spans="1:9" hidden="1" x14ac:dyDescent="0.25">
      <c r="A24" s="3">
        <v>1611</v>
      </c>
      <c r="B24" s="3">
        <v>113.2705699</v>
      </c>
      <c r="C24" s="3">
        <v>23.002348739999999</v>
      </c>
      <c r="D24" s="3">
        <v>23</v>
      </c>
      <c r="E24" s="13">
        <f t="shared" si="0"/>
        <v>7.7057965751062187E-3</v>
      </c>
      <c r="F24" s="13">
        <f t="shared" si="1"/>
        <v>11.391770579019711</v>
      </c>
      <c r="G24" s="14" t="e">
        <f>F24/$F$124*$D$2</f>
        <v>#DIV/0!</v>
      </c>
      <c r="H24" s="14" t="e">
        <f>F24/$F$124*$E$2</f>
        <v>#DIV/0!</v>
      </c>
      <c r="I24" s="25" t="str">
        <f t="shared" si="2"/>
        <v/>
      </c>
    </row>
    <row r="25" spans="1:9" hidden="1" x14ac:dyDescent="0.25">
      <c r="A25" s="3">
        <v>1783</v>
      </c>
      <c r="B25" s="3">
        <v>113.27128519999999</v>
      </c>
      <c r="C25" s="3">
        <v>22.986282989999999</v>
      </c>
      <c r="D25" s="3">
        <v>23</v>
      </c>
      <c r="E25" s="13">
        <f t="shared" si="0"/>
        <v>1.0063064471341939E-2</v>
      </c>
      <c r="F25" s="13">
        <f t="shared" si="1"/>
        <v>9.9686161271144247</v>
      </c>
      <c r="G25" s="14" t="e">
        <f>F25/$F$124*$D$2</f>
        <v>#DIV/0!</v>
      </c>
      <c r="H25" s="14" t="e">
        <f>F25/$F$124*$E$2</f>
        <v>#DIV/0!</v>
      </c>
      <c r="I25" s="25" t="str">
        <f t="shared" si="2"/>
        <v/>
      </c>
    </row>
    <row r="26" spans="1:9" x14ac:dyDescent="0.25">
      <c r="A26" s="3">
        <v>1782</v>
      </c>
      <c r="B26" s="3">
        <v>113.26553010000001</v>
      </c>
      <c r="C26" s="3">
        <v>22.98489064</v>
      </c>
      <c r="D26" s="3">
        <v>23</v>
      </c>
      <c r="E26" s="13">
        <f t="shared" si="0"/>
        <v>1.0681304955895863E-2</v>
      </c>
      <c r="F26" s="13">
        <f t="shared" si="1"/>
        <v>9.6758213852870867</v>
      </c>
      <c r="G26" s="14">
        <f>F26/$F$40*$D$2</f>
        <v>118.27575851780304</v>
      </c>
      <c r="H26" s="14">
        <f>F26/$F$40*$E$2</f>
        <v>120.6412736881591</v>
      </c>
      <c r="I26" s="25" t="str">
        <f t="shared" si="2"/>
        <v>选中</v>
      </c>
    </row>
    <row r="27" spans="1:9" hidden="1" x14ac:dyDescent="0.25">
      <c r="A27" s="3">
        <v>1778</v>
      </c>
      <c r="B27" s="3">
        <v>113.2601344</v>
      </c>
      <c r="C27" s="3">
        <v>22.98701441</v>
      </c>
      <c r="D27" s="3">
        <v>23</v>
      </c>
      <c r="E27" s="13">
        <f t="shared" si="0"/>
        <v>1.0962886100380931E-2</v>
      </c>
      <c r="F27" s="13">
        <f t="shared" si="1"/>
        <v>9.5507515802674714</v>
      </c>
      <c r="G27" s="14" t="e">
        <f>F27/$F$124*$D$2</f>
        <v>#DIV/0!</v>
      </c>
      <c r="H27" s="14" t="e">
        <f>F27/$F$124*$E$2</f>
        <v>#DIV/0!</v>
      </c>
      <c r="I27" s="25" t="str">
        <f t="shared" si="2"/>
        <v/>
      </c>
    </row>
    <row r="28" spans="1:9" hidden="1" x14ac:dyDescent="0.25">
      <c r="A28" s="3">
        <v>1619</v>
      </c>
      <c r="B28" s="3">
        <v>113.2778354</v>
      </c>
      <c r="C28" s="3">
        <v>22.999045410000001</v>
      </c>
      <c r="D28" s="3">
        <v>23</v>
      </c>
      <c r="E28" s="13">
        <f t="shared" si="0"/>
        <v>1.1287623622806496E-2</v>
      </c>
      <c r="F28" s="13">
        <f t="shared" si="1"/>
        <v>9.412364563854732</v>
      </c>
      <c r="G28" s="14" t="e">
        <f>F28/$F$124*$D$2</f>
        <v>#DIV/0!</v>
      </c>
      <c r="H28" s="14" t="e">
        <f>F28/$F$124*$E$2</f>
        <v>#DIV/0!</v>
      </c>
      <c r="I28" s="25" t="str">
        <f t="shared" si="2"/>
        <v/>
      </c>
    </row>
    <row r="29" spans="1:9" x14ac:dyDescent="0.25">
      <c r="A29" s="3">
        <v>1620</v>
      </c>
      <c r="B29" s="3">
        <v>113.2778354</v>
      </c>
      <c r="C29" s="3">
        <v>22.999045410000001</v>
      </c>
      <c r="D29" s="3">
        <v>23</v>
      </c>
      <c r="E29" s="13">
        <f t="shared" si="0"/>
        <v>1.1287623622806496E-2</v>
      </c>
      <c r="F29" s="13">
        <f t="shared" si="1"/>
        <v>9.412364563854732</v>
      </c>
      <c r="G29" s="14">
        <f>F29/$F$40*$D$2</f>
        <v>115.05530268766718</v>
      </c>
      <c r="H29" s="14">
        <f>F29/$F$40*$E$2</f>
        <v>117.35640874142052</v>
      </c>
      <c r="I29" s="25" t="str">
        <f t="shared" si="2"/>
        <v>选中</v>
      </c>
    </row>
    <row r="30" spans="1:9" hidden="1" x14ac:dyDescent="0.25">
      <c r="A30" s="3">
        <v>1621</v>
      </c>
      <c r="B30" s="3">
        <v>113.2774617</v>
      </c>
      <c r="C30" s="3">
        <v>23.000760100000001</v>
      </c>
      <c r="D30" s="3">
        <v>23</v>
      </c>
      <c r="E30" s="13">
        <f t="shared" si="0"/>
        <v>1.1611248447100691E-2</v>
      </c>
      <c r="F30" s="13">
        <f t="shared" si="1"/>
        <v>9.280268490093599</v>
      </c>
      <c r="G30" s="14" t="e">
        <f>F30/$F$124*$D$2</f>
        <v>#DIV/0!</v>
      </c>
      <c r="H30" s="14" t="e">
        <f>F30/$F$124*$E$2</f>
        <v>#DIV/0!</v>
      </c>
      <c r="I30" s="25" t="str">
        <f t="shared" si="2"/>
        <v/>
      </c>
    </row>
    <row r="31" spans="1:9" hidden="1" x14ac:dyDescent="0.25">
      <c r="A31" s="3">
        <v>1790</v>
      </c>
      <c r="B31" s="3">
        <v>113.2721264</v>
      </c>
      <c r="C31" s="3">
        <v>22.984839780000001</v>
      </c>
      <c r="D31" s="3">
        <v>23</v>
      </c>
      <c r="E31" s="13">
        <f t="shared" si="0"/>
        <v>1.1725988064932686E-2</v>
      </c>
      <c r="F31" s="13">
        <f t="shared" si="1"/>
        <v>9.2347528330005861</v>
      </c>
      <c r="G31" s="14" t="e">
        <f>F31/$F$124*$D$2</f>
        <v>#DIV/0!</v>
      </c>
      <c r="H31" s="14" t="e">
        <f>F31/$F$124*$E$2</f>
        <v>#DIV/0!</v>
      </c>
      <c r="I31" s="25" t="str">
        <f t="shared" si="2"/>
        <v/>
      </c>
    </row>
    <row r="32" spans="1:9" x14ac:dyDescent="0.25">
      <c r="A32" s="3">
        <v>1340</v>
      </c>
      <c r="B32" s="3">
        <v>113.26311579999999</v>
      </c>
      <c r="C32" s="3">
        <v>23.006756970000001</v>
      </c>
      <c r="D32" s="3">
        <v>23</v>
      </c>
      <c r="E32" s="13">
        <f t="shared" si="0"/>
        <v>1.1999656850912942E-2</v>
      </c>
      <c r="F32" s="13">
        <f t="shared" si="1"/>
        <v>9.1288398157295774</v>
      </c>
      <c r="G32" s="14">
        <f>F32/$F$40*$D$2</f>
        <v>111.58953959554736</v>
      </c>
      <c r="H32" s="14">
        <f>F32/$F$40*$E$2</f>
        <v>113.8213303874583</v>
      </c>
      <c r="I32" s="25" t="str">
        <f t="shared" si="2"/>
        <v>选中</v>
      </c>
    </row>
    <row r="33" spans="1:9" hidden="1" x14ac:dyDescent="0.25">
      <c r="A33" s="3">
        <v>1337</v>
      </c>
      <c r="B33" s="3">
        <v>113.2609695</v>
      </c>
      <c r="C33" s="3">
        <v>23.006437519999999</v>
      </c>
      <c r="D33" s="3">
        <v>23</v>
      </c>
      <c r="E33" s="13">
        <f t="shared" si="0"/>
        <v>1.2598878813132968E-2</v>
      </c>
      <c r="F33" s="13">
        <f t="shared" si="1"/>
        <v>8.9091044523636214</v>
      </c>
      <c r="G33" s="14" t="e">
        <f>F33/$F$124*$D$2</f>
        <v>#DIV/0!</v>
      </c>
      <c r="H33" s="14" t="e">
        <f>F33/$F$124*$E$2</f>
        <v>#DIV/0!</v>
      </c>
      <c r="I33" s="25" t="str">
        <f t="shared" si="2"/>
        <v/>
      </c>
    </row>
    <row r="34" spans="1:9" hidden="1" x14ac:dyDescent="0.25">
      <c r="A34" s="3">
        <v>1956</v>
      </c>
      <c r="B34" s="3">
        <v>113.2676154</v>
      </c>
      <c r="C34" s="3">
        <v>22.981932220000001</v>
      </c>
      <c r="D34" s="3">
        <v>23</v>
      </c>
      <c r="E34" s="13">
        <f t="shared" si="0"/>
        <v>1.3526905492463812E-2</v>
      </c>
      <c r="F34" s="13">
        <f t="shared" si="1"/>
        <v>8.5980659526580183</v>
      </c>
      <c r="G34" s="14" t="e">
        <f>F34/$F$124*$D$2</f>
        <v>#DIV/0!</v>
      </c>
      <c r="H34" s="14" t="e">
        <f>F34/$F$124*$E$2</f>
        <v>#DIV/0!</v>
      </c>
      <c r="I34" s="25" t="str">
        <f t="shared" si="2"/>
        <v/>
      </c>
    </row>
    <row r="35" spans="1:9" x14ac:dyDescent="0.25">
      <c r="A35" s="3">
        <v>1623</v>
      </c>
      <c r="B35" s="3">
        <v>113.2834417</v>
      </c>
      <c r="C35" s="3">
        <v>22.994849139999999</v>
      </c>
      <c r="D35" s="3">
        <v>23</v>
      </c>
      <c r="E35" s="13">
        <f t="shared" si="0"/>
        <v>1.6317289131500386E-2</v>
      </c>
      <c r="F35" s="13">
        <f t="shared" si="1"/>
        <v>7.8284538466000386</v>
      </c>
      <c r="G35" s="14">
        <f>F35/$F$40*$D$2</f>
        <v>95.693820695798237</v>
      </c>
      <c r="H35" s="14">
        <f>F35/$F$40*$E$2</f>
        <v>97.607697109714195</v>
      </c>
      <c r="I35" s="25" t="str">
        <f t="shared" si="2"/>
        <v>选中</v>
      </c>
    </row>
    <row r="36" spans="1:9" hidden="1" x14ac:dyDescent="0.25">
      <c r="A36" s="3">
        <v>1338</v>
      </c>
      <c r="B36" s="3">
        <v>113.2532052</v>
      </c>
      <c r="C36" s="3">
        <v>23.004315120000001</v>
      </c>
      <c r="D36" s="3">
        <v>23</v>
      </c>
      <c r="E36" s="13">
        <f t="shared" si="0"/>
        <v>1.6511595792960007E-2</v>
      </c>
      <c r="F36" s="13">
        <f t="shared" si="1"/>
        <v>7.7822553333632563</v>
      </c>
      <c r="G36" s="14" t="e">
        <f>F36/$F$124*$D$2</f>
        <v>#DIV/0!</v>
      </c>
      <c r="H36" s="14" t="e">
        <f>F36/$F$124*$E$2</f>
        <v>#DIV/0!</v>
      </c>
      <c r="I36" s="25" t="str">
        <f t="shared" si="2"/>
        <v/>
      </c>
    </row>
    <row r="37" spans="1:9" hidden="1" x14ac:dyDescent="0.25">
      <c r="A37" s="3">
        <v>1336</v>
      </c>
      <c r="B37" s="3">
        <v>113.2557237</v>
      </c>
      <c r="C37" s="3">
        <v>23.009061119999998</v>
      </c>
      <c r="D37" s="3">
        <v>23</v>
      </c>
      <c r="E37" s="13">
        <f t="shared" si="0"/>
        <v>1.7761620469424217E-2</v>
      </c>
      <c r="F37" s="13">
        <f t="shared" si="1"/>
        <v>7.5034105071329398</v>
      </c>
      <c r="G37" s="14" t="e">
        <f>F37/$F$124*$D$2</f>
        <v>#DIV/0!</v>
      </c>
      <c r="H37" s="14" t="e">
        <f>F37/$F$124*$E$2</f>
        <v>#DIV/0!</v>
      </c>
      <c r="I37" s="25" t="str">
        <f t="shared" si="2"/>
        <v/>
      </c>
    </row>
    <row r="38" spans="1:9" x14ac:dyDescent="0.25">
      <c r="A38" s="3">
        <v>1339</v>
      </c>
      <c r="B38" s="3">
        <v>113.2556416</v>
      </c>
      <c r="C38" s="3">
        <v>23.00984781</v>
      </c>
      <c r="D38" s="3">
        <v>23</v>
      </c>
      <c r="E38" s="13">
        <f t="shared" si="0"/>
        <v>1.8422516251853926E-2</v>
      </c>
      <c r="F38" s="13">
        <f t="shared" si="1"/>
        <v>7.3675912908525012</v>
      </c>
      <c r="G38" s="14">
        <f>F38/$F$40*$D$2</f>
        <v>90.060307407057849</v>
      </c>
      <c r="H38" s="14">
        <f>F38/$F$40*$E$2</f>
        <v>91.861513555198997</v>
      </c>
      <c r="I38" s="25" t="str">
        <f t="shared" si="2"/>
        <v>选中</v>
      </c>
    </row>
    <row r="39" spans="1:9" x14ac:dyDescent="0.25">
      <c r="A39" s="3"/>
      <c r="B39" s="3"/>
      <c r="C39" s="3"/>
      <c r="D39" s="3"/>
      <c r="G39" s="14"/>
      <c r="H39" s="14"/>
    </row>
    <row r="40" spans="1:9" x14ac:dyDescent="0.25">
      <c r="A40" s="3"/>
      <c r="B40" s="3"/>
      <c r="C40" s="3"/>
      <c r="D40" s="3"/>
      <c r="F40" s="13">
        <f>SUBTOTAL(9,F5:F38)</f>
        <v>143.16278869353999</v>
      </c>
      <c r="G40" s="13">
        <f t="shared" ref="G40:H40" si="3">SUBTOTAL(9,G5:G38)</f>
        <v>1750</v>
      </c>
      <c r="H40" s="13">
        <f t="shared" si="3"/>
        <v>1785.0000000000005</v>
      </c>
    </row>
    <row r="41" spans="1:9" x14ac:dyDescent="0.25">
      <c r="A41" s="3"/>
      <c r="B41" s="3"/>
      <c r="C41" s="3"/>
      <c r="D41" s="3"/>
      <c r="G41" s="14"/>
      <c r="H41" s="14"/>
    </row>
    <row r="42" spans="1:9" x14ac:dyDescent="0.25">
      <c r="A42" s="3"/>
      <c r="B42" s="3"/>
      <c r="C42" s="3"/>
      <c r="D42" s="3"/>
      <c r="G42" s="14"/>
      <c r="H42" s="14"/>
    </row>
    <row r="43" spans="1:9" x14ac:dyDescent="0.25">
      <c r="A43" s="3"/>
      <c r="B43" s="3"/>
      <c r="C43" s="3"/>
      <c r="D43" s="3"/>
      <c r="G43" s="14"/>
      <c r="H43" s="14"/>
    </row>
    <row r="44" spans="1:9" x14ac:dyDescent="0.25">
      <c r="A44" s="3"/>
      <c r="B44" s="3"/>
      <c r="C44" s="3"/>
      <c r="D44" s="3"/>
      <c r="G44" s="14"/>
      <c r="H44" s="14"/>
    </row>
    <row r="45" spans="1:9" x14ac:dyDescent="0.25">
      <c r="A45" s="3"/>
      <c r="B45" s="3"/>
      <c r="C45" s="3"/>
      <c r="D45" s="3"/>
      <c r="G45" s="14"/>
      <c r="H45" s="14"/>
    </row>
    <row r="46" spans="1:9" x14ac:dyDescent="0.25">
      <c r="A46" s="3"/>
      <c r="B46" s="3"/>
      <c r="C46" s="3"/>
      <c r="D46" s="3"/>
      <c r="G46" s="14"/>
      <c r="H46" s="14"/>
    </row>
    <row r="47" spans="1:9" x14ac:dyDescent="0.25">
      <c r="A47" s="3"/>
      <c r="B47" s="3"/>
      <c r="C47" s="3"/>
      <c r="D47" s="3"/>
      <c r="G47" s="14"/>
      <c r="H47" s="14"/>
    </row>
    <row r="48" spans="1:9" x14ac:dyDescent="0.25">
      <c r="A48" s="3"/>
      <c r="B48" s="3"/>
      <c r="C48" s="3"/>
      <c r="D48" s="3"/>
      <c r="G48" s="14"/>
      <c r="H48" s="14"/>
    </row>
    <row r="49" spans="1:8" x14ac:dyDescent="0.25">
      <c r="A49" s="3"/>
      <c r="B49" s="3"/>
      <c r="C49" s="3"/>
      <c r="D49" s="3"/>
      <c r="G49" s="14"/>
      <c r="H49" s="14"/>
    </row>
    <row r="50" spans="1:8" x14ac:dyDescent="0.25">
      <c r="A50" s="3"/>
      <c r="B50" s="3"/>
      <c r="C50" s="3"/>
      <c r="D50" s="3"/>
      <c r="G50" s="14"/>
      <c r="H50" s="14"/>
    </row>
    <row r="51" spans="1:8" x14ac:dyDescent="0.25">
      <c r="A51" s="3"/>
      <c r="B51" s="3"/>
      <c r="C51" s="3"/>
      <c r="D51" s="3"/>
      <c r="G51" s="14"/>
      <c r="H51" s="14"/>
    </row>
    <row r="52" spans="1:8" x14ac:dyDescent="0.25">
      <c r="A52" s="3"/>
      <c r="B52" s="3"/>
      <c r="C52" s="3"/>
      <c r="D52" s="3"/>
      <c r="G52" s="14"/>
      <c r="H52" s="14"/>
    </row>
    <row r="53" spans="1:8" x14ac:dyDescent="0.25">
      <c r="A53" s="3"/>
      <c r="B53" s="3"/>
      <c r="C53" s="3"/>
      <c r="D53" s="3"/>
      <c r="G53" s="14"/>
      <c r="H53" s="14"/>
    </row>
    <row r="54" spans="1:8" x14ac:dyDescent="0.25">
      <c r="A54" s="3"/>
      <c r="B54" s="3"/>
      <c r="C54" s="3"/>
      <c r="D54" s="3"/>
      <c r="G54" s="14"/>
      <c r="H54" s="14"/>
    </row>
    <row r="55" spans="1:8" x14ac:dyDescent="0.25">
      <c r="A55" s="3"/>
      <c r="B55" s="3"/>
      <c r="C55" s="3"/>
      <c r="D55" s="3"/>
      <c r="G55" s="14"/>
      <c r="H55" s="14"/>
    </row>
    <row r="56" spans="1:8" x14ac:dyDescent="0.25">
      <c r="A56" s="3"/>
      <c r="B56" s="3"/>
      <c r="C56" s="3"/>
      <c r="D56" s="3"/>
      <c r="G56" s="14"/>
      <c r="H56" s="14"/>
    </row>
    <row r="57" spans="1:8" x14ac:dyDescent="0.25">
      <c r="A57" s="3"/>
      <c r="B57" s="3"/>
      <c r="C57" s="3"/>
      <c r="D57" s="3"/>
      <c r="G57" s="14"/>
      <c r="H57" s="14"/>
    </row>
    <row r="58" spans="1:8" x14ac:dyDescent="0.25">
      <c r="A58" s="3"/>
      <c r="B58" s="3"/>
      <c r="C58" s="3"/>
      <c r="D58" s="3"/>
      <c r="G58" s="14"/>
      <c r="H58" s="14"/>
    </row>
    <row r="59" spans="1:8" x14ac:dyDescent="0.25">
      <c r="A59" s="3"/>
      <c r="B59" s="3"/>
      <c r="C59" s="3"/>
      <c r="D59" s="3"/>
      <c r="G59" s="14"/>
      <c r="H59" s="14"/>
    </row>
    <row r="60" spans="1:8" x14ac:dyDescent="0.25">
      <c r="A60" s="3"/>
      <c r="B60" s="3"/>
      <c r="C60" s="3"/>
      <c r="D60" s="3"/>
      <c r="G60" s="14"/>
      <c r="H60" s="14"/>
    </row>
    <row r="61" spans="1:8" x14ac:dyDescent="0.25">
      <c r="A61" s="3"/>
      <c r="B61" s="3"/>
      <c r="C61" s="3"/>
      <c r="D61" s="3"/>
      <c r="G61" s="14"/>
      <c r="H61" s="14"/>
    </row>
    <row r="62" spans="1:8" x14ac:dyDescent="0.25">
      <c r="A62" s="3"/>
      <c r="B62" s="3"/>
      <c r="C62" s="3"/>
      <c r="D62" s="3"/>
      <c r="G62" s="14"/>
      <c r="H62" s="14"/>
    </row>
    <row r="63" spans="1:8" x14ac:dyDescent="0.25">
      <c r="A63" s="3"/>
      <c r="B63" s="3"/>
      <c r="C63" s="3"/>
      <c r="D63" s="3"/>
      <c r="G63" s="14"/>
      <c r="H63" s="14"/>
    </row>
    <row r="64" spans="1:8" x14ac:dyDescent="0.25">
      <c r="A64" s="3"/>
      <c r="B64" s="3"/>
      <c r="C64" s="3"/>
      <c r="D64" s="3"/>
      <c r="G64" s="14"/>
      <c r="H64" s="14"/>
    </row>
    <row r="65" spans="1:8" x14ac:dyDescent="0.25">
      <c r="A65" s="3"/>
      <c r="B65" s="3"/>
      <c r="C65" s="3"/>
      <c r="D65" s="3"/>
      <c r="G65" s="14"/>
      <c r="H65" s="14"/>
    </row>
    <row r="66" spans="1:8" x14ac:dyDescent="0.25">
      <c r="A66" s="3"/>
      <c r="B66" s="3"/>
      <c r="C66" s="3"/>
      <c r="D66" s="3"/>
      <c r="G66" s="14"/>
      <c r="H66" s="14"/>
    </row>
    <row r="67" spans="1:8" x14ac:dyDescent="0.25">
      <c r="A67" s="3"/>
      <c r="B67" s="3"/>
      <c r="C67" s="3"/>
      <c r="D67" s="3"/>
      <c r="G67" s="14"/>
      <c r="H67" s="14"/>
    </row>
    <row r="68" spans="1:8" x14ac:dyDescent="0.25">
      <c r="A68" s="3"/>
      <c r="B68" s="3"/>
      <c r="C68" s="3"/>
      <c r="D68" s="3"/>
      <c r="G68" s="14"/>
      <c r="H68" s="14"/>
    </row>
    <row r="69" spans="1:8" x14ac:dyDescent="0.25">
      <c r="A69" s="3"/>
      <c r="B69" s="3"/>
      <c r="C69" s="3"/>
      <c r="D69" s="3"/>
      <c r="G69" s="14"/>
      <c r="H69" s="14"/>
    </row>
    <row r="70" spans="1:8" x14ac:dyDescent="0.25">
      <c r="A70" s="3"/>
      <c r="B70" s="3"/>
      <c r="C70" s="3"/>
      <c r="D70" s="3"/>
      <c r="G70" s="14"/>
      <c r="H70" s="14"/>
    </row>
    <row r="71" spans="1:8" x14ac:dyDescent="0.25">
      <c r="A71" s="3"/>
      <c r="B71" s="3"/>
      <c r="C71" s="3"/>
      <c r="D71" s="3"/>
      <c r="G71" s="14"/>
      <c r="H71" s="14"/>
    </row>
    <row r="72" spans="1:8" x14ac:dyDescent="0.25">
      <c r="A72" s="3"/>
      <c r="B72" s="3"/>
      <c r="C72" s="3"/>
      <c r="D72" s="3"/>
      <c r="G72" s="14"/>
      <c r="H72" s="14"/>
    </row>
    <row r="73" spans="1:8" x14ac:dyDescent="0.25">
      <c r="A73" s="3"/>
      <c r="B73" s="3"/>
      <c r="C73" s="3"/>
      <c r="D73" s="3"/>
      <c r="G73" s="14"/>
      <c r="H73" s="14"/>
    </row>
    <row r="74" spans="1:8" x14ac:dyDescent="0.25">
      <c r="A74" s="3"/>
      <c r="B74" s="3"/>
      <c r="C74" s="3"/>
      <c r="D74" s="3"/>
      <c r="G74" s="14"/>
      <c r="H74" s="14"/>
    </row>
    <row r="75" spans="1:8" x14ac:dyDescent="0.25">
      <c r="A75" s="3"/>
      <c r="B75" s="3"/>
      <c r="C75" s="3"/>
      <c r="D75" s="3"/>
      <c r="G75" s="14"/>
      <c r="H75" s="14"/>
    </row>
    <row r="76" spans="1:8" x14ac:dyDescent="0.25">
      <c r="A76" s="3"/>
      <c r="B76" s="3"/>
      <c r="C76" s="3"/>
      <c r="D76" s="3"/>
      <c r="G76" s="14"/>
      <c r="H76" s="14"/>
    </row>
    <row r="77" spans="1:8" x14ac:dyDescent="0.25">
      <c r="A77" s="3"/>
      <c r="B77" s="3"/>
      <c r="C77" s="3"/>
      <c r="D77" s="3"/>
      <c r="G77" s="14"/>
      <c r="H77" s="14"/>
    </row>
    <row r="78" spans="1:8" x14ac:dyDescent="0.25">
      <c r="A78" s="3"/>
      <c r="B78" s="3"/>
      <c r="C78" s="3"/>
      <c r="D78" s="3"/>
      <c r="G78" s="14"/>
      <c r="H78" s="14"/>
    </row>
    <row r="79" spans="1:8" x14ac:dyDescent="0.25">
      <c r="A79" s="3"/>
      <c r="B79" s="3"/>
      <c r="C79" s="3"/>
      <c r="D79" s="3"/>
      <c r="G79" s="14"/>
      <c r="H79" s="14"/>
    </row>
    <row r="80" spans="1:8" x14ac:dyDescent="0.25">
      <c r="A80" s="3"/>
      <c r="B80" s="3"/>
      <c r="C80" s="3"/>
      <c r="D80" s="3"/>
      <c r="G80" s="14"/>
      <c r="H80" s="14"/>
    </row>
    <row r="81" spans="1:8" x14ac:dyDescent="0.25">
      <c r="A81" s="3"/>
      <c r="B81" s="3"/>
      <c r="C81" s="3"/>
      <c r="D81" s="3"/>
      <c r="G81" s="14"/>
      <c r="H81" s="14"/>
    </row>
    <row r="82" spans="1:8" x14ac:dyDescent="0.25">
      <c r="A82" s="3"/>
      <c r="B82" s="3"/>
      <c r="C82" s="3"/>
      <c r="D82" s="3"/>
      <c r="G82" s="14"/>
      <c r="H82" s="14"/>
    </row>
    <row r="83" spans="1:8" x14ac:dyDescent="0.25">
      <c r="A83" s="3"/>
      <c r="B83" s="3"/>
      <c r="C83" s="3"/>
      <c r="D83" s="3"/>
      <c r="G83" s="14"/>
      <c r="H83" s="14"/>
    </row>
    <row r="84" spans="1:8" x14ac:dyDescent="0.25">
      <c r="A84" s="3"/>
      <c r="B84" s="3"/>
      <c r="C84" s="3"/>
      <c r="D84" s="3"/>
      <c r="G84" s="14"/>
      <c r="H84" s="14"/>
    </row>
    <row r="85" spans="1:8" x14ac:dyDescent="0.25">
      <c r="A85" s="3"/>
      <c r="B85" s="3"/>
      <c r="C85" s="3"/>
      <c r="D85" s="3"/>
      <c r="G85" s="14"/>
      <c r="H85" s="14"/>
    </row>
    <row r="86" spans="1:8" x14ac:dyDescent="0.25">
      <c r="A86" s="3"/>
      <c r="B86" s="3"/>
      <c r="C86" s="3"/>
      <c r="D86" s="3"/>
      <c r="G86" s="14"/>
      <c r="H86" s="14"/>
    </row>
    <row r="87" spans="1:8" x14ac:dyDescent="0.25">
      <c r="A87" s="3"/>
      <c r="B87" s="3"/>
      <c r="C87" s="3"/>
      <c r="D87" s="3"/>
      <c r="G87" s="14"/>
      <c r="H87" s="14"/>
    </row>
    <row r="88" spans="1:8" x14ac:dyDescent="0.25">
      <c r="A88" s="3"/>
      <c r="B88" s="3"/>
      <c r="C88" s="3"/>
      <c r="D88" s="3"/>
      <c r="G88" s="14"/>
      <c r="H88" s="14"/>
    </row>
    <row r="89" spans="1:8" x14ac:dyDescent="0.25">
      <c r="A89" s="3"/>
      <c r="B89" s="3"/>
      <c r="C89" s="3"/>
      <c r="D89" s="3"/>
      <c r="G89" s="14"/>
      <c r="H89" s="14"/>
    </row>
    <row r="90" spans="1:8" x14ac:dyDescent="0.25">
      <c r="A90" s="3"/>
      <c r="B90" s="3"/>
      <c r="C90" s="3"/>
      <c r="D90" s="3"/>
      <c r="G90" s="14"/>
      <c r="H90" s="14"/>
    </row>
    <row r="91" spans="1:8" x14ac:dyDescent="0.25">
      <c r="A91" s="3"/>
      <c r="B91" s="3"/>
      <c r="C91" s="3"/>
      <c r="D91" s="3"/>
      <c r="G91" s="14"/>
      <c r="H91" s="14"/>
    </row>
    <row r="92" spans="1:8" x14ac:dyDescent="0.25">
      <c r="A92" s="3"/>
      <c r="B92" s="3"/>
      <c r="C92" s="3"/>
      <c r="D92" s="3"/>
      <c r="G92" s="14"/>
      <c r="H92" s="14"/>
    </row>
    <row r="93" spans="1:8" x14ac:dyDescent="0.25">
      <c r="A93" s="3"/>
      <c r="B93" s="3"/>
      <c r="C93" s="3"/>
      <c r="D93" s="3"/>
      <c r="G93" s="14"/>
      <c r="H93" s="14"/>
    </row>
    <row r="94" spans="1:8" x14ac:dyDescent="0.25">
      <c r="A94" s="3"/>
      <c r="B94" s="3"/>
      <c r="C94" s="3"/>
      <c r="D94" s="3"/>
      <c r="G94" s="14"/>
      <c r="H94" s="14"/>
    </row>
    <row r="95" spans="1:8" x14ac:dyDescent="0.25">
      <c r="A95" s="3"/>
      <c r="B95" s="3"/>
      <c r="C95" s="3"/>
      <c r="D95" s="3"/>
      <c r="G95" s="14"/>
      <c r="H95" s="14"/>
    </row>
    <row r="96" spans="1:8" x14ac:dyDescent="0.25">
      <c r="A96" s="3"/>
      <c r="B96" s="3"/>
      <c r="C96" s="3"/>
      <c r="D96" s="3"/>
      <c r="G96" s="14"/>
      <c r="H96" s="14"/>
    </row>
    <row r="97" spans="1:8" x14ac:dyDescent="0.25">
      <c r="A97" s="3"/>
      <c r="B97" s="3"/>
      <c r="C97" s="3"/>
      <c r="D97" s="3"/>
      <c r="G97" s="14"/>
      <c r="H97" s="14"/>
    </row>
    <row r="98" spans="1:8" x14ac:dyDescent="0.25">
      <c r="A98" s="3"/>
      <c r="B98" s="3"/>
      <c r="C98" s="3"/>
      <c r="D98" s="3"/>
      <c r="G98" s="14"/>
      <c r="H98" s="14"/>
    </row>
    <row r="99" spans="1:8" x14ac:dyDescent="0.25">
      <c r="A99" s="3"/>
      <c r="B99" s="3"/>
      <c r="C99" s="3"/>
      <c r="D99" s="3"/>
      <c r="G99" s="14"/>
      <c r="H99" s="14"/>
    </row>
    <row r="100" spans="1:8" x14ac:dyDescent="0.25">
      <c r="A100" s="3"/>
      <c r="B100" s="3"/>
      <c r="C100" s="3"/>
      <c r="D100" s="3"/>
      <c r="G100" s="14"/>
      <c r="H100" s="14"/>
    </row>
    <row r="101" spans="1:8" x14ac:dyDescent="0.25">
      <c r="A101" s="3"/>
      <c r="B101" s="3"/>
      <c r="C101" s="3"/>
      <c r="D101" s="3"/>
      <c r="G101" s="14"/>
      <c r="H101" s="14"/>
    </row>
    <row r="102" spans="1:8" x14ac:dyDescent="0.25">
      <c r="A102" s="3"/>
      <c r="B102" s="3"/>
      <c r="C102" s="3"/>
      <c r="D102" s="3"/>
      <c r="G102" s="14"/>
      <c r="H102" s="14"/>
    </row>
    <row r="103" spans="1:8" x14ac:dyDescent="0.25">
      <c r="A103" s="3"/>
      <c r="B103" s="3"/>
      <c r="C103" s="3"/>
      <c r="D103" s="3"/>
      <c r="G103" s="14"/>
      <c r="H103" s="14"/>
    </row>
    <row r="104" spans="1:8" x14ac:dyDescent="0.25">
      <c r="A104" s="3"/>
      <c r="B104" s="3"/>
      <c r="C104" s="3"/>
      <c r="D104" s="3"/>
      <c r="G104" s="14"/>
      <c r="H104" s="14"/>
    </row>
    <row r="105" spans="1:8" x14ac:dyDescent="0.25">
      <c r="A105" s="3"/>
      <c r="B105" s="3"/>
      <c r="C105" s="3"/>
      <c r="D105" s="3"/>
      <c r="G105" s="14"/>
      <c r="H105" s="14"/>
    </row>
    <row r="106" spans="1:8" x14ac:dyDescent="0.25">
      <c r="A106" s="3"/>
      <c r="B106" s="3"/>
      <c r="C106" s="3"/>
      <c r="D106" s="3"/>
      <c r="G106" s="14"/>
      <c r="H106" s="14"/>
    </row>
    <row r="107" spans="1:8" x14ac:dyDescent="0.25">
      <c r="A107" s="3"/>
      <c r="B107" s="3"/>
      <c r="C107" s="3"/>
      <c r="D107" s="3"/>
      <c r="G107" s="14"/>
      <c r="H107" s="14"/>
    </row>
    <row r="108" spans="1:8" x14ac:dyDescent="0.25">
      <c r="A108" s="3"/>
      <c r="B108" s="3"/>
      <c r="C108" s="3"/>
      <c r="D108" s="3"/>
      <c r="G108" s="14"/>
      <c r="H108" s="14"/>
    </row>
    <row r="109" spans="1:8" x14ac:dyDescent="0.25">
      <c r="A109" s="3"/>
      <c r="B109" s="3"/>
      <c r="C109" s="3"/>
      <c r="D109" s="3"/>
      <c r="G109" s="14"/>
      <c r="H109" s="14"/>
    </row>
    <row r="110" spans="1:8" x14ac:dyDescent="0.25">
      <c r="A110" s="3"/>
      <c r="B110" s="3"/>
      <c r="C110" s="3"/>
      <c r="D110" s="3"/>
      <c r="G110" s="14"/>
      <c r="H110" s="14"/>
    </row>
    <row r="111" spans="1:8" x14ac:dyDescent="0.25">
      <c r="A111" s="3"/>
      <c r="B111" s="3"/>
      <c r="C111" s="3"/>
      <c r="D111" s="3"/>
      <c r="G111" s="14"/>
      <c r="H111" s="14"/>
    </row>
    <row r="112" spans="1:8" x14ac:dyDescent="0.25">
      <c r="A112" s="3"/>
      <c r="B112" s="3"/>
      <c r="C112" s="3"/>
      <c r="D112" s="3"/>
      <c r="G112" s="14"/>
      <c r="H112" s="14"/>
    </row>
    <row r="113" spans="1:8" x14ac:dyDescent="0.25">
      <c r="A113" s="3"/>
      <c r="B113" s="3"/>
      <c r="C113" s="3"/>
      <c r="D113" s="3"/>
      <c r="G113" s="14"/>
      <c r="H113" s="14"/>
    </row>
    <row r="114" spans="1:8" x14ac:dyDescent="0.25">
      <c r="A114" s="3"/>
      <c r="B114" s="3"/>
      <c r="C114" s="3"/>
      <c r="D114" s="3"/>
      <c r="G114" s="14"/>
      <c r="H114" s="14"/>
    </row>
    <row r="115" spans="1:8" x14ac:dyDescent="0.25">
      <c r="A115" s="3"/>
      <c r="B115" s="3"/>
      <c r="C115" s="3"/>
      <c r="D115" s="3"/>
      <c r="G115" s="14"/>
      <c r="H115" s="14"/>
    </row>
    <row r="116" spans="1:8" x14ac:dyDescent="0.25">
      <c r="A116" s="3"/>
      <c r="B116" s="3"/>
      <c r="C116" s="3"/>
      <c r="D116" s="3"/>
      <c r="G116" s="14"/>
      <c r="H116" s="14"/>
    </row>
    <row r="117" spans="1:8" x14ac:dyDescent="0.25">
      <c r="A117" s="3"/>
      <c r="B117" s="3"/>
      <c r="C117" s="3"/>
      <c r="D117" s="3"/>
      <c r="G117" s="14"/>
      <c r="H117" s="14"/>
    </row>
    <row r="118" spans="1:8" x14ac:dyDescent="0.25">
      <c r="A118" s="3"/>
      <c r="B118" s="3"/>
      <c r="C118" s="3"/>
      <c r="D118" s="3"/>
      <c r="G118" s="14"/>
      <c r="H118" s="14"/>
    </row>
    <row r="119" spans="1:8" x14ac:dyDescent="0.25">
      <c r="A119" s="3"/>
      <c r="B119" s="3"/>
      <c r="C119" s="3"/>
      <c r="D119" s="3"/>
      <c r="G119" s="14"/>
      <c r="H119" s="14"/>
    </row>
    <row r="120" spans="1:8" x14ac:dyDescent="0.25">
      <c r="A120" s="3"/>
      <c r="B120" s="3"/>
      <c r="C120" s="3"/>
      <c r="D120" s="3"/>
      <c r="G120" s="14"/>
      <c r="H120" s="14"/>
    </row>
    <row r="121" spans="1:8" x14ac:dyDescent="0.25">
      <c r="A121" s="3"/>
      <c r="B121" s="3"/>
      <c r="C121" s="3"/>
      <c r="D121" s="3"/>
      <c r="G121" s="14"/>
      <c r="H121" s="14"/>
    </row>
    <row r="122" spans="1:8" x14ac:dyDescent="0.25">
      <c r="A122" s="3"/>
      <c r="B122" s="3"/>
      <c r="C122" s="3"/>
      <c r="D122" s="3"/>
      <c r="G122" s="14"/>
      <c r="H122" s="14"/>
    </row>
    <row r="123" spans="1:8" x14ac:dyDescent="0.25">
      <c r="A123" s="3"/>
      <c r="B123" s="3"/>
      <c r="C123" s="3"/>
      <c r="D123" s="3"/>
      <c r="G123" s="14"/>
      <c r="H123" s="14"/>
    </row>
    <row r="124" spans="1:8" x14ac:dyDescent="0.25">
      <c r="A124" s="3"/>
      <c r="B124" s="3"/>
      <c r="C124" s="3"/>
      <c r="D124" s="3"/>
      <c r="G124" s="14"/>
      <c r="H124" s="14"/>
    </row>
    <row r="125" spans="1:8" x14ac:dyDescent="0.25">
      <c r="A125" s="3"/>
      <c r="B125" s="3"/>
      <c r="C125" s="3"/>
      <c r="D125" s="3"/>
      <c r="G125" s="14"/>
      <c r="H125" s="14"/>
    </row>
    <row r="126" spans="1:8" x14ac:dyDescent="0.25">
      <c r="A126" s="18"/>
      <c r="B126" s="3"/>
      <c r="C126" s="3"/>
      <c r="D126" s="3"/>
      <c r="G126" s="14"/>
      <c r="H126" s="14"/>
    </row>
    <row r="127" spans="1:8" x14ac:dyDescent="0.25">
      <c r="A127" s="3"/>
      <c r="B127" s="3"/>
      <c r="C127" s="3"/>
      <c r="D127" s="3"/>
      <c r="G127" s="14"/>
      <c r="H127" s="14"/>
    </row>
    <row r="128" spans="1:8" x14ac:dyDescent="0.25">
      <c r="A128" s="3"/>
      <c r="B128" s="3"/>
      <c r="C128" s="3"/>
      <c r="D128" s="3"/>
      <c r="G128" s="14"/>
      <c r="H128" s="14"/>
    </row>
    <row r="129" spans="1:8" x14ac:dyDescent="0.25">
      <c r="A129" s="3"/>
      <c r="B129" s="3"/>
      <c r="C129" s="3"/>
      <c r="D129" s="3"/>
      <c r="G129" s="14"/>
      <c r="H129" s="14"/>
    </row>
    <row r="130" spans="1:8" x14ac:dyDescent="0.25">
      <c r="A130" s="3"/>
      <c r="B130" s="3"/>
      <c r="C130" s="3"/>
      <c r="D130" s="3"/>
      <c r="G130" s="14"/>
      <c r="H130" s="14"/>
    </row>
    <row r="131" spans="1:8" x14ac:dyDescent="0.25">
      <c r="A131" s="3"/>
      <c r="B131" s="3"/>
      <c r="C131" s="3"/>
      <c r="D131" s="3"/>
      <c r="G131" s="14"/>
      <c r="H131" s="14"/>
    </row>
    <row r="132" spans="1:8" x14ac:dyDescent="0.25">
      <c r="A132" s="3"/>
      <c r="B132" s="3"/>
      <c r="C132" s="3"/>
      <c r="D132" s="3"/>
      <c r="G132" s="14"/>
      <c r="H132" s="14"/>
    </row>
    <row r="133" spans="1:8" x14ac:dyDescent="0.25">
      <c r="A133" s="3"/>
      <c r="B133" s="3"/>
      <c r="C133" s="3"/>
      <c r="D133" s="3"/>
      <c r="G133" s="14"/>
      <c r="H133" s="14"/>
    </row>
    <row r="134" spans="1:8" x14ac:dyDescent="0.25">
      <c r="A134" s="3"/>
      <c r="B134" s="3"/>
      <c r="C134" s="3"/>
      <c r="D134" s="3"/>
      <c r="G134" s="14"/>
      <c r="H134" s="14"/>
    </row>
    <row r="135" spans="1:8" x14ac:dyDescent="0.25">
      <c r="A135" s="3"/>
      <c r="B135" s="3"/>
      <c r="C135" s="3"/>
      <c r="D135" s="3"/>
      <c r="G135" s="14"/>
      <c r="H135" s="14"/>
    </row>
    <row r="136" spans="1:8" x14ac:dyDescent="0.25">
      <c r="A136" s="3"/>
      <c r="B136" s="3"/>
      <c r="C136" s="3"/>
      <c r="D136" s="3"/>
      <c r="G136" s="14"/>
      <c r="H136" s="14"/>
    </row>
    <row r="137" spans="1:8" x14ac:dyDescent="0.25">
      <c r="A137" s="3"/>
      <c r="B137" s="3"/>
      <c r="C137" s="3"/>
      <c r="D137" s="3"/>
      <c r="G137" s="14"/>
      <c r="H137" s="14"/>
    </row>
    <row r="138" spans="1:8" x14ac:dyDescent="0.25">
      <c r="A138" s="3"/>
      <c r="B138" s="3"/>
      <c r="C138" s="3"/>
      <c r="D138" s="3"/>
      <c r="G138" s="14"/>
      <c r="H138" s="14"/>
    </row>
    <row r="139" spans="1:8" x14ac:dyDescent="0.25">
      <c r="A139" s="3"/>
      <c r="B139" s="3"/>
      <c r="C139" s="3"/>
      <c r="D139" s="3"/>
      <c r="G139" s="14"/>
      <c r="H139" s="14"/>
    </row>
    <row r="140" spans="1:8" x14ac:dyDescent="0.25">
      <c r="A140" s="3"/>
      <c r="B140" s="3"/>
      <c r="C140" s="3"/>
      <c r="D140" s="3"/>
      <c r="G140" s="14"/>
      <c r="H140" s="14"/>
    </row>
    <row r="141" spans="1:8" x14ac:dyDescent="0.25">
      <c r="A141" s="3"/>
      <c r="B141" s="3"/>
      <c r="C141" s="3"/>
      <c r="D141" s="3"/>
      <c r="G141" s="14"/>
      <c r="H141" s="14"/>
    </row>
    <row r="142" spans="1:8" x14ac:dyDescent="0.25">
      <c r="A142" s="3"/>
      <c r="B142" s="3"/>
      <c r="C142" s="3"/>
      <c r="D142" s="3"/>
      <c r="G142" s="14"/>
      <c r="H142" s="14"/>
    </row>
    <row r="143" spans="1:8" x14ac:dyDescent="0.25">
      <c r="A143" s="3"/>
      <c r="B143" s="3"/>
      <c r="C143" s="3"/>
      <c r="D143" s="3"/>
      <c r="G143" s="14"/>
      <c r="H143" s="14"/>
    </row>
    <row r="144" spans="1:8" x14ac:dyDescent="0.25">
      <c r="A144" s="3"/>
      <c r="B144" s="3"/>
      <c r="C144" s="3"/>
      <c r="D144" s="3"/>
      <c r="G144" s="14"/>
      <c r="H144" s="14"/>
    </row>
    <row r="145" spans="1:8" x14ac:dyDescent="0.25">
      <c r="A145" s="3"/>
      <c r="B145" s="3"/>
      <c r="C145" s="3"/>
      <c r="D145" s="3"/>
      <c r="G145" s="14"/>
      <c r="H145" s="14"/>
    </row>
    <row r="146" spans="1:8" x14ac:dyDescent="0.25">
      <c r="A146" s="3"/>
      <c r="B146" s="3"/>
      <c r="C146" s="3"/>
      <c r="D146" s="3"/>
      <c r="G146" s="14"/>
      <c r="H146" s="14"/>
    </row>
    <row r="147" spans="1:8" x14ac:dyDescent="0.25">
      <c r="A147" s="3"/>
      <c r="B147" s="3"/>
      <c r="C147" s="3"/>
      <c r="D147" s="3"/>
      <c r="G147" s="14"/>
      <c r="H147" s="14"/>
    </row>
    <row r="148" spans="1:8" x14ac:dyDescent="0.25">
      <c r="A148" s="3"/>
      <c r="B148" s="3"/>
      <c r="C148" s="3"/>
      <c r="D148" s="3"/>
      <c r="G148" s="14"/>
      <c r="H148" s="14"/>
    </row>
    <row r="149" spans="1:8" x14ac:dyDescent="0.25">
      <c r="A149" s="3"/>
      <c r="B149" s="3"/>
      <c r="C149" s="3"/>
      <c r="D149" s="3"/>
      <c r="G149" s="14"/>
      <c r="H149" s="14"/>
    </row>
    <row r="150" spans="1:8" x14ac:dyDescent="0.25">
      <c r="A150" s="3"/>
      <c r="B150" s="3"/>
      <c r="C150" s="3"/>
      <c r="D150" s="3"/>
      <c r="G150" s="14"/>
      <c r="H150" s="14"/>
    </row>
    <row r="151" spans="1:8" x14ac:dyDescent="0.25">
      <c r="A151" s="3"/>
      <c r="B151" s="3"/>
      <c r="C151" s="3"/>
      <c r="D151" s="3"/>
      <c r="G151" s="14"/>
      <c r="H151" s="14"/>
    </row>
    <row r="152" spans="1:8" x14ac:dyDescent="0.25">
      <c r="A152" s="3"/>
      <c r="B152" s="3"/>
      <c r="C152" s="3"/>
      <c r="D152" s="3"/>
      <c r="G152" s="14"/>
      <c r="H152" s="14"/>
    </row>
    <row r="153" spans="1:8" x14ac:dyDescent="0.25">
      <c r="A153" s="3"/>
      <c r="B153" s="3"/>
      <c r="C153" s="3"/>
      <c r="D153" s="3"/>
      <c r="G153" s="14"/>
      <c r="H153" s="14"/>
    </row>
    <row r="154" spans="1:8" x14ac:dyDescent="0.25">
      <c r="A154" s="3"/>
      <c r="B154" s="3"/>
      <c r="C154" s="3"/>
      <c r="D154" s="3"/>
      <c r="G154" s="14"/>
      <c r="H154" s="14"/>
    </row>
    <row r="155" spans="1:8" x14ac:dyDescent="0.25">
      <c r="A155" s="3"/>
      <c r="B155" s="3"/>
      <c r="C155" s="3"/>
      <c r="D155" s="3"/>
      <c r="G155" s="14"/>
      <c r="H155" s="14"/>
    </row>
    <row r="156" spans="1:8" x14ac:dyDescent="0.25">
      <c r="A156" s="3"/>
      <c r="B156" s="3"/>
      <c r="C156" s="3"/>
      <c r="D156" s="3"/>
      <c r="G156" s="14"/>
      <c r="H156" s="14"/>
    </row>
    <row r="157" spans="1:8" x14ac:dyDescent="0.25">
      <c r="A157" s="3"/>
      <c r="B157" s="3"/>
      <c r="C157" s="3"/>
      <c r="D157" s="3"/>
      <c r="G157" s="14"/>
      <c r="H157" s="14"/>
    </row>
    <row r="158" spans="1:8" x14ac:dyDescent="0.25">
      <c r="A158" s="3"/>
      <c r="B158" s="3"/>
      <c r="C158" s="3"/>
      <c r="D158" s="3"/>
      <c r="G158" s="14"/>
      <c r="H158" s="14"/>
    </row>
    <row r="159" spans="1:8" x14ac:dyDescent="0.25">
      <c r="A159" s="3"/>
      <c r="B159" s="3"/>
      <c r="C159" s="3"/>
      <c r="D159" s="3"/>
      <c r="G159" s="14"/>
      <c r="H159" s="14"/>
    </row>
    <row r="160" spans="1:8" x14ac:dyDescent="0.25">
      <c r="A160" s="3"/>
      <c r="B160" s="3"/>
      <c r="C160" s="3"/>
      <c r="D160" s="3"/>
      <c r="G160" s="14"/>
      <c r="H160" s="14"/>
    </row>
    <row r="161" spans="1:8" x14ac:dyDescent="0.25">
      <c r="A161" s="3"/>
      <c r="B161" s="3"/>
      <c r="C161" s="3"/>
      <c r="D161" s="3"/>
      <c r="G161" s="14"/>
      <c r="H161" s="14"/>
    </row>
    <row r="162" spans="1:8" x14ac:dyDescent="0.25">
      <c r="A162" s="3"/>
      <c r="B162" s="3"/>
      <c r="C162" s="3"/>
      <c r="D162" s="3"/>
      <c r="G162" s="14"/>
      <c r="H162" s="14"/>
    </row>
    <row r="163" spans="1:8" x14ac:dyDescent="0.25">
      <c r="A163" s="3"/>
      <c r="B163" s="3"/>
      <c r="C163" s="3"/>
      <c r="D163" s="3"/>
      <c r="G163" s="14"/>
      <c r="H163" s="14"/>
    </row>
    <row r="164" spans="1:8" x14ac:dyDescent="0.25">
      <c r="A164" s="3"/>
      <c r="B164" s="3"/>
      <c r="C164" s="3"/>
      <c r="D164" s="3"/>
      <c r="G164" s="14"/>
      <c r="H164" s="14"/>
    </row>
    <row r="165" spans="1:8" x14ac:dyDescent="0.25">
      <c r="A165" s="3"/>
      <c r="B165" s="3"/>
      <c r="C165" s="3"/>
      <c r="D165" s="3"/>
      <c r="G165" s="14"/>
      <c r="H165" s="14"/>
    </row>
    <row r="166" spans="1:8" x14ac:dyDescent="0.25">
      <c r="A166" s="3"/>
      <c r="B166" s="3"/>
      <c r="C166" s="3"/>
      <c r="D166" s="3"/>
      <c r="G166" s="14"/>
      <c r="H166" s="14"/>
    </row>
    <row r="167" spans="1:8" x14ac:dyDescent="0.25">
      <c r="A167" s="3"/>
      <c r="B167" s="3"/>
      <c r="C167" s="3"/>
      <c r="D167" s="3"/>
      <c r="G167" s="14"/>
      <c r="H167" s="14"/>
    </row>
    <row r="168" spans="1:8" x14ac:dyDescent="0.25">
      <c r="A168" s="3"/>
      <c r="B168" s="3"/>
      <c r="C168" s="3"/>
      <c r="D168" s="3"/>
      <c r="G168" s="14"/>
      <c r="H168" s="14"/>
    </row>
    <row r="169" spans="1:8" x14ac:dyDescent="0.25">
      <c r="A169" s="3"/>
      <c r="B169" s="3"/>
      <c r="C169" s="3"/>
      <c r="D169" s="3"/>
      <c r="G169" s="14"/>
      <c r="H169" s="14"/>
    </row>
    <row r="170" spans="1:8" x14ac:dyDescent="0.25">
      <c r="A170" s="3"/>
      <c r="B170" s="3"/>
      <c r="C170" s="3"/>
      <c r="D170" s="3"/>
      <c r="G170" s="14"/>
      <c r="H170" s="14"/>
    </row>
    <row r="171" spans="1:8" x14ac:dyDescent="0.25">
      <c r="A171" s="3"/>
      <c r="B171" s="3"/>
      <c r="C171" s="3"/>
      <c r="D171" s="3"/>
      <c r="G171" s="14"/>
      <c r="H171" s="14"/>
    </row>
    <row r="172" spans="1:8" x14ac:dyDescent="0.25">
      <c r="A172" s="3"/>
      <c r="B172" s="3"/>
      <c r="C172" s="3"/>
      <c r="D172" s="3"/>
      <c r="G172" s="14"/>
      <c r="H172" s="14"/>
    </row>
    <row r="173" spans="1:8" x14ac:dyDescent="0.25">
      <c r="A173" s="3"/>
      <c r="B173" s="3"/>
      <c r="C173" s="3"/>
      <c r="D173" s="3"/>
      <c r="G173" s="14"/>
      <c r="H173" s="14"/>
    </row>
    <row r="174" spans="1:8" x14ac:dyDescent="0.25">
      <c r="A174" s="3"/>
      <c r="B174" s="3"/>
      <c r="C174" s="3"/>
      <c r="D174" s="3"/>
      <c r="G174" s="14"/>
      <c r="H174" s="14"/>
    </row>
    <row r="175" spans="1:8" x14ac:dyDescent="0.25">
      <c r="A175" s="3"/>
      <c r="B175" s="3"/>
      <c r="C175" s="3"/>
      <c r="D175" s="3"/>
      <c r="G175" s="14"/>
      <c r="H175" s="14"/>
    </row>
    <row r="176" spans="1:8" x14ac:dyDescent="0.25">
      <c r="A176" s="3"/>
      <c r="B176" s="3"/>
      <c r="C176" s="3"/>
      <c r="D176" s="3"/>
      <c r="G176" s="14"/>
      <c r="H176" s="14"/>
    </row>
    <row r="177" spans="1:8" x14ac:dyDescent="0.25">
      <c r="A177" s="3"/>
      <c r="B177" s="3"/>
      <c r="C177" s="3"/>
      <c r="D177" s="3"/>
      <c r="G177" s="14"/>
      <c r="H177" s="14"/>
    </row>
    <row r="178" spans="1:8" x14ac:dyDescent="0.25">
      <c r="A178" s="3"/>
      <c r="B178" s="3"/>
      <c r="C178" s="3"/>
      <c r="D178" s="3"/>
      <c r="G178" s="14"/>
      <c r="H178" s="14"/>
    </row>
    <row r="179" spans="1:8" x14ac:dyDescent="0.25">
      <c r="A179" s="3"/>
      <c r="B179" s="3"/>
      <c r="C179" s="3"/>
      <c r="D179" s="3"/>
      <c r="G179" s="14"/>
      <c r="H179" s="14"/>
    </row>
    <row r="180" spans="1:8" x14ac:dyDescent="0.25">
      <c r="A180" s="3"/>
      <c r="B180" s="3"/>
      <c r="C180" s="3"/>
      <c r="D180" s="3"/>
      <c r="G180" s="14"/>
      <c r="H180" s="14"/>
    </row>
    <row r="181" spans="1:8" x14ac:dyDescent="0.25">
      <c r="A181" s="3"/>
      <c r="B181" s="3"/>
      <c r="C181" s="3"/>
      <c r="D181" s="3"/>
      <c r="G181" s="14"/>
      <c r="H181" s="14"/>
    </row>
    <row r="182" spans="1:8" x14ac:dyDescent="0.25">
      <c r="A182" s="3"/>
      <c r="B182" s="3"/>
      <c r="C182" s="3"/>
      <c r="D182" s="3"/>
      <c r="G182" s="14"/>
      <c r="H182" s="14"/>
    </row>
    <row r="183" spans="1:8" x14ac:dyDescent="0.25">
      <c r="A183" s="3"/>
      <c r="B183" s="3"/>
      <c r="C183" s="3"/>
      <c r="D183" s="3"/>
      <c r="G183" s="14"/>
      <c r="H183" s="14"/>
    </row>
    <row r="184" spans="1:8" x14ac:dyDescent="0.25">
      <c r="A184" s="3"/>
      <c r="B184" s="3"/>
      <c r="C184" s="3"/>
      <c r="D184" s="3"/>
      <c r="G184" s="14"/>
      <c r="H184" s="14"/>
    </row>
    <row r="185" spans="1:8" x14ac:dyDescent="0.25">
      <c r="A185" s="3"/>
      <c r="B185" s="3"/>
      <c r="C185" s="3"/>
      <c r="D185" s="3"/>
      <c r="G185" s="14"/>
      <c r="H185" s="14"/>
    </row>
    <row r="186" spans="1:8" x14ac:dyDescent="0.25">
      <c r="A186" s="3"/>
      <c r="B186" s="3"/>
      <c r="C186" s="3"/>
      <c r="D186" s="3"/>
      <c r="G186" s="14"/>
      <c r="H186" s="14"/>
    </row>
    <row r="187" spans="1:8" x14ac:dyDescent="0.25">
      <c r="A187" s="3"/>
      <c r="B187" s="3"/>
      <c r="C187" s="3"/>
      <c r="D187" s="3"/>
      <c r="G187" s="14"/>
      <c r="H187" s="14"/>
    </row>
    <row r="188" spans="1:8" x14ac:dyDescent="0.25">
      <c r="A188" s="3"/>
      <c r="B188" s="3"/>
      <c r="C188" s="3"/>
      <c r="D188" s="3"/>
      <c r="G188" s="14"/>
      <c r="H188" s="14"/>
    </row>
    <row r="189" spans="1:8" x14ac:dyDescent="0.25">
      <c r="A189" s="3"/>
      <c r="B189" s="3"/>
      <c r="C189" s="3"/>
      <c r="D189" s="3"/>
      <c r="G189" s="14"/>
      <c r="H189" s="14"/>
    </row>
    <row r="190" spans="1:8" x14ac:dyDescent="0.25">
      <c r="A190" s="3"/>
      <c r="B190" s="3"/>
      <c r="C190" s="3"/>
      <c r="D190" s="3"/>
      <c r="G190" s="14"/>
      <c r="H190" s="14"/>
    </row>
    <row r="191" spans="1:8" x14ac:dyDescent="0.25">
      <c r="A191" s="3"/>
      <c r="B191" s="3"/>
      <c r="C191" s="3"/>
      <c r="D191" s="3"/>
      <c r="G191" s="14"/>
      <c r="H191" s="14"/>
    </row>
    <row r="192" spans="1:8" x14ac:dyDescent="0.25">
      <c r="A192" s="3"/>
      <c r="B192" s="3"/>
      <c r="C192" s="3"/>
      <c r="D192" s="3"/>
      <c r="G192" s="14"/>
      <c r="H192" s="14"/>
    </row>
    <row r="193" spans="1:8" x14ac:dyDescent="0.25">
      <c r="A193" s="3"/>
      <c r="B193" s="3"/>
      <c r="C193" s="3"/>
      <c r="D193" s="3"/>
      <c r="G193" s="14"/>
      <c r="H193" s="14"/>
    </row>
    <row r="194" spans="1:8" x14ac:dyDescent="0.25">
      <c r="A194" s="3"/>
      <c r="B194" s="3"/>
      <c r="C194" s="3"/>
      <c r="D194" s="3"/>
      <c r="G194" s="14"/>
      <c r="H194" s="14"/>
    </row>
    <row r="195" spans="1:8" x14ac:dyDescent="0.25">
      <c r="A195" s="3"/>
      <c r="B195" s="3"/>
      <c r="C195" s="3"/>
      <c r="D195" s="3"/>
      <c r="G195" s="14"/>
      <c r="H195" s="14"/>
    </row>
    <row r="196" spans="1:8" x14ac:dyDescent="0.25">
      <c r="A196" s="3"/>
      <c r="B196" s="3"/>
      <c r="C196" s="3"/>
      <c r="D196" s="3"/>
      <c r="G196" s="14"/>
      <c r="H196" s="14"/>
    </row>
    <row r="197" spans="1:8" x14ac:dyDescent="0.25">
      <c r="A197" s="3"/>
      <c r="B197" s="3"/>
      <c r="C197" s="3"/>
      <c r="D197" s="3"/>
      <c r="G197" s="14"/>
      <c r="H197" s="14"/>
    </row>
    <row r="198" spans="1:8" x14ac:dyDescent="0.25">
      <c r="A198" s="3"/>
      <c r="B198" s="3"/>
      <c r="C198" s="3"/>
      <c r="D198" s="3"/>
      <c r="G198" s="14"/>
      <c r="H198" s="14"/>
    </row>
    <row r="199" spans="1:8" x14ac:dyDescent="0.25">
      <c r="A199" s="3"/>
      <c r="B199" s="3"/>
      <c r="C199" s="3"/>
      <c r="D199" s="3"/>
      <c r="G199" s="14"/>
      <c r="H199" s="14"/>
    </row>
    <row r="200" spans="1:8" x14ac:dyDescent="0.25">
      <c r="A200" s="3"/>
      <c r="B200" s="3"/>
      <c r="C200" s="3"/>
      <c r="D200" s="3"/>
      <c r="G200" s="14"/>
      <c r="H200" s="14"/>
    </row>
    <row r="201" spans="1:8" x14ac:dyDescent="0.25">
      <c r="A201" s="3"/>
      <c r="B201" s="3"/>
      <c r="C201" s="3"/>
      <c r="D201" s="3"/>
      <c r="G201" s="14"/>
      <c r="H201" s="14"/>
    </row>
    <row r="202" spans="1:8" x14ac:dyDescent="0.25">
      <c r="A202" s="3"/>
      <c r="B202" s="3"/>
      <c r="C202" s="3"/>
      <c r="D202" s="3"/>
      <c r="G202" s="14"/>
      <c r="H202" s="14"/>
    </row>
    <row r="203" spans="1:8" x14ac:dyDescent="0.25">
      <c r="A203" s="3"/>
      <c r="B203" s="3"/>
      <c r="C203" s="3"/>
      <c r="D203" s="3"/>
      <c r="G203" s="14"/>
      <c r="H203" s="14"/>
    </row>
    <row r="204" spans="1:8" x14ac:dyDescent="0.25">
      <c r="A204" s="3"/>
      <c r="B204" s="3"/>
      <c r="C204" s="3"/>
      <c r="D204" s="3"/>
      <c r="G204" s="14"/>
      <c r="H204" s="14"/>
    </row>
    <row r="205" spans="1:8" x14ac:dyDescent="0.25">
      <c r="A205" s="3"/>
      <c r="B205" s="3"/>
      <c r="C205" s="3"/>
      <c r="D205" s="3"/>
      <c r="G205" s="14"/>
      <c r="H205" s="14"/>
    </row>
    <row r="206" spans="1:8" x14ac:dyDescent="0.25">
      <c r="A206" s="3"/>
      <c r="B206" s="3"/>
      <c r="C206" s="3"/>
      <c r="D206" s="3"/>
      <c r="G206" s="14"/>
      <c r="H206" s="14"/>
    </row>
    <row r="207" spans="1:8" x14ac:dyDescent="0.25">
      <c r="A207" s="3"/>
      <c r="B207" s="3"/>
      <c r="C207" s="3"/>
      <c r="D207" s="3"/>
      <c r="G207" s="14"/>
      <c r="H207" s="14"/>
    </row>
    <row r="208" spans="1:8" x14ac:dyDescent="0.25">
      <c r="A208" s="3"/>
      <c r="B208" s="3"/>
      <c r="C208" s="3"/>
      <c r="D208" s="3"/>
      <c r="G208" s="14"/>
      <c r="H208" s="14"/>
    </row>
    <row r="209" spans="1:8" x14ac:dyDescent="0.25">
      <c r="A209" s="3"/>
      <c r="B209" s="3"/>
      <c r="C209" s="3"/>
      <c r="D209" s="3"/>
      <c r="G209" s="14"/>
      <c r="H209" s="14"/>
    </row>
    <row r="210" spans="1:8" x14ac:dyDescent="0.25">
      <c r="A210" s="3"/>
      <c r="B210" s="3"/>
      <c r="C210" s="3"/>
      <c r="D210" s="3"/>
      <c r="G210" s="14"/>
      <c r="H210" s="14"/>
    </row>
    <row r="211" spans="1:8" x14ac:dyDescent="0.25">
      <c r="A211" s="3"/>
      <c r="B211" s="3"/>
      <c r="C211" s="3"/>
      <c r="D211" s="3"/>
      <c r="G211" s="14"/>
      <c r="H211" s="14"/>
    </row>
    <row r="212" spans="1:8" x14ac:dyDescent="0.25">
      <c r="A212" s="3"/>
      <c r="B212" s="3"/>
      <c r="C212" s="3"/>
      <c r="D212" s="3"/>
      <c r="G212" s="14"/>
      <c r="H212" s="14"/>
    </row>
    <row r="213" spans="1:8" x14ac:dyDescent="0.25">
      <c r="A213" s="3"/>
      <c r="B213" s="3"/>
      <c r="C213" s="3"/>
      <c r="D213" s="3"/>
      <c r="G213" s="14"/>
      <c r="H213" s="14"/>
    </row>
    <row r="214" spans="1:8" x14ac:dyDescent="0.25">
      <c r="A214" s="3"/>
      <c r="B214" s="3"/>
      <c r="C214" s="3"/>
      <c r="D214" s="3"/>
      <c r="G214" s="14"/>
      <c r="H214" s="14"/>
    </row>
    <row r="215" spans="1:8" x14ac:dyDescent="0.25">
      <c r="A215" s="3"/>
      <c r="B215" s="3"/>
      <c r="C215" s="3"/>
      <c r="D215" s="3"/>
      <c r="G215" s="14"/>
      <c r="H215" s="14"/>
    </row>
    <row r="216" spans="1:8" x14ac:dyDescent="0.25">
      <c r="A216" s="3"/>
      <c r="B216" s="3"/>
      <c r="C216" s="3"/>
      <c r="D216" s="3"/>
      <c r="G216" s="14"/>
      <c r="H216" s="14"/>
    </row>
    <row r="217" spans="1:8" x14ac:dyDescent="0.25">
      <c r="A217" s="3"/>
      <c r="B217" s="3"/>
      <c r="C217" s="3"/>
      <c r="D217" s="3"/>
      <c r="G217" s="14"/>
      <c r="H217" s="14"/>
    </row>
    <row r="218" spans="1:8" x14ac:dyDescent="0.25">
      <c r="A218" s="3"/>
      <c r="B218" s="3"/>
      <c r="C218" s="3"/>
      <c r="D218" s="3"/>
      <c r="G218" s="14"/>
      <c r="H218" s="14"/>
    </row>
    <row r="219" spans="1:8" x14ac:dyDescent="0.25">
      <c r="A219" s="3"/>
      <c r="B219" s="3"/>
      <c r="C219" s="3"/>
      <c r="D219" s="3"/>
      <c r="G219" s="14"/>
      <c r="H219" s="14"/>
    </row>
    <row r="220" spans="1:8" x14ac:dyDescent="0.25">
      <c r="A220" s="3"/>
      <c r="B220" s="3"/>
      <c r="C220" s="3"/>
      <c r="D220" s="3"/>
      <c r="G220" s="14"/>
      <c r="H220" s="14"/>
    </row>
    <row r="221" spans="1:8" x14ac:dyDescent="0.25">
      <c r="A221" s="3"/>
      <c r="B221" s="3"/>
      <c r="C221" s="3"/>
      <c r="D221" s="3"/>
      <c r="G221" s="14"/>
      <c r="H221" s="14"/>
    </row>
    <row r="222" spans="1:8" x14ac:dyDescent="0.25">
      <c r="A222" s="3"/>
      <c r="B222" s="3"/>
      <c r="C222" s="3"/>
      <c r="D222" s="3"/>
      <c r="G222" s="14"/>
      <c r="H222" s="14"/>
    </row>
    <row r="223" spans="1:8" x14ac:dyDescent="0.25">
      <c r="A223" s="3"/>
      <c r="B223" s="3"/>
      <c r="C223" s="3"/>
      <c r="D223" s="3"/>
      <c r="G223" s="14"/>
      <c r="H223" s="14"/>
    </row>
    <row r="224" spans="1:8" x14ac:dyDescent="0.25">
      <c r="A224" s="3"/>
      <c r="B224" s="3"/>
      <c r="C224" s="3"/>
      <c r="D224" s="3"/>
      <c r="G224" s="14"/>
      <c r="H224" s="14"/>
    </row>
    <row r="225" spans="1:8" x14ac:dyDescent="0.25">
      <c r="A225" s="3"/>
      <c r="B225" s="3"/>
      <c r="C225" s="3"/>
      <c r="D225" s="3"/>
      <c r="G225" s="14"/>
      <c r="H225" s="14"/>
    </row>
    <row r="226" spans="1:8" x14ac:dyDescent="0.25">
      <c r="A226" s="3"/>
      <c r="B226" s="3"/>
      <c r="C226" s="3"/>
      <c r="D226" s="3"/>
      <c r="G226" s="14"/>
      <c r="H226" s="14"/>
    </row>
    <row r="227" spans="1:8" x14ac:dyDescent="0.25">
      <c r="A227" s="3"/>
      <c r="B227" s="3"/>
      <c r="C227" s="3"/>
      <c r="D227" s="3"/>
      <c r="G227" s="14"/>
      <c r="H227" s="14"/>
    </row>
    <row r="228" spans="1:8" x14ac:dyDescent="0.25">
      <c r="A228" s="3"/>
      <c r="B228" s="3"/>
      <c r="C228" s="3"/>
      <c r="D228" s="3"/>
      <c r="G228" s="14"/>
      <c r="H228" s="14"/>
    </row>
    <row r="229" spans="1:8" x14ac:dyDescent="0.25">
      <c r="A229" s="3"/>
      <c r="B229" s="3"/>
      <c r="C229" s="3"/>
      <c r="D229" s="3"/>
      <c r="G229" s="14"/>
      <c r="H229" s="14"/>
    </row>
    <row r="230" spans="1:8" x14ac:dyDescent="0.25">
      <c r="A230" s="3"/>
      <c r="B230" s="3"/>
      <c r="C230" s="3"/>
      <c r="D230" s="3"/>
      <c r="G230" s="14"/>
      <c r="H230" s="14"/>
    </row>
    <row r="231" spans="1:8" x14ac:dyDescent="0.25">
      <c r="A231" s="3"/>
      <c r="B231" s="3"/>
      <c r="C231" s="3"/>
      <c r="D231" s="3"/>
      <c r="G231" s="14"/>
      <c r="H231" s="14"/>
    </row>
    <row r="232" spans="1:8" x14ac:dyDescent="0.25">
      <c r="A232" s="3"/>
      <c r="B232" s="3"/>
      <c r="C232" s="3"/>
      <c r="D232" s="3"/>
      <c r="G232" s="14"/>
      <c r="H232" s="14"/>
    </row>
    <row r="233" spans="1:8" x14ac:dyDescent="0.25">
      <c r="A233" s="3"/>
      <c r="B233" s="3"/>
      <c r="C233" s="3"/>
      <c r="D233" s="3"/>
      <c r="G233" s="14"/>
      <c r="H233" s="14"/>
    </row>
    <row r="234" spans="1:8" x14ac:dyDescent="0.25">
      <c r="A234" s="3"/>
      <c r="B234" s="3"/>
      <c r="C234" s="3"/>
      <c r="D234" s="3"/>
      <c r="G234" s="14"/>
      <c r="H234" s="14"/>
    </row>
    <row r="235" spans="1:8" x14ac:dyDescent="0.25">
      <c r="A235" s="3"/>
      <c r="B235" s="3"/>
      <c r="C235" s="3"/>
      <c r="D235" s="3"/>
      <c r="G235" s="14"/>
      <c r="H235" s="14"/>
    </row>
    <row r="236" spans="1:8" x14ac:dyDescent="0.25">
      <c r="A236" s="3"/>
      <c r="B236" s="3"/>
      <c r="C236" s="3"/>
      <c r="D236" s="3"/>
      <c r="G236" s="14"/>
      <c r="H236" s="14"/>
    </row>
    <row r="237" spans="1:8" x14ac:dyDescent="0.25">
      <c r="A237" s="3"/>
      <c r="B237" s="3"/>
      <c r="C237" s="3"/>
      <c r="D237" s="3"/>
      <c r="G237" s="14"/>
      <c r="H237" s="14"/>
    </row>
    <row r="238" spans="1:8" x14ac:dyDescent="0.25">
      <c r="A238" s="3"/>
      <c r="B238" s="3"/>
      <c r="C238" s="3"/>
      <c r="D238" s="3"/>
      <c r="G238" s="14"/>
      <c r="H238" s="14"/>
    </row>
    <row r="239" spans="1:8" x14ac:dyDescent="0.25">
      <c r="A239" s="3"/>
      <c r="B239" s="3"/>
      <c r="C239" s="3"/>
      <c r="D239" s="3"/>
      <c r="G239" s="14"/>
      <c r="H239" s="14"/>
    </row>
    <row r="240" spans="1:8" x14ac:dyDescent="0.25">
      <c r="A240" s="3"/>
      <c r="B240" s="3"/>
      <c r="C240" s="3"/>
      <c r="D240" s="3"/>
      <c r="G240" s="14"/>
      <c r="H240" s="14"/>
    </row>
    <row r="241" spans="1:8" x14ac:dyDescent="0.25">
      <c r="A241" s="3"/>
      <c r="B241" s="3"/>
      <c r="C241" s="3"/>
      <c r="D241" s="3"/>
      <c r="G241" s="14"/>
      <c r="H241" s="14"/>
    </row>
    <row r="242" spans="1:8" x14ac:dyDescent="0.25">
      <c r="A242" s="3"/>
      <c r="B242" s="3"/>
      <c r="C242" s="3"/>
      <c r="D242" s="3"/>
      <c r="G242" s="14"/>
      <c r="H242" s="14"/>
    </row>
    <row r="243" spans="1:8" x14ac:dyDescent="0.25">
      <c r="A243" s="3"/>
      <c r="B243" s="3"/>
      <c r="C243" s="3"/>
      <c r="D243" s="3"/>
      <c r="G243" s="14"/>
      <c r="H243" s="14"/>
    </row>
    <row r="244" spans="1:8" x14ac:dyDescent="0.25">
      <c r="A244" s="3"/>
      <c r="B244" s="3"/>
      <c r="C244" s="3"/>
      <c r="D244" s="3"/>
      <c r="G244" s="14"/>
      <c r="H244" s="14"/>
    </row>
    <row r="245" spans="1:8" x14ac:dyDescent="0.25">
      <c r="A245" s="3"/>
      <c r="B245" s="3"/>
      <c r="C245" s="3"/>
      <c r="D245" s="3"/>
      <c r="G245" s="14"/>
      <c r="H245" s="14"/>
    </row>
    <row r="247" spans="1:8" x14ac:dyDescent="0.25">
      <c r="A247" s="3"/>
      <c r="G247" s="14"/>
      <c r="H247" s="14"/>
    </row>
  </sheetData>
  <phoneticPr fontId="1" type="noConversion"/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BB3DCF-DC83-4E32-8FDF-24F662C09ED6}">
  <sheetPr/>
  <dimension ref="A1:I247"/>
  <sheetViews>
    <sheetView zoomScale="115" zoomScaleNormal="115" workbookViewId="0">
      <selection activeCell="A5" sqref="A5:H41"/>
    </sheetView>
  </sheetViews>
  <sheetFormatPr defaultRowHeight="15" x14ac:dyDescent="0.25"/>
  <cols>
    <col min="1" max="1" width="8.875" style="4" customWidth="1"/>
    <col min="2" max="3" width="15.125" style="4" customWidth="1"/>
    <col min="4" max="4" width="10.25" style="4" customWidth="1"/>
    <col min="5" max="5" width="12" style="13" customWidth="1"/>
    <col min="6" max="6" width="15" style="13" customWidth="1"/>
    <col min="7" max="7" width="13.875" customWidth="1"/>
    <col min="8" max="8" width="11.125" customWidth="1"/>
    <col min="11" max="12" width="15.125" customWidth="1"/>
    <col min="13" max="13" width="11.125" customWidth="1"/>
  </cols>
  <sheetData>
    <row r="1" spans="1:9" ht="14.25" x14ac:dyDescent="0.2">
      <c r="A1" s="2" t="s">
        <v>12</v>
      </c>
      <c r="B1" s="2" t="s">
        <v>4</v>
      </c>
      <c r="C1" s="2" t="s">
        <v>5</v>
      </c>
      <c r="D1" s="2" t="s">
        <v>13</v>
      </c>
      <c r="E1" s="2" t="s">
        <v>14</v>
      </c>
      <c r="F1" s="2" t="s">
        <v>15</v>
      </c>
      <c r="G1" s="2" t="s">
        <v>16</v>
      </c>
    </row>
    <row r="2" spans="1:9" x14ac:dyDescent="0.25">
      <c r="A2" s="11">
        <v>24</v>
      </c>
      <c r="B2" s="3">
        <v>113.32625539999999</v>
      </c>
      <c r="C2" s="8">
        <v>23.03807419</v>
      </c>
      <c r="D2" s="3">
        <v>0</v>
      </c>
      <c r="E2" s="13">
        <v>1785</v>
      </c>
      <c r="F2" s="13">
        <v>5</v>
      </c>
      <c r="G2" s="19">
        <f>SUBTOTAL(2,A5:A250)</f>
        <v>13</v>
      </c>
    </row>
    <row r="3" spans="1:9" x14ac:dyDescent="0.25">
      <c r="A3" s="3"/>
      <c r="B3" s="3"/>
      <c r="C3" s="3"/>
      <c r="D3" s="3"/>
    </row>
    <row r="4" spans="1:9" ht="14.25" x14ac:dyDescent="0.2">
      <c r="A4" s="2" t="s">
        <v>0</v>
      </c>
      <c r="B4" s="2" t="s">
        <v>1</v>
      </c>
      <c r="C4" s="2" t="s">
        <v>2</v>
      </c>
      <c r="D4" s="2" t="s">
        <v>3</v>
      </c>
      <c r="E4" s="2" t="s">
        <v>7</v>
      </c>
      <c r="F4" s="2" t="s">
        <v>8</v>
      </c>
      <c r="G4" s="2" t="s">
        <v>13</v>
      </c>
      <c r="H4" s="2" t="s">
        <v>14</v>
      </c>
      <c r="I4" s="24" t="s">
        <v>20</v>
      </c>
    </row>
    <row r="5" spans="1:9" x14ac:dyDescent="0.25">
      <c r="A5" s="3">
        <v>555</v>
      </c>
      <c r="B5" s="3">
        <v>113.3260283</v>
      </c>
      <c r="C5" s="3">
        <v>23.03731694</v>
      </c>
      <c r="D5" s="3">
        <v>24</v>
      </c>
      <c r="E5" s="13">
        <f t="shared" ref="E5:E43" si="0">SQRT((B5-$B$2)^2+(C5-$C$2)^2)</f>
        <v>7.9057066255610513E-4</v>
      </c>
      <c r="F5" s="13">
        <f t="shared" ref="F5:F43" si="1">SQRT(1/E5)</f>
        <v>35.565560139664399</v>
      </c>
      <c r="G5" s="14">
        <f>F5/$F$45*$D$2</f>
        <v>0</v>
      </c>
      <c r="H5" s="14">
        <f>F5/$F$45*$E$2</f>
        <v>291.16410986111794</v>
      </c>
      <c r="I5" s="25" t="str">
        <f>IF(MOD(ROW()-1,3)=1,"选中","")</f>
        <v>选中</v>
      </c>
    </row>
    <row r="6" spans="1:9" hidden="1" x14ac:dyDescent="0.25">
      <c r="A6" s="3">
        <v>557</v>
      </c>
      <c r="B6" s="3">
        <v>113.3278706</v>
      </c>
      <c r="C6" s="3">
        <v>23.037229459999999</v>
      </c>
      <c r="D6" s="3">
        <v>24</v>
      </c>
      <c r="E6" s="13">
        <f t="shared" si="0"/>
        <v>1.8227561035180024E-3</v>
      </c>
      <c r="F6" s="13">
        <f t="shared" si="1"/>
        <v>23.422633310418664</v>
      </c>
      <c r="G6" s="14" t="e">
        <f>F6/$F$124*$D$2</f>
        <v>#DIV/0!</v>
      </c>
      <c r="H6" s="14" t="e">
        <f>F6/$F$124*$E$2</f>
        <v>#DIV/0!</v>
      </c>
      <c r="I6" s="25" t="str">
        <f t="shared" ref="I6:I43" si="2">IF(MOD(ROW()-1,3)=1,"选中","")</f>
        <v/>
      </c>
    </row>
    <row r="7" spans="1:9" hidden="1" x14ac:dyDescent="0.25">
      <c r="A7" s="3">
        <v>546</v>
      </c>
      <c r="B7" s="3">
        <v>113.3246901</v>
      </c>
      <c r="C7" s="3">
        <v>23.036854689999998</v>
      </c>
      <c r="D7" s="3">
        <v>24</v>
      </c>
      <c r="E7" s="13">
        <f t="shared" si="0"/>
        <v>1.9842742602749859E-3</v>
      </c>
      <c r="F7" s="13">
        <f t="shared" si="1"/>
        <v>22.449111169011989</v>
      </c>
      <c r="G7" s="14" t="e">
        <f>F7/$F$124*$D$2</f>
        <v>#DIV/0!</v>
      </c>
      <c r="H7" s="14" t="e">
        <f>F7/$F$124*$E$2</f>
        <v>#DIV/0!</v>
      </c>
      <c r="I7" s="25" t="str">
        <f t="shared" si="2"/>
        <v/>
      </c>
    </row>
    <row r="8" spans="1:9" x14ac:dyDescent="0.25">
      <c r="A8" s="3">
        <v>544</v>
      </c>
      <c r="B8" s="3">
        <v>113.32698449999999</v>
      </c>
      <c r="C8" s="3">
        <v>23.036212590000002</v>
      </c>
      <c r="D8" s="3">
        <v>24</v>
      </c>
      <c r="E8" s="13">
        <f t="shared" si="0"/>
        <v>1.9992852147690133E-3</v>
      </c>
      <c r="F8" s="13">
        <f t="shared" si="1"/>
        <v>22.364676617275745</v>
      </c>
      <c r="G8" s="14">
        <f>F8/$F$45*$D$2</f>
        <v>0</v>
      </c>
      <c r="H8" s="14">
        <f>F8/$F$45*$E$2</f>
        <v>183.09260796200962</v>
      </c>
      <c r="I8" s="25" t="str">
        <f t="shared" si="2"/>
        <v>选中</v>
      </c>
    </row>
    <row r="9" spans="1:9" hidden="1" x14ac:dyDescent="0.25">
      <c r="A9" s="3">
        <v>547</v>
      </c>
      <c r="B9" s="3">
        <v>113.32549349999999</v>
      </c>
      <c r="C9" s="3">
        <v>23.036128470000001</v>
      </c>
      <c r="D9" s="3">
        <v>24</v>
      </c>
      <c r="E9" s="13">
        <f t="shared" si="0"/>
        <v>2.0895736235879538E-3</v>
      </c>
      <c r="F9" s="13">
        <f t="shared" si="1"/>
        <v>21.8761635313837</v>
      </c>
      <c r="G9" s="14" t="e">
        <f>F9/$F$124*$D$2</f>
        <v>#DIV/0!</v>
      </c>
      <c r="H9" s="14" t="e">
        <f>F9/$F$124*$E$2</f>
        <v>#DIV/0!</v>
      </c>
      <c r="I9" s="25" t="str">
        <f t="shared" si="2"/>
        <v/>
      </c>
    </row>
    <row r="10" spans="1:9" hidden="1" x14ac:dyDescent="0.25">
      <c r="A10" s="3">
        <v>543</v>
      </c>
      <c r="B10" s="3">
        <v>113.32416809999999</v>
      </c>
      <c r="C10" s="3">
        <v>23.03862693</v>
      </c>
      <c r="D10" s="3">
        <v>24</v>
      </c>
      <c r="E10" s="13">
        <f t="shared" si="0"/>
        <v>2.1592458863217852E-3</v>
      </c>
      <c r="F10" s="13">
        <f t="shared" si="1"/>
        <v>21.520331134668623</v>
      </c>
      <c r="G10" s="14" t="e">
        <f>F10/$F$124*$D$2</f>
        <v>#DIV/0!</v>
      </c>
      <c r="H10" s="14" t="e">
        <f>F10/$F$124*$E$2</f>
        <v>#DIV/0!</v>
      </c>
      <c r="I10" s="25" t="str">
        <f t="shared" si="2"/>
        <v/>
      </c>
    </row>
    <row r="11" spans="1:9" x14ac:dyDescent="0.25">
      <c r="A11" s="3">
        <v>550</v>
      </c>
      <c r="B11" s="3">
        <v>113.32469709999999</v>
      </c>
      <c r="C11" s="3">
        <v>23.036317910000001</v>
      </c>
      <c r="D11" s="3">
        <v>24</v>
      </c>
      <c r="E11" s="13">
        <f t="shared" si="0"/>
        <v>2.3479391662461655E-3</v>
      </c>
      <c r="F11" s="13">
        <f t="shared" si="1"/>
        <v>20.637475932697683</v>
      </c>
      <c r="G11" s="14">
        <f>F11/$F$45*$D$2</f>
        <v>0</v>
      </c>
      <c r="H11" s="14">
        <f>F11/$F$45*$E$2</f>
        <v>168.95255652174484</v>
      </c>
      <c r="I11" s="25" t="str">
        <f t="shared" si="2"/>
        <v>选中</v>
      </c>
    </row>
    <row r="12" spans="1:9" hidden="1" x14ac:dyDescent="0.25">
      <c r="A12" s="3">
        <v>545</v>
      </c>
      <c r="B12" s="3">
        <v>113.3239186</v>
      </c>
      <c r="C12" s="3">
        <v>23.03907821</v>
      </c>
      <c r="D12" s="3">
        <v>24</v>
      </c>
      <c r="E12" s="13">
        <f t="shared" si="0"/>
        <v>2.5433620269980262E-3</v>
      </c>
      <c r="F12" s="13">
        <f t="shared" si="1"/>
        <v>19.828776084973171</v>
      </c>
      <c r="G12" s="14" t="e">
        <f>F12/$F$124*$D$2</f>
        <v>#DIV/0!</v>
      </c>
      <c r="H12" s="14" t="e">
        <f>F12/$F$124*$E$2</f>
        <v>#DIV/0!</v>
      </c>
      <c r="I12" s="25" t="str">
        <f t="shared" si="2"/>
        <v/>
      </c>
    </row>
    <row r="13" spans="1:9" hidden="1" x14ac:dyDescent="0.25">
      <c r="A13" s="3">
        <v>551</v>
      </c>
      <c r="B13" s="3">
        <v>113.32879269999999</v>
      </c>
      <c r="C13" s="3">
        <v>23.037563559999999</v>
      </c>
      <c r="D13" s="3">
        <v>24</v>
      </c>
      <c r="E13" s="13">
        <f t="shared" si="0"/>
        <v>2.5881719971635984E-3</v>
      </c>
      <c r="F13" s="13">
        <f t="shared" si="1"/>
        <v>19.656375183772678</v>
      </c>
      <c r="G13" s="14" t="e">
        <f>F13/$F$124*$D$2</f>
        <v>#DIV/0!</v>
      </c>
      <c r="H13" s="14" t="e">
        <f>F13/$F$124*$E$2</f>
        <v>#DIV/0!</v>
      </c>
      <c r="I13" s="25" t="str">
        <f t="shared" si="2"/>
        <v/>
      </c>
    </row>
    <row r="14" spans="1:9" x14ac:dyDescent="0.25">
      <c r="A14" s="3">
        <v>548</v>
      </c>
      <c r="B14" s="3">
        <v>113.3236143</v>
      </c>
      <c r="C14" s="3">
        <v>23.03794328</v>
      </c>
      <c r="D14" s="3">
        <v>24</v>
      </c>
      <c r="E14" s="13">
        <f t="shared" si="0"/>
        <v>2.6443423829097192E-3</v>
      </c>
      <c r="F14" s="13">
        <f t="shared" si="1"/>
        <v>19.446486975831867</v>
      </c>
      <c r="G14" s="14">
        <f>F14/$F$45*$D$2</f>
        <v>0</v>
      </c>
      <c r="H14" s="14">
        <f>F14/$F$45*$E$2</f>
        <v>159.20230267733768</v>
      </c>
      <c r="I14" s="25" t="str">
        <f t="shared" si="2"/>
        <v>选中</v>
      </c>
    </row>
    <row r="15" spans="1:9" hidden="1" x14ac:dyDescent="0.25">
      <c r="A15" s="3">
        <v>560</v>
      </c>
      <c r="B15" s="3">
        <v>113.3235224</v>
      </c>
      <c r="C15" s="3">
        <v>23.038395260000001</v>
      </c>
      <c r="D15" s="3">
        <v>24</v>
      </c>
      <c r="E15" s="13">
        <f t="shared" si="0"/>
        <v>2.7517948587890769E-3</v>
      </c>
      <c r="F15" s="13">
        <f t="shared" si="1"/>
        <v>19.063031808710146</v>
      </c>
      <c r="G15" s="14" t="e">
        <f>F15/$F$124*$D$2</f>
        <v>#DIV/0!</v>
      </c>
      <c r="H15" s="14" t="e">
        <f>F15/$F$124*$E$2</f>
        <v>#DIV/0!</v>
      </c>
      <c r="I15" s="25" t="str">
        <f t="shared" si="2"/>
        <v/>
      </c>
    </row>
    <row r="16" spans="1:9" hidden="1" x14ac:dyDescent="0.25">
      <c r="A16" s="3">
        <v>549</v>
      </c>
      <c r="B16" s="3">
        <v>113.32256940000001</v>
      </c>
      <c r="C16" s="3">
        <v>23.03854402</v>
      </c>
      <c r="D16" s="3">
        <v>24</v>
      </c>
      <c r="E16" s="13">
        <f t="shared" si="0"/>
        <v>3.7158224162100397E-3</v>
      </c>
      <c r="F16" s="13">
        <f t="shared" si="1"/>
        <v>16.404859863431064</v>
      </c>
      <c r="G16" s="14" t="e">
        <f>F16/$F$124*$D$2</f>
        <v>#DIV/0!</v>
      </c>
      <c r="H16" s="14" t="e">
        <f>F16/$F$124*$E$2</f>
        <v>#DIV/0!</v>
      </c>
      <c r="I16" s="25" t="str">
        <f t="shared" si="2"/>
        <v/>
      </c>
    </row>
    <row r="17" spans="1:9" x14ac:dyDescent="0.25">
      <c r="A17" s="3">
        <v>561</v>
      </c>
      <c r="B17" s="3">
        <v>113.3256428</v>
      </c>
      <c r="C17" s="3">
        <v>23.041984660000001</v>
      </c>
      <c r="D17" s="3">
        <v>24</v>
      </c>
      <c r="E17" s="13">
        <f t="shared" si="0"/>
        <v>3.9581630058530539E-3</v>
      </c>
      <c r="F17" s="13">
        <f t="shared" si="1"/>
        <v>15.894730264378028</v>
      </c>
      <c r="G17" s="14">
        <f>F17/$F$45*$D$2</f>
        <v>0</v>
      </c>
      <c r="H17" s="14">
        <f>F17/$F$45*$E$2</f>
        <v>130.12518207885225</v>
      </c>
      <c r="I17" s="25" t="str">
        <f t="shared" si="2"/>
        <v>选中</v>
      </c>
    </row>
    <row r="18" spans="1:9" hidden="1" x14ac:dyDescent="0.25">
      <c r="A18" s="3">
        <v>563</v>
      </c>
      <c r="B18" s="3">
        <v>113.32228499999999</v>
      </c>
      <c r="C18" s="3">
        <v>23.038028789999998</v>
      </c>
      <c r="D18" s="3">
        <v>24</v>
      </c>
      <c r="E18" s="13">
        <f t="shared" si="0"/>
        <v>3.970659557302845E-3</v>
      </c>
      <c r="F18" s="13">
        <f t="shared" si="1"/>
        <v>15.869698422593938</v>
      </c>
      <c r="G18" s="14" t="e">
        <f>F18/$F$124*$D$2</f>
        <v>#DIV/0!</v>
      </c>
      <c r="H18" s="14" t="e">
        <f>F18/$F$124*$E$2</f>
        <v>#DIV/0!</v>
      </c>
      <c r="I18" s="25" t="str">
        <f t="shared" si="2"/>
        <v/>
      </c>
    </row>
    <row r="19" spans="1:9" hidden="1" x14ac:dyDescent="0.25">
      <c r="A19" s="3">
        <v>552</v>
      </c>
      <c r="B19" s="3">
        <v>113.3224206</v>
      </c>
      <c r="C19" s="3">
        <v>23.039494900000001</v>
      </c>
      <c r="D19" s="3">
        <v>24</v>
      </c>
      <c r="E19" s="13">
        <f t="shared" si="0"/>
        <v>4.0895119444805316E-3</v>
      </c>
      <c r="F19" s="13">
        <f t="shared" si="1"/>
        <v>15.637389704719075</v>
      </c>
      <c r="G19" s="14" t="e">
        <f>F19/$F$124*$D$2</f>
        <v>#DIV/0!</v>
      </c>
      <c r="H19" s="14" t="e">
        <f>F19/$F$124*$E$2</f>
        <v>#DIV/0!</v>
      </c>
      <c r="I19" s="25" t="str">
        <f t="shared" si="2"/>
        <v/>
      </c>
    </row>
    <row r="20" spans="1:9" x14ac:dyDescent="0.25">
      <c r="A20" s="3">
        <v>562</v>
      </c>
      <c r="B20" s="3">
        <v>113.3221233</v>
      </c>
      <c r="C20" s="3">
        <v>23.038458909999999</v>
      </c>
      <c r="D20" s="3">
        <v>24</v>
      </c>
      <c r="E20" s="13">
        <f t="shared" si="0"/>
        <v>4.14997107078326E-3</v>
      </c>
      <c r="F20" s="13">
        <f t="shared" si="1"/>
        <v>15.523064619052374</v>
      </c>
      <c r="G20" s="14">
        <f>F20/$F$45*$D$2</f>
        <v>0</v>
      </c>
      <c r="H20" s="14">
        <f>F20/$F$45*$E$2</f>
        <v>127.08247176127975</v>
      </c>
      <c r="I20" s="25" t="str">
        <f t="shared" si="2"/>
        <v>选中</v>
      </c>
    </row>
    <row r="21" spans="1:9" hidden="1" x14ac:dyDescent="0.25">
      <c r="A21" s="3">
        <v>553</v>
      </c>
      <c r="B21" s="3">
        <v>113.3247087</v>
      </c>
      <c r="C21" s="3">
        <v>23.042153379999998</v>
      </c>
      <c r="D21" s="3">
        <v>24</v>
      </c>
      <c r="E21" s="13">
        <f t="shared" si="0"/>
        <v>4.3625762968759708E-3</v>
      </c>
      <c r="F21" s="13">
        <f t="shared" si="1"/>
        <v>15.14009088821123</v>
      </c>
      <c r="G21" s="14" t="e">
        <f>F21/$F$124*$D$2</f>
        <v>#DIV/0!</v>
      </c>
      <c r="H21" s="14" t="e">
        <f>F21/$F$124*$E$2</f>
        <v>#DIV/0!</v>
      </c>
      <c r="I21" s="25" t="str">
        <f t="shared" si="2"/>
        <v/>
      </c>
    </row>
    <row r="22" spans="1:9" hidden="1" x14ac:dyDescent="0.25">
      <c r="A22" s="3">
        <v>554</v>
      </c>
      <c r="B22" s="3">
        <v>113.3305112</v>
      </c>
      <c r="C22" s="3">
        <v>23.036938580000001</v>
      </c>
      <c r="D22" s="3">
        <v>24</v>
      </c>
      <c r="E22" s="13">
        <f t="shared" si="0"/>
        <v>4.4047069950430571E-3</v>
      </c>
      <c r="F22" s="13">
        <f t="shared" si="1"/>
        <v>15.067509986026469</v>
      </c>
      <c r="G22" s="14" t="e">
        <f>F22/$F$124*$D$2</f>
        <v>#DIV/0!</v>
      </c>
      <c r="H22" s="14" t="e">
        <f>F22/$F$124*$E$2</f>
        <v>#DIV/0!</v>
      </c>
      <c r="I22" s="25" t="str">
        <f t="shared" si="2"/>
        <v/>
      </c>
    </row>
    <row r="23" spans="1:9" x14ac:dyDescent="0.25">
      <c r="A23" s="3">
        <v>524</v>
      </c>
      <c r="B23" s="3">
        <v>113.3216592</v>
      </c>
      <c r="C23" s="3">
        <v>23.039465369999999</v>
      </c>
      <c r="D23" s="3">
        <v>24</v>
      </c>
      <c r="E23" s="13">
        <f t="shared" si="0"/>
        <v>4.8021283023621086E-3</v>
      </c>
      <c r="F23" s="13">
        <f t="shared" si="1"/>
        <v>14.430557856129825</v>
      </c>
      <c r="G23" s="14">
        <f>F23/$F$45*$D$2</f>
        <v>0</v>
      </c>
      <c r="H23" s="14">
        <f>F23/$F$45*$E$2</f>
        <v>118.13846081657832</v>
      </c>
      <c r="I23" s="25" t="str">
        <f t="shared" si="2"/>
        <v>选中</v>
      </c>
    </row>
    <row r="24" spans="1:9" hidden="1" x14ac:dyDescent="0.25">
      <c r="A24" s="3">
        <v>518</v>
      </c>
      <c r="B24" s="3">
        <v>113.32116929999999</v>
      </c>
      <c r="C24" s="3">
        <v>23.03819485</v>
      </c>
      <c r="D24" s="3">
        <v>24</v>
      </c>
      <c r="E24" s="13">
        <f t="shared" si="0"/>
        <v>5.087531036327704E-3</v>
      </c>
      <c r="F24" s="13">
        <f t="shared" si="1"/>
        <v>14.019949980321641</v>
      </c>
      <c r="G24" s="14" t="e">
        <f>F24/$F$124*$D$2</f>
        <v>#DIV/0!</v>
      </c>
      <c r="H24" s="14" t="e">
        <f>F24/$F$124*$E$2</f>
        <v>#DIV/0!</v>
      </c>
      <c r="I24" s="25" t="str">
        <f t="shared" si="2"/>
        <v/>
      </c>
    </row>
    <row r="25" spans="1:9" hidden="1" x14ac:dyDescent="0.25">
      <c r="A25" s="3">
        <v>541</v>
      </c>
      <c r="B25" s="3">
        <v>113.3213289</v>
      </c>
      <c r="C25" s="3">
        <v>23.039655920000001</v>
      </c>
      <c r="D25" s="3">
        <v>24</v>
      </c>
      <c r="E25" s="13">
        <f t="shared" si="0"/>
        <v>5.1741928880617181E-3</v>
      </c>
      <c r="F25" s="13">
        <f t="shared" si="1"/>
        <v>13.902045086325529</v>
      </c>
      <c r="G25" s="14" t="e">
        <f>F25/$F$124*$D$2</f>
        <v>#DIV/0!</v>
      </c>
      <c r="H25" s="14" t="e">
        <f>F25/$F$124*$E$2</f>
        <v>#DIV/0!</v>
      </c>
      <c r="I25" s="25" t="str">
        <f t="shared" si="2"/>
        <v/>
      </c>
    </row>
    <row r="26" spans="1:9" x14ac:dyDescent="0.25">
      <c r="A26" s="3">
        <v>556</v>
      </c>
      <c r="B26" s="3">
        <v>113.33155410000001</v>
      </c>
      <c r="C26" s="3">
        <v>23.03683066</v>
      </c>
      <c r="D26" s="3">
        <v>24</v>
      </c>
      <c r="E26" s="13">
        <f t="shared" si="0"/>
        <v>5.4426637367214073E-3</v>
      </c>
      <c r="F26" s="13">
        <f t="shared" si="1"/>
        <v>13.554835406501429</v>
      </c>
      <c r="G26" s="14">
        <f>F26/$F$45*$D$2</f>
        <v>0</v>
      </c>
      <c r="H26" s="14">
        <f>F26/$F$45*$E$2</f>
        <v>110.96919519753118</v>
      </c>
      <c r="I26" s="25" t="str">
        <f t="shared" si="2"/>
        <v>选中</v>
      </c>
    </row>
    <row r="27" spans="1:9" hidden="1" x14ac:dyDescent="0.25">
      <c r="A27" s="3">
        <v>532</v>
      </c>
      <c r="B27" s="3">
        <v>113.3206643</v>
      </c>
      <c r="C27" s="3">
        <v>23.03840473</v>
      </c>
      <c r="D27" s="3">
        <v>24</v>
      </c>
      <c r="E27" s="13">
        <f t="shared" si="0"/>
        <v>5.6008620677073448E-3</v>
      </c>
      <c r="F27" s="13">
        <f t="shared" si="1"/>
        <v>13.362033655045968</v>
      </c>
      <c r="G27" s="14" t="e">
        <f>F27/$F$124*$D$2</f>
        <v>#DIV/0!</v>
      </c>
      <c r="H27" s="14" t="e">
        <f>F27/$F$124*$E$2</f>
        <v>#DIV/0!</v>
      </c>
      <c r="I27" s="25" t="str">
        <f t="shared" si="2"/>
        <v/>
      </c>
    </row>
    <row r="28" spans="1:9" hidden="1" x14ac:dyDescent="0.25">
      <c r="A28" s="3">
        <v>559</v>
      </c>
      <c r="B28" s="3">
        <v>113.33029790000001</v>
      </c>
      <c r="C28" s="3">
        <v>23.03402724</v>
      </c>
      <c r="D28" s="3">
        <v>24</v>
      </c>
      <c r="E28" s="13">
        <f t="shared" si="0"/>
        <v>5.720105816554944E-3</v>
      </c>
      <c r="F28" s="13">
        <f t="shared" si="1"/>
        <v>13.222024834516219</v>
      </c>
      <c r="G28" s="14" t="e">
        <f>F28/$F$124*$D$2</f>
        <v>#DIV/0!</v>
      </c>
      <c r="H28" s="14" t="e">
        <f>F28/$F$124*$E$2</f>
        <v>#DIV/0!</v>
      </c>
      <c r="I28" s="25" t="str">
        <f t="shared" si="2"/>
        <v/>
      </c>
    </row>
    <row r="29" spans="1:9" x14ac:dyDescent="0.25">
      <c r="A29" s="3">
        <v>558</v>
      </c>
      <c r="B29" s="3">
        <v>113.33027389999999</v>
      </c>
      <c r="C29" s="3">
        <v>23.033921329999998</v>
      </c>
      <c r="D29" s="3">
        <v>24</v>
      </c>
      <c r="E29" s="13">
        <f t="shared" si="0"/>
        <v>5.7788051039655156E-3</v>
      </c>
      <c r="F29" s="13">
        <f t="shared" si="1"/>
        <v>13.154700846220999</v>
      </c>
      <c r="G29" s="14">
        <f>F29/$F$45*$D$2</f>
        <v>0</v>
      </c>
      <c r="H29" s="14">
        <f>F29/$F$45*$E$2</f>
        <v>107.69341878317944</v>
      </c>
      <c r="I29" s="25" t="str">
        <f t="shared" si="2"/>
        <v>选中</v>
      </c>
    </row>
    <row r="30" spans="1:9" hidden="1" x14ac:dyDescent="0.25">
      <c r="A30" s="3">
        <v>542</v>
      </c>
      <c r="B30" s="3">
        <v>113.3307779</v>
      </c>
      <c r="C30" s="3">
        <v>23.034293210000001</v>
      </c>
      <c r="D30" s="3">
        <v>24</v>
      </c>
      <c r="E30" s="13">
        <f t="shared" si="0"/>
        <v>5.8948126357377872E-3</v>
      </c>
      <c r="F30" s="13">
        <f t="shared" si="1"/>
        <v>13.024618072280196</v>
      </c>
      <c r="G30" s="14" t="e">
        <f>F30/$F$124*$D$2</f>
        <v>#DIV/0!</v>
      </c>
      <c r="H30" s="14" t="e">
        <f>F30/$F$124*$E$2</f>
        <v>#DIV/0!</v>
      </c>
      <c r="I30" s="25" t="str">
        <f t="shared" si="2"/>
        <v/>
      </c>
    </row>
    <row r="31" spans="1:9" hidden="1" x14ac:dyDescent="0.25">
      <c r="A31" s="3">
        <v>513</v>
      </c>
      <c r="B31" s="3">
        <v>113.320324</v>
      </c>
      <c r="C31" s="3">
        <v>23.039319989999999</v>
      </c>
      <c r="D31" s="3">
        <v>24</v>
      </c>
      <c r="E31" s="13">
        <f t="shared" si="0"/>
        <v>6.0608187235663136E-3</v>
      </c>
      <c r="F31" s="13">
        <f t="shared" si="1"/>
        <v>12.845007218918125</v>
      </c>
      <c r="G31" s="14" t="e">
        <f>F31/$F$124*$D$2</f>
        <v>#DIV/0!</v>
      </c>
      <c r="H31" s="14" t="e">
        <f>F31/$F$124*$E$2</f>
        <v>#DIV/0!</v>
      </c>
      <c r="I31" s="25" t="str">
        <f t="shared" si="2"/>
        <v/>
      </c>
    </row>
    <row r="32" spans="1:9" x14ac:dyDescent="0.25">
      <c r="A32" s="3">
        <v>537</v>
      </c>
      <c r="B32" s="3">
        <v>113.32005359999999</v>
      </c>
      <c r="C32" s="3">
        <v>23.038546839999999</v>
      </c>
      <c r="D32" s="3">
        <v>24</v>
      </c>
      <c r="E32" s="13">
        <f t="shared" si="0"/>
        <v>6.2197846636754695E-3</v>
      </c>
      <c r="F32" s="13">
        <f t="shared" si="1"/>
        <v>12.679797722645691</v>
      </c>
      <c r="G32" s="14">
        <f>F32/$F$45*$D$2</f>
        <v>0</v>
      </c>
      <c r="H32" s="14">
        <f>F32/$F$45*$E$2</f>
        <v>103.8055355415527</v>
      </c>
      <c r="I32" s="25" t="str">
        <f t="shared" si="2"/>
        <v>选中</v>
      </c>
    </row>
    <row r="33" spans="1:9" hidden="1" x14ac:dyDescent="0.25">
      <c r="A33" s="3">
        <v>573</v>
      </c>
      <c r="B33" s="3">
        <v>113.3324643</v>
      </c>
      <c r="C33" s="3">
        <v>23.036741979999999</v>
      </c>
      <c r="D33" s="3">
        <v>24</v>
      </c>
      <c r="E33" s="13">
        <f t="shared" si="0"/>
        <v>6.3502143817477617E-3</v>
      </c>
      <c r="F33" s="13">
        <f t="shared" si="1"/>
        <v>12.548904273367532</v>
      </c>
      <c r="G33" s="14" t="e">
        <f>F33/$F$124*$D$2</f>
        <v>#DIV/0!</v>
      </c>
      <c r="H33" s="14" t="e">
        <f>F33/$F$124*$E$2</f>
        <v>#DIV/0!</v>
      </c>
      <c r="I33" s="25" t="str">
        <f t="shared" si="2"/>
        <v/>
      </c>
    </row>
    <row r="34" spans="1:9" hidden="1" x14ac:dyDescent="0.25">
      <c r="A34" s="3">
        <v>576</v>
      </c>
      <c r="B34" s="3">
        <v>113.3328554</v>
      </c>
      <c r="C34" s="3">
        <v>23.038140649999999</v>
      </c>
      <c r="D34" s="3">
        <v>24</v>
      </c>
      <c r="E34" s="13">
        <f t="shared" si="0"/>
        <v>6.600334607554245E-3</v>
      </c>
      <c r="F34" s="13">
        <f t="shared" si="1"/>
        <v>12.308837084473268</v>
      </c>
      <c r="G34" s="14" t="e">
        <f>F34/$F$124*$D$2</f>
        <v>#DIV/0!</v>
      </c>
      <c r="H34" s="14" t="e">
        <f>F34/$F$124*$E$2</f>
        <v>#DIV/0!</v>
      </c>
      <c r="I34" s="25" t="str">
        <f t="shared" si="2"/>
        <v/>
      </c>
    </row>
    <row r="35" spans="1:9" x14ac:dyDescent="0.25">
      <c r="A35" s="3">
        <v>569</v>
      </c>
      <c r="B35" s="3">
        <v>113.3331867</v>
      </c>
      <c r="C35" s="3">
        <v>23.03839292</v>
      </c>
      <c r="D35" s="3">
        <v>24</v>
      </c>
      <c r="E35" s="13">
        <f t="shared" si="0"/>
        <v>6.9386243955823447E-3</v>
      </c>
      <c r="F35" s="13">
        <f t="shared" si="1"/>
        <v>12.005031685180423</v>
      </c>
      <c r="G35" s="14">
        <f>F35/$F$45*$D$2</f>
        <v>0</v>
      </c>
      <c r="H35" s="14">
        <f>F35/$F$45*$E$2</f>
        <v>98.281437175280146</v>
      </c>
      <c r="I35" s="25" t="str">
        <f t="shared" si="2"/>
        <v>选中</v>
      </c>
    </row>
    <row r="36" spans="1:9" hidden="1" x14ac:dyDescent="0.25">
      <c r="A36" s="3">
        <v>574</v>
      </c>
      <c r="B36" s="3">
        <v>113.33253929999999</v>
      </c>
      <c r="C36" s="3">
        <v>23.035100549999999</v>
      </c>
      <c r="D36" s="3">
        <v>24</v>
      </c>
      <c r="E36" s="13">
        <f t="shared" si="0"/>
        <v>6.9519733931883371E-3</v>
      </c>
      <c r="F36" s="13">
        <f t="shared" si="1"/>
        <v>11.99350027290815</v>
      </c>
      <c r="G36" s="14" t="e">
        <f>F36/$F$124*$D$2</f>
        <v>#DIV/0!</v>
      </c>
      <c r="H36" s="14" t="e">
        <f>F36/$F$124*$E$2</f>
        <v>#DIV/0!</v>
      </c>
      <c r="I36" s="25" t="str">
        <f t="shared" si="2"/>
        <v/>
      </c>
    </row>
    <row r="37" spans="1:9" hidden="1" x14ac:dyDescent="0.25">
      <c r="A37" s="3">
        <v>923</v>
      </c>
      <c r="B37" s="3">
        <v>113.3227275</v>
      </c>
      <c r="C37" s="3">
        <v>23.03198755</v>
      </c>
      <c r="D37" s="3">
        <v>24</v>
      </c>
      <c r="E37" s="13">
        <f t="shared" si="0"/>
        <v>7.0351449807061865E-3</v>
      </c>
      <c r="F37" s="13">
        <f t="shared" si="1"/>
        <v>11.922394115320754</v>
      </c>
      <c r="G37" s="14" t="e">
        <f>F37/$F$124*$D$2</f>
        <v>#DIV/0!</v>
      </c>
      <c r="H37" s="14" t="e">
        <f>F37/$F$124*$E$2</f>
        <v>#DIV/0!</v>
      </c>
      <c r="I37" s="25" t="str">
        <f t="shared" si="2"/>
        <v/>
      </c>
    </row>
    <row r="38" spans="1:9" x14ac:dyDescent="0.25">
      <c r="A38" s="3">
        <v>274</v>
      </c>
      <c r="B38" s="3">
        <v>113.32380139999999</v>
      </c>
      <c r="C38" s="3">
        <v>23.045005889999999</v>
      </c>
      <c r="D38" s="3">
        <v>24</v>
      </c>
      <c r="E38" s="13">
        <f t="shared" si="0"/>
        <v>7.3532700813983675E-3</v>
      </c>
      <c r="F38" s="13">
        <f t="shared" si="1"/>
        <v>11.661642973722088</v>
      </c>
      <c r="G38" s="14">
        <f>F38/$F$45*$D$2</f>
        <v>0</v>
      </c>
      <c r="H38" s="14">
        <f>F38/$F$45*$E$2</f>
        <v>95.470221265408469</v>
      </c>
      <c r="I38" s="25" t="str">
        <f t="shared" si="2"/>
        <v>选中</v>
      </c>
    </row>
    <row r="39" spans="1:9" hidden="1" x14ac:dyDescent="0.25">
      <c r="A39" s="3">
        <v>567</v>
      </c>
      <c r="B39" s="3">
        <v>113.3340621</v>
      </c>
      <c r="C39" s="3">
        <v>23.037461690000001</v>
      </c>
      <c r="D39" s="3">
        <v>24</v>
      </c>
      <c r="E39" s="13">
        <f t="shared" si="0"/>
        <v>7.8306909746234995E-3</v>
      </c>
      <c r="F39" s="13">
        <f t="shared" si="1"/>
        <v>11.300559783987801</v>
      </c>
      <c r="G39" s="14" t="e">
        <f>F39/$F$124*$D$2</f>
        <v>#DIV/0!</v>
      </c>
      <c r="H39" s="14" t="e">
        <f>F39/$F$124*$E$2</f>
        <v>#DIV/0!</v>
      </c>
      <c r="I39" s="25" t="str">
        <f t="shared" si="2"/>
        <v/>
      </c>
    </row>
    <row r="40" spans="1:9" hidden="1" x14ac:dyDescent="0.25">
      <c r="A40" s="3">
        <v>568</v>
      </c>
      <c r="B40" s="3">
        <v>113.3342407</v>
      </c>
      <c r="C40" s="3">
        <v>23.037001549999999</v>
      </c>
      <c r="D40" s="3">
        <v>24</v>
      </c>
      <c r="E40" s="13">
        <f t="shared" si="0"/>
        <v>8.0570200855914001E-3</v>
      </c>
      <c r="F40" s="13">
        <f t="shared" si="1"/>
        <v>11.140707625554876</v>
      </c>
      <c r="G40" s="14" t="e">
        <f>F40/$F$124*$D$2</f>
        <v>#DIV/0!</v>
      </c>
      <c r="H40" s="14" t="e">
        <f>F40/$F$124*$E$2</f>
        <v>#DIV/0!</v>
      </c>
      <c r="I40" s="25" t="str">
        <f t="shared" si="2"/>
        <v/>
      </c>
    </row>
    <row r="41" spans="1:9" x14ac:dyDescent="0.25">
      <c r="A41" s="3">
        <v>273</v>
      </c>
      <c r="B41" s="3">
        <v>113.32708359999999</v>
      </c>
      <c r="C41" s="3">
        <v>23.04612113</v>
      </c>
      <c r="D41" s="3">
        <v>24</v>
      </c>
      <c r="E41" s="13">
        <f t="shared" si="0"/>
        <v>8.0894473608274838E-3</v>
      </c>
      <c r="F41" s="13">
        <f t="shared" si="1"/>
        <v>11.118355940550988</v>
      </c>
      <c r="G41" s="14">
        <f>F41/$F$45*$D$2</f>
        <v>0</v>
      </c>
      <c r="H41" s="14">
        <f>F41/$F$45*$E$2</f>
        <v>91.022500358127289</v>
      </c>
      <c r="I41" s="25" t="str">
        <f t="shared" si="2"/>
        <v>选中</v>
      </c>
    </row>
    <row r="42" spans="1:9" hidden="1" x14ac:dyDescent="0.25">
      <c r="A42" s="3">
        <v>571</v>
      </c>
      <c r="B42" s="3">
        <v>113.3343855</v>
      </c>
      <c r="C42" s="3">
        <v>23.03654848</v>
      </c>
      <c r="D42" s="3">
        <v>24</v>
      </c>
      <c r="E42" s="13">
        <f t="shared" si="0"/>
        <v>8.2720201289732034E-3</v>
      </c>
      <c r="F42" s="13">
        <f t="shared" si="1"/>
        <v>10.994974050835939</v>
      </c>
      <c r="G42" s="14" t="e">
        <f>F42/$F$124*$D$2</f>
        <v>#DIV/0!</v>
      </c>
      <c r="H42" s="14" t="e">
        <f>F42/$F$124*$E$2</f>
        <v>#DIV/0!</v>
      </c>
      <c r="I42" s="25" t="str">
        <f t="shared" si="2"/>
        <v/>
      </c>
    </row>
    <row r="43" spans="1:9" hidden="1" x14ac:dyDescent="0.25">
      <c r="A43" s="3">
        <v>519</v>
      </c>
      <c r="B43" s="3">
        <v>113.3184716</v>
      </c>
      <c r="C43" s="3">
        <v>23.042460169999998</v>
      </c>
      <c r="D43" s="3">
        <v>24</v>
      </c>
      <c r="E43" s="13">
        <f t="shared" si="0"/>
        <v>8.9344481083257227E-3</v>
      </c>
      <c r="F43" s="13">
        <f t="shared" si="1"/>
        <v>10.579524158342341</v>
      </c>
      <c r="G43" s="14" t="e">
        <f>F43/$F$124*$D$2</f>
        <v>#DIV/0!</v>
      </c>
      <c r="H43" s="14" t="e">
        <f>F43/$F$124*$E$2</f>
        <v>#DIV/0!</v>
      </c>
      <c r="I43" s="25" t="str">
        <f t="shared" si="2"/>
        <v/>
      </c>
    </row>
    <row r="44" spans="1:9" x14ac:dyDescent="0.25">
      <c r="A44" s="3"/>
      <c r="B44" s="3"/>
      <c r="C44" s="3"/>
      <c r="D44" s="3"/>
      <c r="G44" s="14"/>
      <c r="H44" s="14"/>
    </row>
    <row r="45" spans="1:9" x14ac:dyDescent="0.25">
      <c r="A45" s="3"/>
      <c r="B45" s="3"/>
      <c r="C45" s="3"/>
      <c r="D45" s="3"/>
      <c r="F45" s="13">
        <f>SUBTOTAL(9,F5:F43)</f>
        <v>218.03691697985158</v>
      </c>
      <c r="G45" s="13">
        <f t="shared" ref="G45:H45" si="3">SUBTOTAL(9,G5:G43)</f>
        <v>0</v>
      </c>
      <c r="H45" s="13">
        <f t="shared" si="3"/>
        <v>1784.9999999999998</v>
      </c>
    </row>
    <row r="46" spans="1:9" x14ac:dyDescent="0.25">
      <c r="A46" s="3"/>
      <c r="B46" s="3"/>
      <c r="C46" s="3"/>
      <c r="D46" s="3"/>
      <c r="G46" s="14"/>
      <c r="H46" s="14"/>
    </row>
    <row r="47" spans="1:9" x14ac:dyDescent="0.25">
      <c r="A47" s="3"/>
      <c r="B47" s="3"/>
      <c r="C47" s="3"/>
      <c r="D47" s="3"/>
      <c r="G47" s="14"/>
      <c r="H47" s="14"/>
    </row>
    <row r="48" spans="1:9" x14ac:dyDescent="0.25">
      <c r="A48" s="3"/>
      <c r="B48" s="3"/>
      <c r="C48" s="3"/>
      <c r="D48" s="3"/>
      <c r="G48" s="14"/>
      <c r="H48" s="14"/>
    </row>
    <row r="49" spans="1:8" x14ac:dyDescent="0.25">
      <c r="A49" s="3"/>
      <c r="B49" s="3"/>
      <c r="C49" s="3"/>
      <c r="D49" s="3"/>
      <c r="G49" s="14"/>
      <c r="H49" s="14"/>
    </row>
    <row r="50" spans="1:8" x14ac:dyDescent="0.25">
      <c r="A50" s="3"/>
      <c r="B50" s="3"/>
      <c r="C50" s="3"/>
      <c r="D50" s="3"/>
      <c r="G50" s="14"/>
      <c r="H50" s="14"/>
    </row>
    <row r="51" spans="1:8" x14ac:dyDescent="0.25">
      <c r="A51" s="3"/>
      <c r="B51" s="3"/>
      <c r="C51" s="3"/>
      <c r="D51" s="3"/>
      <c r="G51" s="14"/>
      <c r="H51" s="14"/>
    </row>
    <row r="52" spans="1:8" x14ac:dyDescent="0.25">
      <c r="A52" s="3"/>
      <c r="B52" s="3"/>
      <c r="C52" s="3"/>
      <c r="D52" s="3"/>
      <c r="G52" s="14"/>
      <c r="H52" s="14"/>
    </row>
    <row r="53" spans="1:8" x14ac:dyDescent="0.25">
      <c r="A53" s="3"/>
      <c r="B53" s="3"/>
      <c r="C53" s="3"/>
      <c r="D53" s="3"/>
      <c r="G53" s="14"/>
      <c r="H53" s="14"/>
    </row>
    <row r="54" spans="1:8" x14ac:dyDescent="0.25">
      <c r="A54" s="3"/>
      <c r="B54" s="3"/>
      <c r="C54" s="3"/>
      <c r="D54" s="3"/>
      <c r="G54" s="14"/>
      <c r="H54" s="14"/>
    </row>
    <row r="55" spans="1:8" x14ac:dyDescent="0.25">
      <c r="A55" s="3"/>
      <c r="B55" s="3"/>
      <c r="C55" s="3"/>
      <c r="D55" s="3"/>
      <c r="G55" s="14"/>
      <c r="H55" s="14"/>
    </row>
    <row r="56" spans="1:8" x14ac:dyDescent="0.25">
      <c r="A56" s="3"/>
      <c r="B56" s="3"/>
      <c r="C56" s="3"/>
      <c r="D56" s="3"/>
      <c r="G56" s="14"/>
      <c r="H56" s="14"/>
    </row>
    <row r="57" spans="1:8" x14ac:dyDescent="0.25">
      <c r="A57" s="3"/>
      <c r="B57" s="3"/>
      <c r="C57" s="3"/>
      <c r="D57" s="3"/>
      <c r="G57" s="14"/>
      <c r="H57" s="14"/>
    </row>
    <row r="58" spans="1:8" x14ac:dyDescent="0.25">
      <c r="A58" s="3"/>
      <c r="B58" s="3"/>
      <c r="C58" s="3"/>
      <c r="D58" s="3"/>
      <c r="G58" s="14"/>
      <c r="H58" s="14"/>
    </row>
    <row r="59" spans="1:8" x14ac:dyDescent="0.25">
      <c r="A59" s="3"/>
      <c r="B59" s="3"/>
      <c r="C59" s="3"/>
      <c r="D59" s="3"/>
      <c r="G59" s="14"/>
      <c r="H59" s="14"/>
    </row>
    <row r="60" spans="1:8" x14ac:dyDescent="0.25">
      <c r="A60" s="3"/>
      <c r="B60" s="3"/>
      <c r="C60" s="3"/>
      <c r="D60" s="3"/>
      <c r="G60" s="14"/>
      <c r="H60" s="14"/>
    </row>
    <row r="61" spans="1:8" x14ac:dyDescent="0.25">
      <c r="A61" s="3"/>
      <c r="B61" s="3"/>
      <c r="C61" s="3"/>
      <c r="D61" s="3"/>
      <c r="G61" s="14"/>
      <c r="H61" s="14"/>
    </row>
    <row r="62" spans="1:8" x14ac:dyDescent="0.25">
      <c r="A62" s="3"/>
      <c r="B62" s="3"/>
      <c r="C62" s="3"/>
      <c r="D62" s="3"/>
      <c r="G62" s="14"/>
      <c r="H62" s="14"/>
    </row>
    <row r="63" spans="1:8" x14ac:dyDescent="0.25">
      <c r="A63" s="3"/>
      <c r="B63" s="3"/>
      <c r="C63" s="3"/>
      <c r="D63" s="3"/>
      <c r="G63" s="14"/>
      <c r="H63" s="14"/>
    </row>
    <row r="64" spans="1:8" x14ac:dyDescent="0.25">
      <c r="A64" s="3"/>
      <c r="B64" s="3"/>
      <c r="C64" s="3"/>
      <c r="D64" s="3"/>
      <c r="G64" s="14"/>
      <c r="H64" s="14"/>
    </row>
    <row r="65" spans="1:8" x14ac:dyDescent="0.25">
      <c r="A65" s="3"/>
      <c r="B65" s="3"/>
      <c r="C65" s="3"/>
      <c r="D65" s="3"/>
      <c r="G65" s="14"/>
      <c r="H65" s="14"/>
    </row>
    <row r="66" spans="1:8" x14ac:dyDescent="0.25">
      <c r="A66" s="3"/>
      <c r="B66" s="3"/>
      <c r="C66" s="3"/>
      <c r="D66" s="3"/>
      <c r="G66" s="14"/>
      <c r="H66" s="14"/>
    </row>
    <row r="67" spans="1:8" x14ac:dyDescent="0.25">
      <c r="A67" s="3"/>
      <c r="B67" s="3"/>
      <c r="C67" s="3"/>
      <c r="D67" s="3"/>
      <c r="G67" s="14"/>
      <c r="H67" s="14"/>
    </row>
    <row r="68" spans="1:8" x14ac:dyDescent="0.25">
      <c r="A68" s="3"/>
      <c r="B68" s="3"/>
      <c r="C68" s="3"/>
      <c r="D68" s="3"/>
      <c r="G68" s="14"/>
      <c r="H68" s="14"/>
    </row>
    <row r="69" spans="1:8" x14ac:dyDescent="0.25">
      <c r="A69" s="3"/>
      <c r="B69" s="3"/>
      <c r="C69" s="3"/>
      <c r="D69" s="3"/>
      <c r="G69" s="14"/>
      <c r="H69" s="14"/>
    </row>
    <row r="70" spans="1:8" x14ac:dyDescent="0.25">
      <c r="A70" s="3"/>
      <c r="B70" s="3"/>
      <c r="C70" s="3"/>
      <c r="D70" s="3"/>
      <c r="G70" s="14"/>
      <c r="H70" s="14"/>
    </row>
    <row r="71" spans="1:8" x14ac:dyDescent="0.25">
      <c r="A71" s="3"/>
      <c r="B71" s="3"/>
      <c r="C71" s="3"/>
      <c r="D71" s="3"/>
      <c r="G71" s="14"/>
      <c r="H71" s="14"/>
    </row>
    <row r="72" spans="1:8" x14ac:dyDescent="0.25">
      <c r="A72" s="3"/>
      <c r="B72" s="3"/>
      <c r="C72" s="3"/>
      <c r="D72" s="3"/>
      <c r="G72" s="14"/>
      <c r="H72" s="14"/>
    </row>
    <row r="73" spans="1:8" x14ac:dyDescent="0.25">
      <c r="A73" s="3"/>
      <c r="B73" s="3"/>
      <c r="C73" s="3"/>
      <c r="D73" s="3"/>
      <c r="G73" s="14"/>
      <c r="H73" s="14"/>
    </row>
    <row r="74" spans="1:8" x14ac:dyDescent="0.25">
      <c r="A74" s="3"/>
      <c r="B74" s="3"/>
      <c r="C74" s="3"/>
      <c r="D74" s="3"/>
      <c r="G74" s="14"/>
      <c r="H74" s="14"/>
    </row>
    <row r="75" spans="1:8" x14ac:dyDescent="0.25">
      <c r="A75" s="3"/>
      <c r="B75" s="3"/>
      <c r="C75" s="3"/>
      <c r="D75" s="3"/>
      <c r="G75" s="14"/>
      <c r="H75" s="14"/>
    </row>
    <row r="76" spans="1:8" x14ac:dyDescent="0.25">
      <c r="A76" s="3"/>
      <c r="B76" s="3"/>
      <c r="C76" s="3"/>
      <c r="D76" s="3"/>
      <c r="G76" s="14"/>
      <c r="H76" s="14"/>
    </row>
    <row r="77" spans="1:8" x14ac:dyDescent="0.25">
      <c r="A77" s="3"/>
      <c r="B77" s="3"/>
      <c r="C77" s="3"/>
      <c r="D77" s="3"/>
      <c r="G77" s="14"/>
      <c r="H77" s="14"/>
    </row>
    <row r="78" spans="1:8" x14ac:dyDescent="0.25">
      <c r="A78" s="3"/>
      <c r="B78" s="3"/>
      <c r="C78" s="3"/>
      <c r="D78" s="3"/>
      <c r="G78" s="14"/>
      <c r="H78" s="14"/>
    </row>
    <row r="79" spans="1:8" x14ac:dyDescent="0.25">
      <c r="A79" s="3"/>
      <c r="B79" s="3"/>
      <c r="C79" s="3"/>
      <c r="D79" s="3"/>
      <c r="G79" s="14"/>
      <c r="H79" s="14"/>
    </row>
    <row r="80" spans="1:8" x14ac:dyDescent="0.25">
      <c r="A80" s="3"/>
      <c r="B80" s="3"/>
      <c r="C80" s="3"/>
      <c r="D80" s="3"/>
      <c r="G80" s="14"/>
      <c r="H80" s="14"/>
    </row>
    <row r="81" spans="1:8" x14ac:dyDescent="0.25">
      <c r="A81" s="3"/>
      <c r="B81" s="3"/>
      <c r="C81" s="3"/>
      <c r="D81" s="3"/>
      <c r="G81" s="14"/>
      <c r="H81" s="14"/>
    </row>
    <row r="82" spans="1:8" x14ac:dyDescent="0.25">
      <c r="A82" s="3"/>
      <c r="B82" s="3"/>
      <c r="C82" s="3"/>
      <c r="D82" s="3"/>
      <c r="G82" s="14"/>
      <c r="H82" s="14"/>
    </row>
    <row r="83" spans="1:8" x14ac:dyDescent="0.25">
      <c r="A83" s="3"/>
      <c r="B83" s="3"/>
      <c r="C83" s="3"/>
      <c r="D83" s="3"/>
      <c r="G83" s="14"/>
      <c r="H83" s="14"/>
    </row>
    <row r="84" spans="1:8" x14ac:dyDescent="0.25">
      <c r="A84" s="3"/>
      <c r="B84" s="3"/>
      <c r="C84" s="3"/>
      <c r="D84" s="3"/>
      <c r="G84" s="14"/>
      <c r="H84" s="14"/>
    </row>
    <row r="85" spans="1:8" x14ac:dyDescent="0.25">
      <c r="A85" s="3"/>
      <c r="B85" s="3"/>
      <c r="C85" s="3"/>
      <c r="D85" s="3"/>
      <c r="G85" s="14"/>
      <c r="H85" s="14"/>
    </row>
    <row r="86" spans="1:8" x14ac:dyDescent="0.25">
      <c r="A86" s="3"/>
      <c r="B86" s="3"/>
      <c r="C86" s="3"/>
      <c r="D86" s="3"/>
      <c r="G86" s="14"/>
      <c r="H86" s="14"/>
    </row>
    <row r="87" spans="1:8" x14ac:dyDescent="0.25">
      <c r="A87" s="3"/>
      <c r="B87" s="3"/>
      <c r="C87" s="3"/>
      <c r="D87" s="3"/>
      <c r="G87" s="14"/>
      <c r="H87" s="14"/>
    </row>
    <row r="88" spans="1:8" x14ac:dyDescent="0.25">
      <c r="A88" s="3"/>
      <c r="B88" s="3"/>
      <c r="C88" s="3"/>
      <c r="D88" s="3"/>
      <c r="G88" s="14"/>
      <c r="H88" s="14"/>
    </row>
    <row r="89" spans="1:8" x14ac:dyDescent="0.25">
      <c r="A89" s="3"/>
      <c r="B89" s="3"/>
      <c r="C89" s="3"/>
      <c r="D89" s="3"/>
      <c r="G89" s="14"/>
      <c r="H89" s="14"/>
    </row>
    <row r="90" spans="1:8" x14ac:dyDescent="0.25">
      <c r="A90" s="3"/>
      <c r="B90" s="3"/>
      <c r="C90" s="3"/>
      <c r="D90" s="3"/>
      <c r="G90" s="14"/>
      <c r="H90" s="14"/>
    </row>
    <row r="91" spans="1:8" x14ac:dyDescent="0.25">
      <c r="A91" s="3"/>
      <c r="B91" s="3"/>
      <c r="C91" s="3"/>
      <c r="D91" s="3"/>
      <c r="G91" s="14"/>
      <c r="H91" s="14"/>
    </row>
    <row r="92" spans="1:8" x14ac:dyDescent="0.25">
      <c r="A92" s="3"/>
      <c r="B92" s="3"/>
      <c r="C92" s="3"/>
      <c r="D92" s="3"/>
      <c r="G92" s="14"/>
      <c r="H92" s="14"/>
    </row>
    <row r="93" spans="1:8" x14ac:dyDescent="0.25">
      <c r="A93" s="3"/>
      <c r="B93" s="3"/>
      <c r="C93" s="3"/>
      <c r="D93" s="3"/>
      <c r="G93" s="14"/>
      <c r="H93" s="14"/>
    </row>
    <row r="94" spans="1:8" x14ac:dyDescent="0.25">
      <c r="A94" s="3"/>
      <c r="B94" s="3"/>
      <c r="C94" s="3"/>
      <c r="D94" s="3"/>
      <c r="G94" s="14"/>
      <c r="H94" s="14"/>
    </row>
    <row r="95" spans="1:8" x14ac:dyDescent="0.25">
      <c r="A95" s="3"/>
      <c r="B95" s="3"/>
      <c r="C95" s="3"/>
      <c r="D95" s="3"/>
      <c r="G95" s="14"/>
      <c r="H95" s="14"/>
    </row>
    <row r="96" spans="1:8" x14ac:dyDescent="0.25">
      <c r="A96" s="3"/>
      <c r="B96" s="3"/>
      <c r="C96" s="3"/>
      <c r="D96" s="3"/>
      <c r="G96" s="14"/>
      <c r="H96" s="14"/>
    </row>
    <row r="97" spans="1:8" x14ac:dyDescent="0.25">
      <c r="A97" s="3"/>
      <c r="B97" s="3"/>
      <c r="C97" s="3"/>
      <c r="D97" s="3"/>
      <c r="G97" s="14"/>
      <c r="H97" s="14"/>
    </row>
    <row r="98" spans="1:8" x14ac:dyDescent="0.25">
      <c r="A98" s="3"/>
      <c r="B98" s="3"/>
      <c r="C98" s="3"/>
      <c r="D98" s="3"/>
      <c r="G98" s="14"/>
      <c r="H98" s="14"/>
    </row>
    <row r="99" spans="1:8" x14ac:dyDescent="0.25">
      <c r="A99" s="3"/>
      <c r="B99" s="3"/>
      <c r="C99" s="3"/>
      <c r="D99" s="3"/>
      <c r="G99" s="14"/>
      <c r="H99" s="14"/>
    </row>
    <row r="100" spans="1:8" x14ac:dyDescent="0.25">
      <c r="A100" s="3"/>
      <c r="B100" s="3"/>
      <c r="C100" s="3"/>
      <c r="D100" s="3"/>
      <c r="G100" s="14"/>
      <c r="H100" s="14"/>
    </row>
    <row r="101" spans="1:8" x14ac:dyDescent="0.25">
      <c r="A101" s="3"/>
      <c r="B101" s="3"/>
      <c r="C101" s="3"/>
      <c r="D101" s="3"/>
      <c r="G101" s="14"/>
      <c r="H101" s="14"/>
    </row>
    <row r="102" spans="1:8" x14ac:dyDescent="0.25">
      <c r="A102" s="3"/>
      <c r="B102" s="3"/>
      <c r="C102" s="3"/>
      <c r="D102" s="3"/>
      <c r="G102" s="14"/>
      <c r="H102" s="14"/>
    </row>
    <row r="103" spans="1:8" x14ac:dyDescent="0.25">
      <c r="A103" s="3"/>
      <c r="B103" s="3"/>
      <c r="C103" s="3"/>
      <c r="D103" s="3"/>
      <c r="G103" s="14"/>
      <c r="H103" s="14"/>
    </row>
    <row r="104" spans="1:8" x14ac:dyDescent="0.25">
      <c r="A104" s="3"/>
      <c r="B104" s="3"/>
      <c r="C104" s="3"/>
      <c r="D104" s="3"/>
      <c r="G104" s="14"/>
      <c r="H104" s="14"/>
    </row>
    <row r="105" spans="1:8" x14ac:dyDescent="0.25">
      <c r="A105" s="3"/>
      <c r="B105" s="3"/>
      <c r="C105" s="3"/>
      <c r="D105" s="3"/>
      <c r="G105" s="14"/>
      <c r="H105" s="14"/>
    </row>
    <row r="106" spans="1:8" x14ac:dyDescent="0.25">
      <c r="A106" s="3"/>
      <c r="B106" s="3"/>
      <c r="C106" s="3"/>
      <c r="D106" s="3"/>
      <c r="G106" s="14"/>
      <c r="H106" s="14"/>
    </row>
    <row r="107" spans="1:8" x14ac:dyDescent="0.25">
      <c r="A107" s="3"/>
      <c r="B107" s="3"/>
      <c r="C107" s="3"/>
      <c r="D107" s="3"/>
      <c r="G107" s="14"/>
      <c r="H107" s="14"/>
    </row>
    <row r="108" spans="1:8" x14ac:dyDescent="0.25">
      <c r="A108" s="3"/>
      <c r="B108" s="3"/>
      <c r="C108" s="3"/>
      <c r="D108" s="3"/>
      <c r="G108" s="14"/>
      <c r="H108" s="14"/>
    </row>
    <row r="109" spans="1:8" x14ac:dyDescent="0.25">
      <c r="A109" s="3"/>
      <c r="B109" s="3"/>
      <c r="C109" s="3"/>
      <c r="D109" s="3"/>
      <c r="G109" s="14"/>
      <c r="H109" s="14"/>
    </row>
    <row r="110" spans="1:8" x14ac:dyDescent="0.25">
      <c r="A110" s="3"/>
      <c r="B110" s="3"/>
      <c r="C110" s="3"/>
      <c r="D110" s="3"/>
      <c r="G110" s="14"/>
      <c r="H110" s="14"/>
    </row>
    <row r="111" spans="1:8" x14ac:dyDescent="0.25">
      <c r="A111" s="3"/>
      <c r="B111" s="3"/>
      <c r="C111" s="3"/>
      <c r="D111" s="3"/>
      <c r="G111" s="14"/>
      <c r="H111" s="14"/>
    </row>
    <row r="112" spans="1:8" x14ac:dyDescent="0.25">
      <c r="A112" s="3"/>
      <c r="B112" s="3"/>
      <c r="C112" s="3"/>
      <c r="D112" s="3"/>
      <c r="G112" s="14"/>
      <c r="H112" s="14"/>
    </row>
    <row r="113" spans="1:8" x14ac:dyDescent="0.25">
      <c r="A113" s="3"/>
      <c r="B113" s="3"/>
      <c r="C113" s="3"/>
      <c r="D113" s="3"/>
      <c r="G113" s="14"/>
      <c r="H113" s="14"/>
    </row>
    <row r="114" spans="1:8" x14ac:dyDescent="0.25">
      <c r="A114" s="3"/>
      <c r="B114" s="3"/>
      <c r="C114" s="3"/>
      <c r="D114" s="3"/>
      <c r="G114" s="14"/>
      <c r="H114" s="14"/>
    </row>
    <row r="115" spans="1:8" x14ac:dyDescent="0.25">
      <c r="A115" s="3"/>
      <c r="B115" s="3"/>
      <c r="C115" s="3"/>
      <c r="D115" s="3"/>
      <c r="G115" s="14"/>
      <c r="H115" s="14"/>
    </row>
    <row r="116" spans="1:8" x14ac:dyDescent="0.25">
      <c r="A116" s="3"/>
      <c r="B116" s="3"/>
      <c r="C116" s="3"/>
      <c r="D116" s="3"/>
      <c r="G116" s="14"/>
      <c r="H116" s="14"/>
    </row>
    <row r="117" spans="1:8" x14ac:dyDescent="0.25">
      <c r="A117" s="3"/>
      <c r="B117" s="3"/>
      <c r="C117" s="3"/>
      <c r="D117" s="3"/>
      <c r="G117" s="14"/>
      <c r="H117" s="14"/>
    </row>
    <row r="118" spans="1:8" x14ac:dyDescent="0.25">
      <c r="A118" s="3"/>
      <c r="B118" s="3"/>
      <c r="C118" s="3"/>
      <c r="D118" s="3"/>
      <c r="G118" s="14"/>
      <c r="H118" s="14"/>
    </row>
    <row r="119" spans="1:8" x14ac:dyDescent="0.25">
      <c r="A119" s="3"/>
      <c r="B119" s="3"/>
      <c r="C119" s="3"/>
      <c r="D119" s="3"/>
      <c r="G119" s="14"/>
      <c r="H119" s="14"/>
    </row>
    <row r="120" spans="1:8" x14ac:dyDescent="0.25">
      <c r="A120" s="3"/>
      <c r="B120" s="3"/>
      <c r="C120" s="3"/>
      <c r="D120" s="3"/>
      <c r="G120" s="14"/>
      <c r="H120" s="14"/>
    </row>
    <row r="121" spans="1:8" x14ac:dyDescent="0.25">
      <c r="A121" s="3"/>
      <c r="B121" s="3"/>
      <c r="C121" s="3"/>
      <c r="D121" s="3"/>
      <c r="G121" s="14"/>
      <c r="H121" s="14"/>
    </row>
    <row r="122" spans="1:8" x14ac:dyDescent="0.25">
      <c r="A122" s="3"/>
      <c r="B122" s="3"/>
      <c r="C122" s="3"/>
      <c r="D122" s="3"/>
      <c r="G122" s="14"/>
      <c r="H122" s="14"/>
    </row>
    <row r="123" spans="1:8" x14ac:dyDescent="0.25">
      <c r="A123" s="3"/>
      <c r="B123" s="3"/>
      <c r="C123" s="3"/>
      <c r="D123" s="3"/>
      <c r="G123" s="14"/>
      <c r="H123" s="14"/>
    </row>
    <row r="124" spans="1:8" x14ac:dyDescent="0.25">
      <c r="A124" s="3"/>
      <c r="B124" s="3"/>
      <c r="C124" s="3"/>
      <c r="D124" s="3"/>
      <c r="G124" s="14"/>
      <c r="H124" s="14"/>
    </row>
    <row r="125" spans="1:8" x14ac:dyDescent="0.25">
      <c r="A125" s="3"/>
      <c r="B125" s="3"/>
      <c r="C125" s="3"/>
      <c r="D125" s="3"/>
      <c r="G125" s="14"/>
      <c r="H125" s="14"/>
    </row>
    <row r="126" spans="1:8" x14ac:dyDescent="0.25">
      <c r="A126" s="18"/>
      <c r="B126" s="3"/>
      <c r="C126" s="3"/>
      <c r="D126" s="3"/>
      <c r="G126" s="14"/>
      <c r="H126" s="14"/>
    </row>
    <row r="127" spans="1:8" x14ac:dyDescent="0.25">
      <c r="A127" s="3"/>
      <c r="B127" s="3"/>
      <c r="C127" s="3"/>
      <c r="D127" s="3"/>
      <c r="G127" s="14"/>
      <c r="H127" s="14"/>
    </row>
    <row r="128" spans="1:8" x14ac:dyDescent="0.25">
      <c r="A128" s="3"/>
      <c r="B128" s="3"/>
      <c r="C128" s="3"/>
      <c r="D128" s="3"/>
      <c r="G128" s="14"/>
      <c r="H128" s="14"/>
    </row>
    <row r="129" spans="1:8" x14ac:dyDescent="0.25">
      <c r="A129" s="3"/>
      <c r="B129" s="3"/>
      <c r="C129" s="3"/>
      <c r="D129" s="3"/>
      <c r="G129" s="14"/>
      <c r="H129" s="14"/>
    </row>
    <row r="130" spans="1:8" x14ac:dyDescent="0.25">
      <c r="A130" s="3"/>
      <c r="B130" s="3"/>
      <c r="C130" s="3"/>
      <c r="D130" s="3"/>
      <c r="G130" s="14"/>
      <c r="H130" s="14"/>
    </row>
    <row r="131" spans="1:8" x14ac:dyDescent="0.25">
      <c r="A131" s="3"/>
      <c r="B131" s="3"/>
      <c r="C131" s="3"/>
      <c r="D131" s="3"/>
      <c r="G131" s="14"/>
      <c r="H131" s="14"/>
    </row>
    <row r="132" spans="1:8" x14ac:dyDescent="0.25">
      <c r="A132" s="3"/>
      <c r="B132" s="3"/>
      <c r="C132" s="3"/>
      <c r="D132" s="3"/>
      <c r="G132" s="14"/>
      <c r="H132" s="14"/>
    </row>
    <row r="133" spans="1:8" x14ac:dyDescent="0.25">
      <c r="A133" s="3"/>
      <c r="B133" s="3"/>
      <c r="C133" s="3"/>
      <c r="D133" s="3"/>
      <c r="G133" s="14"/>
      <c r="H133" s="14"/>
    </row>
    <row r="134" spans="1:8" x14ac:dyDescent="0.25">
      <c r="A134" s="3"/>
      <c r="B134" s="3"/>
      <c r="C134" s="3"/>
      <c r="D134" s="3"/>
      <c r="G134" s="14"/>
      <c r="H134" s="14"/>
    </row>
    <row r="135" spans="1:8" x14ac:dyDescent="0.25">
      <c r="A135" s="3"/>
      <c r="B135" s="3"/>
      <c r="C135" s="3"/>
      <c r="D135" s="3"/>
      <c r="G135" s="14"/>
      <c r="H135" s="14"/>
    </row>
    <row r="136" spans="1:8" x14ac:dyDescent="0.25">
      <c r="A136" s="3"/>
      <c r="B136" s="3"/>
      <c r="C136" s="3"/>
      <c r="D136" s="3"/>
      <c r="G136" s="14"/>
      <c r="H136" s="14"/>
    </row>
    <row r="137" spans="1:8" x14ac:dyDescent="0.25">
      <c r="A137" s="3"/>
      <c r="B137" s="3"/>
      <c r="C137" s="3"/>
      <c r="D137" s="3"/>
      <c r="G137" s="14"/>
      <c r="H137" s="14"/>
    </row>
    <row r="138" spans="1:8" x14ac:dyDescent="0.25">
      <c r="A138" s="3"/>
      <c r="B138" s="3"/>
      <c r="C138" s="3"/>
      <c r="D138" s="3"/>
      <c r="G138" s="14"/>
      <c r="H138" s="14"/>
    </row>
    <row r="139" spans="1:8" x14ac:dyDescent="0.25">
      <c r="A139" s="3"/>
      <c r="B139" s="3"/>
      <c r="C139" s="3"/>
      <c r="D139" s="3"/>
      <c r="G139" s="14"/>
      <c r="H139" s="14"/>
    </row>
    <row r="140" spans="1:8" x14ac:dyDescent="0.25">
      <c r="A140" s="3"/>
      <c r="B140" s="3"/>
      <c r="C140" s="3"/>
      <c r="D140" s="3"/>
      <c r="G140" s="14"/>
      <c r="H140" s="14"/>
    </row>
    <row r="141" spans="1:8" x14ac:dyDescent="0.25">
      <c r="A141" s="3"/>
      <c r="B141" s="3"/>
      <c r="C141" s="3"/>
      <c r="D141" s="3"/>
      <c r="G141" s="14"/>
      <c r="H141" s="14"/>
    </row>
    <row r="142" spans="1:8" x14ac:dyDescent="0.25">
      <c r="A142" s="3"/>
      <c r="B142" s="3"/>
      <c r="C142" s="3"/>
      <c r="D142" s="3"/>
      <c r="G142" s="14"/>
      <c r="H142" s="14"/>
    </row>
    <row r="143" spans="1:8" x14ac:dyDescent="0.25">
      <c r="A143" s="3"/>
      <c r="B143" s="3"/>
      <c r="C143" s="3"/>
      <c r="D143" s="3"/>
      <c r="G143" s="14"/>
      <c r="H143" s="14"/>
    </row>
    <row r="144" spans="1:8" x14ac:dyDescent="0.25">
      <c r="A144" s="3"/>
      <c r="B144" s="3"/>
      <c r="C144" s="3"/>
      <c r="D144" s="3"/>
      <c r="G144" s="14"/>
      <c r="H144" s="14"/>
    </row>
    <row r="145" spans="1:8" x14ac:dyDescent="0.25">
      <c r="A145" s="3"/>
      <c r="B145" s="3"/>
      <c r="C145" s="3"/>
      <c r="D145" s="3"/>
      <c r="G145" s="14"/>
      <c r="H145" s="14"/>
    </row>
    <row r="146" spans="1:8" x14ac:dyDescent="0.25">
      <c r="A146" s="3"/>
      <c r="B146" s="3"/>
      <c r="C146" s="3"/>
      <c r="D146" s="3"/>
      <c r="G146" s="14"/>
      <c r="H146" s="14"/>
    </row>
    <row r="147" spans="1:8" x14ac:dyDescent="0.25">
      <c r="A147" s="3"/>
      <c r="B147" s="3"/>
      <c r="C147" s="3"/>
      <c r="D147" s="3"/>
      <c r="G147" s="14"/>
      <c r="H147" s="14"/>
    </row>
    <row r="148" spans="1:8" x14ac:dyDescent="0.25">
      <c r="A148" s="3"/>
      <c r="B148" s="3"/>
      <c r="C148" s="3"/>
      <c r="D148" s="3"/>
      <c r="G148" s="14"/>
      <c r="H148" s="14"/>
    </row>
    <row r="149" spans="1:8" x14ac:dyDescent="0.25">
      <c r="A149" s="3"/>
      <c r="B149" s="3"/>
      <c r="C149" s="3"/>
      <c r="D149" s="3"/>
      <c r="G149" s="14"/>
      <c r="H149" s="14"/>
    </row>
    <row r="150" spans="1:8" x14ac:dyDescent="0.25">
      <c r="A150" s="3"/>
      <c r="B150" s="3"/>
      <c r="C150" s="3"/>
      <c r="D150" s="3"/>
      <c r="G150" s="14"/>
      <c r="H150" s="14"/>
    </row>
    <row r="151" spans="1:8" x14ac:dyDescent="0.25">
      <c r="A151" s="3"/>
      <c r="B151" s="3"/>
      <c r="C151" s="3"/>
      <c r="D151" s="3"/>
      <c r="G151" s="14"/>
      <c r="H151" s="14"/>
    </row>
    <row r="152" spans="1:8" x14ac:dyDescent="0.25">
      <c r="A152" s="3"/>
      <c r="B152" s="3"/>
      <c r="C152" s="3"/>
      <c r="D152" s="3"/>
      <c r="G152" s="14"/>
      <c r="H152" s="14"/>
    </row>
    <row r="153" spans="1:8" x14ac:dyDescent="0.25">
      <c r="A153" s="3"/>
      <c r="B153" s="3"/>
      <c r="C153" s="3"/>
      <c r="D153" s="3"/>
      <c r="G153" s="14"/>
      <c r="H153" s="14"/>
    </row>
    <row r="154" spans="1:8" x14ac:dyDescent="0.25">
      <c r="A154" s="3"/>
      <c r="B154" s="3"/>
      <c r="C154" s="3"/>
      <c r="D154" s="3"/>
      <c r="G154" s="14"/>
      <c r="H154" s="14"/>
    </row>
    <row r="155" spans="1:8" x14ac:dyDescent="0.25">
      <c r="A155" s="3"/>
      <c r="B155" s="3"/>
      <c r="C155" s="3"/>
      <c r="D155" s="3"/>
      <c r="G155" s="14"/>
      <c r="H155" s="14"/>
    </row>
    <row r="156" spans="1:8" x14ac:dyDescent="0.25">
      <c r="A156" s="3"/>
      <c r="B156" s="3"/>
      <c r="C156" s="3"/>
      <c r="D156" s="3"/>
      <c r="G156" s="14"/>
      <c r="H156" s="14"/>
    </row>
    <row r="157" spans="1:8" x14ac:dyDescent="0.25">
      <c r="A157" s="3"/>
      <c r="B157" s="3"/>
      <c r="C157" s="3"/>
      <c r="D157" s="3"/>
      <c r="G157" s="14"/>
      <c r="H157" s="14"/>
    </row>
    <row r="158" spans="1:8" x14ac:dyDescent="0.25">
      <c r="A158" s="3"/>
      <c r="B158" s="3"/>
      <c r="C158" s="3"/>
      <c r="D158" s="3"/>
      <c r="G158" s="14"/>
      <c r="H158" s="14"/>
    </row>
    <row r="159" spans="1:8" x14ac:dyDescent="0.25">
      <c r="A159" s="3"/>
      <c r="B159" s="3"/>
      <c r="C159" s="3"/>
      <c r="D159" s="3"/>
      <c r="G159" s="14"/>
      <c r="H159" s="14"/>
    </row>
    <row r="160" spans="1:8" x14ac:dyDescent="0.25">
      <c r="A160" s="3"/>
      <c r="B160" s="3"/>
      <c r="C160" s="3"/>
      <c r="D160" s="3"/>
      <c r="G160" s="14"/>
      <c r="H160" s="14"/>
    </row>
    <row r="161" spans="1:8" x14ac:dyDescent="0.25">
      <c r="A161" s="3"/>
      <c r="B161" s="3"/>
      <c r="C161" s="3"/>
      <c r="D161" s="3"/>
      <c r="G161" s="14"/>
      <c r="H161" s="14"/>
    </row>
    <row r="162" spans="1:8" x14ac:dyDescent="0.25">
      <c r="A162" s="3"/>
      <c r="B162" s="3"/>
      <c r="C162" s="3"/>
      <c r="D162" s="3"/>
      <c r="G162" s="14"/>
      <c r="H162" s="14"/>
    </row>
    <row r="163" spans="1:8" x14ac:dyDescent="0.25">
      <c r="A163" s="3"/>
      <c r="B163" s="3"/>
      <c r="C163" s="3"/>
      <c r="D163" s="3"/>
      <c r="G163" s="14"/>
      <c r="H163" s="14"/>
    </row>
    <row r="164" spans="1:8" x14ac:dyDescent="0.25">
      <c r="A164" s="3"/>
      <c r="B164" s="3"/>
      <c r="C164" s="3"/>
      <c r="D164" s="3"/>
      <c r="G164" s="14"/>
      <c r="H164" s="14"/>
    </row>
    <row r="165" spans="1:8" x14ac:dyDescent="0.25">
      <c r="A165" s="3"/>
      <c r="B165" s="3"/>
      <c r="C165" s="3"/>
      <c r="D165" s="3"/>
      <c r="G165" s="14"/>
      <c r="H165" s="14"/>
    </row>
    <row r="166" spans="1:8" x14ac:dyDescent="0.25">
      <c r="A166" s="3"/>
      <c r="B166" s="3"/>
      <c r="C166" s="3"/>
      <c r="D166" s="3"/>
      <c r="G166" s="14"/>
      <c r="H166" s="14"/>
    </row>
    <row r="167" spans="1:8" x14ac:dyDescent="0.25">
      <c r="A167" s="3"/>
      <c r="B167" s="3"/>
      <c r="C167" s="3"/>
      <c r="D167" s="3"/>
      <c r="G167" s="14"/>
      <c r="H167" s="14"/>
    </row>
    <row r="168" spans="1:8" x14ac:dyDescent="0.25">
      <c r="A168" s="3"/>
      <c r="B168" s="3"/>
      <c r="C168" s="3"/>
      <c r="D168" s="3"/>
      <c r="G168" s="14"/>
      <c r="H168" s="14"/>
    </row>
    <row r="169" spans="1:8" x14ac:dyDescent="0.25">
      <c r="A169" s="3"/>
      <c r="B169" s="3"/>
      <c r="C169" s="3"/>
      <c r="D169" s="3"/>
      <c r="G169" s="14"/>
      <c r="H169" s="14"/>
    </row>
    <row r="170" spans="1:8" x14ac:dyDescent="0.25">
      <c r="A170" s="3"/>
      <c r="B170" s="3"/>
      <c r="C170" s="3"/>
      <c r="D170" s="3"/>
      <c r="G170" s="14"/>
      <c r="H170" s="14"/>
    </row>
    <row r="171" spans="1:8" x14ac:dyDescent="0.25">
      <c r="A171" s="3"/>
      <c r="B171" s="3"/>
      <c r="C171" s="3"/>
      <c r="D171" s="3"/>
      <c r="G171" s="14"/>
      <c r="H171" s="14"/>
    </row>
    <row r="172" spans="1:8" x14ac:dyDescent="0.25">
      <c r="A172" s="3"/>
      <c r="B172" s="3"/>
      <c r="C172" s="3"/>
      <c r="D172" s="3"/>
      <c r="G172" s="14"/>
      <c r="H172" s="14"/>
    </row>
    <row r="173" spans="1:8" x14ac:dyDescent="0.25">
      <c r="A173" s="3"/>
      <c r="B173" s="3"/>
      <c r="C173" s="3"/>
      <c r="D173" s="3"/>
      <c r="G173" s="14"/>
      <c r="H173" s="14"/>
    </row>
    <row r="174" spans="1:8" x14ac:dyDescent="0.25">
      <c r="A174" s="3"/>
      <c r="B174" s="3"/>
      <c r="C174" s="3"/>
      <c r="D174" s="3"/>
      <c r="G174" s="14"/>
      <c r="H174" s="14"/>
    </row>
    <row r="175" spans="1:8" x14ac:dyDescent="0.25">
      <c r="A175" s="3"/>
      <c r="B175" s="3"/>
      <c r="C175" s="3"/>
      <c r="D175" s="3"/>
      <c r="G175" s="14"/>
      <c r="H175" s="14"/>
    </row>
    <row r="176" spans="1:8" x14ac:dyDescent="0.25">
      <c r="A176" s="3"/>
      <c r="B176" s="3"/>
      <c r="C176" s="3"/>
      <c r="D176" s="3"/>
      <c r="G176" s="14"/>
      <c r="H176" s="14"/>
    </row>
    <row r="177" spans="1:8" x14ac:dyDescent="0.25">
      <c r="A177" s="3"/>
      <c r="B177" s="3"/>
      <c r="C177" s="3"/>
      <c r="D177" s="3"/>
      <c r="G177" s="14"/>
      <c r="H177" s="14"/>
    </row>
    <row r="178" spans="1:8" x14ac:dyDescent="0.25">
      <c r="A178" s="3"/>
      <c r="B178" s="3"/>
      <c r="C178" s="3"/>
      <c r="D178" s="3"/>
      <c r="G178" s="14"/>
      <c r="H178" s="14"/>
    </row>
    <row r="179" spans="1:8" x14ac:dyDescent="0.25">
      <c r="A179" s="3"/>
      <c r="B179" s="3"/>
      <c r="C179" s="3"/>
      <c r="D179" s="3"/>
      <c r="G179" s="14"/>
      <c r="H179" s="14"/>
    </row>
    <row r="180" spans="1:8" x14ac:dyDescent="0.25">
      <c r="A180" s="3"/>
      <c r="B180" s="3"/>
      <c r="C180" s="3"/>
      <c r="D180" s="3"/>
      <c r="G180" s="14"/>
      <c r="H180" s="14"/>
    </row>
    <row r="181" spans="1:8" x14ac:dyDescent="0.25">
      <c r="A181" s="3"/>
      <c r="B181" s="3"/>
      <c r="C181" s="3"/>
      <c r="D181" s="3"/>
      <c r="G181" s="14"/>
      <c r="H181" s="14"/>
    </row>
    <row r="182" spans="1:8" x14ac:dyDescent="0.25">
      <c r="A182" s="3"/>
      <c r="B182" s="3"/>
      <c r="C182" s="3"/>
      <c r="D182" s="3"/>
      <c r="G182" s="14"/>
      <c r="H182" s="14"/>
    </row>
    <row r="183" spans="1:8" x14ac:dyDescent="0.25">
      <c r="A183" s="3"/>
      <c r="B183" s="3"/>
      <c r="C183" s="3"/>
      <c r="D183" s="3"/>
      <c r="G183" s="14"/>
      <c r="H183" s="14"/>
    </row>
    <row r="184" spans="1:8" x14ac:dyDescent="0.25">
      <c r="A184" s="3"/>
      <c r="B184" s="3"/>
      <c r="C184" s="3"/>
      <c r="D184" s="3"/>
      <c r="G184" s="14"/>
      <c r="H184" s="14"/>
    </row>
    <row r="185" spans="1:8" x14ac:dyDescent="0.25">
      <c r="A185" s="3"/>
      <c r="B185" s="3"/>
      <c r="C185" s="3"/>
      <c r="D185" s="3"/>
      <c r="G185" s="14"/>
      <c r="H185" s="14"/>
    </row>
    <row r="186" spans="1:8" x14ac:dyDescent="0.25">
      <c r="A186" s="3"/>
      <c r="B186" s="3"/>
      <c r="C186" s="3"/>
      <c r="D186" s="3"/>
      <c r="G186" s="14"/>
      <c r="H186" s="14"/>
    </row>
    <row r="187" spans="1:8" x14ac:dyDescent="0.25">
      <c r="A187" s="3"/>
      <c r="B187" s="3"/>
      <c r="C187" s="3"/>
      <c r="D187" s="3"/>
      <c r="G187" s="14"/>
      <c r="H187" s="14"/>
    </row>
    <row r="188" spans="1:8" x14ac:dyDescent="0.25">
      <c r="A188" s="3"/>
      <c r="B188" s="3"/>
      <c r="C188" s="3"/>
      <c r="D188" s="3"/>
      <c r="G188" s="14"/>
      <c r="H188" s="14"/>
    </row>
    <row r="189" spans="1:8" x14ac:dyDescent="0.25">
      <c r="A189" s="3"/>
      <c r="B189" s="3"/>
      <c r="C189" s="3"/>
      <c r="D189" s="3"/>
      <c r="G189" s="14"/>
      <c r="H189" s="14"/>
    </row>
    <row r="190" spans="1:8" x14ac:dyDescent="0.25">
      <c r="A190" s="3"/>
      <c r="B190" s="3"/>
      <c r="C190" s="3"/>
      <c r="D190" s="3"/>
      <c r="G190" s="14"/>
      <c r="H190" s="14"/>
    </row>
    <row r="191" spans="1:8" x14ac:dyDescent="0.25">
      <c r="A191" s="3"/>
      <c r="B191" s="3"/>
      <c r="C191" s="3"/>
      <c r="D191" s="3"/>
      <c r="G191" s="14"/>
      <c r="H191" s="14"/>
    </row>
    <row r="192" spans="1:8" x14ac:dyDescent="0.25">
      <c r="A192" s="3"/>
      <c r="B192" s="3"/>
      <c r="C192" s="3"/>
      <c r="D192" s="3"/>
      <c r="G192" s="14"/>
      <c r="H192" s="14"/>
    </row>
    <row r="193" spans="1:8" x14ac:dyDescent="0.25">
      <c r="A193" s="3"/>
      <c r="B193" s="3"/>
      <c r="C193" s="3"/>
      <c r="D193" s="3"/>
      <c r="G193" s="14"/>
      <c r="H193" s="14"/>
    </row>
    <row r="194" spans="1:8" x14ac:dyDescent="0.25">
      <c r="A194" s="3"/>
      <c r="B194" s="3"/>
      <c r="C194" s="3"/>
      <c r="D194" s="3"/>
      <c r="G194" s="14"/>
      <c r="H194" s="14"/>
    </row>
    <row r="195" spans="1:8" x14ac:dyDescent="0.25">
      <c r="A195" s="3"/>
      <c r="B195" s="3"/>
      <c r="C195" s="3"/>
      <c r="D195" s="3"/>
      <c r="G195" s="14"/>
      <c r="H195" s="14"/>
    </row>
    <row r="196" spans="1:8" x14ac:dyDescent="0.25">
      <c r="A196" s="3"/>
      <c r="B196" s="3"/>
      <c r="C196" s="3"/>
      <c r="D196" s="3"/>
      <c r="G196" s="14"/>
      <c r="H196" s="14"/>
    </row>
    <row r="197" spans="1:8" x14ac:dyDescent="0.25">
      <c r="A197" s="3"/>
      <c r="B197" s="3"/>
      <c r="C197" s="3"/>
      <c r="D197" s="3"/>
      <c r="G197" s="14"/>
      <c r="H197" s="14"/>
    </row>
    <row r="198" spans="1:8" x14ac:dyDescent="0.25">
      <c r="A198" s="3"/>
      <c r="B198" s="3"/>
      <c r="C198" s="3"/>
      <c r="D198" s="3"/>
      <c r="G198" s="14"/>
      <c r="H198" s="14"/>
    </row>
    <row r="199" spans="1:8" x14ac:dyDescent="0.25">
      <c r="A199" s="3"/>
      <c r="B199" s="3"/>
      <c r="C199" s="3"/>
      <c r="D199" s="3"/>
      <c r="G199" s="14"/>
      <c r="H199" s="14"/>
    </row>
    <row r="200" spans="1:8" x14ac:dyDescent="0.25">
      <c r="A200" s="3"/>
      <c r="B200" s="3"/>
      <c r="C200" s="3"/>
      <c r="D200" s="3"/>
      <c r="G200" s="14"/>
      <c r="H200" s="14"/>
    </row>
    <row r="201" spans="1:8" x14ac:dyDescent="0.25">
      <c r="A201" s="3"/>
      <c r="B201" s="3"/>
      <c r="C201" s="3"/>
      <c r="D201" s="3"/>
      <c r="G201" s="14"/>
      <c r="H201" s="14"/>
    </row>
    <row r="202" spans="1:8" x14ac:dyDescent="0.25">
      <c r="A202" s="3"/>
      <c r="B202" s="3"/>
      <c r="C202" s="3"/>
      <c r="D202" s="3"/>
      <c r="G202" s="14"/>
      <c r="H202" s="14"/>
    </row>
    <row r="203" spans="1:8" x14ac:dyDescent="0.25">
      <c r="A203" s="3"/>
      <c r="B203" s="3"/>
      <c r="C203" s="3"/>
      <c r="D203" s="3"/>
      <c r="G203" s="14"/>
      <c r="H203" s="14"/>
    </row>
    <row r="204" spans="1:8" x14ac:dyDescent="0.25">
      <c r="A204" s="3"/>
      <c r="B204" s="3"/>
      <c r="C204" s="3"/>
      <c r="D204" s="3"/>
      <c r="G204" s="14"/>
      <c r="H204" s="14"/>
    </row>
    <row r="205" spans="1:8" x14ac:dyDescent="0.25">
      <c r="A205" s="3"/>
      <c r="B205" s="3"/>
      <c r="C205" s="3"/>
      <c r="D205" s="3"/>
      <c r="G205" s="14"/>
      <c r="H205" s="14"/>
    </row>
    <row r="206" spans="1:8" x14ac:dyDescent="0.25">
      <c r="A206" s="3"/>
      <c r="B206" s="3"/>
      <c r="C206" s="3"/>
      <c r="D206" s="3"/>
      <c r="G206" s="14"/>
      <c r="H206" s="14"/>
    </row>
    <row r="207" spans="1:8" x14ac:dyDescent="0.25">
      <c r="A207" s="3"/>
      <c r="B207" s="3"/>
      <c r="C207" s="3"/>
      <c r="D207" s="3"/>
      <c r="G207" s="14"/>
      <c r="H207" s="14"/>
    </row>
    <row r="208" spans="1:8" x14ac:dyDescent="0.25">
      <c r="A208" s="3"/>
      <c r="B208" s="3"/>
      <c r="C208" s="3"/>
      <c r="D208" s="3"/>
      <c r="G208" s="14"/>
      <c r="H208" s="14"/>
    </row>
    <row r="209" spans="1:8" x14ac:dyDescent="0.25">
      <c r="A209" s="3"/>
      <c r="B209" s="3"/>
      <c r="C209" s="3"/>
      <c r="D209" s="3"/>
      <c r="G209" s="14"/>
      <c r="H209" s="14"/>
    </row>
    <row r="210" spans="1:8" x14ac:dyDescent="0.25">
      <c r="A210" s="3"/>
      <c r="B210" s="3"/>
      <c r="C210" s="3"/>
      <c r="D210" s="3"/>
      <c r="G210" s="14"/>
      <c r="H210" s="14"/>
    </row>
    <row r="211" spans="1:8" x14ac:dyDescent="0.25">
      <c r="A211" s="3"/>
      <c r="B211" s="3"/>
      <c r="C211" s="3"/>
      <c r="D211" s="3"/>
      <c r="G211" s="14"/>
      <c r="H211" s="14"/>
    </row>
    <row r="212" spans="1:8" x14ac:dyDescent="0.25">
      <c r="A212" s="3"/>
      <c r="B212" s="3"/>
      <c r="C212" s="3"/>
      <c r="D212" s="3"/>
      <c r="G212" s="14"/>
      <c r="H212" s="14"/>
    </row>
    <row r="213" spans="1:8" x14ac:dyDescent="0.25">
      <c r="A213" s="3"/>
      <c r="B213" s="3"/>
      <c r="C213" s="3"/>
      <c r="D213" s="3"/>
      <c r="G213" s="14"/>
      <c r="H213" s="14"/>
    </row>
    <row r="214" spans="1:8" x14ac:dyDescent="0.25">
      <c r="A214" s="3"/>
      <c r="B214" s="3"/>
      <c r="C214" s="3"/>
      <c r="D214" s="3"/>
      <c r="G214" s="14"/>
      <c r="H214" s="14"/>
    </row>
    <row r="215" spans="1:8" x14ac:dyDescent="0.25">
      <c r="A215" s="3"/>
      <c r="B215" s="3"/>
      <c r="C215" s="3"/>
      <c r="D215" s="3"/>
      <c r="G215" s="14"/>
      <c r="H215" s="14"/>
    </row>
    <row r="216" spans="1:8" x14ac:dyDescent="0.25">
      <c r="A216" s="3"/>
      <c r="B216" s="3"/>
      <c r="C216" s="3"/>
      <c r="D216" s="3"/>
      <c r="G216" s="14"/>
      <c r="H216" s="14"/>
    </row>
    <row r="217" spans="1:8" x14ac:dyDescent="0.25">
      <c r="A217" s="3"/>
      <c r="B217" s="3"/>
      <c r="C217" s="3"/>
      <c r="D217" s="3"/>
      <c r="G217" s="14"/>
      <c r="H217" s="14"/>
    </row>
    <row r="218" spans="1:8" x14ac:dyDescent="0.25">
      <c r="A218" s="3"/>
      <c r="B218" s="3"/>
      <c r="C218" s="3"/>
      <c r="D218" s="3"/>
      <c r="G218" s="14"/>
      <c r="H218" s="14"/>
    </row>
    <row r="219" spans="1:8" x14ac:dyDescent="0.25">
      <c r="A219" s="3"/>
      <c r="B219" s="3"/>
      <c r="C219" s="3"/>
      <c r="D219" s="3"/>
      <c r="G219" s="14"/>
      <c r="H219" s="14"/>
    </row>
    <row r="220" spans="1:8" x14ac:dyDescent="0.25">
      <c r="A220" s="3"/>
      <c r="B220" s="3"/>
      <c r="C220" s="3"/>
      <c r="D220" s="3"/>
      <c r="G220" s="14"/>
      <c r="H220" s="14"/>
    </row>
    <row r="221" spans="1:8" x14ac:dyDescent="0.25">
      <c r="A221" s="3"/>
      <c r="B221" s="3"/>
      <c r="C221" s="3"/>
      <c r="D221" s="3"/>
      <c r="G221" s="14"/>
      <c r="H221" s="14"/>
    </row>
    <row r="222" spans="1:8" x14ac:dyDescent="0.25">
      <c r="A222" s="3"/>
      <c r="B222" s="3"/>
      <c r="C222" s="3"/>
      <c r="D222" s="3"/>
      <c r="G222" s="14"/>
      <c r="H222" s="14"/>
    </row>
    <row r="223" spans="1:8" x14ac:dyDescent="0.25">
      <c r="A223" s="3"/>
      <c r="B223" s="3"/>
      <c r="C223" s="3"/>
      <c r="D223" s="3"/>
      <c r="G223" s="14"/>
      <c r="H223" s="14"/>
    </row>
    <row r="224" spans="1:8" x14ac:dyDescent="0.25">
      <c r="A224" s="3"/>
      <c r="B224" s="3"/>
      <c r="C224" s="3"/>
      <c r="D224" s="3"/>
      <c r="G224" s="14"/>
      <c r="H224" s="14"/>
    </row>
    <row r="225" spans="1:8" x14ac:dyDescent="0.25">
      <c r="A225" s="3"/>
      <c r="B225" s="3"/>
      <c r="C225" s="3"/>
      <c r="D225" s="3"/>
      <c r="G225" s="14"/>
      <c r="H225" s="14"/>
    </row>
    <row r="226" spans="1:8" x14ac:dyDescent="0.25">
      <c r="A226" s="3"/>
      <c r="B226" s="3"/>
      <c r="C226" s="3"/>
      <c r="D226" s="3"/>
      <c r="G226" s="14"/>
      <c r="H226" s="14"/>
    </row>
    <row r="227" spans="1:8" x14ac:dyDescent="0.25">
      <c r="A227" s="3"/>
      <c r="B227" s="3"/>
      <c r="C227" s="3"/>
      <c r="D227" s="3"/>
      <c r="G227" s="14"/>
      <c r="H227" s="14"/>
    </row>
    <row r="228" spans="1:8" x14ac:dyDescent="0.25">
      <c r="A228" s="3"/>
      <c r="B228" s="3"/>
      <c r="C228" s="3"/>
      <c r="D228" s="3"/>
      <c r="G228" s="14"/>
      <c r="H228" s="14"/>
    </row>
    <row r="229" spans="1:8" x14ac:dyDescent="0.25">
      <c r="A229" s="3"/>
      <c r="B229" s="3"/>
      <c r="C229" s="3"/>
      <c r="D229" s="3"/>
      <c r="G229" s="14"/>
      <c r="H229" s="14"/>
    </row>
    <row r="230" spans="1:8" x14ac:dyDescent="0.25">
      <c r="A230" s="3"/>
      <c r="B230" s="3"/>
      <c r="C230" s="3"/>
      <c r="D230" s="3"/>
      <c r="G230" s="14"/>
      <c r="H230" s="14"/>
    </row>
    <row r="231" spans="1:8" x14ac:dyDescent="0.25">
      <c r="A231" s="3"/>
      <c r="B231" s="3"/>
      <c r="C231" s="3"/>
      <c r="D231" s="3"/>
      <c r="G231" s="14"/>
      <c r="H231" s="14"/>
    </row>
    <row r="232" spans="1:8" x14ac:dyDescent="0.25">
      <c r="A232" s="3"/>
      <c r="B232" s="3"/>
      <c r="C232" s="3"/>
      <c r="D232" s="3"/>
      <c r="G232" s="14"/>
      <c r="H232" s="14"/>
    </row>
    <row r="233" spans="1:8" x14ac:dyDescent="0.25">
      <c r="A233" s="3"/>
      <c r="B233" s="3"/>
      <c r="C233" s="3"/>
      <c r="D233" s="3"/>
      <c r="G233" s="14"/>
      <c r="H233" s="14"/>
    </row>
    <row r="234" spans="1:8" x14ac:dyDescent="0.25">
      <c r="A234" s="3"/>
      <c r="B234" s="3"/>
      <c r="C234" s="3"/>
      <c r="D234" s="3"/>
      <c r="G234" s="14"/>
      <c r="H234" s="14"/>
    </row>
    <row r="235" spans="1:8" x14ac:dyDescent="0.25">
      <c r="A235" s="3"/>
      <c r="B235" s="3"/>
      <c r="C235" s="3"/>
      <c r="D235" s="3"/>
      <c r="G235" s="14"/>
      <c r="H235" s="14"/>
    </row>
    <row r="236" spans="1:8" x14ac:dyDescent="0.25">
      <c r="A236" s="3"/>
      <c r="B236" s="3"/>
      <c r="C236" s="3"/>
      <c r="D236" s="3"/>
      <c r="G236" s="14"/>
      <c r="H236" s="14"/>
    </row>
    <row r="237" spans="1:8" x14ac:dyDescent="0.25">
      <c r="A237" s="3"/>
      <c r="B237" s="3"/>
      <c r="C237" s="3"/>
      <c r="D237" s="3"/>
      <c r="G237" s="14"/>
      <c r="H237" s="14"/>
    </row>
    <row r="238" spans="1:8" x14ac:dyDescent="0.25">
      <c r="A238" s="3"/>
      <c r="B238" s="3"/>
      <c r="C238" s="3"/>
      <c r="D238" s="3"/>
      <c r="G238" s="14"/>
      <c r="H238" s="14"/>
    </row>
    <row r="239" spans="1:8" x14ac:dyDescent="0.25">
      <c r="A239" s="3"/>
      <c r="B239" s="3"/>
      <c r="C239" s="3"/>
      <c r="D239" s="3"/>
      <c r="G239" s="14"/>
      <c r="H239" s="14"/>
    </row>
    <row r="240" spans="1:8" x14ac:dyDescent="0.25">
      <c r="A240" s="3"/>
      <c r="B240" s="3"/>
      <c r="C240" s="3"/>
      <c r="D240" s="3"/>
      <c r="G240" s="14"/>
      <c r="H240" s="14"/>
    </row>
    <row r="241" spans="1:8" x14ac:dyDescent="0.25">
      <c r="A241" s="3"/>
      <c r="B241" s="3"/>
      <c r="C241" s="3"/>
      <c r="D241" s="3"/>
      <c r="G241" s="14"/>
      <c r="H241" s="14"/>
    </row>
    <row r="242" spans="1:8" x14ac:dyDescent="0.25">
      <c r="A242" s="3"/>
      <c r="B242" s="3"/>
      <c r="C242" s="3"/>
      <c r="D242" s="3"/>
      <c r="G242" s="14"/>
      <c r="H242" s="14"/>
    </row>
    <row r="243" spans="1:8" x14ac:dyDescent="0.25">
      <c r="A243" s="3"/>
      <c r="B243" s="3"/>
      <c r="C243" s="3"/>
      <c r="D243" s="3"/>
      <c r="G243" s="14"/>
      <c r="H243" s="14"/>
    </row>
    <row r="244" spans="1:8" x14ac:dyDescent="0.25">
      <c r="A244" s="3"/>
      <c r="B244" s="3"/>
      <c r="C244" s="3"/>
      <c r="D244" s="3"/>
      <c r="G244" s="14"/>
      <c r="H244" s="14"/>
    </row>
    <row r="245" spans="1:8" x14ac:dyDescent="0.25">
      <c r="A245" s="3"/>
      <c r="B245" s="3"/>
      <c r="C245" s="3"/>
      <c r="D245" s="3"/>
      <c r="G245" s="14"/>
      <c r="H245" s="14"/>
    </row>
    <row r="247" spans="1:8" x14ac:dyDescent="0.25">
      <c r="A247" s="3"/>
      <c r="G247" s="14"/>
      <c r="H247" s="14"/>
    </row>
  </sheetData>
  <phoneticPr fontId="1" type="noConversion"/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32169D-48CD-4C62-BC50-C288C288DC74}">
  <sheetPr/>
  <dimension ref="A1:I247"/>
  <sheetViews>
    <sheetView zoomScale="115" zoomScaleNormal="115" workbookViewId="0">
      <selection activeCell="A5" sqref="A5:H62"/>
    </sheetView>
  </sheetViews>
  <sheetFormatPr defaultRowHeight="15" x14ac:dyDescent="0.25"/>
  <cols>
    <col min="1" max="1" width="8.875" style="4" customWidth="1"/>
    <col min="2" max="3" width="15.125" style="4" customWidth="1"/>
    <col min="4" max="4" width="10.25" style="4" customWidth="1"/>
    <col min="5" max="5" width="12" style="13" customWidth="1"/>
    <col min="6" max="6" width="15" style="13" customWidth="1"/>
    <col min="7" max="7" width="13.875" customWidth="1"/>
    <col min="8" max="8" width="11.125" customWidth="1"/>
    <col min="11" max="12" width="15.125" customWidth="1"/>
    <col min="13" max="13" width="11.125" customWidth="1"/>
  </cols>
  <sheetData>
    <row r="1" spans="1:9" ht="14.25" x14ac:dyDescent="0.2">
      <c r="A1" s="2" t="s">
        <v>12</v>
      </c>
      <c r="B1" s="2" t="s">
        <v>4</v>
      </c>
      <c r="C1" s="2" t="s">
        <v>5</v>
      </c>
      <c r="D1" s="2" t="s">
        <v>13</v>
      </c>
      <c r="E1" s="2" t="s">
        <v>14</v>
      </c>
      <c r="F1" s="2" t="s">
        <v>15</v>
      </c>
      <c r="G1" s="2" t="s">
        <v>16</v>
      </c>
    </row>
    <row r="2" spans="1:9" x14ac:dyDescent="0.25">
      <c r="A2" s="11">
        <v>25</v>
      </c>
      <c r="B2" s="3">
        <v>113.3643387</v>
      </c>
      <c r="C2" s="8">
        <v>22.913112569999999</v>
      </c>
      <c r="D2" s="3">
        <v>0</v>
      </c>
      <c r="E2" s="13">
        <v>1785</v>
      </c>
      <c r="F2" s="13">
        <v>29</v>
      </c>
      <c r="G2" s="19">
        <f>SUBTOTAL(2,A5:A250)</f>
        <v>20</v>
      </c>
    </row>
    <row r="3" spans="1:9" x14ac:dyDescent="0.25">
      <c r="A3" s="3"/>
      <c r="B3" s="3"/>
      <c r="C3" s="3"/>
      <c r="D3" s="3"/>
    </row>
    <row r="4" spans="1:9" ht="14.25" x14ac:dyDescent="0.2">
      <c r="A4" s="2" t="s">
        <v>0</v>
      </c>
      <c r="B4" s="2" t="s">
        <v>1</v>
      </c>
      <c r="C4" s="2" t="s">
        <v>2</v>
      </c>
      <c r="D4" s="2" t="s">
        <v>3</v>
      </c>
      <c r="E4" s="2" t="s">
        <v>7</v>
      </c>
      <c r="F4" s="2" t="s">
        <v>8</v>
      </c>
      <c r="G4" s="2" t="s">
        <v>13</v>
      </c>
      <c r="H4" s="2" t="s">
        <v>14</v>
      </c>
      <c r="I4" s="24" t="s">
        <v>20</v>
      </c>
    </row>
    <row r="5" spans="1:9" x14ac:dyDescent="0.25">
      <c r="A5" s="3">
        <v>4481</v>
      </c>
      <c r="B5" s="3">
        <v>113.36397669999999</v>
      </c>
      <c r="C5" s="3">
        <v>22.912357920000002</v>
      </c>
      <c r="D5" s="3">
        <v>25</v>
      </c>
      <c r="E5" s="13">
        <f t="shared" ref="E5:E36" si="0">SQRT((B5-$B$2)^2+(C5-$C$2)^2)</f>
        <v>8.3698304791872532E-4</v>
      </c>
      <c r="F5" s="13">
        <f t="shared" ref="F5:F36" si="1">SQRT(1/E5)</f>
        <v>34.565406525988877</v>
      </c>
      <c r="G5" s="14">
        <f>F5/$F$64*$D$2</f>
        <v>0</v>
      </c>
      <c r="H5" s="14">
        <f>F5/$F$64*$E$2</f>
        <v>209.06062740690936</v>
      </c>
      <c r="I5" s="25" t="str">
        <f>IF(MOD(ROW()-1,3)=1,"选中","")</f>
        <v>选中</v>
      </c>
    </row>
    <row r="6" spans="1:9" hidden="1" x14ac:dyDescent="0.25">
      <c r="A6" s="3">
        <v>4494</v>
      </c>
      <c r="B6" s="3">
        <v>113.36345439999999</v>
      </c>
      <c r="C6" s="3">
        <v>22.913201229999999</v>
      </c>
      <c r="D6" s="3">
        <v>25</v>
      </c>
      <c r="E6" s="13">
        <f t="shared" si="0"/>
        <v>8.8873341650760516E-4</v>
      </c>
      <c r="F6" s="13">
        <f t="shared" si="1"/>
        <v>33.543953317324927</v>
      </c>
      <c r="G6" s="14" t="e">
        <f>F6/$F$124*$D$2</f>
        <v>#DIV/0!</v>
      </c>
      <c r="H6" s="14" t="e">
        <f>F6/$F$124*$E$2</f>
        <v>#DIV/0!</v>
      </c>
      <c r="I6" s="25" t="str">
        <f t="shared" ref="I6:I62" si="2">IF(MOD(ROW()-1,3)=1,"选中","")</f>
        <v/>
      </c>
    </row>
    <row r="7" spans="1:9" hidden="1" x14ac:dyDescent="0.25">
      <c r="A7" s="3">
        <v>4483</v>
      </c>
      <c r="B7" s="3">
        <v>113.3636632</v>
      </c>
      <c r="C7" s="3">
        <v>22.912163400000001</v>
      </c>
      <c r="D7" s="3">
        <v>25</v>
      </c>
      <c r="E7" s="13">
        <f t="shared" si="0"/>
        <v>1.1649995445907743E-3</v>
      </c>
      <c r="F7" s="13">
        <f t="shared" si="1"/>
        <v>29.297942491870668</v>
      </c>
      <c r="G7" s="14" t="e">
        <f>F7/$F$124*$D$2</f>
        <v>#DIV/0!</v>
      </c>
      <c r="H7" s="14" t="e">
        <f>F7/$F$124*$E$2</f>
        <v>#DIV/0!</v>
      </c>
      <c r="I7" s="25" t="str">
        <f t="shared" si="2"/>
        <v/>
      </c>
    </row>
    <row r="8" spans="1:9" x14ac:dyDescent="0.25">
      <c r="A8" s="3">
        <v>4480</v>
      </c>
      <c r="B8" s="3">
        <v>113.3638569</v>
      </c>
      <c r="C8" s="3">
        <v>22.9118213</v>
      </c>
      <c r="D8" s="3">
        <v>25</v>
      </c>
      <c r="E8" s="13">
        <f t="shared" si="0"/>
        <v>1.3782269235874079E-3</v>
      </c>
      <c r="F8" s="13">
        <f t="shared" si="1"/>
        <v>26.936405123013444</v>
      </c>
      <c r="G8" s="14">
        <f>F8/$F$64*$D$2</f>
        <v>0</v>
      </c>
      <c r="H8" s="14">
        <f>F8/$F$64*$E$2</f>
        <v>162.91842975634646</v>
      </c>
      <c r="I8" s="25" t="str">
        <f t="shared" si="2"/>
        <v>选中</v>
      </c>
    </row>
    <row r="9" spans="1:9" hidden="1" x14ac:dyDescent="0.25">
      <c r="A9" s="3">
        <v>4489</v>
      </c>
      <c r="B9" s="3">
        <v>113.3634205</v>
      </c>
      <c r="C9" s="3">
        <v>22.912066750000001</v>
      </c>
      <c r="D9" s="3">
        <v>25</v>
      </c>
      <c r="E9" s="13">
        <f t="shared" si="0"/>
        <v>1.3917006547378638E-3</v>
      </c>
      <c r="F9" s="13">
        <f t="shared" si="1"/>
        <v>26.805695766586009</v>
      </c>
      <c r="G9" s="14" t="e">
        <f>F9/$F$124*$D$2</f>
        <v>#DIV/0!</v>
      </c>
      <c r="H9" s="14" t="e">
        <f>F9/$F$124*$E$2</f>
        <v>#DIV/0!</v>
      </c>
      <c r="I9" s="25" t="str">
        <f t="shared" si="2"/>
        <v/>
      </c>
    </row>
    <row r="10" spans="1:9" hidden="1" x14ac:dyDescent="0.25">
      <c r="A10" s="3">
        <v>4302</v>
      </c>
      <c r="B10" s="3">
        <v>113.36425920000001</v>
      </c>
      <c r="C10" s="3">
        <v>22.914852539999998</v>
      </c>
      <c r="D10" s="3">
        <v>25</v>
      </c>
      <c r="E10" s="13">
        <f t="shared" si="0"/>
        <v>1.7417852482142424E-3</v>
      </c>
      <c r="F10" s="13">
        <f t="shared" si="1"/>
        <v>23.96087623949327</v>
      </c>
      <c r="G10" s="14" t="e">
        <f>F10/$F$124*$D$2</f>
        <v>#DIV/0!</v>
      </c>
      <c r="H10" s="14" t="e">
        <f>F10/$F$124*$E$2</f>
        <v>#DIV/0!</v>
      </c>
      <c r="I10" s="25" t="str">
        <f t="shared" si="2"/>
        <v/>
      </c>
    </row>
    <row r="11" spans="1:9" x14ac:dyDescent="0.25">
      <c r="A11" s="3">
        <v>4492</v>
      </c>
      <c r="B11" s="3">
        <v>113.3624038</v>
      </c>
      <c r="C11" s="3">
        <v>22.912960689999998</v>
      </c>
      <c r="D11" s="3">
        <v>25</v>
      </c>
      <c r="E11" s="13">
        <f t="shared" si="0"/>
        <v>1.9408517574599257E-3</v>
      </c>
      <c r="F11" s="13">
        <f t="shared" si="1"/>
        <v>22.69884803884181</v>
      </c>
      <c r="G11" s="14">
        <f>F11/$F$64*$D$2</f>
        <v>0</v>
      </c>
      <c r="H11" s="14">
        <f>F11/$F$64*$E$2</f>
        <v>137.28857517837633</v>
      </c>
      <c r="I11" s="25" t="str">
        <f t="shared" si="2"/>
        <v>选中</v>
      </c>
    </row>
    <row r="12" spans="1:9" hidden="1" x14ac:dyDescent="0.25">
      <c r="A12" s="3">
        <v>4296</v>
      </c>
      <c r="B12" s="3">
        <v>113.3642332</v>
      </c>
      <c r="C12" s="3">
        <v>22.915179429999998</v>
      </c>
      <c r="D12" s="3">
        <v>25</v>
      </c>
      <c r="E12" s="13">
        <f t="shared" si="0"/>
        <v>2.0695507989894886E-3</v>
      </c>
      <c r="F12" s="13">
        <f t="shared" si="1"/>
        <v>21.981734319235542</v>
      </c>
      <c r="G12" s="14" t="e">
        <f>F12/$F$124*$D$2</f>
        <v>#DIV/0!</v>
      </c>
      <c r="H12" s="14" t="e">
        <f>F12/$F$124*$E$2</f>
        <v>#DIV/0!</v>
      </c>
      <c r="I12" s="25" t="str">
        <f t="shared" si="2"/>
        <v/>
      </c>
    </row>
    <row r="13" spans="1:9" hidden="1" x14ac:dyDescent="0.25">
      <c r="A13" s="3">
        <v>4486</v>
      </c>
      <c r="B13" s="3">
        <v>113.3627625</v>
      </c>
      <c r="C13" s="3">
        <v>22.910358299999999</v>
      </c>
      <c r="D13" s="3">
        <v>25</v>
      </c>
      <c r="E13" s="13">
        <f t="shared" si="0"/>
        <v>3.1733908793135151E-3</v>
      </c>
      <c r="F13" s="13">
        <f t="shared" si="1"/>
        <v>17.751629107019159</v>
      </c>
      <c r="G13" s="14" t="e">
        <f>F13/$F$124*$D$2</f>
        <v>#DIV/0!</v>
      </c>
      <c r="H13" s="14" t="e">
        <f>F13/$F$124*$E$2</f>
        <v>#DIV/0!</v>
      </c>
      <c r="I13" s="25" t="str">
        <f t="shared" si="2"/>
        <v/>
      </c>
    </row>
    <row r="14" spans="1:9" x14ac:dyDescent="0.25">
      <c r="A14" s="3">
        <v>4479</v>
      </c>
      <c r="B14" s="3">
        <v>113.3627195</v>
      </c>
      <c r="C14" s="3">
        <v>22.910082469999999</v>
      </c>
      <c r="D14" s="3">
        <v>25</v>
      </c>
      <c r="E14" s="13">
        <f t="shared" si="0"/>
        <v>3.4355952395509451E-3</v>
      </c>
      <c r="F14" s="13">
        <f t="shared" si="1"/>
        <v>17.060784757319855</v>
      </c>
      <c r="G14" s="14">
        <f>F14/$F$64*$D$2</f>
        <v>0</v>
      </c>
      <c r="H14" s="14">
        <f>F14/$F$64*$E$2</f>
        <v>103.18809248598832</v>
      </c>
      <c r="I14" s="25" t="str">
        <f t="shared" si="2"/>
        <v>选中</v>
      </c>
    </row>
    <row r="15" spans="1:9" hidden="1" x14ac:dyDescent="0.25">
      <c r="A15" s="3">
        <v>4487</v>
      </c>
      <c r="B15" s="3">
        <v>113.3681376</v>
      </c>
      <c r="C15" s="3">
        <v>22.913184619999999</v>
      </c>
      <c r="D15" s="3">
        <v>25</v>
      </c>
      <c r="E15" s="13">
        <f t="shared" si="0"/>
        <v>3.7995831893041922E-3</v>
      </c>
      <c r="F15" s="13">
        <f t="shared" si="1"/>
        <v>16.223031865528128</v>
      </c>
      <c r="G15" s="14" t="e">
        <f>F15/$F$124*$D$2</f>
        <v>#DIV/0!</v>
      </c>
      <c r="H15" s="14" t="e">
        <f>F15/$F$124*$E$2</f>
        <v>#DIV/0!</v>
      </c>
      <c r="I15" s="25" t="str">
        <f t="shared" si="2"/>
        <v/>
      </c>
    </row>
    <row r="16" spans="1:9" hidden="1" x14ac:dyDescent="0.25">
      <c r="A16" s="3">
        <v>4464</v>
      </c>
      <c r="B16" s="3">
        <v>113.36099489999999</v>
      </c>
      <c r="C16" s="3">
        <v>22.910649509999999</v>
      </c>
      <c r="D16" s="3">
        <v>25</v>
      </c>
      <c r="E16" s="13">
        <f t="shared" si="0"/>
        <v>4.1530305806326551E-3</v>
      </c>
      <c r="F16" s="13">
        <f t="shared" si="1"/>
        <v>15.517345696649313</v>
      </c>
      <c r="G16" s="14" t="e">
        <f>F16/$F$124*$D$2</f>
        <v>#DIV/0!</v>
      </c>
      <c r="H16" s="14" t="e">
        <f>F16/$F$124*$E$2</f>
        <v>#DIV/0!</v>
      </c>
      <c r="I16" s="25" t="str">
        <f t="shared" si="2"/>
        <v/>
      </c>
    </row>
    <row r="17" spans="1:9" x14ac:dyDescent="0.25">
      <c r="A17" s="3">
        <v>4482</v>
      </c>
      <c r="B17" s="3">
        <v>113.3685042</v>
      </c>
      <c r="C17" s="3">
        <v>22.912492499999999</v>
      </c>
      <c r="D17" s="3">
        <v>25</v>
      </c>
      <c r="E17" s="13">
        <f t="shared" si="0"/>
        <v>4.2113984678361976E-3</v>
      </c>
      <c r="F17" s="13">
        <f t="shared" si="1"/>
        <v>15.409439164405992</v>
      </c>
      <c r="G17" s="14">
        <f>F17/$F$64*$D$2</f>
        <v>0</v>
      </c>
      <c r="H17" s="14">
        <f>F17/$F$64*$E$2</f>
        <v>93.200322040973148</v>
      </c>
      <c r="I17" s="25" t="str">
        <f t="shared" si="2"/>
        <v>选中</v>
      </c>
    </row>
    <row r="18" spans="1:9" hidden="1" x14ac:dyDescent="0.25">
      <c r="A18" s="3">
        <v>4485</v>
      </c>
      <c r="B18" s="3">
        <v>113.36869900000001</v>
      </c>
      <c r="C18" s="3">
        <v>22.912726190000001</v>
      </c>
      <c r="D18" s="3">
        <v>25</v>
      </c>
      <c r="E18" s="13">
        <f t="shared" si="0"/>
        <v>4.3773857031811853E-3</v>
      </c>
      <c r="F18" s="13">
        <f t="shared" si="1"/>
        <v>15.114458497816242</v>
      </c>
      <c r="G18" s="14" t="e">
        <f>F18/$F$124*$D$2</f>
        <v>#DIV/0!</v>
      </c>
      <c r="H18" s="14" t="e">
        <f>F18/$F$124*$E$2</f>
        <v>#DIV/0!</v>
      </c>
      <c r="I18" s="25" t="str">
        <f t="shared" si="2"/>
        <v/>
      </c>
    </row>
    <row r="19" spans="1:9" hidden="1" x14ac:dyDescent="0.25">
      <c r="A19" s="3">
        <v>4476</v>
      </c>
      <c r="B19" s="3">
        <v>113.3603887</v>
      </c>
      <c r="C19" s="3">
        <v>22.91101518</v>
      </c>
      <c r="D19" s="3">
        <v>25</v>
      </c>
      <c r="E19" s="13">
        <f t="shared" si="0"/>
        <v>4.472308666910535E-3</v>
      </c>
      <c r="F19" s="13">
        <f t="shared" si="1"/>
        <v>14.953199072035428</v>
      </c>
      <c r="G19" s="14" t="e">
        <f>F19/$F$124*$D$2</f>
        <v>#DIV/0!</v>
      </c>
      <c r="H19" s="14" t="e">
        <f>F19/$F$124*$E$2</f>
        <v>#DIV/0!</v>
      </c>
      <c r="I19" s="25" t="str">
        <f t="shared" si="2"/>
        <v/>
      </c>
    </row>
    <row r="20" spans="1:9" x14ac:dyDescent="0.25">
      <c r="A20" s="3">
        <v>4306</v>
      </c>
      <c r="B20" s="3">
        <v>113.3688317</v>
      </c>
      <c r="C20" s="3">
        <v>22.91430239</v>
      </c>
      <c r="D20" s="3">
        <v>25</v>
      </c>
      <c r="E20" s="13">
        <f t="shared" si="0"/>
        <v>4.6478726996734615E-3</v>
      </c>
      <c r="F20" s="13">
        <f t="shared" si="1"/>
        <v>14.668067088531613</v>
      </c>
      <c r="G20" s="14">
        <f>F20/$F$64*$D$2</f>
        <v>0</v>
      </c>
      <c r="H20" s="14">
        <f>F20/$F$64*$E$2</f>
        <v>88.71630964529291</v>
      </c>
      <c r="I20" s="25" t="str">
        <f t="shared" si="2"/>
        <v>选中</v>
      </c>
    </row>
    <row r="21" spans="1:9" hidden="1" x14ac:dyDescent="0.25">
      <c r="A21" s="3">
        <v>4488</v>
      </c>
      <c r="B21" s="3">
        <v>113.36905659999999</v>
      </c>
      <c r="C21" s="3">
        <v>22.91316861</v>
      </c>
      <c r="D21" s="3">
        <v>25</v>
      </c>
      <c r="E21" s="13">
        <f t="shared" si="0"/>
        <v>4.718232814464823E-3</v>
      </c>
      <c r="F21" s="13">
        <f t="shared" si="1"/>
        <v>14.558288337250877</v>
      </c>
      <c r="G21" s="14" t="e">
        <f>F21/$F$124*$D$2</f>
        <v>#DIV/0!</v>
      </c>
      <c r="H21" s="14" t="e">
        <f>F21/$F$124*$E$2</f>
        <v>#DIV/0!</v>
      </c>
      <c r="I21" s="25" t="str">
        <f t="shared" si="2"/>
        <v/>
      </c>
    </row>
    <row r="22" spans="1:9" hidden="1" x14ac:dyDescent="0.25">
      <c r="A22" s="3">
        <v>4484</v>
      </c>
      <c r="B22" s="3">
        <v>113.3690217</v>
      </c>
      <c r="C22" s="3">
        <v>22.912512920000001</v>
      </c>
      <c r="D22" s="3">
        <v>25</v>
      </c>
      <c r="E22" s="13">
        <f t="shared" si="0"/>
        <v>4.7212359740323945E-3</v>
      </c>
      <c r="F22" s="13">
        <f t="shared" si="1"/>
        <v>14.553657365824407</v>
      </c>
      <c r="G22" s="14" t="e">
        <f>F22/$F$124*$D$2</f>
        <v>#DIV/0!</v>
      </c>
      <c r="H22" s="14" t="e">
        <f>F22/$F$124*$E$2</f>
        <v>#DIV/0!</v>
      </c>
      <c r="I22" s="25" t="str">
        <f t="shared" si="2"/>
        <v/>
      </c>
    </row>
    <row r="23" spans="1:9" x14ac:dyDescent="0.25">
      <c r="A23" s="3">
        <v>4495</v>
      </c>
      <c r="B23" s="3">
        <v>113.36895079999999</v>
      </c>
      <c r="C23" s="3">
        <v>22.91183328</v>
      </c>
      <c r="D23" s="3">
        <v>25</v>
      </c>
      <c r="E23" s="13">
        <f t="shared" si="0"/>
        <v>4.7862354010216627E-3</v>
      </c>
      <c r="F23" s="13">
        <f t="shared" si="1"/>
        <v>14.454496645422523</v>
      </c>
      <c r="G23" s="14">
        <f>F23/$F$64*$D$2</f>
        <v>0</v>
      </c>
      <c r="H23" s="14">
        <f>F23/$F$64*$E$2</f>
        <v>87.42457969562814</v>
      </c>
      <c r="I23" s="25" t="str">
        <f t="shared" si="2"/>
        <v>选中</v>
      </c>
    </row>
    <row r="24" spans="1:9" hidden="1" x14ac:dyDescent="0.25">
      <c r="A24" s="3">
        <v>4314</v>
      </c>
      <c r="B24" s="3">
        <v>113.36912239999999</v>
      </c>
      <c r="C24" s="3">
        <v>22.914067169999999</v>
      </c>
      <c r="D24" s="3">
        <v>25</v>
      </c>
      <c r="E24" s="13">
        <f t="shared" si="0"/>
        <v>4.878016692253735E-3</v>
      </c>
      <c r="F24" s="13">
        <f t="shared" si="1"/>
        <v>14.317868155452034</v>
      </c>
      <c r="G24" s="14" t="e">
        <f>F24/$F$124*$D$2</f>
        <v>#DIV/0!</v>
      </c>
      <c r="H24" s="14" t="e">
        <f>F24/$F$124*$E$2</f>
        <v>#DIV/0!</v>
      </c>
      <c r="I24" s="25" t="str">
        <f t="shared" si="2"/>
        <v/>
      </c>
    </row>
    <row r="25" spans="1:9" hidden="1" x14ac:dyDescent="0.25">
      <c r="A25" s="3">
        <v>4305</v>
      </c>
      <c r="B25" s="3">
        <v>113.36940009999999</v>
      </c>
      <c r="C25" s="3">
        <v>22.91491551</v>
      </c>
      <c r="D25" s="3">
        <v>25</v>
      </c>
      <c r="E25" s="13">
        <f t="shared" si="0"/>
        <v>5.3729286802901566E-3</v>
      </c>
      <c r="F25" s="13">
        <f t="shared" si="1"/>
        <v>13.642515694950408</v>
      </c>
      <c r="G25" s="14" t="e">
        <f>F25/$F$124*$D$2</f>
        <v>#DIV/0!</v>
      </c>
      <c r="H25" s="14" t="e">
        <f>F25/$F$124*$E$2</f>
        <v>#DIV/0!</v>
      </c>
      <c r="I25" s="25" t="str">
        <f t="shared" si="2"/>
        <v/>
      </c>
    </row>
    <row r="26" spans="1:9" x14ac:dyDescent="0.25">
      <c r="A26" s="3">
        <v>4309</v>
      </c>
      <c r="B26" s="3">
        <v>113.3697677</v>
      </c>
      <c r="C26" s="3">
        <v>22.914695210000001</v>
      </c>
      <c r="D26" s="3">
        <v>25</v>
      </c>
      <c r="E26" s="13">
        <f t="shared" si="0"/>
        <v>5.6549792545617962E-3</v>
      </c>
      <c r="F26" s="13">
        <f t="shared" si="1"/>
        <v>13.297943762695787</v>
      </c>
      <c r="G26" s="14">
        <f>F26/$F$64*$D$2</f>
        <v>0</v>
      </c>
      <c r="H26" s="14">
        <f>F26/$F$64*$E$2</f>
        <v>80.429445091603583</v>
      </c>
      <c r="I26" s="25" t="str">
        <f t="shared" si="2"/>
        <v>选中</v>
      </c>
    </row>
    <row r="27" spans="1:9" hidden="1" x14ac:dyDescent="0.25">
      <c r="A27" s="3">
        <v>4281</v>
      </c>
      <c r="B27" s="3">
        <v>113.36374259999999</v>
      </c>
      <c r="C27" s="3">
        <v>22.918778549999999</v>
      </c>
      <c r="D27" s="3">
        <v>25</v>
      </c>
      <c r="E27" s="13">
        <f t="shared" si="0"/>
        <v>5.6972506150256416E-3</v>
      </c>
      <c r="F27" s="13">
        <f t="shared" si="1"/>
        <v>13.248519155999301</v>
      </c>
      <c r="G27" s="14" t="e">
        <f>F27/$F$124*$D$2</f>
        <v>#DIV/0!</v>
      </c>
      <c r="H27" s="14" t="e">
        <f>F27/$F$124*$E$2</f>
        <v>#DIV/0!</v>
      </c>
      <c r="I27" s="25" t="str">
        <f t="shared" si="2"/>
        <v/>
      </c>
    </row>
    <row r="28" spans="1:9" hidden="1" x14ac:dyDescent="0.25">
      <c r="A28" s="3">
        <v>4282</v>
      </c>
      <c r="B28" s="3">
        <v>113.3636247</v>
      </c>
      <c r="C28" s="3">
        <v>22.918839680000001</v>
      </c>
      <c r="D28" s="3">
        <v>25</v>
      </c>
      <c r="E28" s="13">
        <f t="shared" si="0"/>
        <v>5.7714456553041226E-3</v>
      </c>
      <c r="F28" s="13">
        <f t="shared" si="1"/>
        <v>13.163085270919021</v>
      </c>
      <c r="G28" s="14" t="e">
        <f>F28/$F$124*$D$2</f>
        <v>#DIV/0!</v>
      </c>
      <c r="H28" s="14" t="e">
        <f>F28/$F$124*$E$2</f>
        <v>#DIV/0!</v>
      </c>
      <c r="I28" s="25" t="str">
        <f t="shared" si="2"/>
        <v/>
      </c>
    </row>
    <row r="29" spans="1:9" x14ac:dyDescent="0.25">
      <c r="A29" s="3">
        <v>4496</v>
      </c>
      <c r="B29" s="3">
        <v>113.3703702</v>
      </c>
      <c r="C29" s="3">
        <v>22.91250148</v>
      </c>
      <c r="D29" s="3">
        <v>25</v>
      </c>
      <c r="E29" s="13">
        <f t="shared" si="0"/>
        <v>6.062377688498136E-3</v>
      </c>
      <c r="F29" s="13">
        <f t="shared" si="1"/>
        <v>12.843355539958988</v>
      </c>
      <c r="G29" s="14">
        <f>F29/$F$64*$D$2</f>
        <v>0</v>
      </c>
      <c r="H29" s="14">
        <f>F29/$F$64*$E$2</f>
        <v>77.679976515682412</v>
      </c>
      <c r="I29" s="25" t="str">
        <f t="shared" si="2"/>
        <v>选中</v>
      </c>
    </row>
    <row r="30" spans="1:9" hidden="1" x14ac:dyDescent="0.25">
      <c r="A30" s="3">
        <v>4315</v>
      </c>
      <c r="B30" s="3">
        <v>113.37056990000001</v>
      </c>
      <c r="C30" s="3">
        <v>22.913651789999999</v>
      </c>
      <c r="D30" s="3">
        <v>25</v>
      </c>
      <c r="E30" s="13">
        <f t="shared" si="0"/>
        <v>6.2544873209900353E-3</v>
      </c>
      <c r="F30" s="13">
        <f t="shared" si="1"/>
        <v>12.644572234786779</v>
      </c>
      <c r="G30" s="14" t="e">
        <f>F30/$F$124*$D$2</f>
        <v>#DIV/0!</v>
      </c>
      <c r="H30" s="14" t="e">
        <f>F30/$F$124*$E$2</f>
        <v>#DIV/0!</v>
      </c>
      <c r="I30" s="25" t="str">
        <f t="shared" si="2"/>
        <v/>
      </c>
    </row>
    <row r="31" spans="1:9" hidden="1" x14ac:dyDescent="0.25">
      <c r="A31" s="3">
        <v>4300</v>
      </c>
      <c r="B31" s="3">
        <v>113.3701552</v>
      </c>
      <c r="C31" s="3">
        <v>22.915859309999998</v>
      </c>
      <c r="D31" s="3">
        <v>25</v>
      </c>
      <c r="E31" s="13">
        <f t="shared" si="0"/>
        <v>6.4324375533332855E-3</v>
      </c>
      <c r="F31" s="13">
        <f t="shared" si="1"/>
        <v>12.46844260962861</v>
      </c>
      <c r="G31" s="14" t="e">
        <f>F31/$F$124*$D$2</f>
        <v>#DIV/0!</v>
      </c>
      <c r="H31" s="14" t="e">
        <f>F31/$F$124*$E$2</f>
        <v>#DIV/0!</v>
      </c>
      <c r="I31" s="25" t="str">
        <f t="shared" si="2"/>
        <v/>
      </c>
    </row>
    <row r="32" spans="1:9" x14ac:dyDescent="0.25">
      <c r="A32" s="3">
        <v>4294</v>
      </c>
      <c r="B32" s="3">
        <v>113.36967060000001</v>
      </c>
      <c r="C32" s="3">
        <v>22.91681243</v>
      </c>
      <c r="D32" s="3">
        <v>25</v>
      </c>
      <c r="E32" s="13">
        <f t="shared" si="0"/>
        <v>6.4898475813862828E-3</v>
      </c>
      <c r="F32" s="13">
        <f t="shared" si="1"/>
        <v>12.413171378926398</v>
      </c>
      <c r="G32" s="14">
        <f>F32/$F$64*$D$2</f>
        <v>0</v>
      </c>
      <c r="H32" s="14">
        <f>F32/$F$64*$E$2</f>
        <v>75.07811009358872</v>
      </c>
      <c r="I32" s="25" t="str">
        <f t="shared" si="2"/>
        <v>选中</v>
      </c>
    </row>
    <row r="33" spans="1:9" hidden="1" x14ac:dyDescent="0.25">
      <c r="A33" s="3">
        <v>4468</v>
      </c>
      <c r="B33" s="3">
        <v>113.3601013</v>
      </c>
      <c r="C33" s="3">
        <v>22.9080558</v>
      </c>
      <c r="D33" s="3">
        <v>25</v>
      </c>
      <c r="E33" s="13">
        <f t="shared" si="0"/>
        <v>6.5974602380736679E-3</v>
      </c>
      <c r="F33" s="13">
        <f t="shared" si="1"/>
        <v>12.311518138366001</v>
      </c>
      <c r="G33" s="14" t="e">
        <f>F33/$F$124*$D$2</f>
        <v>#DIV/0!</v>
      </c>
      <c r="H33" s="14" t="e">
        <f>F33/$F$124*$E$2</f>
        <v>#DIV/0!</v>
      </c>
      <c r="I33" s="25" t="str">
        <f t="shared" si="2"/>
        <v/>
      </c>
    </row>
    <row r="34" spans="1:9" hidden="1" x14ac:dyDescent="0.25">
      <c r="A34" s="3">
        <v>4477</v>
      </c>
      <c r="B34" s="3">
        <v>113.35878510000001</v>
      </c>
      <c r="C34" s="3">
        <v>22.90927812</v>
      </c>
      <c r="D34" s="3">
        <v>25</v>
      </c>
      <c r="E34" s="13">
        <f t="shared" si="0"/>
        <v>6.7487391239018438E-3</v>
      </c>
      <c r="F34" s="13">
        <f t="shared" si="1"/>
        <v>12.172749355339345</v>
      </c>
      <c r="G34" s="14" t="e">
        <f>F34/$F$124*$D$2</f>
        <v>#DIV/0!</v>
      </c>
      <c r="H34" s="14" t="e">
        <f>F34/$F$124*$E$2</f>
        <v>#DIV/0!</v>
      </c>
      <c r="I34" s="25" t="str">
        <f t="shared" si="2"/>
        <v/>
      </c>
    </row>
    <row r="35" spans="1:9" x14ac:dyDescent="0.25">
      <c r="A35" s="3">
        <v>4287</v>
      </c>
      <c r="B35" s="3">
        <v>113.36936489999999</v>
      </c>
      <c r="C35" s="3">
        <v>22.917784359999999</v>
      </c>
      <c r="D35" s="3">
        <v>25</v>
      </c>
      <c r="E35" s="13">
        <f t="shared" si="0"/>
        <v>6.8620921185879461E-3</v>
      </c>
      <c r="F35" s="13">
        <f t="shared" si="1"/>
        <v>12.071791562139413</v>
      </c>
      <c r="G35" s="14">
        <f>F35/$F$64*$D$2</f>
        <v>0</v>
      </c>
      <c r="H35" s="14">
        <f>F35/$F$64*$E$2</f>
        <v>73.013355593221945</v>
      </c>
      <c r="I35" s="25" t="str">
        <f t="shared" si="2"/>
        <v>选中</v>
      </c>
    </row>
    <row r="36" spans="1:9" hidden="1" x14ac:dyDescent="0.25">
      <c r="A36" s="3">
        <v>4463</v>
      </c>
      <c r="B36" s="3">
        <v>113.3576546</v>
      </c>
      <c r="C36" s="3">
        <v>22.9115298</v>
      </c>
      <c r="D36" s="3">
        <v>25</v>
      </c>
      <c r="E36" s="13">
        <f t="shared" si="0"/>
        <v>6.8689412344924592E-3</v>
      </c>
      <c r="F36" s="13">
        <f t="shared" si="1"/>
        <v>12.065771586304805</v>
      </c>
      <c r="G36" s="14" t="e">
        <f>F36/$F$124*$D$2</f>
        <v>#DIV/0!</v>
      </c>
      <c r="H36" s="14" t="e">
        <f>F36/$F$124*$E$2</f>
        <v>#DIV/0!</v>
      </c>
      <c r="I36" s="25" t="str">
        <f t="shared" si="2"/>
        <v/>
      </c>
    </row>
    <row r="37" spans="1:9" hidden="1" x14ac:dyDescent="0.25">
      <c r="A37" s="3">
        <v>4469</v>
      </c>
      <c r="B37" s="3">
        <v>113.35884799999999</v>
      </c>
      <c r="C37" s="3">
        <v>22.90897416</v>
      </c>
      <c r="D37" s="3">
        <v>25</v>
      </c>
      <c r="E37" s="13">
        <f t="shared" ref="E37:E62" si="3">SQRT((B37-$B$2)^2+(C37-$C$2)^2)</f>
        <v>6.8756253401567038E-3</v>
      </c>
      <c r="F37" s="13">
        <f t="shared" ref="F37:F62" si="4">SQRT(1/E37)</f>
        <v>12.05990531972158</v>
      </c>
      <c r="G37" s="14" t="e">
        <f>F37/$F$124*$D$2</f>
        <v>#DIV/0!</v>
      </c>
      <c r="H37" s="14" t="e">
        <f>F37/$F$124*$E$2</f>
        <v>#DIV/0!</v>
      </c>
      <c r="I37" s="25" t="str">
        <f t="shared" si="2"/>
        <v/>
      </c>
    </row>
    <row r="38" spans="1:9" x14ac:dyDescent="0.25">
      <c r="A38" s="3">
        <v>4466</v>
      </c>
      <c r="B38" s="3">
        <v>113.3576037</v>
      </c>
      <c r="C38" s="3">
        <v>22.911107040000001</v>
      </c>
      <c r="D38" s="3">
        <v>25</v>
      </c>
      <c r="E38" s="13">
        <f t="shared" si="3"/>
        <v>7.0272594644694483E-3</v>
      </c>
      <c r="F38" s="13">
        <f t="shared" si="4"/>
        <v>11.929081492778012</v>
      </c>
      <c r="G38" s="14">
        <f>F38/$F$64*$D$2</f>
        <v>0</v>
      </c>
      <c r="H38" s="14">
        <f>F38/$F$64*$E$2</f>
        <v>72.150207734233334</v>
      </c>
      <c r="I38" s="25" t="str">
        <f t="shared" si="2"/>
        <v>选中</v>
      </c>
    </row>
    <row r="39" spans="1:9" hidden="1" x14ac:dyDescent="0.25">
      <c r="A39" s="3">
        <v>4478</v>
      </c>
      <c r="B39" s="3">
        <v>113.3584087</v>
      </c>
      <c r="C39" s="3">
        <v>22.909291639999999</v>
      </c>
      <c r="D39" s="3">
        <v>25</v>
      </c>
      <c r="E39" s="13">
        <f t="shared" si="3"/>
        <v>7.0543891347851651E-3</v>
      </c>
      <c r="F39" s="13">
        <f t="shared" si="4"/>
        <v>11.906121049532619</v>
      </c>
      <c r="G39" s="14" t="e">
        <f>F39/$F$124*$D$2</f>
        <v>#DIV/0!</v>
      </c>
      <c r="H39" s="14" t="e">
        <f>F39/$F$124*$E$2</f>
        <v>#DIV/0!</v>
      </c>
      <c r="I39" s="25" t="str">
        <f t="shared" si="2"/>
        <v/>
      </c>
    </row>
    <row r="40" spans="1:9" hidden="1" x14ac:dyDescent="0.25">
      <c r="A40" s="3">
        <v>4470</v>
      </c>
      <c r="B40" s="3">
        <v>113.35731610000001</v>
      </c>
      <c r="C40" s="3">
        <v>22.911917119999998</v>
      </c>
      <c r="D40" s="3">
        <v>25</v>
      </c>
      <c r="E40" s="13">
        <f t="shared" si="3"/>
        <v>7.123623478433534E-3</v>
      </c>
      <c r="F40" s="13">
        <f t="shared" si="4"/>
        <v>11.848122115421004</v>
      </c>
      <c r="G40" s="14" t="e">
        <f>F40/$F$124*$D$2</f>
        <v>#DIV/0!</v>
      </c>
      <c r="H40" s="14" t="e">
        <f>F40/$F$124*$E$2</f>
        <v>#DIV/0!</v>
      </c>
      <c r="I40" s="25" t="str">
        <f t="shared" si="2"/>
        <v/>
      </c>
    </row>
    <row r="41" spans="1:9" x14ac:dyDescent="0.25">
      <c r="A41" s="3">
        <v>4308</v>
      </c>
      <c r="B41" s="3">
        <v>113.3709863</v>
      </c>
      <c r="C41" s="3">
        <v>22.91590343</v>
      </c>
      <c r="D41" s="3">
        <v>25</v>
      </c>
      <c r="E41" s="13">
        <f t="shared" si="3"/>
        <v>7.2096799720599907E-3</v>
      </c>
      <c r="F41" s="13">
        <f t="shared" si="4"/>
        <v>11.777198807026918</v>
      </c>
      <c r="G41" s="14">
        <f>F41/$F$64*$D$2</f>
        <v>0</v>
      </c>
      <c r="H41" s="14">
        <f>F41/$F$64*$E$2</f>
        <v>71.231581490057792</v>
      </c>
      <c r="I41" s="25" t="str">
        <f t="shared" si="2"/>
        <v>选中</v>
      </c>
    </row>
    <row r="42" spans="1:9" hidden="1" x14ac:dyDescent="0.25">
      <c r="A42" s="3">
        <v>4467</v>
      </c>
      <c r="B42" s="3">
        <v>113.3583138</v>
      </c>
      <c r="C42" s="3">
        <v>22.908999900000001</v>
      </c>
      <c r="D42" s="3">
        <v>25</v>
      </c>
      <c r="E42" s="13">
        <f t="shared" si="3"/>
        <v>7.2947566469952051E-3</v>
      </c>
      <c r="F42" s="13">
        <f t="shared" si="4"/>
        <v>11.708320328126698</v>
      </c>
      <c r="G42" s="14" t="e">
        <f>F42/$F$124*$D$2</f>
        <v>#DIV/0!</v>
      </c>
      <c r="H42" s="14" t="e">
        <f>F42/$F$124*$E$2</f>
        <v>#DIV/0!</v>
      </c>
      <c r="I42" s="25" t="str">
        <f t="shared" si="2"/>
        <v/>
      </c>
    </row>
    <row r="43" spans="1:9" hidden="1" x14ac:dyDescent="0.25">
      <c r="A43" s="3">
        <v>4473</v>
      </c>
      <c r="B43" s="3">
        <v>113.35702449999999</v>
      </c>
      <c r="C43" s="3">
        <v>22.912826169999999</v>
      </c>
      <c r="D43" s="3">
        <v>25</v>
      </c>
      <c r="E43" s="13">
        <f t="shared" si="3"/>
        <v>7.3198050930439323E-3</v>
      </c>
      <c r="F43" s="13">
        <f t="shared" si="4"/>
        <v>11.688270165982525</v>
      </c>
      <c r="G43" s="14" t="e">
        <f>F43/$F$124*$D$2</f>
        <v>#DIV/0!</v>
      </c>
      <c r="H43" s="14" t="e">
        <f>F43/$F$124*$E$2</f>
        <v>#DIV/0!</v>
      </c>
      <c r="I43" s="25" t="str">
        <f t="shared" si="2"/>
        <v/>
      </c>
    </row>
    <row r="44" spans="1:9" x14ac:dyDescent="0.25">
      <c r="A44" s="3">
        <v>4301</v>
      </c>
      <c r="B44" s="3">
        <v>113.3707575</v>
      </c>
      <c r="C44" s="3">
        <v>22.916650350000001</v>
      </c>
      <c r="D44" s="3">
        <v>25</v>
      </c>
      <c r="E44" s="13">
        <f t="shared" si="3"/>
        <v>7.3291800884073581E-3</v>
      </c>
      <c r="F44" s="13">
        <f t="shared" si="4"/>
        <v>11.680792348494155</v>
      </c>
      <c r="G44" s="14">
        <f>F44/$F$64*$D$2</f>
        <v>0</v>
      </c>
      <c r="H44" s="14">
        <f>F44/$F$64*$E$2</f>
        <v>70.648489990995458</v>
      </c>
      <c r="I44" s="25" t="str">
        <f t="shared" si="2"/>
        <v>选中</v>
      </c>
    </row>
    <row r="45" spans="1:9" hidden="1" x14ac:dyDescent="0.25">
      <c r="A45" s="3">
        <v>4316</v>
      </c>
      <c r="B45" s="3">
        <v>113.3705597</v>
      </c>
      <c r="C45" s="3">
        <v>22.917002409999998</v>
      </c>
      <c r="D45" s="3">
        <v>25</v>
      </c>
      <c r="E45" s="13">
        <f t="shared" si="3"/>
        <v>7.337008670129215E-3</v>
      </c>
      <c r="F45" s="13">
        <f t="shared" si="4"/>
        <v>11.674558987782218</v>
      </c>
      <c r="G45" s="14" t="e">
        <f>F45/$F$124*$D$2</f>
        <v>#DIV/0!</v>
      </c>
      <c r="H45" s="14" t="e">
        <f>F45/$F$124*$E$2</f>
        <v>#DIV/0!</v>
      </c>
      <c r="I45" s="25" t="str">
        <f t="shared" si="2"/>
        <v/>
      </c>
    </row>
    <row r="46" spans="1:9" hidden="1" x14ac:dyDescent="0.25">
      <c r="A46" s="3">
        <v>4465</v>
      </c>
      <c r="B46" s="3">
        <v>113.3571804</v>
      </c>
      <c r="C46" s="3">
        <v>22.91094472</v>
      </c>
      <c r="D46" s="3">
        <v>25</v>
      </c>
      <c r="E46" s="13">
        <f t="shared" si="3"/>
        <v>7.479360434723188E-3</v>
      </c>
      <c r="F46" s="13">
        <f t="shared" si="4"/>
        <v>11.562926596788319</v>
      </c>
      <c r="G46" s="14" t="e">
        <f>F46/$F$124*$D$2</f>
        <v>#DIV/0!</v>
      </c>
      <c r="H46" s="14" t="e">
        <f>F46/$F$124*$E$2</f>
        <v>#DIV/0!</v>
      </c>
      <c r="I46" s="25" t="str">
        <f t="shared" si="2"/>
        <v/>
      </c>
    </row>
    <row r="47" spans="1:9" x14ac:dyDescent="0.25">
      <c r="A47" s="3">
        <v>4474</v>
      </c>
      <c r="B47" s="3">
        <v>113.35878219999999</v>
      </c>
      <c r="C47" s="3">
        <v>22.907901689999999</v>
      </c>
      <c r="D47" s="3">
        <v>25</v>
      </c>
      <c r="E47" s="13">
        <f t="shared" si="3"/>
        <v>7.6176087208865663E-3</v>
      </c>
      <c r="F47" s="13">
        <f t="shared" si="4"/>
        <v>11.457521195755911</v>
      </c>
      <c r="G47" s="14">
        <f>F47/$F$64*$D$2</f>
        <v>0</v>
      </c>
      <c r="H47" s="14">
        <f>F47/$F$64*$E$2</f>
        <v>69.298087609984094</v>
      </c>
      <c r="I47" s="25" t="str">
        <f t="shared" si="2"/>
        <v>选中</v>
      </c>
    </row>
    <row r="48" spans="1:9" hidden="1" x14ac:dyDescent="0.25">
      <c r="A48" s="3">
        <v>4259</v>
      </c>
      <c r="B48" s="3">
        <v>113.3567039</v>
      </c>
      <c r="C48" s="3">
        <v>22.914014139999999</v>
      </c>
      <c r="D48" s="3">
        <v>25</v>
      </c>
      <c r="E48" s="13">
        <f t="shared" si="3"/>
        <v>7.6878475209241964E-3</v>
      </c>
      <c r="F48" s="13">
        <f t="shared" si="4"/>
        <v>11.405061184708346</v>
      </c>
      <c r="G48" s="14" t="e">
        <f>F48/$F$124*$D$2</f>
        <v>#DIV/0!</v>
      </c>
      <c r="H48" s="14" t="e">
        <f>F48/$F$124*$E$2</f>
        <v>#DIV/0!</v>
      </c>
      <c r="I48" s="25" t="str">
        <f t="shared" si="2"/>
        <v/>
      </c>
    </row>
    <row r="49" spans="1:9" hidden="1" x14ac:dyDescent="0.25">
      <c r="A49" s="3">
        <v>4497</v>
      </c>
      <c r="B49" s="3">
        <v>113.3720634</v>
      </c>
      <c r="C49" s="3">
        <v>22.913572309999999</v>
      </c>
      <c r="D49" s="3">
        <v>25</v>
      </c>
      <c r="E49" s="13">
        <f t="shared" si="3"/>
        <v>7.7383687530096406E-3</v>
      </c>
      <c r="F49" s="13">
        <f t="shared" si="4"/>
        <v>11.367770297261814</v>
      </c>
      <c r="G49" s="14" t="e">
        <f>F49/$F$124*$D$2</f>
        <v>#DIV/0!</v>
      </c>
      <c r="H49" s="14" t="e">
        <f>F49/$F$124*$E$2</f>
        <v>#DIV/0!</v>
      </c>
      <c r="I49" s="25" t="str">
        <f t="shared" si="2"/>
        <v/>
      </c>
    </row>
    <row r="50" spans="1:9" x14ac:dyDescent="0.25">
      <c r="A50" s="3">
        <v>4321</v>
      </c>
      <c r="B50" s="3">
        <v>113.3712999</v>
      </c>
      <c r="C50" s="3">
        <v>22.916503859999999</v>
      </c>
      <c r="D50" s="3">
        <v>25</v>
      </c>
      <c r="E50" s="13">
        <f t="shared" si="3"/>
        <v>7.7433296006297137E-3</v>
      </c>
      <c r="F50" s="13">
        <f t="shared" si="4"/>
        <v>11.364128271521697</v>
      </c>
      <c r="G50" s="14">
        <f>F50/$F$64*$D$2</f>
        <v>0</v>
      </c>
      <c r="H50" s="14">
        <f>F50/$F$64*$E$2</f>
        <v>68.733222755260329</v>
      </c>
      <c r="I50" s="25" t="str">
        <f t="shared" si="2"/>
        <v>选中</v>
      </c>
    </row>
    <row r="51" spans="1:9" hidden="1" x14ac:dyDescent="0.25">
      <c r="A51" s="3">
        <v>4475</v>
      </c>
      <c r="B51" s="3">
        <v>113.3565761</v>
      </c>
      <c r="C51" s="3">
        <v>22.913517540000001</v>
      </c>
      <c r="D51" s="3">
        <v>25</v>
      </c>
      <c r="E51" s="13">
        <f t="shared" si="3"/>
        <v>7.7731563383868774E-3</v>
      </c>
      <c r="F51" s="13">
        <f t="shared" si="4"/>
        <v>11.342304404921467</v>
      </c>
      <c r="G51" s="14" t="e">
        <f>F51/$F$124*$D$2</f>
        <v>#DIV/0!</v>
      </c>
      <c r="H51" s="14" t="e">
        <f>F51/$F$124*$E$2</f>
        <v>#DIV/0!</v>
      </c>
      <c r="I51" s="25" t="str">
        <f t="shared" si="2"/>
        <v/>
      </c>
    </row>
    <row r="52" spans="1:9" hidden="1" x14ac:dyDescent="0.25">
      <c r="A52" s="3">
        <v>4292</v>
      </c>
      <c r="B52" s="3">
        <v>113.3698133</v>
      </c>
      <c r="C52" s="3">
        <v>22.919210280000001</v>
      </c>
      <c r="D52" s="3">
        <v>25</v>
      </c>
      <c r="E52" s="13">
        <f t="shared" si="3"/>
        <v>8.1947124662261773E-3</v>
      </c>
      <c r="F52" s="13">
        <f t="shared" si="4"/>
        <v>11.046714759704194</v>
      </c>
      <c r="G52" s="14" t="e">
        <f>F52/$F$124*$D$2</f>
        <v>#DIV/0!</v>
      </c>
      <c r="H52" s="14" t="e">
        <f>F52/$F$124*$E$2</f>
        <v>#DIV/0!</v>
      </c>
      <c r="I52" s="25" t="str">
        <f t="shared" si="2"/>
        <v/>
      </c>
    </row>
    <row r="53" spans="1:9" x14ac:dyDescent="0.25">
      <c r="A53" s="3">
        <v>4268</v>
      </c>
      <c r="B53" s="3">
        <v>113.35618959999999</v>
      </c>
      <c r="C53" s="3">
        <v>22.914421730000001</v>
      </c>
      <c r="D53" s="3">
        <v>25</v>
      </c>
      <c r="E53" s="13">
        <f t="shared" si="3"/>
        <v>8.2535889597065183E-3</v>
      </c>
      <c r="F53" s="13">
        <f t="shared" si="4"/>
        <v>11.007243696192793</v>
      </c>
      <c r="G53" s="14">
        <f>F53/$F$64*$D$2</f>
        <v>0</v>
      </c>
      <c r="H53" s="14">
        <f>F53/$F$64*$E$2</f>
        <v>66.574691416304105</v>
      </c>
      <c r="I53" s="25" t="str">
        <f t="shared" si="2"/>
        <v>选中</v>
      </c>
    </row>
    <row r="54" spans="1:9" hidden="1" x14ac:dyDescent="0.25">
      <c r="A54" s="3">
        <v>4298</v>
      </c>
      <c r="B54" s="3">
        <v>113.3699642</v>
      </c>
      <c r="C54" s="3">
        <v>22.9192611</v>
      </c>
      <c r="D54" s="3">
        <v>25</v>
      </c>
      <c r="E54" s="13">
        <f t="shared" si="3"/>
        <v>8.333706942941917E-3</v>
      </c>
      <c r="F54" s="13">
        <f t="shared" si="4"/>
        <v>10.954205597067592</v>
      </c>
      <c r="G54" s="14" t="e">
        <f>F54/$F$124*$D$2</f>
        <v>#DIV/0!</v>
      </c>
      <c r="H54" s="14" t="e">
        <f>F54/$F$124*$E$2</f>
        <v>#DIV/0!</v>
      </c>
      <c r="I54" s="25" t="str">
        <f t="shared" si="2"/>
        <v/>
      </c>
    </row>
    <row r="55" spans="1:9" hidden="1" x14ac:dyDescent="0.25">
      <c r="A55" s="3">
        <v>4323</v>
      </c>
      <c r="B55" s="3">
        <v>113.3728685</v>
      </c>
      <c r="C55" s="3">
        <v>22.914479149999998</v>
      </c>
      <c r="D55" s="3">
        <v>25</v>
      </c>
      <c r="E55" s="13">
        <f t="shared" si="3"/>
        <v>8.6385779464124082E-3</v>
      </c>
      <c r="F55" s="13">
        <f t="shared" si="4"/>
        <v>10.759172532839559</v>
      </c>
      <c r="G55" s="14" t="e">
        <f>F55/$F$124*$D$2</f>
        <v>#DIV/0!</v>
      </c>
      <c r="H55" s="14" t="e">
        <f>F55/$F$124*$E$2</f>
        <v>#DIV/0!</v>
      </c>
      <c r="I55" s="25" t="str">
        <f t="shared" si="2"/>
        <v/>
      </c>
    </row>
    <row r="56" spans="1:9" x14ac:dyDescent="0.25">
      <c r="A56" s="3">
        <v>4262</v>
      </c>
      <c r="B56" s="3">
        <v>113.3560298</v>
      </c>
      <c r="C56" s="3">
        <v>22.91593434</v>
      </c>
      <c r="D56" s="3">
        <v>25</v>
      </c>
      <c r="E56" s="13">
        <f t="shared" si="3"/>
        <v>8.7749760764888971E-3</v>
      </c>
      <c r="F56" s="13">
        <f t="shared" si="4"/>
        <v>10.675224805754141</v>
      </c>
      <c r="G56" s="14">
        <f>F56/$F$64*$D$2</f>
        <v>0</v>
      </c>
      <c r="H56" s="14">
        <f>F56/$F$64*$E$2</f>
        <v>64.566554249051023</v>
      </c>
      <c r="I56" s="25" t="str">
        <f t="shared" si="2"/>
        <v>选中</v>
      </c>
    </row>
    <row r="57" spans="1:9" hidden="1" x14ac:dyDescent="0.25">
      <c r="A57" s="3">
        <v>4490</v>
      </c>
      <c r="B57" s="3">
        <v>113.3632762</v>
      </c>
      <c r="C57" s="3">
        <v>22.904256149999998</v>
      </c>
      <c r="D57" s="3">
        <v>25</v>
      </c>
      <c r="E57" s="13">
        <f t="shared" si="3"/>
        <v>8.9199260908608621E-3</v>
      </c>
      <c r="F57" s="13">
        <f t="shared" si="4"/>
        <v>10.588132612739296</v>
      </c>
      <c r="G57" s="14" t="e">
        <f>F57/$F$124*$D$2</f>
        <v>#DIV/0!</v>
      </c>
      <c r="H57" s="14" t="e">
        <f>F57/$F$124*$E$2</f>
        <v>#DIV/0!</v>
      </c>
      <c r="I57" s="25" t="str">
        <f t="shared" si="2"/>
        <v/>
      </c>
    </row>
    <row r="58" spans="1:9" hidden="1" x14ac:dyDescent="0.25">
      <c r="A58" s="3">
        <v>4491</v>
      </c>
      <c r="B58" s="3">
        <v>113.3633471</v>
      </c>
      <c r="C58" s="3">
        <v>22.90384323</v>
      </c>
      <c r="D58" s="3">
        <v>25</v>
      </c>
      <c r="E58" s="13">
        <f t="shared" si="3"/>
        <v>9.3222279845325638E-3</v>
      </c>
      <c r="F58" s="13">
        <f t="shared" si="4"/>
        <v>10.357146995384115</v>
      </c>
      <c r="G58" s="14" t="e">
        <f>F58/$F$124*$D$2</f>
        <v>#DIV/0!</v>
      </c>
      <c r="H58" s="14" t="e">
        <f>F58/$F$124*$E$2</f>
        <v>#DIV/0!</v>
      </c>
      <c r="I58" s="25" t="str">
        <f t="shared" si="2"/>
        <v/>
      </c>
    </row>
    <row r="59" spans="1:9" x14ac:dyDescent="0.25">
      <c r="A59" s="3">
        <v>4493</v>
      </c>
      <c r="B59" s="3">
        <v>113.3628198</v>
      </c>
      <c r="C59" s="3">
        <v>22.903753949999999</v>
      </c>
      <c r="D59" s="3">
        <v>25</v>
      </c>
      <c r="E59" s="13">
        <f t="shared" si="3"/>
        <v>9.4810772338606956E-3</v>
      </c>
      <c r="F59" s="13">
        <f t="shared" si="4"/>
        <v>10.270016889163132</v>
      </c>
      <c r="G59" s="14">
        <f>F59/$F$64*$D$2</f>
        <v>0</v>
      </c>
      <c r="H59" s="14">
        <f>F59/$F$64*$E$2</f>
        <v>62.115750691769868</v>
      </c>
      <c r="I59" s="25" t="str">
        <f t="shared" si="2"/>
        <v>选中</v>
      </c>
    </row>
    <row r="60" spans="1:9" hidden="1" x14ac:dyDescent="0.25">
      <c r="A60" s="3">
        <v>4269</v>
      </c>
      <c r="B60" s="3">
        <v>113.35435440000001</v>
      </c>
      <c r="C60" s="3">
        <v>22.915773919999999</v>
      </c>
      <c r="D60" s="3">
        <v>25</v>
      </c>
      <c r="E60" s="13">
        <f t="shared" si="3"/>
        <v>1.0332910060214761E-2</v>
      </c>
      <c r="F60" s="13">
        <f t="shared" si="4"/>
        <v>9.8375890220638116</v>
      </c>
      <c r="G60" s="14" t="e">
        <f>F60/$F$124*$D$2</f>
        <v>#DIV/0!</v>
      </c>
      <c r="H60" s="14" t="e">
        <f>F60/$F$124*$E$2</f>
        <v>#DIV/0!</v>
      </c>
      <c r="I60" s="25" t="str">
        <f t="shared" si="2"/>
        <v/>
      </c>
    </row>
    <row r="61" spans="1:9" hidden="1" x14ac:dyDescent="0.25">
      <c r="A61" s="3">
        <v>4253</v>
      </c>
      <c r="B61" s="3">
        <v>113.3539998</v>
      </c>
      <c r="C61" s="3">
        <v>22.918192449999999</v>
      </c>
      <c r="D61" s="3">
        <v>25</v>
      </c>
      <c r="E61" s="13">
        <f t="shared" si="3"/>
        <v>1.1519463269812711E-2</v>
      </c>
      <c r="F61" s="13">
        <f t="shared" si="4"/>
        <v>9.3171669575952976</v>
      </c>
      <c r="G61" s="14" t="e">
        <f>F61/$F$124*$D$2</f>
        <v>#DIV/0!</v>
      </c>
      <c r="H61" s="14" t="e">
        <f>F61/$F$124*$E$2</f>
        <v>#DIV/0!</v>
      </c>
      <c r="I61" s="25" t="str">
        <f t="shared" si="2"/>
        <v/>
      </c>
    </row>
    <row r="62" spans="1:9" x14ac:dyDescent="0.25">
      <c r="A62" s="3">
        <v>4322</v>
      </c>
      <c r="B62" s="3">
        <v>113.37689570000001</v>
      </c>
      <c r="C62" s="3">
        <v>22.918577859999999</v>
      </c>
      <c r="D62" s="3">
        <v>25</v>
      </c>
      <c r="E62" s="13">
        <f t="shared" si="3"/>
        <v>1.3694803532147762E-2</v>
      </c>
      <c r="F62" s="13">
        <f t="shared" si="4"/>
        <v>8.5451973455921468</v>
      </c>
      <c r="G62" s="14">
        <f>F62/$F$64*$D$2</f>
        <v>0</v>
      </c>
      <c r="H62" s="14">
        <f>F62/$F$64*$E$2</f>
        <v>51.68359055873254</v>
      </c>
      <c r="I62" s="25" t="str">
        <f t="shared" si="2"/>
        <v>选中</v>
      </c>
    </row>
    <row r="63" spans="1:9" x14ac:dyDescent="0.25">
      <c r="A63" s="3"/>
      <c r="B63" s="3"/>
      <c r="C63" s="3"/>
      <c r="D63" s="3"/>
      <c r="G63" s="14"/>
      <c r="H63" s="14"/>
    </row>
    <row r="64" spans="1:9" x14ac:dyDescent="0.25">
      <c r="A64" s="3"/>
      <c r="B64" s="3"/>
      <c r="C64" s="3"/>
      <c r="D64" s="3"/>
      <c r="F64" s="13">
        <f>SUBTOTAL(9,F5:F62)</f>
        <v>295.12611443952363</v>
      </c>
      <c r="G64" s="13">
        <f t="shared" ref="G64:H64" si="5">SUBTOTAL(9,G5:G62)</f>
        <v>0</v>
      </c>
      <c r="H64" s="13">
        <f t="shared" si="5"/>
        <v>1785</v>
      </c>
    </row>
    <row r="65" spans="1:8" x14ac:dyDescent="0.25">
      <c r="A65" s="3"/>
      <c r="B65" s="3"/>
      <c r="C65" s="3"/>
      <c r="D65" s="3"/>
      <c r="G65" s="14"/>
      <c r="H65" s="14"/>
    </row>
    <row r="66" spans="1:8" x14ac:dyDescent="0.25">
      <c r="A66" s="3"/>
      <c r="B66" s="3"/>
      <c r="C66" s="3"/>
      <c r="D66" s="3"/>
      <c r="G66" s="14"/>
      <c r="H66" s="14"/>
    </row>
    <row r="67" spans="1:8" x14ac:dyDescent="0.25">
      <c r="A67" s="3"/>
      <c r="B67" s="3"/>
      <c r="C67" s="3"/>
      <c r="D67" s="3"/>
      <c r="G67" s="14"/>
      <c r="H67" s="14"/>
    </row>
    <row r="68" spans="1:8" x14ac:dyDescent="0.25">
      <c r="A68" s="3"/>
      <c r="B68" s="3"/>
      <c r="C68" s="3"/>
      <c r="D68" s="3"/>
      <c r="G68" s="14"/>
      <c r="H68" s="14"/>
    </row>
    <row r="69" spans="1:8" x14ac:dyDescent="0.25">
      <c r="A69" s="3"/>
      <c r="B69" s="3"/>
      <c r="C69" s="3"/>
      <c r="D69" s="3"/>
      <c r="G69" s="14"/>
      <c r="H69" s="14"/>
    </row>
    <row r="70" spans="1:8" x14ac:dyDescent="0.25">
      <c r="A70" s="3"/>
      <c r="B70" s="3"/>
      <c r="C70" s="3"/>
      <c r="D70" s="3"/>
      <c r="G70" s="14"/>
      <c r="H70" s="14"/>
    </row>
    <row r="71" spans="1:8" x14ac:dyDescent="0.25">
      <c r="A71" s="3"/>
      <c r="B71" s="3"/>
      <c r="C71" s="3"/>
      <c r="D71" s="3"/>
      <c r="G71" s="14"/>
      <c r="H71" s="14"/>
    </row>
    <row r="72" spans="1:8" x14ac:dyDescent="0.25">
      <c r="A72" s="3"/>
      <c r="B72" s="3"/>
      <c r="C72" s="3"/>
      <c r="D72" s="3"/>
      <c r="G72" s="14"/>
      <c r="H72" s="14"/>
    </row>
    <row r="73" spans="1:8" x14ac:dyDescent="0.25">
      <c r="A73" s="3"/>
      <c r="B73" s="3"/>
      <c r="C73" s="3"/>
      <c r="D73" s="3"/>
      <c r="G73" s="14"/>
      <c r="H73" s="14"/>
    </row>
    <row r="74" spans="1:8" x14ac:dyDescent="0.25">
      <c r="A74" s="3"/>
      <c r="B74" s="3"/>
      <c r="C74" s="3"/>
      <c r="D74" s="3"/>
      <c r="G74" s="14"/>
      <c r="H74" s="14"/>
    </row>
    <row r="75" spans="1:8" x14ac:dyDescent="0.25">
      <c r="A75" s="3"/>
      <c r="B75" s="3"/>
      <c r="C75" s="3"/>
      <c r="D75" s="3"/>
      <c r="G75" s="14"/>
      <c r="H75" s="14"/>
    </row>
    <row r="76" spans="1:8" x14ac:dyDescent="0.25">
      <c r="A76" s="3"/>
      <c r="B76" s="3"/>
      <c r="C76" s="3"/>
      <c r="D76" s="3"/>
      <c r="G76" s="14"/>
      <c r="H76" s="14"/>
    </row>
    <row r="77" spans="1:8" x14ac:dyDescent="0.25">
      <c r="A77" s="3"/>
      <c r="B77" s="3"/>
      <c r="C77" s="3"/>
      <c r="D77" s="3"/>
      <c r="G77" s="14"/>
      <c r="H77" s="14"/>
    </row>
    <row r="78" spans="1:8" x14ac:dyDescent="0.25">
      <c r="A78" s="3"/>
      <c r="B78" s="3"/>
      <c r="C78" s="3"/>
      <c r="D78" s="3"/>
      <c r="G78" s="14"/>
      <c r="H78" s="14"/>
    </row>
    <row r="79" spans="1:8" x14ac:dyDescent="0.25">
      <c r="A79" s="3"/>
      <c r="B79" s="3"/>
      <c r="C79" s="3"/>
      <c r="D79" s="3"/>
      <c r="G79" s="14"/>
      <c r="H79" s="14"/>
    </row>
    <row r="80" spans="1:8" x14ac:dyDescent="0.25">
      <c r="A80" s="3"/>
      <c r="B80" s="3"/>
      <c r="C80" s="3"/>
      <c r="D80" s="3"/>
      <c r="G80" s="14"/>
      <c r="H80" s="14"/>
    </row>
    <row r="81" spans="1:8" x14ac:dyDescent="0.25">
      <c r="A81" s="3"/>
      <c r="B81" s="3"/>
      <c r="C81" s="3"/>
      <c r="D81" s="3"/>
      <c r="G81" s="14"/>
      <c r="H81" s="14"/>
    </row>
    <row r="82" spans="1:8" x14ac:dyDescent="0.25">
      <c r="A82" s="3"/>
      <c r="B82" s="3"/>
      <c r="C82" s="3"/>
      <c r="D82" s="3"/>
      <c r="G82" s="14"/>
      <c r="H82" s="14"/>
    </row>
    <row r="83" spans="1:8" x14ac:dyDescent="0.25">
      <c r="A83" s="3"/>
      <c r="B83" s="3"/>
      <c r="C83" s="3"/>
      <c r="D83" s="3"/>
      <c r="G83" s="14"/>
      <c r="H83" s="14"/>
    </row>
    <row r="84" spans="1:8" x14ac:dyDescent="0.25">
      <c r="A84" s="3"/>
      <c r="B84" s="3"/>
      <c r="C84" s="3"/>
      <c r="D84" s="3"/>
      <c r="G84" s="14"/>
      <c r="H84" s="14"/>
    </row>
    <row r="85" spans="1:8" x14ac:dyDescent="0.25">
      <c r="A85" s="3"/>
      <c r="B85" s="3"/>
      <c r="C85" s="3"/>
      <c r="D85" s="3"/>
      <c r="G85" s="14"/>
      <c r="H85" s="14"/>
    </row>
    <row r="86" spans="1:8" x14ac:dyDescent="0.25">
      <c r="A86" s="3"/>
      <c r="B86" s="3"/>
      <c r="C86" s="3"/>
      <c r="D86" s="3"/>
      <c r="G86" s="14"/>
      <c r="H86" s="14"/>
    </row>
    <row r="87" spans="1:8" x14ac:dyDescent="0.25">
      <c r="A87" s="3"/>
      <c r="B87" s="3"/>
      <c r="C87" s="3"/>
      <c r="D87" s="3"/>
      <c r="G87" s="14"/>
      <c r="H87" s="14"/>
    </row>
    <row r="88" spans="1:8" x14ac:dyDescent="0.25">
      <c r="A88" s="3"/>
      <c r="B88" s="3"/>
      <c r="C88" s="3"/>
      <c r="D88" s="3"/>
      <c r="G88" s="14"/>
      <c r="H88" s="14"/>
    </row>
    <row r="89" spans="1:8" x14ac:dyDescent="0.25">
      <c r="A89" s="3"/>
      <c r="B89" s="3"/>
      <c r="C89" s="3"/>
      <c r="D89" s="3"/>
      <c r="G89" s="14"/>
      <c r="H89" s="14"/>
    </row>
    <row r="90" spans="1:8" x14ac:dyDescent="0.25">
      <c r="A90" s="3"/>
      <c r="B90" s="3"/>
      <c r="C90" s="3"/>
      <c r="D90" s="3"/>
      <c r="G90" s="14"/>
      <c r="H90" s="14"/>
    </row>
    <row r="91" spans="1:8" x14ac:dyDescent="0.25">
      <c r="A91" s="3"/>
      <c r="B91" s="3"/>
      <c r="C91" s="3"/>
      <c r="D91" s="3"/>
      <c r="G91" s="14"/>
      <c r="H91" s="14"/>
    </row>
    <row r="92" spans="1:8" x14ac:dyDescent="0.25">
      <c r="A92" s="3"/>
      <c r="B92" s="3"/>
      <c r="C92" s="3"/>
      <c r="D92" s="3"/>
      <c r="G92" s="14"/>
      <c r="H92" s="14"/>
    </row>
    <row r="93" spans="1:8" x14ac:dyDescent="0.25">
      <c r="A93" s="3"/>
      <c r="B93" s="3"/>
      <c r="C93" s="3"/>
      <c r="D93" s="3"/>
      <c r="G93" s="14"/>
      <c r="H93" s="14"/>
    </row>
    <row r="94" spans="1:8" x14ac:dyDescent="0.25">
      <c r="A94" s="3"/>
      <c r="B94" s="3"/>
      <c r="C94" s="3"/>
      <c r="D94" s="3"/>
      <c r="G94" s="14"/>
      <c r="H94" s="14"/>
    </row>
    <row r="95" spans="1:8" x14ac:dyDescent="0.25">
      <c r="A95" s="3"/>
      <c r="B95" s="3"/>
      <c r="C95" s="3"/>
      <c r="D95" s="3"/>
      <c r="G95" s="14"/>
      <c r="H95" s="14"/>
    </row>
    <row r="96" spans="1:8" x14ac:dyDescent="0.25">
      <c r="A96" s="3"/>
      <c r="B96" s="3"/>
      <c r="C96" s="3"/>
      <c r="D96" s="3"/>
      <c r="G96" s="14"/>
      <c r="H96" s="14"/>
    </row>
    <row r="97" spans="1:8" x14ac:dyDescent="0.25">
      <c r="A97" s="3"/>
      <c r="B97" s="3"/>
      <c r="C97" s="3"/>
      <c r="D97" s="3"/>
      <c r="G97" s="14"/>
      <c r="H97" s="14"/>
    </row>
    <row r="98" spans="1:8" x14ac:dyDescent="0.25">
      <c r="A98" s="3"/>
      <c r="B98" s="3"/>
      <c r="C98" s="3"/>
      <c r="D98" s="3"/>
      <c r="G98" s="14"/>
      <c r="H98" s="14"/>
    </row>
    <row r="99" spans="1:8" x14ac:dyDescent="0.25">
      <c r="A99" s="3"/>
      <c r="B99" s="3"/>
      <c r="C99" s="3"/>
      <c r="D99" s="3"/>
      <c r="G99" s="14"/>
      <c r="H99" s="14"/>
    </row>
    <row r="100" spans="1:8" x14ac:dyDescent="0.25">
      <c r="A100" s="3"/>
      <c r="B100" s="3"/>
      <c r="C100" s="3"/>
      <c r="D100" s="3"/>
      <c r="G100" s="14"/>
      <c r="H100" s="14"/>
    </row>
    <row r="101" spans="1:8" x14ac:dyDescent="0.25">
      <c r="A101" s="3"/>
      <c r="B101" s="3"/>
      <c r="C101" s="3"/>
      <c r="D101" s="3"/>
      <c r="G101" s="14"/>
      <c r="H101" s="14"/>
    </row>
    <row r="102" spans="1:8" x14ac:dyDescent="0.25">
      <c r="A102" s="3"/>
      <c r="B102" s="3"/>
      <c r="C102" s="3"/>
      <c r="D102" s="3"/>
      <c r="G102" s="14"/>
      <c r="H102" s="14"/>
    </row>
    <row r="103" spans="1:8" x14ac:dyDescent="0.25">
      <c r="A103" s="3"/>
      <c r="B103" s="3"/>
      <c r="C103" s="3"/>
      <c r="D103" s="3"/>
      <c r="G103" s="14"/>
      <c r="H103" s="14"/>
    </row>
    <row r="104" spans="1:8" x14ac:dyDescent="0.25">
      <c r="A104" s="3"/>
      <c r="B104" s="3"/>
      <c r="C104" s="3"/>
      <c r="D104" s="3"/>
      <c r="G104" s="14"/>
      <c r="H104" s="14"/>
    </row>
    <row r="105" spans="1:8" x14ac:dyDescent="0.25">
      <c r="A105" s="3"/>
      <c r="B105" s="3"/>
      <c r="C105" s="3"/>
      <c r="D105" s="3"/>
      <c r="G105" s="14"/>
      <c r="H105" s="14"/>
    </row>
    <row r="106" spans="1:8" x14ac:dyDescent="0.25">
      <c r="A106" s="3"/>
      <c r="B106" s="3"/>
      <c r="C106" s="3"/>
      <c r="D106" s="3"/>
      <c r="G106" s="14"/>
      <c r="H106" s="14"/>
    </row>
    <row r="107" spans="1:8" x14ac:dyDescent="0.25">
      <c r="A107" s="3"/>
      <c r="B107" s="3"/>
      <c r="C107" s="3"/>
      <c r="D107" s="3"/>
      <c r="G107" s="14"/>
      <c r="H107" s="14"/>
    </row>
    <row r="108" spans="1:8" x14ac:dyDescent="0.25">
      <c r="A108" s="3"/>
      <c r="B108" s="3"/>
      <c r="C108" s="3"/>
      <c r="D108" s="3"/>
      <c r="G108" s="14"/>
      <c r="H108" s="14"/>
    </row>
    <row r="109" spans="1:8" x14ac:dyDescent="0.25">
      <c r="A109" s="3"/>
      <c r="B109" s="3"/>
      <c r="C109" s="3"/>
      <c r="D109" s="3"/>
      <c r="G109" s="14"/>
      <c r="H109" s="14"/>
    </row>
    <row r="110" spans="1:8" x14ac:dyDescent="0.25">
      <c r="A110" s="3"/>
      <c r="B110" s="3"/>
      <c r="C110" s="3"/>
      <c r="D110" s="3"/>
      <c r="G110" s="14"/>
      <c r="H110" s="14"/>
    </row>
    <row r="111" spans="1:8" x14ac:dyDescent="0.25">
      <c r="A111" s="3"/>
      <c r="B111" s="3"/>
      <c r="C111" s="3"/>
      <c r="D111" s="3"/>
      <c r="G111" s="14"/>
      <c r="H111" s="14"/>
    </row>
    <row r="112" spans="1:8" x14ac:dyDescent="0.25">
      <c r="A112" s="3"/>
      <c r="B112" s="3"/>
      <c r="C112" s="3"/>
      <c r="D112" s="3"/>
      <c r="G112" s="14"/>
      <c r="H112" s="14"/>
    </row>
    <row r="113" spans="1:8" x14ac:dyDescent="0.25">
      <c r="A113" s="3"/>
      <c r="B113" s="3"/>
      <c r="C113" s="3"/>
      <c r="D113" s="3"/>
      <c r="G113" s="14"/>
      <c r="H113" s="14"/>
    </row>
    <row r="114" spans="1:8" x14ac:dyDescent="0.25">
      <c r="A114" s="3"/>
      <c r="B114" s="3"/>
      <c r="C114" s="3"/>
      <c r="D114" s="3"/>
      <c r="G114" s="14"/>
      <c r="H114" s="14"/>
    </row>
    <row r="115" spans="1:8" x14ac:dyDescent="0.25">
      <c r="A115" s="3"/>
      <c r="B115" s="3"/>
      <c r="C115" s="3"/>
      <c r="D115" s="3"/>
      <c r="G115" s="14"/>
      <c r="H115" s="14"/>
    </row>
    <row r="116" spans="1:8" x14ac:dyDescent="0.25">
      <c r="A116" s="3"/>
      <c r="B116" s="3"/>
      <c r="C116" s="3"/>
      <c r="D116" s="3"/>
      <c r="G116" s="14"/>
      <c r="H116" s="14"/>
    </row>
    <row r="117" spans="1:8" x14ac:dyDescent="0.25">
      <c r="A117" s="3"/>
      <c r="B117" s="3"/>
      <c r="C117" s="3"/>
      <c r="D117" s="3"/>
      <c r="G117" s="14"/>
      <c r="H117" s="14"/>
    </row>
    <row r="118" spans="1:8" x14ac:dyDescent="0.25">
      <c r="A118" s="3"/>
      <c r="B118" s="3"/>
      <c r="C118" s="3"/>
      <c r="D118" s="3"/>
      <c r="G118" s="14"/>
      <c r="H118" s="14"/>
    </row>
    <row r="119" spans="1:8" x14ac:dyDescent="0.25">
      <c r="A119" s="3"/>
      <c r="B119" s="3"/>
      <c r="C119" s="3"/>
      <c r="D119" s="3"/>
      <c r="G119" s="14"/>
      <c r="H119" s="14"/>
    </row>
    <row r="120" spans="1:8" x14ac:dyDescent="0.25">
      <c r="A120" s="3"/>
      <c r="B120" s="3"/>
      <c r="C120" s="3"/>
      <c r="D120" s="3"/>
      <c r="G120" s="14"/>
      <c r="H120" s="14"/>
    </row>
    <row r="121" spans="1:8" x14ac:dyDescent="0.25">
      <c r="A121" s="3"/>
      <c r="B121" s="3"/>
      <c r="C121" s="3"/>
      <c r="D121" s="3"/>
      <c r="G121" s="14"/>
      <c r="H121" s="14"/>
    </row>
    <row r="122" spans="1:8" x14ac:dyDescent="0.25">
      <c r="A122" s="3"/>
      <c r="B122" s="3"/>
      <c r="C122" s="3"/>
      <c r="D122" s="3"/>
      <c r="G122" s="14"/>
      <c r="H122" s="14"/>
    </row>
    <row r="123" spans="1:8" x14ac:dyDescent="0.25">
      <c r="A123" s="3"/>
      <c r="B123" s="3"/>
      <c r="C123" s="3"/>
      <c r="D123" s="3"/>
      <c r="G123" s="14"/>
      <c r="H123" s="14"/>
    </row>
    <row r="124" spans="1:8" x14ac:dyDescent="0.25">
      <c r="A124" s="3"/>
      <c r="B124" s="3"/>
      <c r="C124" s="3"/>
      <c r="D124" s="3"/>
      <c r="G124" s="14"/>
      <c r="H124" s="14"/>
    </row>
    <row r="125" spans="1:8" x14ac:dyDescent="0.25">
      <c r="A125" s="3"/>
      <c r="B125" s="3"/>
      <c r="C125" s="3"/>
      <c r="D125" s="3"/>
      <c r="G125" s="14"/>
      <c r="H125" s="14"/>
    </row>
    <row r="126" spans="1:8" x14ac:dyDescent="0.25">
      <c r="A126" s="18"/>
      <c r="B126" s="3"/>
      <c r="C126" s="3"/>
      <c r="D126" s="3"/>
      <c r="G126" s="14"/>
      <c r="H126" s="14"/>
    </row>
    <row r="127" spans="1:8" x14ac:dyDescent="0.25">
      <c r="A127" s="3"/>
      <c r="B127" s="3"/>
      <c r="C127" s="3"/>
      <c r="D127" s="3"/>
      <c r="G127" s="14"/>
      <c r="H127" s="14"/>
    </row>
    <row r="128" spans="1:8" x14ac:dyDescent="0.25">
      <c r="A128" s="3"/>
      <c r="B128" s="3"/>
      <c r="C128" s="3"/>
      <c r="D128" s="3"/>
      <c r="G128" s="14"/>
      <c r="H128" s="14"/>
    </row>
    <row r="129" spans="1:8" x14ac:dyDescent="0.25">
      <c r="A129" s="3"/>
      <c r="B129" s="3"/>
      <c r="C129" s="3"/>
      <c r="D129" s="3"/>
      <c r="G129" s="14"/>
      <c r="H129" s="14"/>
    </row>
    <row r="130" spans="1:8" x14ac:dyDescent="0.25">
      <c r="A130" s="3"/>
      <c r="B130" s="3"/>
      <c r="C130" s="3"/>
      <c r="D130" s="3"/>
      <c r="G130" s="14"/>
      <c r="H130" s="14"/>
    </row>
    <row r="131" spans="1:8" x14ac:dyDescent="0.25">
      <c r="A131" s="3"/>
      <c r="B131" s="3"/>
      <c r="C131" s="3"/>
      <c r="D131" s="3"/>
      <c r="G131" s="14"/>
      <c r="H131" s="14"/>
    </row>
    <row r="132" spans="1:8" x14ac:dyDescent="0.25">
      <c r="A132" s="3"/>
      <c r="B132" s="3"/>
      <c r="C132" s="3"/>
      <c r="D132" s="3"/>
      <c r="G132" s="14"/>
      <c r="H132" s="14"/>
    </row>
    <row r="133" spans="1:8" x14ac:dyDescent="0.25">
      <c r="A133" s="3"/>
      <c r="B133" s="3"/>
      <c r="C133" s="3"/>
      <c r="D133" s="3"/>
      <c r="G133" s="14"/>
      <c r="H133" s="14"/>
    </row>
    <row r="134" spans="1:8" x14ac:dyDescent="0.25">
      <c r="A134" s="3"/>
      <c r="B134" s="3"/>
      <c r="C134" s="3"/>
      <c r="D134" s="3"/>
      <c r="G134" s="14"/>
      <c r="H134" s="14"/>
    </row>
    <row r="135" spans="1:8" x14ac:dyDescent="0.25">
      <c r="A135" s="3"/>
      <c r="B135" s="3"/>
      <c r="C135" s="3"/>
      <c r="D135" s="3"/>
      <c r="G135" s="14"/>
      <c r="H135" s="14"/>
    </row>
    <row r="136" spans="1:8" x14ac:dyDescent="0.25">
      <c r="A136" s="3"/>
      <c r="B136" s="3"/>
      <c r="C136" s="3"/>
      <c r="D136" s="3"/>
      <c r="G136" s="14"/>
      <c r="H136" s="14"/>
    </row>
    <row r="137" spans="1:8" x14ac:dyDescent="0.25">
      <c r="A137" s="3"/>
      <c r="B137" s="3"/>
      <c r="C137" s="3"/>
      <c r="D137" s="3"/>
      <c r="G137" s="14"/>
      <c r="H137" s="14"/>
    </row>
    <row r="138" spans="1:8" x14ac:dyDescent="0.25">
      <c r="A138" s="3"/>
      <c r="B138" s="3"/>
      <c r="C138" s="3"/>
      <c r="D138" s="3"/>
      <c r="G138" s="14"/>
      <c r="H138" s="14"/>
    </row>
    <row r="139" spans="1:8" x14ac:dyDescent="0.25">
      <c r="A139" s="3"/>
      <c r="B139" s="3"/>
      <c r="C139" s="3"/>
      <c r="D139" s="3"/>
      <c r="G139" s="14"/>
      <c r="H139" s="14"/>
    </row>
    <row r="140" spans="1:8" x14ac:dyDescent="0.25">
      <c r="A140" s="3"/>
      <c r="B140" s="3"/>
      <c r="C140" s="3"/>
      <c r="D140" s="3"/>
      <c r="G140" s="14"/>
      <c r="H140" s="14"/>
    </row>
    <row r="141" spans="1:8" x14ac:dyDescent="0.25">
      <c r="A141" s="3"/>
      <c r="B141" s="3"/>
      <c r="C141" s="3"/>
      <c r="D141" s="3"/>
      <c r="G141" s="14"/>
      <c r="H141" s="14"/>
    </row>
    <row r="142" spans="1:8" x14ac:dyDescent="0.25">
      <c r="A142" s="3"/>
      <c r="B142" s="3"/>
      <c r="C142" s="3"/>
      <c r="D142" s="3"/>
      <c r="G142" s="14"/>
      <c r="H142" s="14"/>
    </row>
    <row r="143" spans="1:8" x14ac:dyDescent="0.25">
      <c r="A143" s="3"/>
      <c r="B143" s="3"/>
      <c r="C143" s="3"/>
      <c r="D143" s="3"/>
      <c r="G143" s="14"/>
      <c r="H143" s="14"/>
    </row>
    <row r="144" spans="1:8" x14ac:dyDescent="0.25">
      <c r="A144" s="3"/>
      <c r="B144" s="3"/>
      <c r="C144" s="3"/>
      <c r="D144" s="3"/>
      <c r="G144" s="14"/>
      <c r="H144" s="14"/>
    </row>
    <row r="145" spans="1:8" x14ac:dyDescent="0.25">
      <c r="A145" s="3"/>
      <c r="B145" s="3"/>
      <c r="C145" s="3"/>
      <c r="D145" s="3"/>
      <c r="G145" s="14"/>
      <c r="H145" s="14"/>
    </row>
    <row r="146" spans="1:8" x14ac:dyDescent="0.25">
      <c r="A146" s="3"/>
      <c r="B146" s="3"/>
      <c r="C146" s="3"/>
      <c r="D146" s="3"/>
      <c r="G146" s="14"/>
      <c r="H146" s="14"/>
    </row>
    <row r="147" spans="1:8" x14ac:dyDescent="0.25">
      <c r="A147" s="3"/>
      <c r="B147" s="3"/>
      <c r="C147" s="3"/>
      <c r="D147" s="3"/>
      <c r="G147" s="14"/>
      <c r="H147" s="14"/>
    </row>
    <row r="148" spans="1:8" x14ac:dyDescent="0.25">
      <c r="A148" s="3"/>
      <c r="B148" s="3"/>
      <c r="C148" s="3"/>
      <c r="D148" s="3"/>
      <c r="G148" s="14"/>
      <c r="H148" s="14"/>
    </row>
    <row r="149" spans="1:8" x14ac:dyDescent="0.25">
      <c r="A149" s="3"/>
      <c r="B149" s="3"/>
      <c r="C149" s="3"/>
      <c r="D149" s="3"/>
      <c r="G149" s="14"/>
      <c r="H149" s="14"/>
    </row>
    <row r="150" spans="1:8" x14ac:dyDescent="0.25">
      <c r="A150" s="3"/>
      <c r="B150" s="3"/>
      <c r="C150" s="3"/>
      <c r="D150" s="3"/>
      <c r="G150" s="14"/>
      <c r="H150" s="14"/>
    </row>
    <row r="151" spans="1:8" x14ac:dyDescent="0.25">
      <c r="A151" s="3"/>
      <c r="B151" s="3"/>
      <c r="C151" s="3"/>
      <c r="D151" s="3"/>
      <c r="G151" s="14"/>
      <c r="H151" s="14"/>
    </row>
    <row r="152" spans="1:8" x14ac:dyDescent="0.25">
      <c r="A152" s="3"/>
      <c r="B152" s="3"/>
      <c r="C152" s="3"/>
      <c r="D152" s="3"/>
      <c r="G152" s="14"/>
      <c r="H152" s="14"/>
    </row>
    <row r="153" spans="1:8" x14ac:dyDescent="0.25">
      <c r="A153" s="3"/>
      <c r="B153" s="3"/>
      <c r="C153" s="3"/>
      <c r="D153" s="3"/>
      <c r="G153" s="14"/>
      <c r="H153" s="14"/>
    </row>
    <row r="154" spans="1:8" x14ac:dyDescent="0.25">
      <c r="A154" s="3"/>
      <c r="B154" s="3"/>
      <c r="C154" s="3"/>
      <c r="D154" s="3"/>
      <c r="G154" s="14"/>
      <c r="H154" s="14"/>
    </row>
    <row r="155" spans="1:8" x14ac:dyDescent="0.25">
      <c r="A155" s="3"/>
      <c r="B155" s="3"/>
      <c r="C155" s="3"/>
      <c r="D155" s="3"/>
      <c r="G155" s="14"/>
      <c r="H155" s="14"/>
    </row>
    <row r="156" spans="1:8" x14ac:dyDescent="0.25">
      <c r="A156" s="3"/>
      <c r="B156" s="3"/>
      <c r="C156" s="3"/>
      <c r="D156" s="3"/>
      <c r="G156" s="14"/>
      <c r="H156" s="14"/>
    </row>
    <row r="157" spans="1:8" x14ac:dyDescent="0.25">
      <c r="A157" s="3"/>
      <c r="B157" s="3"/>
      <c r="C157" s="3"/>
      <c r="D157" s="3"/>
      <c r="G157" s="14"/>
      <c r="H157" s="14"/>
    </row>
    <row r="158" spans="1:8" x14ac:dyDescent="0.25">
      <c r="A158" s="3"/>
      <c r="B158" s="3"/>
      <c r="C158" s="3"/>
      <c r="D158" s="3"/>
      <c r="G158" s="14"/>
      <c r="H158" s="14"/>
    </row>
    <row r="159" spans="1:8" x14ac:dyDescent="0.25">
      <c r="A159" s="3"/>
      <c r="B159" s="3"/>
      <c r="C159" s="3"/>
      <c r="D159" s="3"/>
      <c r="G159" s="14"/>
      <c r="H159" s="14"/>
    </row>
    <row r="160" spans="1:8" x14ac:dyDescent="0.25">
      <c r="A160" s="3"/>
      <c r="B160" s="3"/>
      <c r="C160" s="3"/>
      <c r="D160" s="3"/>
      <c r="G160" s="14"/>
      <c r="H160" s="14"/>
    </row>
    <row r="161" spans="1:8" x14ac:dyDescent="0.25">
      <c r="A161" s="3"/>
      <c r="B161" s="3"/>
      <c r="C161" s="3"/>
      <c r="D161" s="3"/>
      <c r="G161" s="14"/>
      <c r="H161" s="14"/>
    </row>
    <row r="162" spans="1:8" x14ac:dyDescent="0.25">
      <c r="A162" s="3"/>
      <c r="B162" s="3"/>
      <c r="C162" s="3"/>
      <c r="D162" s="3"/>
      <c r="G162" s="14"/>
      <c r="H162" s="14"/>
    </row>
    <row r="163" spans="1:8" x14ac:dyDescent="0.25">
      <c r="A163" s="3"/>
      <c r="B163" s="3"/>
      <c r="C163" s="3"/>
      <c r="D163" s="3"/>
      <c r="G163" s="14"/>
      <c r="H163" s="14"/>
    </row>
    <row r="164" spans="1:8" x14ac:dyDescent="0.25">
      <c r="A164" s="3"/>
      <c r="B164" s="3"/>
      <c r="C164" s="3"/>
      <c r="D164" s="3"/>
      <c r="G164" s="14"/>
      <c r="H164" s="14"/>
    </row>
    <row r="165" spans="1:8" x14ac:dyDescent="0.25">
      <c r="A165" s="3"/>
      <c r="B165" s="3"/>
      <c r="C165" s="3"/>
      <c r="D165" s="3"/>
      <c r="G165" s="14"/>
      <c r="H165" s="14"/>
    </row>
    <row r="166" spans="1:8" x14ac:dyDescent="0.25">
      <c r="A166" s="3"/>
      <c r="B166" s="3"/>
      <c r="C166" s="3"/>
      <c r="D166" s="3"/>
      <c r="G166" s="14"/>
      <c r="H166" s="14"/>
    </row>
    <row r="167" spans="1:8" x14ac:dyDescent="0.25">
      <c r="A167" s="3"/>
      <c r="B167" s="3"/>
      <c r="C167" s="3"/>
      <c r="D167" s="3"/>
      <c r="G167" s="14"/>
      <c r="H167" s="14"/>
    </row>
    <row r="168" spans="1:8" x14ac:dyDescent="0.25">
      <c r="A168" s="3"/>
      <c r="B168" s="3"/>
      <c r="C168" s="3"/>
      <c r="D168" s="3"/>
      <c r="G168" s="14"/>
      <c r="H168" s="14"/>
    </row>
    <row r="169" spans="1:8" x14ac:dyDescent="0.25">
      <c r="A169" s="3"/>
      <c r="B169" s="3"/>
      <c r="C169" s="3"/>
      <c r="D169" s="3"/>
      <c r="G169" s="14"/>
      <c r="H169" s="14"/>
    </row>
    <row r="170" spans="1:8" x14ac:dyDescent="0.25">
      <c r="A170" s="3"/>
      <c r="B170" s="3"/>
      <c r="C170" s="3"/>
      <c r="D170" s="3"/>
      <c r="G170" s="14"/>
      <c r="H170" s="14"/>
    </row>
    <row r="171" spans="1:8" x14ac:dyDescent="0.25">
      <c r="A171" s="3"/>
      <c r="B171" s="3"/>
      <c r="C171" s="3"/>
      <c r="D171" s="3"/>
      <c r="G171" s="14"/>
      <c r="H171" s="14"/>
    </row>
    <row r="172" spans="1:8" x14ac:dyDescent="0.25">
      <c r="A172" s="3"/>
      <c r="B172" s="3"/>
      <c r="C172" s="3"/>
      <c r="D172" s="3"/>
      <c r="G172" s="14"/>
      <c r="H172" s="14"/>
    </row>
    <row r="173" spans="1:8" x14ac:dyDescent="0.25">
      <c r="A173" s="3"/>
      <c r="B173" s="3"/>
      <c r="C173" s="3"/>
      <c r="D173" s="3"/>
      <c r="G173" s="14"/>
      <c r="H173" s="14"/>
    </row>
    <row r="174" spans="1:8" x14ac:dyDescent="0.25">
      <c r="A174" s="3"/>
      <c r="B174" s="3"/>
      <c r="C174" s="3"/>
      <c r="D174" s="3"/>
      <c r="G174" s="14"/>
      <c r="H174" s="14"/>
    </row>
    <row r="175" spans="1:8" x14ac:dyDescent="0.25">
      <c r="A175" s="3"/>
      <c r="B175" s="3"/>
      <c r="C175" s="3"/>
      <c r="D175" s="3"/>
      <c r="G175" s="14"/>
      <c r="H175" s="14"/>
    </row>
    <row r="176" spans="1:8" x14ac:dyDescent="0.25">
      <c r="A176" s="3"/>
      <c r="B176" s="3"/>
      <c r="C176" s="3"/>
      <c r="D176" s="3"/>
      <c r="G176" s="14"/>
      <c r="H176" s="14"/>
    </row>
    <row r="177" spans="1:8" x14ac:dyDescent="0.25">
      <c r="A177" s="3"/>
      <c r="B177" s="3"/>
      <c r="C177" s="3"/>
      <c r="D177" s="3"/>
      <c r="G177" s="14"/>
      <c r="H177" s="14"/>
    </row>
    <row r="178" spans="1:8" x14ac:dyDescent="0.25">
      <c r="A178" s="3"/>
      <c r="B178" s="3"/>
      <c r="C178" s="3"/>
      <c r="D178" s="3"/>
      <c r="G178" s="14"/>
      <c r="H178" s="14"/>
    </row>
    <row r="179" spans="1:8" x14ac:dyDescent="0.25">
      <c r="A179" s="3"/>
      <c r="B179" s="3"/>
      <c r="C179" s="3"/>
      <c r="D179" s="3"/>
      <c r="G179" s="14"/>
      <c r="H179" s="14"/>
    </row>
    <row r="180" spans="1:8" x14ac:dyDescent="0.25">
      <c r="A180" s="3"/>
      <c r="B180" s="3"/>
      <c r="C180" s="3"/>
      <c r="D180" s="3"/>
      <c r="G180" s="14"/>
      <c r="H180" s="14"/>
    </row>
    <row r="181" spans="1:8" x14ac:dyDescent="0.25">
      <c r="A181" s="3"/>
      <c r="B181" s="3"/>
      <c r="C181" s="3"/>
      <c r="D181" s="3"/>
      <c r="G181" s="14"/>
      <c r="H181" s="14"/>
    </row>
    <row r="182" spans="1:8" x14ac:dyDescent="0.25">
      <c r="A182" s="3"/>
      <c r="B182" s="3"/>
      <c r="C182" s="3"/>
      <c r="D182" s="3"/>
      <c r="G182" s="14"/>
      <c r="H182" s="14"/>
    </row>
    <row r="183" spans="1:8" x14ac:dyDescent="0.25">
      <c r="A183" s="3"/>
      <c r="B183" s="3"/>
      <c r="C183" s="3"/>
      <c r="D183" s="3"/>
      <c r="G183" s="14"/>
      <c r="H183" s="14"/>
    </row>
    <row r="184" spans="1:8" x14ac:dyDescent="0.25">
      <c r="A184" s="3"/>
      <c r="B184" s="3"/>
      <c r="C184" s="3"/>
      <c r="D184" s="3"/>
      <c r="G184" s="14"/>
      <c r="H184" s="14"/>
    </row>
    <row r="185" spans="1:8" x14ac:dyDescent="0.25">
      <c r="A185" s="3"/>
      <c r="B185" s="3"/>
      <c r="C185" s="3"/>
      <c r="D185" s="3"/>
      <c r="G185" s="14"/>
      <c r="H185" s="14"/>
    </row>
    <row r="186" spans="1:8" x14ac:dyDescent="0.25">
      <c r="A186" s="3"/>
      <c r="B186" s="3"/>
      <c r="C186" s="3"/>
      <c r="D186" s="3"/>
      <c r="G186" s="14"/>
      <c r="H186" s="14"/>
    </row>
    <row r="187" spans="1:8" x14ac:dyDescent="0.25">
      <c r="A187" s="3"/>
      <c r="B187" s="3"/>
      <c r="C187" s="3"/>
      <c r="D187" s="3"/>
      <c r="G187" s="14"/>
      <c r="H187" s="14"/>
    </row>
    <row r="188" spans="1:8" x14ac:dyDescent="0.25">
      <c r="A188" s="3"/>
      <c r="B188" s="3"/>
      <c r="C188" s="3"/>
      <c r="D188" s="3"/>
      <c r="G188" s="14"/>
      <c r="H188" s="14"/>
    </row>
    <row r="189" spans="1:8" x14ac:dyDescent="0.25">
      <c r="A189" s="3"/>
      <c r="B189" s="3"/>
      <c r="C189" s="3"/>
      <c r="D189" s="3"/>
      <c r="G189" s="14"/>
      <c r="H189" s="14"/>
    </row>
    <row r="190" spans="1:8" x14ac:dyDescent="0.25">
      <c r="A190" s="3"/>
      <c r="B190" s="3"/>
      <c r="C190" s="3"/>
      <c r="D190" s="3"/>
      <c r="G190" s="14"/>
      <c r="H190" s="14"/>
    </row>
    <row r="191" spans="1:8" x14ac:dyDescent="0.25">
      <c r="A191" s="3"/>
      <c r="B191" s="3"/>
      <c r="C191" s="3"/>
      <c r="D191" s="3"/>
      <c r="G191" s="14"/>
      <c r="H191" s="14"/>
    </row>
    <row r="192" spans="1:8" x14ac:dyDescent="0.25">
      <c r="A192" s="3"/>
      <c r="B192" s="3"/>
      <c r="C192" s="3"/>
      <c r="D192" s="3"/>
      <c r="G192" s="14"/>
      <c r="H192" s="14"/>
    </row>
    <row r="193" spans="1:8" x14ac:dyDescent="0.25">
      <c r="A193" s="3"/>
      <c r="B193" s="3"/>
      <c r="C193" s="3"/>
      <c r="D193" s="3"/>
      <c r="G193" s="14"/>
      <c r="H193" s="14"/>
    </row>
    <row r="194" spans="1:8" x14ac:dyDescent="0.25">
      <c r="A194" s="3"/>
      <c r="B194" s="3"/>
      <c r="C194" s="3"/>
      <c r="D194" s="3"/>
      <c r="G194" s="14"/>
      <c r="H194" s="14"/>
    </row>
    <row r="195" spans="1:8" x14ac:dyDescent="0.25">
      <c r="A195" s="3"/>
      <c r="B195" s="3"/>
      <c r="C195" s="3"/>
      <c r="D195" s="3"/>
      <c r="G195" s="14"/>
      <c r="H195" s="14"/>
    </row>
    <row r="196" spans="1:8" x14ac:dyDescent="0.25">
      <c r="A196" s="3"/>
      <c r="B196" s="3"/>
      <c r="C196" s="3"/>
      <c r="D196" s="3"/>
      <c r="G196" s="14"/>
      <c r="H196" s="14"/>
    </row>
    <row r="197" spans="1:8" x14ac:dyDescent="0.25">
      <c r="A197" s="3"/>
      <c r="B197" s="3"/>
      <c r="C197" s="3"/>
      <c r="D197" s="3"/>
      <c r="G197" s="14"/>
      <c r="H197" s="14"/>
    </row>
    <row r="198" spans="1:8" x14ac:dyDescent="0.25">
      <c r="A198" s="3"/>
      <c r="B198" s="3"/>
      <c r="C198" s="3"/>
      <c r="D198" s="3"/>
      <c r="G198" s="14"/>
      <c r="H198" s="14"/>
    </row>
    <row r="199" spans="1:8" x14ac:dyDescent="0.25">
      <c r="A199" s="3"/>
      <c r="B199" s="3"/>
      <c r="C199" s="3"/>
      <c r="D199" s="3"/>
      <c r="G199" s="14"/>
      <c r="H199" s="14"/>
    </row>
    <row r="200" spans="1:8" x14ac:dyDescent="0.25">
      <c r="A200" s="3"/>
      <c r="B200" s="3"/>
      <c r="C200" s="3"/>
      <c r="D200" s="3"/>
      <c r="G200" s="14"/>
      <c r="H200" s="14"/>
    </row>
    <row r="201" spans="1:8" x14ac:dyDescent="0.25">
      <c r="A201" s="3"/>
      <c r="B201" s="3"/>
      <c r="C201" s="3"/>
      <c r="D201" s="3"/>
      <c r="G201" s="14"/>
      <c r="H201" s="14"/>
    </row>
    <row r="202" spans="1:8" x14ac:dyDescent="0.25">
      <c r="A202" s="3"/>
      <c r="B202" s="3"/>
      <c r="C202" s="3"/>
      <c r="D202" s="3"/>
      <c r="G202" s="14"/>
      <c r="H202" s="14"/>
    </row>
    <row r="203" spans="1:8" x14ac:dyDescent="0.25">
      <c r="A203" s="3"/>
      <c r="B203" s="3"/>
      <c r="C203" s="3"/>
      <c r="D203" s="3"/>
      <c r="G203" s="14"/>
      <c r="H203" s="14"/>
    </row>
    <row r="204" spans="1:8" x14ac:dyDescent="0.25">
      <c r="A204" s="3"/>
      <c r="B204" s="3"/>
      <c r="C204" s="3"/>
      <c r="D204" s="3"/>
      <c r="G204" s="14"/>
      <c r="H204" s="14"/>
    </row>
    <row r="205" spans="1:8" x14ac:dyDescent="0.25">
      <c r="A205" s="3"/>
      <c r="B205" s="3"/>
      <c r="C205" s="3"/>
      <c r="D205" s="3"/>
      <c r="G205" s="14"/>
      <c r="H205" s="14"/>
    </row>
    <row r="206" spans="1:8" x14ac:dyDescent="0.25">
      <c r="A206" s="3"/>
      <c r="B206" s="3"/>
      <c r="C206" s="3"/>
      <c r="D206" s="3"/>
      <c r="G206" s="14"/>
      <c r="H206" s="14"/>
    </row>
    <row r="207" spans="1:8" x14ac:dyDescent="0.25">
      <c r="A207" s="3"/>
      <c r="B207" s="3"/>
      <c r="C207" s="3"/>
      <c r="D207" s="3"/>
      <c r="G207" s="14"/>
      <c r="H207" s="14"/>
    </row>
    <row r="208" spans="1:8" x14ac:dyDescent="0.25">
      <c r="A208" s="3"/>
      <c r="B208" s="3"/>
      <c r="C208" s="3"/>
      <c r="D208" s="3"/>
      <c r="G208" s="14"/>
      <c r="H208" s="14"/>
    </row>
    <row r="209" spans="1:8" x14ac:dyDescent="0.25">
      <c r="A209" s="3"/>
      <c r="B209" s="3"/>
      <c r="C209" s="3"/>
      <c r="D209" s="3"/>
      <c r="G209" s="14"/>
      <c r="H209" s="14"/>
    </row>
    <row r="210" spans="1:8" x14ac:dyDescent="0.25">
      <c r="A210" s="3"/>
      <c r="B210" s="3"/>
      <c r="C210" s="3"/>
      <c r="D210" s="3"/>
      <c r="G210" s="14"/>
      <c r="H210" s="14"/>
    </row>
    <row r="211" spans="1:8" x14ac:dyDescent="0.25">
      <c r="A211" s="3"/>
      <c r="B211" s="3"/>
      <c r="C211" s="3"/>
      <c r="D211" s="3"/>
      <c r="G211" s="14"/>
      <c r="H211" s="14"/>
    </row>
    <row r="212" spans="1:8" x14ac:dyDescent="0.25">
      <c r="A212" s="3"/>
      <c r="B212" s="3"/>
      <c r="C212" s="3"/>
      <c r="D212" s="3"/>
      <c r="G212" s="14"/>
      <c r="H212" s="14"/>
    </row>
    <row r="213" spans="1:8" x14ac:dyDescent="0.25">
      <c r="A213" s="3"/>
      <c r="B213" s="3"/>
      <c r="C213" s="3"/>
      <c r="D213" s="3"/>
      <c r="G213" s="14"/>
      <c r="H213" s="14"/>
    </row>
    <row r="214" spans="1:8" x14ac:dyDescent="0.25">
      <c r="A214" s="3"/>
      <c r="B214" s="3"/>
      <c r="C214" s="3"/>
      <c r="D214" s="3"/>
      <c r="G214" s="14"/>
      <c r="H214" s="14"/>
    </row>
    <row r="215" spans="1:8" x14ac:dyDescent="0.25">
      <c r="A215" s="3"/>
      <c r="B215" s="3"/>
      <c r="C215" s="3"/>
      <c r="D215" s="3"/>
      <c r="G215" s="14"/>
      <c r="H215" s="14"/>
    </row>
    <row r="216" spans="1:8" x14ac:dyDescent="0.25">
      <c r="A216" s="3"/>
      <c r="B216" s="3"/>
      <c r="C216" s="3"/>
      <c r="D216" s="3"/>
      <c r="G216" s="14"/>
      <c r="H216" s="14"/>
    </row>
    <row r="217" spans="1:8" x14ac:dyDescent="0.25">
      <c r="A217" s="3"/>
      <c r="B217" s="3"/>
      <c r="C217" s="3"/>
      <c r="D217" s="3"/>
      <c r="G217" s="14"/>
      <c r="H217" s="14"/>
    </row>
    <row r="218" spans="1:8" x14ac:dyDescent="0.25">
      <c r="A218" s="3"/>
      <c r="B218" s="3"/>
      <c r="C218" s="3"/>
      <c r="D218" s="3"/>
      <c r="G218" s="14"/>
      <c r="H218" s="14"/>
    </row>
    <row r="219" spans="1:8" x14ac:dyDescent="0.25">
      <c r="A219" s="3"/>
      <c r="B219" s="3"/>
      <c r="C219" s="3"/>
      <c r="D219" s="3"/>
      <c r="G219" s="14"/>
      <c r="H219" s="14"/>
    </row>
    <row r="220" spans="1:8" x14ac:dyDescent="0.25">
      <c r="A220" s="3"/>
      <c r="B220" s="3"/>
      <c r="C220" s="3"/>
      <c r="D220" s="3"/>
      <c r="G220" s="14"/>
      <c r="H220" s="14"/>
    </row>
    <row r="221" spans="1:8" x14ac:dyDescent="0.25">
      <c r="A221" s="3"/>
      <c r="B221" s="3"/>
      <c r="C221" s="3"/>
      <c r="D221" s="3"/>
      <c r="G221" s="14"/>
      <c r="H221" s="14"/>
    </row>
    <row r="222" spans="1:8" x14ac:dyDescent="0.25">
      <c r="A222" s="3"/>
      <c r="B222" s="3"/>
      <c r="C222" s="3"/>
      <c r="D222" s="3"/>
      <c r="G222" s="14"/>
      <c r="H222" s="14"/>
    </row>
    <row r="223" spans="1:8" x14ac:dyDescent="0.25">
      <c r="A223" s="3"/>
      <c r="B223" s="3"/>
      <c r="C223" s="3"/>
      <c r="D223" s="3"/>
      <c r="G223" s="14"/>
      <c r="H223" s="14"/>
    </row>
    <row r="224" spans="1:8" x14ac:dyDescent="0.25">
      <c r="A224" s="3"/>
      <c r="B224" s="3"/>
      <c r="C224" s="3"/>
      <c r="D224" s="3"/>
      <c r="G224" s="14"/>
      <c r="H224" s="14"/>
    </row>
    <row r="225" spans="1:8" x14ac:dyDescent="0.25">
      <c r="A225" s="3"/>
      <c r="B225" s="3"/>
      <c r="C225" s="3"/>
      <c r="D225" s="3"/>
      <c r="G225" s="14"/>
      <c r="H225" s="14"/>
    </row>
    <row r="226" spans="1:8" x14ac:dyDescent="0.25">
      <c r="A226" s="3"/>
      <c r="B226" s="3"/>
      <c r="C226" s="3"/>
      <c r="D226" s="3"/>
      <c r="G226" s="14"/>
      <c r="H226" s="14"/>
    </row>
    <row r="227" spans="1:8" x14ac:dyDescent="0.25">
      <c r="A227" s="3"/>
      <c r="B227" s="3"/>
      <c r="C227" s="3"/>
      <c r="D227" s="3"/>
      <c r="G227" s="14"/>
      <c r="H227" s="14"/>
    </row>
    <row r="228" spans="1:8" x14ac:dyDescent="0.25">
      <c r="A228" s="3"/>
      <c r="B228" s="3"/>
      <c r="C228" s="3"/>
      <c r="D228" s="3"/>
      <c r="G228" s="14"/>
      <c r="H228" s="14"/>
    </row>
    <row r="229" spans="1:8" x14ac:dyDescent="0.25">
      <c r="A229" s="3"/>
      <c r="B229" s="3"/>
      <c r="C229" s="3"/>
      <c r="D229" s="3"/>
      <c r="G229" s="14"/>
      <c r="H229" s="14"/>
    </row>
    <row r="230" spans="1:8" x14ac:dyDescent="0.25">
      <c r="A230" s="3"/>
      <c r="B230" s="3"/>
      <c r="C230" s="3"/>
      <c r="D230" s="3"/>
      <c r="G230" s="14"/>
      <c r="H230" s="14"/>
    </row>
    <row r="231" spans="1:8" x14ac:dyDescent="0.25">
      <c r="A231" s="3"/>
      <c r="B231" s="3"/>
      <c r="C231" s="3"/>
      <c r="D231" s="3"/>
      <c r="G231" s="14"/>
      <c r="H231" s="14"/>
    </row>
    <row r="232" spans="1:8" x14ac:dyDescent="0.25">
      <c r="A232" s="3"/>
      <c r="B232" s="3"/>
      <c r="C232" s="3"/>
      <c r="D232" s="3"/>
      <c r="G232" s="14"/>
      <c r="H232" s="14"/>
    </row>
    <row r="233" spans="1:8" x14ac:dyDescent="0.25">
      <c r="A233" s="3"/>
      <c r="B233" s="3"/>
      <c r="C233" s="3"/>
      <c r="D233" s="3"/>
      <c r="G233" s="14"/>
      <c r="H233" s="14"/>
    </row>
    <row r="234" spans="1:8" x14ac:dyDescent="0.25">
      <c r="A234" s="3"/>
      <c r="B234" s="3"/>
      <c r="C234" s="3"/>
      <c r="D234" s="3"/>
      <c r="G234" s="14"/>
      <c r="H234" s="14"/>
    </row>
    <row r="235" spans="1:8" x14ac:dyDescent="0.25">
      <c r="A235" s="3"/>
      <c r="B235" s="3"/>
      <c r="C235" s="3"/>
      <c r="D235" s="3"/>
      <c r="G235" s="14"/>
      <c r="H235" s="14"/>
    </row>
    <row r="236" spans="1:8" x14ac:dyDescent="0.25">
      <c r="A236" s="3"/>
      <c r="B236" s="3"/>
      <c r="C236" s="3"/>
      <c r="D236" s="3"/>
      <c r="G236" s="14"/>
      <c r="H236" s="14"/>
    </row>
    <row r="237" spans="1:8" x14ac:dyDescent="0.25">
      <c r="A237" s="3"/>
      <c r="B237" s="3"/>
      <c r="C237" s="3"/>
      <c r="D237" s="3"/>
      <c r="G237" s="14"/>
      <c r="H237" s="14"/>
    </row>
    <row r="238" spans="1:8" x14ac:dyDescent="0.25">
      <c r="A238" s="3"/>
      <c r="B238" s="3"/>
      <c r="C238" s="3"/>
      <c r="D238" s="3"/>
      <c r="G238" s="14"/>
      <c r="H238" s="14"/>
    </row>
    <row r="239" spans="1:8" x14ac:dyDescent="0.25">
      <c r="A239" s="3"/>
      <c r="B239" s="3"/>
      <c r="C239" s="3"/>
      <c r="D239" s="3"/>
      <c r="G239" s="14"/>
      <c r="H239" s="14"/>
    </row>
    <row r="240" spans="1:8" x14ac:dyDescent="0.25">
      <c r="A240" s="3"/>
      <c r="B240" s="3"/>
      <c r="C240" s="3"/>
      <c r="D240" s="3"/>
      <c r="G240" s="14"/>
      <c r="H240" s="14"/>
    </row>
    <row r="241" spans="1:8" x14ac:dyDescent="0.25">
      <c r="A241" s="3"/>
      <c r="B241" s="3"/>
      <c r="C241" s="3"/>
      <c r="D241" s="3"/>
      <c r="G241" s="14"/>
      <c r="H241" s="14"/>
    </row>
    <row r="242" spans="1:8" x14ac:dyDescent="0.25">
      <c r="A242" s="3"/>
      <c r="B242" s="3"/>
      <c r="C242" s="3"/>
      <c r="D242" s="3"/>
      <c r="G242" s="14"/>
      <c r="H242" s="14"/>
    </row>
    <row r="243" spans="1:8" x14ac:dyDescent="0.25">
      <c r="A243" s="3"/>
      <c r="B243" s="3"/>
      <c r="C243" s="3"/>
      <c r="D243" s="3"/>
      <c r="G243" s="14"/>
      <c r="H243" s="14"/>
    </row>
    <row r="244" spans="1:8" x14ac:dyDescent="0.25">
      <c r="A244" s="3"/>
      <c r="B244" s="3"/>
      <c r="C244" s="3"/>
      <c r="D244" s="3"/>
      <c r="G244" s="14"/>
      <c r="H244" s="14"/>
    </row>
    <row r="245" spans="1:8" x14ac:dyDescent="0.25">
      <c r="A245" s="3"/>
      <c r="B245" s="3"/>
      <c r="C245" s="3"/>
      <c r="D245" s="3"/>
      <c r="G245" s="14"/>
      <c r="H245" s="14"/>
    </row>
    <row r="247" spans="1:8" x14ac:dyDescent="0.25">
      <c r="A247" s="3"/>
      <c r="G247" s="14"/>
      <c r="H247" s="14"/>
    </row>
  </sheetData>
  <phoneticPr fontId="1" type="noConversion"/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B5AF97-0F92-4E0D-B9FE-63B04618B761}">
  <sheetPr/>
  <dimension ref="A1:I247"/>
  <sheetViews>
    <sheetView zoomScale="115" zoomScaleNormal="115" workbookViewId="0">
      <selection activeCell="A5" sqref="A5:H68"/>
    </sheetView>
  </sheetViews>
  <sheetFormatPr defaultRowHeight="15" x14ac:dyDescent="0.25"/>
  <cols>
    <col min="1" max="1" width="8.875" style="4" customWidth="1"/>
    <col min="2" max="3" width="15.125" style="4" customWidth="1"/>
    <col min="4" max="4" width="10.25" style="4" customWidth="1"/>
    <col min="5" max="5" width="12" style="13" customWidth="1"/>
    <col min="6" max="6" width="15" style="13" customWidth="1"/>
    <col min="7" max="7" width="13.875" customWidth="1"/>
    <col min="8" max="8" width="11.125" customWidth="1"/>
    <col min="11" max="12" width="15.125" customWidth="1"/>
    <col min="13" max="13" width="11.125" customWidth="1"/>
  </cols>
  <sheetData>
    <row r="1" spans="1:9" ht="14.25" x14ac:dyDescent="0.2">
      <c r="A1" s="2" t="s">
        <v>12</v>
      </c>
      <c r="B1" s="2" t="s">
        <v>4</v>
      </c>
      <c r="C1" s="2" t="s">
        <v>5</v>
      </c>
      <c r="D1" s="2" t="s">
        <v>13</v>
      </c>
      <c r="E1" s="2" t="s">
        <v>14</v>
      </c>
      <c r="F1" s="2" t="s">
        <v>15</v>
      </c>
      <c r="G1" s="2" t="s">
        <v>16</v>
      </c>
    </row>
    <row r="2" spans="1:9" x14ac:dyDescent="0.25">
      <c r="A2" s="11">
        <v>26</v>
      </c>
      <c r="B2" s="3">
        <v>113.3228922</v>
      </c>
      <c r="C2" s="8">
        <v>23.011443209999999</v>
      </c>
      <c r="D2" s="3">
        <v>0</v>
      </c>
      <c r="E2" s="13">
        <v>1715</v>
      </c>
      <c r="F2" s="13">
        <v>27</v>
      </c>
      <c r="G2" s="19">
        <f>SUBTOTAL(2,A5:A250)</f>
        <v>22</v>
      </c>
    </row>
    <row r="3" spans="1:9" x14ac:dyDescent="0.25">
      <c r="A3" s="3"/>
      <c r="B3" s="3"/>
      <c r="C3" s="3"/>
      <c r="D3" s="3"/>
    </row>
    <row r="4" spans="1:9" ht="14.25" x14ac:dyDescent="0.2">
      <c r="A4" s="2" t="s">
        <v>0</v>
      </c>
      <c r="B4" s="2" t="s">
        <v>1</v>
      </c>
      <c r="C4" s="2" t="s">
        <v>2</v>
      </c>
      <c r="D4" s="2" t="s">
        <v>3</v>
      </c>
      <c r="E4" s="2" t="s">
        <v>7</v>
      </c>
      <c r="F4" s="2" t="s">
        <v>8</v>
      </c>
      <c r="G4" s="2" t="s">
        <v>13</v>
      </c>
      <c r="H4" s="2" t="s">
        <v>14</v>
      </c>
      <c r="I4" s="24" t="s">
        <v>20</v>
      </c>
    </row>
    <row r="5" spans="1:9" x14ac:dyDescent="0.25">
      <c r="A5" s="3">
        <v>1423</v>
      </c>
      <c r="B5" s="3">
        <v>113.3231061</v>
      </c>
      <c r="C5" s="3">
        <v>23.011498679999999</v>
      </c>
      <c r="D5" s="3">
        <v>26</v>
      </c>
      <c r="E5" s="13">
        <f t="shared" ref="E5:E36" si="0">SQRT((B5-$B$2)^2+(C5-$C$2)^2)</f>
        <v>2.2097540791310327E-4</v>
      </c>
      <c r="F5" s="13">
        <f t="shared" ref="F5:F36" si="1">SQRT(1/E5)</f>
        <v>67.271022342734767</v>
      </c>
      <c r="G5" s="14">
        <f>F5/$F$70*$D$2</f>
        <v>0</v>
      </c>
      <c r="H5" s="14">
        <f>F5/$F$70*$E$2</f>
        <v>280.66601398258001</v>
      </c>
      <c r="I5" s="25" t="str">
        <f>IF(MOD(ROW()-1,3)=1,"选中","")</f>
        <v>选中</v>
      </c>
    </row>
    <row r="6" spans="1:9" hidden="1" x14ac:dyDescent="0.25">
      <c r="A6" s="3">
        <v>1442</v>
      </c>
      <c r="B6" s="3">
        <v>113.3225812</v>
      </c>
      <c r="C6" s="3">
        <v>23.011616629999999</v>
      </c>
      <c r="D6" s="3">
        <v>26</v>
      </c>
      <c r="E6" s="13">
        <f t="shared" si="0"/>
        <v>3.5608355255130737E-4</v>
      </c>
      <c r="F6" s="13">
        <f t="shared" si="1"/>
        <v>52.9936756056075</v>
      </c>
      <c r="G6" s="14">
        <f t="shared" ref="G6:G68" si="2">F6/$F$70*$D$2</f>
        <v>0</v>
      </c>
      <c r="H6" s="14">
        <f t="shared" ref="H6:H68" si="3">F6/$F$70*$E$2</f>
        <v>221.09852326509312</v>
      </c>
      <c r="I6" s="25" t="str">
        <f t="shared" ref="I6:I68" si="4">IF(MOD(ROW()-1,3)=1,"选中","")</f>
        <v/>
      </c>
    </row>
    <row r="7" spans="1:9" hidden="1" x14ac:dyDescent="0.25">
      <c r="A7" s="3">
        <v>1425</v>
      </c>
      <c r="B7" s="3">
        <v>113.3233017</v>
      </c>
      <c r="C7" s="3">
        <v>23.011579269999999</v>
      </c>
      <c r="D7" s="3">
        <v>26</v>
      </c>
      <c r="E7" s="13">
        <f t="shared" si="0"/>
        <v>4.3151196229377758E-4</v>
      </c>
      <c r="F7" s="13">
        <f t="shared" si="1"/>
        <v>48.139722245855317</v>
      </c>
      <c r="G7" s="14">
        <f t="shared" si="2"/>
        <v>0</v>
      </c>
      <c r="H7" s="14">
        <f t="shared" si="3"/>
        <v>200.84701386186003</v>
      </c>
      <c r="I7" s="25" t="str">
        <f t="shared" si="4"/>
        <v/>
      </c>
    </row>
    <row r="8" spans="1:9" x14ac:dyDescent="0.25">
      <c r="A8" s="3">
        <v>1433</v>
      </c>
      <c r="B8" s="3">
        <v>113.3230721</v>
      </c>
      <c r="C8" s="3">
        <v>23.012263409999999</v>
      </c>
      <c r="D8" s="3">
        <v>26</v>
      </c>
      <c r="E8" s="13">
        <f t="shared" si="0"/>
        <v>8.396975943765555E-4</v>
      </c>
      <c r="F8" s="13">
        <f t="shared" si="1"/>
        <v>34.509490350069136</v>
      </c>
      <c r="G8" s="14">
        <f t="shared" si="2"/>
        <v>0</v>
      </c>
      <c r="H8" s="14">
        <f t="shared" si="3"/>
        <v>143.97939504735737</v>
      </c>
      <c r="I8" s="25" t="str">
        <f t="shared" si="4"/>
        <v>选中</v>
      </c>
    </row>
    <row r="9" spans="1:9" hidden="1" x14ac:dyDescent="0.25">
      <c r="A9" s="3">
        <v>1439</v>
      </c>
      <c r="B9" s="3">
        <v>113.3220403</v>
      </c>
      <c r="C9" s="3">
        <v>23.012038480000001</v>
      </c>
      <c r="D9" s="3">
        <v>26</v>
      </c>
      <c r="E9" s="13">
        <f t="shared" si="0"/>
        <v>1.0392689656210548E-3</v>
      </c>
      <c r="F9" s="13">
        <f t="shared" si="1"/>
        <v>31.019587671974232</v>
      </c>
      <c r="G9" s="14">
        <f t="shared" si="2"/>
        <v>0</v>
      </c>
      <c r="H9" s="14">
        <f t="shared" si="3"/>
        <v>129.41893439525592</v>
      </c>
      <c r="I9" s="25" t="str">
        <f t="shared" si="4"/>
        <v/>
      </c>
    </row>
    <row r="10" spans="1:9" hidden="1" x14ac:dyDescent="0.25">
      <c r="A10" s="3">
        <v>1421</v>
      </c>
      <c r="B10" s="3">
        <v>113.32391749999999</v>
      </c>
      <c r="C10" s="3">
        <v>23.011043319999999</v>
      </c>
      <c r="D10" s="3">
        <v>26</v>
      </c>
      <c r="E10" s="13">
        <f t="shared" si="0"/>
        <v>1.1005235581713101E-3</v>
      </c>
      <c r="F10" s="13">
        <f t="shared" si="1"/>
        <v>30.143961621436635</v>
      </c>
      <c r="G10" s="14">
        <f t="shared" si="2"/>
        <v>0</v>
      </c>
      <c r="H10" s="14">
        <f t="shared" si="3"/>
        <v>125.76567531303775</v>
      </c>
      <c r="I10" s="25" t="str">
        <f t="shared" si="4"/>
        <v/>
      </c>
    </row>
    <row r="11" spans="1:9" x14ac:dyDescent="0.25">
      <c r="A11" s="3">
        <v>1419</v>
      </c>
      <c r="B11" s="3">
        <v>113.32399719999999</v>
      </c>
      <c r="C11" s="3">
        <v>23.011857819999999</v>
      </c>
      <c r="D11" s="3">
        <v>26</v>
      </c>
      <c r="E11" s="13">
        <f t="shared" si="0"/>
        <v>1.1802230518380733E-3</v>
      </c>
      <c r="F11" s="13">
        <f t="shared" si="1"/>
        <v>29.108374482895211</v>
      </c>
      <c r="G11" s="14">
        <f t="shared" si="2"/>
        <v>0</v>
      </c>
      <c r="H11" s="14">
        <f t="shared" si="3"/>
        <v>121.44503168099642</v>
      </c>
      <c r="I11" s="25" t="str">
        <f t="shared" si="4"/>
        <v>选中</v>
      </c>
    </row>
    <row r="12" spans="1:9" hidden="1" x14ac:dyDescent="0.25">
      <c r="A12" s="3">
        <v>1424</v>
      </c>
      <c r="B12" s="3">
        <v>113.3229224</v>
      </c>
      <c r="C12" s="3">
        <v>23.012786470000002</v>
      </c>
      <c r="D12" s="3">
        <v>26</v>
      </c>
      <c r="E12" s="13">
        <f t="shared" si="0"/>
        <v>1.3435994446284974E-3</v>
      </c>
      <c r="F12" s="13">
        <f t="shared" si="1"/>
        <v>27.281301936624558</v>
      </c>
      <c r="G12" s="14">
        <f t="shared" si="2"/>
        <v>0</v>
      </c>
      <c r="H12" s="14">
        <f t="shared" si="3"/>
        <v>113.82217787321318</v>
      </c>
      <c r="I12" s="25" t="str">
        <f t="shared" si="4"/>
        <v/>
      </c>
    </row>
    <row r="13" spans="1:9" hidden="1" x14ac:dyDescent="0.25">
      <c r="A13" s="3">
        <v>1440</v>
      </c>
      <c r="B13" s="3">
        <v>113.3219045</v>
      </c>
      <c r="C13" s="3">
        <v>23.012515539999999</v>
      </c>
      <c r="D13" s="3">
        <v>26</v>
      </c>
      <c r="E13" s="13">
        <f t="shared" si="0"/>
        <v>1.4578898857222126E-3</v>
      </c>
      <c r="F13" s="13">
        <f t="shared" si="1"/>
        <v>26.190129056840409</v>
      </c>
      <c r="G13" s="14">
        <f t="shared" si="2"/>
        <v>0</v>
      </c>
      <c r="H13" s="14">
        <f t="shared" si="3"/>
        <v>109.26962118432282</v>
      </c>
      <c r="I13" s="25" t="str">
        <f t="shared" si="4"/>
        <v/>
      </c>
    </row>
    <row r="14" spans="1:9" x14ac:dyDescent="0.25">
      <c r="A14" s="3">
        <v>1430</v>
      </c>
      <c r="B14" s="3">
        <v>113.3230002</v>
      </c>
      <c r="C14" s="3">
        <v>23.012984240000002</v>
      </c>
      <c r="D14" s="3">
        <v>26</v>
      </c>
      <c r="E14" s="13">
        <f t="shared" si="0"/>
        <v>1.5448098461965311E-3</v>
      </c>
      <c r="F14" s="13">
        <f t="shared" si="1"/>
        <v>25.442658315616338</v>
      </c>
      <c r="G14" s="14">
        <f t="shared" si="2"/>
        <v>0</v>
      </c>
      <c r="H14" s="14">
        <f t="shared" si="3"/>
        <v>106.15104759643945</v>
      </c>
      <c r="I14" s="25" t="str">
        <f t="shared" si="4"/>
        <v>选中</v>
      </c>
    </row>
    <row r="15" spans="1:9" hidden="1" x14ac:dyDescent="0.25">
      <c r="A15" s="3">
        <v>1435</v>
      </c>
      <c r="B15" s="3">
        <v>113.3219713</v>
      </c>
      <c r="C15" s="3">
        <v>23.012979210000001</v>
      </c>
      <c r="D15" s="3">
        <v>26</v>
      </c>
      <c r="E15" s="13">
        <f t="shared" si="0"/>
        <v>1.7909083756572255E-3</v>
      </c>
      <c r="F15" s="13">
        <f t="shared" si="1"/>
        <v>23.629977941620631</v>
      </c>
      <c r="G15" s="14">
        <f t="shared" si="2"/>
        <v>0</v>
      </c>
      <c r="H15" s="14">
        <f t="shared" si="3"/>
        <v>98.588240350820513</v>
      </c>
      <c r="I15" s="25" t="str">
        <f t="shared" si="4"/>
        <v/>
      </c>
    </row>
    <row r="16" spans="1:9" hidden="1" x14ac:dyDescent="0.25">
      <c r="A16" s="3">
        <v>1426</v>
      </c>
      <c r="B16" s="3">
        <v>113.3229872</v>
      </c>
      <c r="C16" s="3">
        <v>23.013261140000001</v>
      </c>
      <c r="D16" s="3">
        <v>26</v>
      </c>
      <c r="E16" s="13">
        <f t="shared" si="0"/>
        <v>1.8204105264762285E-3</v>
      </c>
      <c r="F16" s="13">
        <f t="shared" si="1"/>
        <v>23.437718343243361</v>
      </c>
      <c r="G16" s="14">
        <f t="shared" si="2"/>
        <v>0</v>
      </c>
      <c r="H16" s="14">
        <f t="shared" si="3"/>
        <v>97.786100986094951</v>
      </c>
      <c r="I16" s="25" t="str">
        <f t="shared" si="4"/>
        <v/>
      </c>
    </row>
    <row r="17" spans="1:9" x14ac:dyDescent="0.25">
      <c r="A17" s="3">
        <v>1415</v>
      </c>
      <c r="B17" s="3">
        <v>113.32107329999999</v>
      </c>
      <c r="C17" s="3">
        <v>23.011099739999999</v>
      </c>
      <c r="D17" s="3">
        <v>26</v>
      </c>
      <c r="E17" s="13">
        <f t="shared" si="0"/>
        <v>1.8510453400479505E-3</v>
      </c>
      <c r="F17" s="13">
        <f t="shared" si="1"/>
        <v>23.242961973700364</v>
      </c>
      <c r="G17" s="14">
        <f t="shared" si="2"/>
        <v>0</v>
      </c>
      <c r="H17" s="14">
        <f t="shared" si="3"/>
        <v>96.973544672339841</v>
      </c>
      <c r="I17" s="25" t="str">
        <f t="shared" si="4"/>
        <v>选中</v>
      </c>
    </row>
    <row r="18" spans="1:9" hidden="1" x14ac:dyDescent="0.25">
      <c r="A18" s="3">
        <v>1412</v>
      </c>
      <c r="B18" s="3">
        <v>113.3216362</v>
      </c>
      <c r="C18" s="3">
        <v>23.009866200000001</v>
      </c>
      <c r="D18" s="3">
        <v>26</v>
      </c>
      <c r="E18" s="13">
        <f t="shared" si="0"/>
        <v>2.0160596568776193E-3</v>
      </c>
      <c r="F18" s="13">
        <f t="shared" si="1"/>
        <v>22.271440636853963</v>
      </c>
      <c r="G18" s="14">
        <f t="shared" si="2"/>
        <v>0</v>
      </c>
      <c r="H18" s="14">
        <f t="shared" si="3"/>
        <v>92.920194334916943</v>
      </c>
      <c r="I18" s="25" t="str">
        <f t="shared" si="4"/>
        <v/>
      </c>
    </row>
    <row r="19" spans="1:9" hidden="1" x14ac:dyDescent="0.25">
      <c r="A19" s="3">
        <v>1407</v>
      </c>
      <c r="B19" s="3">
        <v>113.32109629999999</v>
      </c>
      <c r="C19" s="3">
        <v>23.010116119999999</v>
      </c>
      <c r="D19" s="3">
        <v>26</v>
      </c>
      <c r="E19" s="13">
        <f t="shared" si="0"/>
        <v>2.2330303800256572E-3</v>
      </c>
      <c r="F19" s="13">
        <f t="shared" si="1"/>
        <v>21.161803831555879</v>
      </c>
      <c r="G19" s="14">
        <f t="shared" si="2"/>
        <v>0</v>
      </c>
      <c r="H19" s="14">
        <f t="shared" si="3"/>
        <v>88.290603044856638</v>
      </c>
      <c r="I19" s="25" t="str">
        <f t="shared" si="4"/>
        <v/>
      </c>
    </row>
    <row r="20" spans="1:9" x14ac:dyDescent="0.25">
      <c r="A20" s="3">
        <v>1416</v>
      </c>
      <c r="B20" s="3">
        <v>113.3213057</v>
      </c>
      <c r="C20" s="3">
        <v>23.013284349999999</v>
      </c>
      <c r="D20" s="3">
        <v>26</v>
      </c>
      <c r="E20" s="13">
        <f t="shared" si="0"/>
        <v>2.4303865432489104E-3</v>
      </c>
      <c r="F20" s="13">
        <f t="shared" si="1"/>
        <v>20.284407379009505</v>
      </c>
      <c r="G20" s="14">
        <f t="shared" si="2"/>
        <v>0</v>
      </c>
      <c r="H20" s="14">
        <f t="shared" si="3"/>
        <v>84.629957547839865</v>
      </c>
      <c r="I20" s="25" t="str">
        <f t="shared" si="4"/>
        <v>选中</v>
      </c>
    </row>
    <row r="21" spans="1:9" hidden="1" x14ac:dyDescent="0.25">
      <c r="A21" s="3">
        <v>1413</v>
      </c>
      <c r="B21" s="3">
        <v>113.32058619999999</v>
      </c>
      <c r="C21" s="3">
        <v>23.012431100000001</v>
      </c>
      <c r="D21" s="3">
        <v>26</v>
      </c>
      <c r="E21" s="13">
        <f t="shared" si="0"/>
        <v>2.5086974014660048E-3</v>
      </c>
      <c r="F21" s="13">
        <f t="shared" si="1"/>
        <v>19.965300905520042</v>
      </c>
      <c r="G21" s="14">
        <f t="shared" si="2"/>
        <v>0</v>
      </c>
      <c r="H21" s="14">
        <f t="shared" si="3"/>
        <v>83.298591696225174</v>
      </c>
      <c r="I21" s="25" t="str">
        <f t="shared" si="4"/>
        <v/>
      </c>
    </row>
    <row r="22" spans="1:9" hidden="1" x14ac:dyDescent="0.25">
      <c r="A22" s="3">
        <v>1410</v>
      </c>
      <c r="B22" s="3">
        <v>113.3199735</v>
      </c>
      <c r="C22" s="3">
        <v>23.011935480000002</v>
      </c>
      <c r="D22" s="3">
        <v>26</v>
      </c>
      <c r="E22" s="13">
        <f t="shared" si="0"/>
        <v>2.9599222021656911E-3</v>
      </c>
      <c r="F22" s="13">
        <f t="shared" si="1"/>
        <v>18.380607103159726</v>
      </c>
      <c r="G22" s="14">
        <f t="shared" si="2"/>
        <v>0</v>
      </c>
      <c r="H22" s="14">
        <f t="shared" si="3"/>
        <v>76.686982753739656</v>
      </c>
      <c r="I22" s="25" t="str">
        <f t="shared" si="4"/>
        <v/>
      </c>
    </row>
    <row r="23" spans="1:9" x14ac:dyDescent="0.25">
      <c r="A23" s="3">
        <v>1431</v>
      </c>
      <c r="B23" s="3">
        <v>113.32533239999999</v>
      </c>
      <c r="C23" s="3">
        <v>23.013359609999998</v>
      </c>
      <c r="D23" s="3">
        <v>26</v>
      </c>
      <c r="E23" s="13">
        <f t="shared" si="0"/>
        <v>3.1027673132177696E-3</v>
      </c>
      <c r="F23" s="13">
        <f t="shared" si="1"/>
        <v>17.952519047671363</v>
      </c>
      <c r="G23" s="14">
        <f t="shared" si="2"/>
        <v>0</v>
      </c>
      <c r="H23" s="14">
        <f t="shared" si="3"/>
        <v>74.900927421395679</v>
      </c>
      <c r="I23" s="25" t="str">
        <f t="shared" si="4"/>
        <v>选中</v>
      </c>
    </row>
    <row r="24" spans="1:9" hidden="1" x14ac:dyDescent="0.25">
      <c r="A24" s="3">
        <v>1438</v>
      </c>
      <c r="B24" s="3">
        <v>113.3256118</v>
      </c>
      <c r="C24" s="3">
        <v>23.013388070000001</v>
      </c>
      <c r="D24" s="3">
        <v>26</v>
      </c>
      <c r="E24" s="13">
        <f t="shared" si="0"/>
        <v>3.343456980378235E-3</v>
      </c>
      <c r="F24" s="13">
        <f t="shared" si="1"/>
        <v>17.294265829153009</v>
      </c>
      <c r="G24" s="14">
        <f t="shared" si="2"/>
        <v>0</v>
      </c>
      <c r="H24" s="14">
        <f t="shared" si="3"/>
        <v>72.1545843363823</v>
      </c>
      <c r="I24" s="25" t="str">
        <f t="shared" si="4"/>
        <v/>
      </c>
    </row>
    <row r="25" spans="1:9" hidden="1" x14ac:dyDescent="0.25">
      <c r="A25" s="3">
        <v>1408</v>
      </c>
      <c r="B25" s="3">
        <v>113.31968209999999</v>
      </c>
      <c r="C25" s="3">
        <v>23.01245381</v>
      </c>
      <c r="D25" s="3">
        <v>26</v>
      </c>
      <c r="E25" s="13">
        <f t="shared" si="0"/>
        <v>3.3654203853348149E-3</v>
      </c>
      <c r="F25" s="13">
        <f t="shared" si="1"/>
        <v>17.237740539549328</v>
      </c>
      <c r="G25" s="14">
        <f t="shared" si="2"/>
        <v>0</v>
      </c>
      <c r="H25" s="14">
        <f t="shared" si="3"/>
        <v>71.918751325826165</v>
      </c>
      <c r="I25" s="25" t="str">
        <f t="shared" si="4"/>
        <v/>
      </c>
    </row>
    <row r="26" spans="1:9" x14ac:dyDescent="0.25">
      <c r="A26" s="3">
        <v>1429</v>
      </c>
      <c r="B26" s="3">
        <v>113.3261787</v>
      </c>
      <c r="C26" s="3">
        <v>23.013317019999999</v>
      </c>
      <c r="D26" s="3">
        <v>26</v>
      </c>
      <c r="E26" s="13">
        <f t="shared" si="0"/>
        <v>3.783152939825118E-3</v>
      </c>
      <c r="F26" s="13">
        <f t="shared" si="1"/>
        <v>16.258222047706649</v>
      </c>
      <c r="G26" s="14">
        <f t="shared" si="2"/>
        <v>0</v>
      </c>
      <c r="H26" s="14">
        <f t="shared" si="3"/>
        <v>67.832035513376439</v>
      </c>
      <c r="I26" s="25" t="str">
        <f t="shared" si="4"/>
        <v>选中</v>
      </c>
    </row>
    <row r="27" spans="1:9" hidden="1" x14ac:dyDescent="0.25">
      <c r="A27" s="3">
        <v>1405</v>
      </c>
      <c r="B27" s="3">
        <v>113.31912130000001</v>
      </c>
      <c r="C27" s="3">
        <v>23.011135459999998</v>
      </c>
      <c r="D27" s="3">
        <v>26</v>
      </c>
      <c r="E27" s="13">
        <f t="shared" si="0"/>
        <v>3.7834371770179244E-3</v>
      </c>
      <c r="F27" s="13">
        <f t="shared" si="1"/>
        <v>16.257611322858367</v>
      </c>
      <c r="G27" s="14">
        <f t="shared" si="2"/>
        <v>0</v>
      </c>
      <c r="H27" s="14">
        <f t="shared" si="3"/>
        <v>67.829487466641936</v>
      </c>
      <c r="I27" s="25" t="str">
        <f t="shared" si="4"/>
        <v/>
      </c>
    </row>
    <row r="28" spans="1:9" hidden="1" x14ac:dyDescent="0.25">
      <c r="A28" s="3">
        <v>1411</v>
      </c>
      <c r="B28" s="3">
        <v>113.3193697</v>
      </c>
      <c r="C28" s="3">
        <v>23.013038160000001</v>
      </c>
      <c r="D28" s="3">
        <v>26</v>
      </c>
      <c r="E28" s="13">
        <f t="shared" si="0"/>
        <v>3.8667650242187874E-3</v>
      </c>
      <c r="F28" s="13">
        <f t="shared" si="1"/>
        <v>16.081483489124015</v>
      </c>
      <c r="G28" s="14">
        <f t="shared" si="2"/>
        <v>0</v>
      </c>
      <c r="H28" s="14">
        <f t="shared" si="3"/>
        <v>67.094652535878524</v>
      </c>
      <c r="I28" s="25" t="str">
        <f t="shared" si="4"/>
        <v/>
      </c>
    </row>
    <row r="29" spans="1:9" x14ac:dyDescent="0.25">
      <c r="A29" s="3">
        <v>1406</v>
      </c>
      <c r="B29" s="3">
        <v>113.319309</v>
      </c>
      <c r="C29" s="3">
        <v>23.009908630000002</v>
      </c>
      <c r="D29" s="3">
        <v>26</v>
      </c>
      <c r="E29" s="13">
        <f t="shared" si="0"/>
        <v>3.8979812744998825E-3</v>
      </c>
      <c r="F29" s="13">
        <f t="shared" si="1"/>
        <v>16.016961282231183</v>
      </c>
      <c r="G29" s="14">
        <f t="shared" si="2"/>
        <v>0</v>
      </c>
      <c r="H29" s="14">
        <f t="shared" si="3"/>
        <v>66.825455042049654</v>
      </c>
      <c r="I29" s="25" t="str">
        <f t="shared" si="4"/>
        <v>选中</v>
      </c>
    </row>
    <row r="30" spans="1:9" hidden="1" x14ac:dyDescent="0.25">
      <c r="A30" s="3">
        <v>1418</v>
      </c>
      <c r="B30" s="3">
        <v>113.3243777</v>
      </c>
      <c r="C30" s="3">
        <v>23.00776986</v>
      </c>
      <c r="D30" s="3">
        <v>26</v>
      </c>
      <c r="E30" s="13">
        <f t="shared" si="0"/>
        <v>3.9623491103764541E-3</v>
      </c>
      <c r="F30" s="13">
        <f t="shared" si="1"/>
        <v>15.886331889665662</v>
      </c>
      <c r="G30" s="14">
        <f t="shared" si="2"/>
        <v>0</v>
      </c>
      <c r="H30" s="14">
        <f t="shared" si="3"/>
        <v>66.280447256475384</v>
      </c>
      <c r="I30" s="25" t="str">
        <f t="shared" si="4"/>
        <v/>
      </c>
    </row>
    <row r="31" spans="1:9" hidden="1" x14ac:dyDescent="0.25">
      <c r="A31" s="3">
        <v>1400</v>
      </c>
      <c r="B31" s="3">
        <v>113.3187411</v>
      </c>
      <c r="C31" s="3">
        <v>23.011441049999998</v>
      </c>
      <c r="D31" s="3">
        <v>26</v>
      </c>
      <c r="E31" s="13">
        <f t="shared" si="0"/>
        <v>4.1511005619728949E-3</v>
      </c>
      <c r="F31" s="13">
        <f t="shared" si="1"/>
        <v>15.520952605949725</v>
      </c>
      <c r="G31" s="14">
        <f t="shared" si="2"/>
        <v>0</v>
      </c>
      <c r="H31" s="14">
        <f t="shared" si="3"/>
        <v>64.756023461785759</v>
      </c>
      <c r="I31" s="25" t="str">
        <f t="shared" si="4"/>
        <v/>
      </c>
    </row>
    <row r="32" spans="1:9" x14ac:dyDescent="0.25">
      <c r="A32" s="3">
        <v>1414</v>
      </c>
      <c r="B32" s="3">
        <v>113.319227</v>
      </c>
      <c r="C32" s="3">
        <v>23.01348024</v>
      </c>
      <c r="D32" s="3">
        <v>26</v>
      </c>
      <c r="E32" s="13">
        <f t="shared" si="0"/>
        <v>4.1932305279943809E-3</v>
      </c>
      <c r="F32" s="13">
        <f t="shared" si="1"/>
        <v>15.442785193790643</v>
      </c>
      <c r="G32" s="14">
        <f t="shared" si="2"/>
        <v>0</v>
      </c>
      <c r="H32" s="14">
        <f t="shared" si="3"/>
        <v>64.429895877723666</v>
      </c>
      <c r="I32" s="25" t="str">
        <f t="shared" si="4"/>
        <v>选中</v>
      </c>
    </row>
    <row r="33" spans="1:9" hidden="1" x14ac:dyDescent="0.25">
      <c r="A33" s="3">
        <v>1184</v>
      </c>
      <c r="B33" s="3">
        <v>113.3192988</v>
      </c>
      <c r="C33" s="3">
        <v>23.013762979999999</v>
      </c>
      <c r="D33" s="3">
        <v>26</v>
      </c>
      <c r="E33" s="13">
        <f t="shared" si="0"/>
        <v>4.277131797466251E-3</v>
      </c>
      <c r="F33" s="13">
        <f t="shared" si="1"/>
        <v>15.290570288875735</v>
      </c>
      <c r="G33" s="14">
        <f t="shared" si="2"/>
        <v>0</v>
      </c>
      <c r="H33" s="14">
        <f t="shared" si="3"/>
        <v>63.794829705939541</v>
      </c>
      <c r="I33" s="25" t="str">
        <f t="shared" si="4"/>
        <v/>
      </c>
    </row>
    <row r="34" spans="1:9" hidden="1" x14ac:dyDescent="0.25">
      <c r="A34" s="3">
        <v>1427</v>
      </c>
      <c r="B34" s="3">
        <v>113.32687420000001</v>
      </c>
      <c r="C34" s="3">
        <v>23.01319174</v>
      </c>
      <c r="D34" s="3">
        <v>26</v>
      </c>
      <c r="E34" s="13">
        <f t="shared" si="0"/>
        <v>4.3489862222088936E-3</v>
      </c>
      <c r="F34" s="13">
        <f t="shared" si="1"/>
        <v>15.163727945875129</v>
      </c>
      <c r="G34" s="14">
        <f t="shared" si="2"/>
        <v>0</v>
      </c>
      <c r="H34" s="14">
        <f t="shared" si="3"/>
        <v>63.265622127781846</v>
      </c>
      <c r="I34" s="25" t="str">
        <f t="shared" si="4"/>
        <v/>
      </c>
    </row>
    <row r="35" spans="1:9" x14ac:dyDescent="0.25">
      <c r="A35" s="3">
        <v>1401</v>
      </c>
      <c r="B35" s="3">
        <v>113.3191085</v>
      </c>
      <c r="C35" s="3">
        <v>23.00927029</v>
      </c>
      <c r="D35" s="3">
        <v>26</v>
      </c>
      <c r="E35" s="13">
        <f t="shared" si="0"/>
        <v>4.3632518855087014E-3</v>
      </c>
      <c r="F35" s="13">
        <f t="shared" si="1"/>
        <v>15.138918726995728</v>
      </c>
      <c r="G35" s="14">
        <f t="shared" si="2"/>
        <v>0</v>
      </c>
      <c r="H35" s="14">
        <f t="shared" si="3"/>
        <v>63.162113895999269</v>
      </c>
      <c r="I35" s="25" t="str">
        <f t="shared" si="4"/>
        <v>选中</v>
      </c>
    </row>
    <row r="36" spans="1:9" hidden="1" x14ac:dyDescent="0.25">
      <c r="A36" s="3">
        <v>1434</v>
      </c>
      <c r="B36" s="3">
        <v>113.3267565</v>
      </c>
      <c r="C36" s="3">
        <v>23.013550810000002</v>
      </c>
      <c r="D36" s="3">
        <v>26</v>
      </c>
      <c r="E36" s="13">
        <f t="shared" si="0"/>
        <v>4.4016806165414922E-3</v>
      </c>
      <c r="F36" s="13">
        <f t="shared" si="1"/>
        <v>15.072688934351358</v>
      </c>
      <c r="G36" s="14">
        <f t="shared" si="2"/>
        <v>0</v>
      </c>
      <c r="H36" s="14">
        <f t="shared" si="3"/>
        <v>62.885792067356867</v>
      </c>
      <c r="I36" s="25" t="str">
        <f t="shared" si="4"/>
        <v/>
      </c>
    </row>
    <row r="37" spans="1:9" hidden="1" x14ac:dyDescent="0.25">
      <c r="A37" s="3">
        <v>1403</v>
      </c>
      <c r="B37" s="3">
        <v>113.318338</v>
      </c>
      <c r="C37" s="3">
        <v>23.010744119999998</v>
      </c>
      <c r="D37" s="3">
        <v>26</v>
      </c>
      <c r="E37" s="13">
        <f t="shared" ref="E37:E68" si="5">SQRT((B37-$B$2)^2+(C37-$C$2)^2)</f>
        <v>4.6075442990938693E-3</v>
      </c>
      <c r="F37" s="13">
        <f t="shared" ref="F37:F68" si="6">SQRT(1/E37)</f>
        <v>14.73211974762612</v>
      </c>
      <c r="G37" s="14">
        <f t="shared" si="2"/>
        <v>0</v>
      </c>
      <c r="H37" s="14">
        <f t="shared" si="3"/>
        <v>61.464880168077769</v>
      </c>
      <c r="I37" s="25" t="str">
        <f t="shared" si="4"/>
        <v/>
      </c>
    </row>
    <row r="38" spans="1:9" x14ac:dyDescent="0.25">
      <c r="A38" s="3">
        <v>1193</v>
      </c>
      <c r="B38" s="3">
        <v>113.3261316</v>
      </c>
      <c r="C38" s="3">
        <v>23.015611109999998</v>
      </c>
      <c r="D38" s="3">
        <v>26</v>
      </c>
      <c r="E38" s="13">
        <f t="shared" si="5"/>
        <v>5.2787406424239436E-3</v>
      </c>
      <c r="F38" s="13">
        <f t="shared" si="6"/>
        <v>13.763688582941501</v>
      </c>
      <c r="G38" s="14">
        <f t="shared" si="2"/>
        <v>0</v>
      </c>
      <c r="H38" s="14">
        <f t="shared" si="3"/>
        <v>57.424422548395199</v>
      </c>
      <c r="I38" s="25" t="str">
        <f t="shared" si="4"/>
        <v>选中</v>
      </c>
    </row>
    <row r="39" spans="1:9" hidden="1" x14ac:dyDescent="0.25">
      <c r="A39" s="3">
        <v>1432</v>
      </c>
      <c r="B39" s="3">
        <v>113.32787519999999</v>
      </c>
      <c r="C39" s="3">
        <v>23.01341674</v>
      </c>
      <c r="D39" s="3">
        <v>26</v>
      </c>
      <c r="E39" s="13">
        <f t="shared" si="5"/>
        <v>5.3595811087118203E-3</v>
      </c>
      <c r="F39" s="13">
        <f t="shared" si="6"/>
        <v>13.659492882103647</v>
      </c>
      <c r="G39" s="14">
        <f t="shared" si="2"/>
        <v>0</v>
      </c>
      <c r="H39" s="14">
        <f t="shared" si="3"/>
        <v>56.98970056841268</v>
      </c>
      <c r="I39" s="25" t="str">
        <f t="shared" si="4"/>
        <v/>
      </c>
    </row>
    <row r="40" spans="1:9" hidden="1" x14ac:dyDescent="0.25">
      <c r="A40" s="3">
        <v>1182</v>
      </c>
      <c r="B40" s="3">
        <v>113.31815810000001</v>
      </c>
      <c r="C40" s="3">
        <v>23.014276930000001</v>
      </c>
      <c r="D40" s="3">
        <v>26</v>
      </c>
      <c r="E40" s="13">
        <f t="shared" si="5"/>
        <v>5.5173971987111086E-3</v>
      </c>
      <c r="F40" s="13">
        <f t="shared" si="6"/>
        <v>13.462721910289266</v>
      </c>
      <c r="G40" s="14">
        <f t="shared" si="2"/>
        <v>0</v>
      </c>
      <c r="H40" s="14">
        <f t="shared" si="3"/>
        <v>56.168738995311436</v>
      </c>
      <c r="I40" s="25" t="str">
        <f t="shared" si="4"/>
        <v/>
      </c>
    </row>
    <row r="41" spans="1:9" x14ac:dyDescent="0.25">
      <c r="A41" s="3">
        <v>1232</v>
      </c>
      <c r="B41" s="3">
        <v>113.3282614</v>
      </c>
      <c r="C41" s="3">
        <v>23.01369888</v>
      </c>
      <c r="D41" s="3">
        <v>26</v>
      </c>
      <c r="E41" s="13">
        <f t="shared" si="5"/>
        <v>5.8237750462174368E-3</v>
      </c>
      <c r="F41" s="13">
        <f t="shared" si="6"/>
        <v>13.103813530871918</v>
      </c>
      <c r="G41" s="14">
        <f t="shared" si="2"/>
        <v>0</v>
      </c>
      <c r="H41" s="14">
        <f t="shared" si="3"/>
        <v>54.671312901163581</v>
      </c>
      <c r="I41" s="25" t="str">
        <f t="shared" si="4"/>
        <v>选中</v>
      </c>
    </row>
    <row r="42" spans="1:9" hidden="1" x14ac:dyDescent="0.25">
      <c r="A42" s="3">
        <v>1213</v>
      </c>
      <c r="B42" s="3">
        <v>113.3281935</v>
      </c>
      <c r="C42" s="3">
        <v>23.013873929999999</v>
      </c>
      <c r="D42" s="3">
        <v>26</v>
      </c>
      <c r="E42" s="13">
        <f t="shared" si="5"/>
        <v>5.8319963484548126E-3</v>
      </c>
      <c r="F42" s="13">
        <f t="shared" si="6"/>
        <v>13.094574121376104</v>
      </c>
      <c r="G42" s="14">
        <f t="shared" si="2"/>
        <v>0</v>
      </c>
      <c r="H42" s="14">
        <f t="shared" si="3"/>
        <v>54.632764531532281</v>
      </c>
      <c r="I42" s="25" t="str">
        <f t="shared" si="4"/>
        <v/>
      </c>
    </row>
    <row r="43" spans="1:9" hidden="1" x14ac:dyDescent="0.25">
      <c r="A43" s="3">
        <v>1417</v>
      </c>
      <c r="B43" s="3">
        <v>113.32794939999999</v>
      </c>
      <c r="C43" s="3">
        <v>23.008525710000001</v>
      </c>
      <c r="D43" s="3">
        <v>26</v>
      </c>
      <c r="E43" s="13">
        <f t="shared" si="5"/>
        <v>5.8384140046721924E-3</v>
      </c>
      <c r="F43" s="13">
        <f t="shared" si="6"/>
        <v>13.087375284402693</v>
      </c>
      <c r="G43" s="14">
        <f t="shared" si="2"/>
        <v>0</v>
      </c>
      <c r="H43" s="14">
        <f t="shared" si="3"/>
        <v>54.602729773500158</v>
      </c>
      <c r="I43" s="25" t="str">
        <f t="shared" si="4"/>
        <v/>
      </c>
    </row>
    <row r="44" spans="1:9" x14ac:dyDescent="0.25">
      <c r="A44" s="3">
        <v>1445</v>
      </c>
      <c r="B44" s="3">
        <v>113.3231834</v>
      </c>
      <c r="C44" s="3">
        <v>23.00553811</v>
      </c>
      <c r="D44" s="3">
        <v>26</v>
      </c>
      <c r="E44" s="13">
        <f t="shared" si="5"/>
        <v>5.9122756574774039E-3</v>
      </c>
      <c r="F44" s="13">
        <f t="shared" si="6"/>
        <v>13.005368513924223</v>
      </c>
      <c r="G44" s="14">
        <f t="shared" si="2"/>
        <v>0</v>
      </c>
      <c r="H44" s="14">
        <f t="shared" si="3"/>
        <v>54.260583741104341</v>
      </c>
      <c r="I44" s="25" t="str">
        <f t="shared" si="4"/>
        <v>选中</v>
      </c>
    </row>
    <row r="45" spans="1:9" hidden="1" x14ac:dyDescent="0.25">
      <c r="A45" s="3">
        <v>1223</v>
      </c>
      <c r="B45" s="3">
        <v>113.3236745</v>
      </c>
      <c r="C45" s="3">
        <v>23.017331070000001</v>
      </c>
      <c r="D45" s="3">
        <v>26</v>
      </c>
      <c r="E45" s="13">
        <f t="shared" si="5"/>
        <v>5.9396034101286983E-3</v>
      </c>
      <c r="F45" s="13">
        <f t="shared" si="6"/>
        <v>12.975415568036</v>
      </c>
      <c r="G45" s="14">
        <f t="shared" si="2"/>
        <v>0</v>
      </c>
      <c r="H45" s="14">
        <f t="shared" si="3"/>
        <v>54.135615015541468</v>
      </c>
      <c r="I45" s="25" t="str">
        <f t="shared" si="4"/>
        <v/>
      </c>
    </row>
    <row r="46" spans="1:9" hidden="1" x14ac:dyDescent="0.25">
      <c r="A46" s="3">
        <v>1200</v>
      </c>
      <c r="B46" s="3">
        <v>113.3236416</v>
      </c>
      <c r="C46" s="3">
        <v>23.017444080000001</v>
      </c>
      <c r="D46" s="3">
        <v>26</v>
      </c>
      <c r="E46" s="13">
        <f t="shared" si="5"/>
        <v>6.0474822130304274E-3</v>
      </c>
      <c r="F46" s="13">
        <f t="shared" si="6"/>
        <v>12.859162963899335</v>
      </c>
      <c r="G46" s="14">
        <f t="shared" si="2"/>
        <v>0</v>
      </c>
      <c r="H46" s="14">
        <f t="shared" si="3"/>
        <v>53.650589608139484</v>
      </c>
      <c r="I46" s="25" t="str">
        <f t="shared" si="4"/>
        <v/>
      </c>
    </row>
    <row r="47" spans="1:9" x14ac:dyDescent="0.25">
      <c r="A47" s="3">
        <v>1437</v>
      </c>
      <c r="B47" s="3">
        <v>113.3286506</v>
      </c>
      <c r="C47" s="3">
        <v>23.013630169999999</v>
      </c>
      <c r="D47" s="3">
        <v>26</v>
      </c>
      <c r="E47" s="13">
        <f t="shared" si="5"/>
        <v>6.1597049118974415E-3</v>
      </c>
      <c r="F47" s="13">
        <f t="shared" si="6"/>
        <v>12.741484973087845</v>
      </c>
      <c r="G47" s="14">
        <f t="shared" si="2"/>
        <v>0</v>
      </c>
      <c r="H47" s="14">
        <f t="shared" si="3"/>
        <v>53.159617247911832</v>
      </c>
      <c r="I47" s="25" t="str">
        <f t="shared" si="4"/>
        <v>选中</v>
      </c>
    </row>
    <row r="48" spans="1:9" hidden="1" x14ac:dyDescent="0.25">
      <c r="A48" s="3">
        <v>1214</v>
      </c>
      <c r="B48" s="3">
        <v>113.3286466</v>
      </c>
      <c r="C48" s="3">
        <v>23.013993020000001</v>
      </c>
      <c r="D48" s="3">
        <v>26</v>
      </c>
      <c r="E48" s="13">
        <f t="shared" si="5"/>
        <v>6.2940170317624276E-3</v>
      </c>
      <c r="F48" s="13">
        <f t="shared" si="6"/>
        <v>12.604802437284263</v>
      </c>
      <c r="G48" s="14">
        <f t="shared" si="2"/>
        <v>0</v>
      </c>
      <c r="H48" s="14">
        <f t="shared" si="3"/>
        <v>52.589354731169138</v>
      </c>
      <c r="I48" s="25" t="str">
        <f t="shared" si="4"/>
        <v/>
      </c>
    </row>
    <row r="49" spans="1:9" hidden="1" x14ac:dyDescent="0.25">
      <c r="A49" s="3">
        <v>1167</v>
      </c>
      <c r="B49" s="3">
        <v>113.3174386</v>
      </c>
      <c r="C49" s="3">
        <v>23.014784089999999</v>
      </c>
      <c r="D49" s="3">
        <v>26</v>
      </c>
      <c r="E49" s="13">
        <f t="shared" si="5"/>
        <v>6.395563472779385E-3</v>
      </c>
      <c r="F49" s="13">
        <f t="shared" si="6"/>
        <v>12.504334799930588</v>
      </c>
      <c r="G49" s="14">
        <f t="shared" si="2"/>
        <v>0</v>
      </c>
      <c r="H49" s="14">
        <f t="shared" si="3"/>
        <v>52.170186858758335</v>
      </c>
      <c r="I49" s="25" t="str">
        <f t="shared" si="4"/>
        <v/>
      </c>
    </row>
    <row r="50" spans="1:9" x14ac:dyDescent="0.25">
      <c r="A50" s="3">
        <v>1428</v>
      </c>
      <c r="B50" s="3">
        <v>113.3228221</v>
      </c>
      <c r="C50" s="3">
        <v>23.00504501</v>
      </c>
      <c r="D50" s="3">
        <v>26</v>
      </c>
      <c r="E50" s="13">
        <f t="shared" si="5"/>
        <v>6.3985840035116264E-3</v>
      </c>
      <c r="F50" s="13">
        <f t="shared" si="6"/>
        <v>12.501383038572303</v>
      </c>
      <c r="G50" s="14">
        <f t="shared" si="2"/>
        <v>0</v>
      </c>
      <c r="H50" s="14">
        <f t="shared" si="3"/>
        <v>52.157871614158118</v>
      </c>
      <c r="I50" s="25" t="str">
        <f t="shared" si="4"/>
        <v>选中</v>
      </c>
    </row>
    <row r="51" spans="1:9" hidden="1" x14ac:dyDescent="0.25">
      <c r="A51" s="3">
        <v>1420</v>
      </c>
      <c r="B51" s="3">
        <v>113.3244109</v>
      </c>
      <c r="C51" s="3">
        <v>23.004886039999999</v>
      </c>
      <c r="D51" s="3">
        <v>26</v>
      </c>
      <c r="E51" s="13">
        <f t="shared" si="5"/>
        <v>6.7307449884039744E-3</v>
      </c>
      <c r="F51" s="13">
        <f t="shared" si="6"/>
        <v>12.18900995513841</v>
      </c>
      <c r="G51" s="14">
        <f t="shared" si="2"/>
        <v>0</v>
      </c>
      <c r="H51" s="14">
        <f t="shared" si="3"/>
        <v>50.85459859778917</v>
      </c>
      <c r="I51" s="25" t="str">
        <f t="shared" si="4"/>
        <v/>
      </c>
    </row>
    <row r="52" spans="1:9" hidden="1" x14ac:dyDescent="0.25">
      <c r="A52" s="3">
        <v>1165</v>
      </c>
      <c r="B52" s="3">
        <v>113.31895129999999</v>
      </c>
      <c r="C52" s="3">
        <v>23.01693027</v>
      </c>
      <c r="D52" s="3">
        <v>26</v>
      </c>
      <c r="E52" s="13">
        <f t="shared" si="5"/>
        <v>6.7556287829948448E-3</v>
      </c>
      <c r="F52" s="13">
        <f t="shared" si="6"/>
        <v>12.166540644841572</v>
      </c>
      <c r="G52" s="14">
        <f t="shared" si="2"/>
        <v>0</v>
      </c>
      <c r="H52" s="14">
        <f t="shared" si="3"/>
        <v>50.760852857969411</v>
      </c>
      <c r="I52" s="25" t="str">
        <f t="shared" si="4"/>
        <v/>
      </c>
    </row>
    <row r="53" spans="1:9" x14ac:dyDescent="0.25">
      <c r="A53" s="3">
        <v>1201</v>
      </c>
      <c r="B53" s="3">
        <v>113.3284968</v>
      </c>
      <c r="C53" s="3">
        <v>23.015543640000001</v>
      </c>
      <c r="D53" s="3">
        <v>26</v>
      </c>
      <c r="E53" s="13">
        <f t="shared" si="5"/>
        <v>6.9444270710324156E-3</v>
      </c>
      <c r="F53" s="13">
        <f t="shared" si="6"/>
        <v>12.000015010656158</v>
      </c>
      <c r="G53" s="14">
        <f t="shared" si="2"/>
        <v>0</v>
      </c>
      <c r="H53" s="14">
        <f t="shared" si="3"/>
        <v>50.066079917926693</v>
      </c>
      <c r="I53" s="25" t="str">
        <f t="shared" si="4"/>
        <v>选中</v>
      </c>
    </row>
    <row r="54" spans="1:9" hidden="1" x14ac:dyDescent="0.25">
      <c r="A54" s="3">
        <v>1216</v>
      </c>
      <c r="B54" s="3">
        <v>113.32944089999999</v>
      </c>
      <c r="C54" s="3">
        <v>23.014179429999999</v>
      </c>
      <c r="D54" s="3">
        <v>26</v>
      </c>
      <c r="E54" s="13">
        <f t="shared" si="5"/>
        <v>7.0973496164656834E-3</v>
      </c>
      <c r="F54" s="13">
        <f t="shared" si="6"/>
        <v>11.870032291420999</v>
      </c>
      <c r="G54" s="14">
        <f t="shared" si="2"/>
        <v>0</v>
      </c>
      <c r="H54" s="14">
        <f t="shared" si="3"/>
        <v>49.523770162197394</v>
      </c>
      <c r="I54" s="25" t="str">
        <f t="shared" si="4"/>
        <v/>
      </c>
    </row>
    <row r="55" spans="1:9" hidden="1" x14ac:dyDescent="0.25">
      <c r="A55" s="3">
        <v>1206</v>
      </c>
      <c r="B55" s="3">
        <v>113.32885109999999</v>
      </c>
      <c r="C55" s="3">
        <v>23.015461999999999</v>
      </c>
      <c r="D55" s="3">
        <v>26</v>
      </c>
      <c r="E55" s="13">
        <f t="shared" si="5"/>
        <v>7.1874308535144699E-3</v>
      </c>
      <c r="F55" s="13">
        <f t="shared" si="6"/>
        <v>11.795413230710512</v>
      </c>
      <c r="G55" s="14">
        <f t="shared" si="2"/>
        <v>0</v>
      </c>
      <c r="H55" s="14">
        <f t="shared" si="3"/>
        <v>49.212446896883606</v>
      </c>
      <c r="I55" s="25" t="str">
        <f t="shared" si="4"/>
        <v/>
      </c>
    </row>
    <row r="56" spans="1:9" x14ac:dyDescent="0.25">
      <c r="A56" s="3">
        <v>1409</v>
      </c>
      <c r="B56" s="3">
        <v>113.3158569</v>
      </c>
      <c r="C56" s="3">
        <v>23.013051839999999</v>
      </c>
      <c r="D56" s="3">
        <v>26</v>
      </c>
      <c r="E56" s="13">
        <f t="shared" si="5"/>
        <v>7.2168647324773504E-3</v>
      </c>
      <c r="F56" s="13">
        <f t="shared" si="6"/>
        <v>11.771334943325233</v>
      </c>
      <c r="G56" s="14">
        <f t="shared" si="2"/>
        <v>0</v>
      </c>
      <c r="H56" s="14">
        <f t="shared" si="3"/>
        <v>49.111988234169623</v>
      </c>
      <c r="I56" s="25" t="str">
        <f t="shared" si="4"/>
        <v>选中</v>
      </c>
    </row>
    <row r="57" spans="1:9" hidden="1" x14ac:dyDescent="0.25">
      <c r="A57" s="3">
        <v>1212</v>
      </c>
      <c r="B57" s="3">
        <v>113.32953670000001</v>
      </c>
      <c r="C57" s="3">
        <v>23.01451711</v>
      </c>
      <c r="D57" s="3">
        <v>26</v>
      </c>
      <c r="E57" s="13">
        <f t="shared" si="5"/>
        <v>7.3210819869810985E-3</v>
      </c>
      <c r="F57" s="13">
        <f t="shared" si="6"/>
        <v>11.687250826753715</v>
      </c>
      <c r="G57" s="14">
        <f t="shared" si="2"/>
        <v>0</v>
      </c>
      <c r="H57" s="14">
        <f t="shared" si="3"/>
        <v>48.761175164656002</v>
      </c>
      <c r="I57" s="25" t="str">
        <f t="shared" si="4"/>
        <v/>
      </c>
    </row>
    <row r="58" spans="1:9" hidden="1" x14ac:dyDescent="0.25">
      <c r="A58" s="3">
        <v>1231</v>
      </c>
      <c r="B58" s="3">
        <v>113.3295607</v>
      </c>
      <c r="C58" s="3">
        <v>23.014479080000001</v>
      </c>
      <c r="D58" s="3">
        <v>26</v>
      </c>
      <c r="E58" s="13">
        <f t="shared" si="5"/>
        <v>7.3270320667345257E-3</v>
      </c>
      <c r="F58" s="13">
        <f t="shared" si="6"/>
        <v>11.682504416644459</v>
      </c>
      <c r="G58" s="14">
        <f t="shared" si="2"/>
        <v>0</v>
      </c>
      <c r="H58" s="14">
        <f t="shared" si="3"/>
        <v>48.741372343772674</v>
      </c>
      <c r="I58" s="25" t="str">
        <f t="shared" si="4"/>
        <v/>
      </c>
    </row>
    <row r="59" spans="1:9" x14ac:dyDescent="0.25">
      <c r="A59" s="3">
        <v>1444</v>
      </c>
      <c r="B59" s="3">
        <v>113.3283338</v>
      </c>
      <c r="C59" s="3">
        <v>23.00563223</v>
      </c>
      <c r="D59" s="3">
        <v>26</v>
      </c>
      <c r="E59" s="13">
        <f t="shared" si="5"/>
        <v>7.9610614317670667E-3</v>
      </c>
      <c r="F59" s="13">
        <f t="shared" si="6"/>
        <v>11.207648770582493</v>
      </c>
      <c r="G59" s="14">
        <f t="shared" si="2"/>
        <v>0</v>
      </c>
      <c r="H59" s="14">
        <f t="shared" si="3"/>
        <v>46.760194761569203</v>
      </c>
      <c r="I59" s="25" t="str">
        <f t="shared" si="4"/>
        <v>选中</v>
      </c>
    </row>
    <row r="60" spans="1:9" hidden="1" x14ac:dyDescent="0.25">
      <c r="A60" s="3">
        <v>1154</v>
      </c>
      <c r="B60" s="3">
        <v>113.317139</v>
      </c>
      <c r="C60" s="3">
        <v>23.017091659999998</v>
      </c>
      <c r="D60" s="3">
        <v>26</v>
      </c>
      <c r="E60" s="13">
        <f t="shared" si="5"/>
        <v>8.0625242723664503E-3</v>
      </c>
      <c r="F60" s="13">
        <f t="shared" si="6"/>
        <v>11.136904163836538</v>
      </c>
      <c r="G60" s="14">
        <f t="shared" si="2"/>
        <v>0</v>
      </c>
      <c r="H60" s="14">
        <f t="shared" si="3"/>
        <v>46.465036369520526</v>
      </c>
      <c r="I60" s="25" t="str">
        <f t="shared" si="4"/>
        <v/>
      </c>
    </row>
    <row r="61" spans="1:9" hidden="1" x14ac:dyDescent="0.25">
      <c r="A61" s="3">
        <v>1402</v>
      </c>
      <c r="B61" s="3">
        <v>113.31456180000001</v>
      </c>
      <c r="C61" s="3">
        <v>23.010158539999999</v>
      </c>
      <c r="D61" s="3">
        <v>26</v>
      </c>
      <c r="E61" s="13">
        <f t="shared" si="5"/>
        <v>8.4288754391529698E-3</v>
      </c>
      <c r="F61" s="13">
        <f t="shared" si="6"/>
        <v>10.89218933786506</v>
      </c>
      <c r="G61" s="14">
        <f t="shared" si="2"/>
        <v>0</v>
      </c>
      <c r="H61" s="14">
        <f t="shared" si="3"/>
        <v>45.444044977150625</v>
      </c>
      <c r="I61" s="25" t="str">
        <f t="shared" si="4"/>
        <v/>
      </c>
    </row>
    <row r="62" spans="1:9" x14ac:dyDescent="0.25">
      <c r="A62" s="3">
        <v>1660</v>
      </c>
      <c r="B62" s="3">
        <v>113.3237434</v>
      </c>
      <c r="C62" s="3">
        <v>23.002851199999998</v>
      </c>
      <c r="D62" s="3">
        <v>26</v>
      </c>
      <c r="E62" s="13">
        <f t="shared" si="5"/>
        <v>8.6340707247576001E-3</v>
      </c>
      <c r="F62" s="13">
        <f t="shared" si="6"/>
        <v>10.761980457967155</v>
      </c>
      <c r="G62" s="14">
        <f t="shared" si="2"/>
        <v>0</v>
      </c>
      <c r="H62" s="14">
        <f t="shared" si="3"/>
        <v>44.900791641117031</v>
      </c>
      <c r="I62" s="25" t="str">
        <f t="shared" si="4"/>
        <v>选中</v>
      </c>
    </row>
    <row r="63" spans="1:9" hidden="1" x14ac:dyDescent="0.25">
      <c r="A63" s="3">
        <v>1422</v>
      </c>
      <c r="B63" s="3">
        <v>113.3285125</v>
      </c>
      <c r="C63" s="3">
        <v>23.004767269999999</v>
      </c>
      <c r="D63" s="3">
        <v>26</v>
      </c>
      <c r="E63" s="13">
        <f t="shared" si="5"/>
        <v>8.7267374759217101E-3</v>
      </c>
      <c r="F63" s="13">
        <f t="shared" si="6"/>
        <v>10.704688751266149</v>
      </c>
      <c r="G63" s="14">
        <f t="shared" si="2"/>
        <v>0</v>
      </c>
      <c r="H63" s="14">
        <f t="shared" si="3"/>
        <v>44.661761009590329</v>
      </c>
      <c r="I63" s="25" t="str">
        <f t="shared" si="4"/>
        <v/>
      </c>
    </row>
    <row r="64" spans="1:9" hidden="1" x14ac:dyDescent="0.25">
      <c r="A64" s="3">
        <v>1441</v>
      </c>
      <c r="B64" s="3">
        <v>113.3296811</v>
      </c>
      <c r="C64" s="3">
        <v>23.00428526</v>
      </c>
      <c r="D64" s="3">
        <v>26</v>
      </c>
      <c r="E64" s="13">
        <f t="shared" si="5"/>
        <v>9.8653642311142022E-3</v>
      </c>
      <c r="F64" s="13">
        <f t="shared" si="6"/>
        <v>10.068005356633636</v>
      </c>
      <c r="G64" s="14">
        <f t="shared" si="2"/>
        <v>0</v>
      </c>
      <c r="H64" s="14">
        <f t="shared" si="3"/>
        <v>42.005410855879539</v>
      </c>
      <c r="I64" s="25" t="str">
        <f t="shared" si="4"/>
        <v/>
      </c>
    </row>
    <row r="65" spans="1:9" x14ac:dyDescent="0.25">
      <c r="A65" s="3">
        <v>1635</v>
      </c>
      <c r="B65" s="3">
        <v>113.31765300000001</v>
      </c>
      <c r="C65" s="3">
        <v>23.002535980000001</v>
      </c>
      <c r="D65" s="3">
        <v>26</v>
      </c>
      <c r="E65" s="13">
        <f t="shared" si="5"/>
        <v>1.0333826150694583E-2</v>
      </c>
      <c r="F65" s="13">
        <f t="shared" si="6"/>
        <v>9.8371529627932475</v>
      </c>
      <c r="G65" s="14">
        <f t="shared" si="2"/>
        <v>0</v>
      </c>
      <c r="H65" s="14">
        <f t="shared" si="3"/>
        <v>41.042255860740447</v>
      </c>
      <c r="I65" s="25" t="str">
        <f t="shared" si="4"/>
        <v>选中</v>
      </c>
    </row>
    <row r="66" spans="1:9" hidden="1" x14ac:dyDescent="0.25">
      <c r="A66" s="3">
        <v>1639</v>
      </c>
      <c r="B66" s="3">
        <v>113.3181659</v>
      </c>
      <c r="C66" s="3">
        <v>23.002253119999999</v>
      </c>
      <c r="D66" s="3">
        <v>26</v>
      </c>
      <c r="E66" s="13">
        <f t="shared" si="5"/>
        <v>1.0334198851295887E-2</v>
      </c>
      <c r="F66" s="13">
        <f t="shared" si="6"/>
        <v>9.8369755738183553</v>
      </c>
      <c r="G66" s="14">
        <f t="shared" si="2"/>
        <v>0</v>
      </c>
      <c r="H66" s="14">
        <f t="shared" si="3"/>
        <v>41.041515764116767</v>
      </c>
      <c r="I66" s="25" t="str">
        <f t="shared" si="4"/>
        <v/>
      </c>
    </row>
    <row r="67" spans="1:9" hidden="1" x14ac:dyDescent="0.25">
      <c r="A67" s="3">
        <v>1404</v>
      </c>
      <c r="B67" s="3">
        <v>113.3125909</v>
      </c>
      <c r="C67" s="3">
        <v>23.00914169</v>
      </c>
      <c r="D67" s="3">
        <v>26</v>
      </c>
      <c r="E67" s="13">
        <f t="shared" si="5"/>
        <v>1.0555272426625939E-2</v>
      </c>
      <c r="F67" s="13">
        <f t="shared" si="6"/>
        <v>9.7334158071652759</v>
      </c>
      <c r="G67" s="14">
        <f t="shared" si="2"/>
        <v>0</v>
      </c>
      <c r="H67" s="14">
        <f t="shared" si="3"/>
        <v>40.609447008458488</v>
      </c>
      <c r="I67" s="25" t="str">
        <f t="shared" si="4"/>
        <v/>
      </c>
    </row>
    <row r="68" spans="1:9" x14ac:dyDescent="0.25">
      <c r="A68" s="3">
        <v>1636</v>
      </c>
      <c r="B68" s="3">
        <v>113.3171909</v>
      </c>
      <c r="C68" s="3">
        <v>23.002460889999998</v>
      </c>
      <c r="D68" s="3">
        <v>26</v>
      </c>
      <c r="E68" s="13">
        <f t="shared" si="5"/>
        <v>1.0638932948017059E-2</v>
      </c>
      <c r="F68" s="13">
        <f t="shared" si="6"/>
        <v>9.6950703352937744</v>
      </c>
      <c r="G68" s="14">
        <f t="shared" si="2"/>
        <v>0</v>
      </c>
      <c r="H68" s="14">
        <f t="shared" si="3"/>
        <v>40.449463253646144</v>
      </c>
      <c r="I68" s="25" t="str">
        <f t="shared" si="4"/>
        <v>选中</v>
      </c>
    </row>
    <row r="69" spans="1:9" x14ac:dyDescent="0.25">
      <c r="A69" s="3"/>
      <c r="B69" s="3"/>
      <c r="C69" s="3"/>
      <c r="D69" s="3"/>
      <c r="G69" s="14"/>
      <c r="H69" s="14"/>
    </row>
    <row r="70" spans="1:9" x14ac:dyDescent="0.25">
      <c r="A70" s="3"/>
      <c r="B70" s="3"/>
      <c r="C70" s="3"/>
      <c r="D70" s="3"/>
      <c r="F70" s="13">
        <f>SUBTOTAL(9,F5:F68)</f>
        <v>411.05726226243678</v>
      </c>
      <c r="G70" s="13">
        <f t="shared" ref="G70:H70" si="7">SUBTOTAL(9,G5:G68)</f>
        <v>0</v>
      </c>
      <c r="H70" s="13">
        <f t="shared" si="7"/>
        <v>1714.9999999999998</v>
      </c>
    </row>
    <row r="71" spans="1:9" x14ac:dyDescent="0.25">
      <c r="A71" s="3"/>
      <c r="B71" s="3"/>
      <c r="C71" s="3"/>
      <c r="D71" s="3"/>
      <c r="G71" s="14"/>
      <c r="H71" s="14"/>
    </row>
    <row r="72" spans="1:9" x14ac:dyDescent="0.25">
      <c r="A72" s="3"/>
      <c r="B72" s="3"/>
      <c r="C72" s="3"/>
      <c r="D72" s="3"/>
      <c r="G72" s="14"/>
      <c r="H72" s="14"/>
    </row>
    <row r="73" spans="1:9" x14ac:dyDescent="0.25">
      <c r="A73" s="3"/>
      <c r="B73" s="3"/>
      <c r="C73" s="3"/>
      <c r="D73" s="3"/>
      <c r="G73" s="14"/>
      <c r="H73" s="14"/>
    </row>
    <row r="74" spans="1:9" x14ac:dyDescent="0.25">
      <c r="A74" s="3"/>
      <c r="B74" s="3"/>
      <c r="C74" s="3"/>
      <c r="D74" s="3"/>
      <c r="G74" s="14"/>
      <c r="H74" s="14"/>
    </row>
    <row r="75" spans="1:9" x14ac:dyDescent="0.25">
      <c r="A75" s="3"/>
      <c r="B75" s="3"/>
      <c r="C75" s="3"/>
      <c r="D75" s="3"/>
      <c r="G75" s="14"/>
      <c r="H75" s="14"/>
    </row>
    <row r="76" spans="1:9" x14ac:dyDescent="0.25">
      <c r="A76" s="3"/>
      <c r="B76" s="3"/>
      <c r="C76" s="3"/>
      <c r="D76" s="3"/>
      <c r="G76" s="14"/>
      <c r="H76" s="14"/>
    </row>
    <row r="77" spans="1:9" x14ac:dyDescent="0.25">
      <c r="A77" s="3"/>
      <c r="B77" s="3"/>
      <c r="C77" s="3"/>
      <c r="D77" s="3"/>
      <c r="G77" s="14"/>
      <c r="H77" s="14"/>
    </row>
    <row r="78" spans="1:9" x14ac:dyDescent="0.25">
      <c r="A78" s="3"/>
      <c r="B78" s="3"/>
      <c r="C78" s="3"/>
      <c r="D78" s="3"/>
      <c r="G78" s="14"/>
      <c r="H78" s="14"/>
    </row>
    <row r="79" spans="1:9" x14ac:dyDescent="0.25">
      <c r="A79" s="3"/>
      <c r="B79" s="3"/>
      <c r="C79" s="3"/>
      <c r="D79" s="3"/>
      <c r="G79" s="14"/>
      <c r="H79" s="14"/>
    </row>
    <row r="80" spans="1:9" x14ac:dyDescent="0.25">
      <c r="A80" s="3"/>
      <c r="B80" s="3"/>
      <c r="C80" s="3"/>
      <c r="D80" s="3"/>
      <c r="G80" s="14"/>
      <c r="H80" s="14"/>
    </row>
    <row r="81" spans="1:8" x14ac:dyDescent="0.25">
      <c r="A81" s="3"/>
      <c r="B81" s="3"/>
      <c r="C81" s="3"/>
      <c r="D81" s="3"/>
      <c r="G81" s="14"/>
      <c r="H81" s="14"/>
    </row>
    <row r="82" spans="1:8" x14ac:dyDescent="0.25">
      <c r="A82" s="3"/>
      <c r="B82" s="3"/>
      <c r="C82" s="3"/>
      <c r="D82" s="3"/>
      <c r="G82" s="14"/>
      <c r="H82" s="14"/>
    </row>
    <row r="83" spans="1:8" x14ac:dyDescent="0.25">
      <c r="A83" s="3"/>
      <c r="B83" s="3"/>
      <c r="C83" s="3"/>
      <c r="D83" s="3"/>
      <c r="G83" s="14"/>
      <c r="H83" s="14"/>
    </row>
    <row r="84" spans="1:8" x14ac:dyDescent="0.25">
      <c r="A84" s="3"/>
      <c r="B84" s="3"/>
      <c r="C84" s="3"/>
      <c r="D84" s="3"/>
      <c r="G84" s="14"/>
      <c r="H84" s="14"/>
    </row>
    <row r="85" spans="1:8" x14ac:dyDescent="0.25">
      <c r="A85" s="3"/>
      <c r="B85" s="3"/>
      <c r="C85" s="3"/>
      <c r="D85" s="3"/>
      <c r="G85" s="14"/>
      <c r="H85" s="14"/>
    </row>
    <row r="86" spans="1:8" x14ac:dyDescent="0.25">
      <c r="A86" s="3"/>
      <c r="B86" s="3"/>
      <c r="C86" s="3"/>
      <c r="D86" s="3"/>
      <c r="G86" s="14"/>
      <c r="H86" s="14"/>
    </row>
    <row r="87" spans="1:8" x14ac:dyDescent="0.25">
      <c r="A87" s="3"/>
      <c r="B87" s="3"/>
      <c r="C87" s="3"/>
      <c r="D87" s="3"/>
      <c r="G87" s="14"/>
      <c r="H87" s="14"/>
    </row>
    <row r="88" spans="1:8" x14ac:dyDescent="0.25">
      <c r="A88" s="3"/>
      <c r="B88" s="3"/>
      <c r="C88" s="3"/>
      <c r="D88" s="3"/>
      <c r="G88" s="14"/>
      <c r="H88" s="14"/>
    </row>
    <row r="89" spans="1:8" x14ac:dyDescent="0.25">
      <c r="A89" s="3"/>
      <c r="B89" s="3"/>
      <c r="C89" s="3"/>
      <c r="D89" s="3"/>
      <c r="G89" s="14"/>
      <c r="H89" s="14"/>
    </row>
    <row r="90" spans="1:8" x14ac:dyDescent="0.25">
      <c r="A90" s="3"/>
      <c r="B90" s="3"/>
      <c r="C90" s="3"/>
      <c r="D90" s="3"/>
      <c r="G90" s="14"/>
      <c r="H90" s="14"/>
    </row>
    <row r="91" spans="1:8" x14ac:dyDescent="0.25">
      <c r="A91" s="3"/>
      <c r="B91" s="3"/>
      <c r="C91" s="3"/>
      <c r="D91" s="3"/>
      <c r="G91" s="14"/>
      <c r="H91" s="14"/>
    </row>
    <row r="92" spans="1:8" x14ac:dyDescent="0.25">
      <c r="A92" s="3"/>
      <c r="B92" s="3"/>
      <c r="C92" s="3"/>
      <c r="D92" s="3"/>
      <c r="G92" s="14"/>
      <c r="H92" s="14"/>
    </row>
    <row r="93" spans="1:8" x14ac:dyDescent="0.25">
      <c r="A93" s="3"/>
      <c r="B93" s="3"/>
      <c r="C93" s="3"/>
      <c r="D93" s="3"/>
      <c r="G93" s="14"/>
      <c r="H93" s="14"/>
    </row>
    <row r="94" spans="1:8" x14ac:dyDescent="0.25">
      <c r="A94" s="3"/>
      <c r="B94" s="3"/>
      <c r="C94" s="3"/>
      <c r="D94" s="3"/>
      <c r="G94" s="14"/>
      <c r="H94" s="14"/>
    </row>
    <row r="95" spans="1:8" x14ac:dyDescent="0.25">
      <c r="A95" s="3"/>
      <c r="B95" s="3"/>
      <c r="C95" s="3"/>
      <c r="D95" s="3"/>
      <c r="G95" s="14"/>
      <c r="H95" s="14"/>
    </row>
    <row r="96" spans="1:8" x14ac:dyDescent="0.25">
      <c r="A96" s="3"/>
      <c r="B96" s="3"/>
      <c r="C96" s="3"/>
      <c r="D96" s="3"/>
      <c r="G96" s="14"/>
      <c r="H96" s="14"/>
    </row>
    <row r="97" spans="1:8" x14ac:dyDescent="0.25">
      <c r="A97" s="3"/>
      <c r="B97" s="3"/>
      <c r="C97" s="3"/>
      <c r="D97" s="3"/>
      <c r="G97" s="14"/>
      <c r="H97" s="14"/>
    </row>
    <row r="98" spans="1:8" x14ac:dyDescent="0.25">
      <c r="A98" s="3"/>
      <c r="B98" s="3"/>
      <c r="C98" s="3"/>
      <c r="D98" s="3"/>
      <c r="G98" s="14"/>
      <c r="H98" s="14"/>
    </row>
    <row r="99" spans="1:8" x14ac:dyDescent="0.25">
      <c r="A99" s="3"/>
      <c r="B99" s="3"/>
      <c r="C99" s="3"/>
      <c r="D99" s="3"/>
      <c r="G99" s="14"/>
      <c r="H99" s="14"/>
    </row>
    <row r="100" spans="1:8" x14ac:dyDescent="0.25">
      <c r="A100" s="3"/>
      <c r="B100" s="3"/>
      <c r="C100" s="3"/>
      <c r="D100" s="3"/>
      <c r="G100" s="14"/>
      <c r="H100" s="14"/>
    </row>
    <row r="101" spans="1:8" x14ac:dyDescent="0.25">
      <c r="A101" s="3"/>
      <c r="B101" s="3"/>
      <c r="C101" s="3"/>
      <c r="D101" s="3"/>
      <c r="G101" s="14"/>
      <c r="H101" s="14"/>
    </row>
    <row r="102" spans="1:8" x14ac:dyDescent="0.25">
      <c r="A102" s="3"/>
      <c r="B102" s="3"/>
      <c r="C102" s="3"/>
      <c r="D102" s="3"/>
      <c r="G102" s="14"/>
      <c r="H102" s="14"/>
    </row>
    <row r="103" spans="1:8" x14ac:dyDescent="0.25">
      <c r="A103" s="3"/>
      <c r="B103" s="3"/>
      <c r="C103" s="3"/>
      <c r="D103" s="3"/>
      <c r="G103" s="14"/>
      <c r="H103" s="14"/>
    </row>
    <row r="104" spans="1:8" x14ac:dyDescent="0.25">
      <c r="A104" s="3"/>
      <c r="B104" s="3"/>
      <c r="C104" s="3"/>
      <c r="D104" s="3"/>
      <c r="G104" s="14"/>
      <c r="H104" s="14"/>
    </row>
    <row r="105" spans="1:8" x14ac:dyDescent="0.25">
      <c r="A105" s="3"/>
      <c r="B105" s="3"/>
      <c r="C105" s="3"/>
      <c r="D105" s="3"/>
      <c r="G105" s="14"/>
      <c r="H105" s="14"/>
    </row>
    <row r="106" spans="1:8" x14ac:dyDescent="0.25">
      <c r="A106" s="3"/>
      <c r="B106" s="3"/>
      <c r="C106" s="3"/>
      <c r="D106" s="3"/>
      <c r="G106" s="14"/>
      <c r="H106" s="14"/>
    </row>
    <row r="107" spans="1:8" x14ac:dyDescent="0.25">
      <c r="A107" s="3"/>
      <c r="B107" s="3"/>
      <c r="C107" s="3"/>
      <c r="D107" s="3"/>
      <c r="G107" s="14"/>
      <c r="H107" s="14"/>
    </row>
    <row r="108" spans="1:8" x14ac:dyDescent="0.25">
      <c r="A108" s="3"/>
      <c r="B108" s="3"/>
      <c r="C108" s="3"/>
      <c r="D108" s="3"/>
      <c r="G108" s="14"/>
      <c r="H108" s="14"/>
    </row>
    <row r="109" spans="1:8" x14ac:dyDescent="0.25">
      <c r="A109" s="3"/>
      <c r="B109" s="3"/>
      <c r="C109" s="3"/>
      <c r="D109" s="3"/>
      <c r="G109" s="14"/>
      <c r="H109" s="14"/>
    </row>
    <row r="110" spans="1:8" x14ac:dyDescent="0.25">
      <c r="A110" s="3"/>
      <c r="B110" s="3"/>
      <c r="C110" s="3"/>
      <c r="D110" s="3"/>
      <c r="G110" s="14"/>
      <c r="H110" s="14"/>
    </row>
    <row r="111" spans="1:8" x14ac:dyDescent="0.25">
      <c r="A111" s="3"/>
      <c r="B111" s="3"/>
      <c r="C111" s="3"/>
      <c r="D111" s="3"/>
      <c r="G111" s="14"/>
      <c r="H111" s="14"/>
    </row>
    <row r="112" spans="1:8" x14ac:dyDescent="0.25">
      <c r="A112" s="3"/>
      <c r="B112" s="3"/>
      <c r="C112" s="3"/>
      <c r="D112" s="3"/>
      <c r="G112" s="14"/>
      <c r="H112" s="14"/>
    </row>
    <row r="113" spans="1:8" x14ac:dyDescent="0.25">
      <c r="A113" s="3"/>
      <c r="B113" s="3"/>
      <c r="C113" s="3"/>
      <c r="D113" s="3"/>
      <c r="G113" s="14"/>
      <c r="H113" s="14"/>
    </row>
    <row r="114" spans="1:8" x14ac:dyDescent="0.25">
      <c r="A114" s="3"/>
      <c r="B114" s="3"/>
      <c r="C114" s="3"/>
      <c r="D114" s="3"/>
      <c r="G114" s="14"/>
      <c r="H114" s="14"/>
    </row>
    <row r="115" spans="1:8" x14ac:dyDescent="0.25">
      <c r="A115" s="3"/>
      <c r="B115" s="3"/>
      <c r="C115" s="3"/>
      <c r="D115" s="3"/>
      <c r="G115" s="14"/>
      <c r="H115" s="14"/>
    </row>
    <row r="116" spans="1:8" x14ac:dyDescent="0.25">
      <c r="A116" s="3"/>
      <c r="B116" s="3"/>
      <c r="C116" s="3"/>
      <c r="D116" s="3"/>
      <c r="G116" s="14"/>
      <c r="H116" s="14"/>
    </row>
    <row r="117" spans="1:8" x14ac:dyDescent="0.25">
      <c r="A117" s="3"/>
      <c r="B117" s="3"/>
      <c r="C117" s="3"/>
      <c r="D117" s="3"/>
      <c r="G117" s="14"/>
      <c r="H117" s="14"/>
    </row>
    <row r="118" spans="1:8" x14ac:dyDescent="0.25">
      <c r="A118" s="3"/>
      <c r="B118" s="3"/>
      <c r="C118" s="3"/>
      <c r="D118" s="3"/>
      <c r="G118" s="14"/>
      <c r="H118" s="14"/>
    </row>
    <row r="119" spans="1:8" x14ac:dyDescent="0.25">
      <c r="A119" s="3"/>
      <c r="B119" s="3"/>
      <c r="C119" s="3"/>
      <c r="D119" s="3"/>
      <c r="G119" s="14"/>
      <c r="H119" s="14"/>
    </row>
    <row r="120" spans="1:8" x14ac:dyDescent="0.25">
      <c r="A120" s="3"/>
      <c r="B120" s="3"/>
      <c r="C120" s="3"/>
      <c r="D120" s="3"/>
      <c r="G120" s="14"/>
      <c r="H120" s="14"/>
    </row>
    <row r="121" spans="1:8" x14ac:dyDescent="0.25">
      <c r="A121" s="3"/>
      <c r="B121" s="3"/>
      <c r="C121" s="3"/>
      <c r="D121" s="3"/>
      <c r="G121" s="14"/>
      <c r="H121" s="14"/>
    </row>
    <row r="122" spans="1:8" x14ac:dyDescent="0.25">
      <c r="A122" s="3"/>
      <c r="B122" s="3"/>
      <c r="C122" s="3"/>
      <c r="D122" s="3"/>
      <c r="G122" s="14"/>
      <c r="H122" s="14"/>
    </row>
    <row r="123" spans="1:8" x14ac:dyDescent="0.25">
      <c r="A123" s="3"/>
      <c r="B123" s="3"/>
      <c r="C123" s="3"/>
      <c r="D123" s="3"/>
      <c r="G123" s="14"/>
      <c r="H123" s="14"/>
    </row>
    <row r="124" spans="1:8" x14ac:dyDescent="0.25">
      <c r="A124" s="3"/>
      <c r="B124" s="3"/>
      <c r="C124" s="3"/>
      <c r="D124" s="3"/>
      <c r="G124" s="14"/>
      <c r="H124" s="14"/>
    </row>
    <row r="125" spans="1:8" x14ac:dyDescent="0.25">
      <c r="A125" s="3"/>
      <c r="B125" s="3"/>
      <c r="C125" s="3"/>
      <c r="D125" s="3"/>
      <c r="G125" s="14"/>
      <c r="H125" s="14"/>
    </row>
    <row r="126" spans="1:8" x14ac:dyDescent="0.25">
      <c r="A126" s="18"/>
      <c r="B126" s="3"/>
      <c r="C126" s="3"/>
      <c r="D126" s="3"/>
      <c r="G126" s="14"/>
      <c r="H126" s="14"/>
    </row>
    <row r="127" spans="1:8" x14ac:dyDescent="0.25">
      <c r="A127" s="3"/>
      <c r="B127" s="3"/>
      <c r="C127" s="3"/>
      <c r="D127" s="3"/>
      <c r="G127" s="14"/>
      <c r="H127" s="14"/>
    </row>
    <row r="128" spans="1:8" x14ac:dyDescent="0.25">
      <c r="A128" s="3"/>
      <c r="B128" s="3"/>
      <c r="C128" s="3"/>
      <c r="D128" s="3"/>
      <c r="G128" s="14"/>
      <c r="H128" s="14"/>
    </row>
    <row r="129" spans="1:8" x14ac:dyDescent="0.25">
      <c r="A129" s="3"/>
      <c r="B129" s="3"/>
      <c r="C129" s="3"/>
      <c r="D129" s="3"/>
      <c r="G129" s="14"/>
      <c r="H129" s="14"/>
    </row>
    <row r="130" spans="1:8" x14ac:dyDescent="0.25">
      <c r="A130" s="3"/>
      <c r="B130" s="3"/>
      <c r="C130" s="3"/>
      <c r="D130" s="3"/>
      <c r="G130" s="14"/>
      <c r="H130" s="14"/>
    </row>
    <row r="131" spans="1:8" x14ac:dyDescent="0.25">
      <c r="A131" s="3"/>
      <c r="B131" s="3"/>
      <c r="C131" s="3"/>
      <c r="D131" s="3"/>
      <c r="G131" s="14"/>
      <c r="H131" s="14"/>
    </row>
    <row r="132" spans="1:8" x14ac:dyDescent="0.25">
      <c r="A132" s="3"/>
      <c r="B132" s="3"/>
      <c r="C132" s="3"/>
      <c r="D132" s="3"/>
      <c r="G132" s="14"/>
      <c r="H132" s="14"/>
    </row>
    <row r="133" spans="1:8" x14ac:dyDescent="0.25">
      <c r="A133" s="3"/>
      <c r="B133" s="3"/>
      <c r="C133" s="3"/>
      <c r="D133" s="3"/>
      <c r="G133" s="14"/>
      <c r="H133" s="14"/>
    </row>
    <row r="134" spans="1:8" x14ac:dyDescent="0.25">
      <c r="A134" s="3"/>
      <c r="B134" s="3"/>
      <c r="C134" s="3"/>
      <c r="D134" s="3"/>
      <c r="G134" s="14"/>
      <c r="H134" s="14"/>
    </row>
    <row r="135" spans="1:8" x14ac:dyDescent="0.25">
      <c r="A135" s="3"/>
      <c r="B135" s="3"/>
      <c r="C135" s="3"/>
      <c r="D135" s="3"/>
      <c r="G135" s="14"/>
      <c r="H135" s="14"/>
    </row>
    <row r="136" spans="1:8" x14ac:dyDescent="0.25">
      <c r="A136" s="3"/>
      <c r="B136" s="3"/>
      <c r="C136" s="3"/>
      <c r="D136" s="3"/>
      <c r="G136" s="14"/>
      <c r="H136" s="14"/>
    </row>
    <row r="137" spans="1:8" x14ac:dyDescent="0.25">
      <c r="A137" s="3"/>
      <c r="B137" s="3"/>
      <c r="C137" s="3"/>
      <c r="D137" s="3"/>
      <c r="G137" s="14"/>
      <c r="H137" s="14"/>
    </row>
    <row r="138" spans="1:8" x14ac:dyDescent="0.25">
      <c r="A138" s="3"/>
      <c r="B138" s="3"/>
      <c r="C138" s="3"/>
      <c r="D138" s="3"/>
      <c r="G138" s="14"/>
      <c r="H138" s="14"/>
    </row>
    <row r="139" spans="1:8" x14ac:dyDescent="0.25">
      <c r="A139" s="3"/>
      <c r="B139" s="3"/>
      <c r="C139" s="3"/>
      <c r="D139" s="3"/>
      <c r="G139" s="14"/>
      <c r="H139" s="14"/>
    </row>
    <row r="140" spans="1:8" x14ac:dyDescent="0.25">
      <c r="A140" s="3"/>
      <c r="B140" s="3"/>
      <c r="C140" s="3"/>
      <c r="D140" s="3"/>
      <c r="G140" s="14"/>
      <c r="H140" s="14"/>
    </row>
    <row r="141" spans="1:8" x14ac:dyDescent="0.25">
      <c r="A141" s="3"/>
      <c r="B141" s="3"/>
      <c r="C141" s="3"/>
      <c r="D141" s="3"/>
      <c r="G141" s="14"/>
      <c r="H141" s="14"/>
    </row>
    <row r="142" spans="1:8" x14ac:dyDescent="0.25">
      <c r="A142" s="3"/>
      <c r="B142" s="3"/>
      <c r="C142" s="3"/>
      <c r="D142" s="3"/>
      <c r="G142" s="14"/>
      <c r="H142" s="14"/>
    </row>
    <row r="143" spans="1:8" x14ac:dyDescent="0.25">
      <c r="A143" s="3"/>
      <c r="B143" s="3"/>
      <c r="C143" s="3"/>
      <c r="D143" s="3"/>
      <c r="G143" s="14"/>
      <c r="H143" s="14"/>
    </row>
    <row r="144" spans="1:8" x14ac:dyDescent="0.25">
      <c r="A144" s="3"/>
      <c r="B144" s="3"/>
      <c r="C144" s="3"/>
      <c r="D144" s="3"/>
      <c r="G144" s="14"/>
      <c r="H144" s="14"/>
    </row>
    <row r="145" spans="1:8" x14ac:dyDescent="0.25">
      <c r="A145" s="3"/>
      <c r="B145" s="3"/>
      <c r="C145" s="3"/>
      <c r="D145" s="3"/>
      <c r="G145" s="14"/>
      <c r="H145" s="14"/>
    </row>
    <row r="146" spans="1:8" x14ac:dyDescent="0.25">
      <c r="A146" s="3"/>
      <c r="B146" s="3"/>
      <c r="C146" s="3"/>
      <c r="D146" s="3"/>
      <c r="G146" s="14"/>
      <c r="H146" s="14"/>
    </row>
    <row r="147" spans="1:8" x14ac:dyDescent="0.25">
      <c r="A147" s="3"/>
      <c r="B147" s="3"/>
      <c r="C147" s="3"/>
      <c r="D147" s="3"/>
      <c r="G147" s="14"/>
      <c r="H147" s="14"/>
    </row>
    <row r="148" spans="1:8" x14ac:dyDescent="0.25">
      <c r="A148" s="3"/>
      <c r="B148" s="3"/>
      <c r="C148" s="3"/>
      <c r="D148" s="3"/>
      <c r="G148" s="14"/>
      <c r="H148" s="14"/>
    </row>
    <row r="149" spans="1:8" x14ac:dyDescent="0.25">
      <c r="A149" s="3"/>
      <c r="B149" s="3"/>
      <c r="C149" s="3"/>
      <c r="D149" s="3"/>
      <c r="G149" s="14"/>
      <c r="H149" s="14"/>
    </row>
    <row r="150" spans="1:8" x14ac:dyDescent="0.25">
      <c r="A150" s="3"/>
      <c r="B150" s="3"/>
      <c r="C150" s="3"/>
      <c r="D150" s="3"/>
      <c r="G150" s="14"/>
      <c r="H150" s="14"/>
    </row>
    <row r="151" spans="1:8" x14ac:dyDescent="0.25">
      <c r="A151" s="3"/>
      <c r="B151" s="3"/>
      <c r="C151" s="3"/>
      <c r="D151" s="3"/>
      <c r="G151" s="14"/>
      <c r="H151" s="14"/>
    </row>
    <row r="152" spans="1:8" x14ac:dyDescent="0.25">
      <c r="A152" s="3"/>
      <c r="B152" s="3"/>
      <c r="C152" s="3"/>
      <c r="D152" s="3"/>
      <c r="G152" s="14"/>
      <c r="H152" s="14"/>
    </row>
    <row r="153" spans="1:8" x14ac:dyDescent="0.25">
      <c r="A153" s="3"/>
      <c r="B153" s="3"/>
      <c r="C153" s="3"/>
      <c r="D153" s="3"/>
      <c r="G153" s="14"/>
      <c r="H153" s="14"/>
    </row>
    <row r="154" spans="1:8" x14ac:dyDescent="0.25">
      <c r="A154" s="3"/>
      <c r="B154" s="3"/>
      <c r="C154" s="3"/>
      <c r="D154" s="3"/>
      <c r="G154" s="14"/>
      <c r="H154" s="14"/>
    </row>
    <row r="155" spans="1:8" x14ac:dyDescent="0.25">
      <c r="A155" s="3"/>
      <c r="B155" s="3"/>
      <c r="C155" s="3"/>
      <c r="D155" s="3"/>
      <c r="G155" s="14"/>
      <c r="H155" s="14"/>
    </row>
    <row r="156" spans="1:8" x14ac:dyDescent="0.25">
      <c r="A156" s="3"/>
      <c r="B156" s="3"/>
      <c r="C156" s="3"/>
      <c r="D156" s="3"/>
      <c r="G156" s="14"/>
      <c r="H156" s="14"/>
    </row>
    <row r="157" spans="1:8" x14ac:dyDescent="0.25">
      <c r="A157" s="3"/>
      <c r="B157" s="3"/>
      <c r="C157" s="3"/>
      <c r="D157" s="3"/>
      <c r="G157" s="14"/>
      <c r="H157" s="14"/>
    </row>
    <row r="158" spans="1:8" x14ac:dyDescent="0.25">
      <c r="A158" s="3"/>
      <c r="B158" s="3"/>
      <c r="C158" s="3"/>
      <c r="D158" s="3"/>
      <c r="G158" s="14"/>
      <c r="H158" s="14"/>
    </row>
    <row r="159" spans="1:8" x14ac:dyDescent="0.25">
      <c r="A159" s="3"/>
      <c r="B159" s="3"/>
      <c r="C159" s="3"/>
      <c r="D159" s="3"/>
      <c r="G159" s="14"/>
      <c r="H159" s="14"/>
    </row>
    <row r="160" spans="1:8" x14ac:dyDescent="0.25">
      <c r="A160" s="3"/>
      <c r="B160" s="3"/>
      <c r="C160" s="3"/>
      <c r="D160" s="3"/>
      <c r="G160" s="14"/>
      <c r="H160" s="14"/>
    </row>
    <row r="161" spans="1:8" x14ac:dyDescent="0.25">
      <c r="A161" s="3"/>
      <c r="B161" s="3"/>
      <c r="C161" s="3"/>
      <c r="D161" s="3"/>
      <c r="G161" s="14"/>
      <c r="H161" s="14"/>
    </row>
    <row r="162" spans="1:8" x14ac:dyDescent="0.25">
      <c r="A162" s="3"/>
      <c r="B162" s="3"/>
      <c r="C162" s="3"/>
      <c r="D162" s="3"/>
      <c r="G162" s="14"/>
      <c r="H162" s="14"/>
    </row>
    <row r="163" spans="1:8" x14ac:dyDescent="0.25">
      <c r="A163" s="3"/>
      <c r="B163" s="3"/>
      <c r="C163" s="3"/>
      <c r="D163" s="3"/>
      <c r="G163" s="14"/>
      <c r="H163" s="14"/>
    </row>
    <row r="164" spans="1:8" x14ac:dyDescent="0.25">
      <c r="A164" s="3"/>
      <c r="B164" s="3"/>
      <c r="C164" s="3"/>
      <c r="D164" s="3"/>
      <c r="G164" s="14"/>
      <c r="H164" s="14"/>
    </row>
    <row r="165" spans="1:8" x14ac:dyDescent="0.25">
      <c r="A165" s="3"/>
      <c r="B165" s="3"/>
      <c r="C165" s="3"/>
      <c r="D165" s="3"/>
      <c r="G165" s="14"/>
      <c r="H165" s="14"/>
    </row>
    <row r="166" spans="1:8" x14ac:dyDescent="0.25">
      <c r="A166" s="3"/>
      <c r="B166" s="3"/>
      <c r="C166" s="3"/>
      <c r="D166" s="3"/>
      <c r="G166" s="14"/>
      <c r="H166" s="14"/>
    </row>
    <row r="167" spans="1:8" x14ac:dyDescent="0.25">
      <c r="A167" s="3"/>
      <c r="B167" s="3"/>
      <c r="C167" s="3"/>
      <c r="D167" s="3"/>
      <c r="G167" s="14"/>
      <c r="H167" s="14"/>
    </row>
    <row r="168" spans="1:8" x14ac:dyDescent="0.25">
      <c r="A168" s="3"/>
      <c r="B168" s="3"/>
      <c r="C168" s="3"/>
      <c r="D168" s="3"/>
      <c r="G168" s="14"/>
      <c r="H168" s="14"/>
    </row>
    <row r="169" spans="1:8" x14ac:dyDescent="0.25">
      <c r="A169" s="3"/>
      <c r="B169" s="3"/>
      <c r="C169" s="3"/>
      <c r="D169" s="3"/>
      <c r="G169" s="14"/>
      <c r="H169" s="14"/>
    </row>
    <row r="170" spans="1:8" x14ac:dyDescent="0.25">
      <c r="A170" s="3"/>
      <c r="B170" s="3"/>
      <c r="C170" s="3"/>
      <c r="D170" s="3"/>
      <c r="G170" s="14"/>
      <c r="H170" s="14"/>
    </row>
    <row r="171" spans="1:8" x14ac:dyDescent="0.25">
      <c r="A171" s="3"/>
      <c r="B171" s="3"/>
      <c r="C171" s="3"/>
      <c r="D171" s="3"/>
      <c r="G171" s="14"/>
      <c r="H171" s="14"/>
    </row>
    <row r="172" spans="1:8" x14ac:dyDescent="0.25">
      <c r="A172" s="3"/>
      <c r="B172" s="3"/>
      <c r="C172" s="3"/>
      <c r="D172" s="3"/>
      <c r="G172" s="14"/>
      <c r="H172" s="14"/>
    </row>
    <row r="173" spans="1:8" x14ac:dyDescent="0.25">
      <c r="A173" s="3"/>
      <c r="B173" s="3"/>
      <c r="C173" s="3"/>
      <c r="D173" s="3"/>
      <c r="G173" s="14"/>
      <c r="H173" s="14"/>
    </row>
    <row r="174" spans="1:8" x14ac:dyDescent="0.25">
      <c r="A174" s="3"/>
      <c r="B174" s="3"/>
      <c r="C174" s="3"/>
      <c r="D174" s="3"/>
      <c r="G174" s="14"/>
      <c r="H174" s="14"/>
    </row>
    <row r="175" spans="1:8" x14ac:dyDescent="0.25">
      <c r="A175" s="3"/>
      <c r="B175" s="3"/>
      <c r="C175" s="3"/>
      <c r="D175" s="3"/>
      <c r="G175" s="14"/>
      <c r="H175" s="14"/>
    </row>
    <row r="176" spans="1:8" x14ac:dyDescent="0.25">
      <c r="A176" s="3"/>
      <c r="B176" s="3"/>
      <c r="C176" s="3"/>
      <c r="D176" s="3"/>
      <c r="G176" s="14"/>
      <c r="H176" s="14"/>
    </row>
    <row r="177" spans="1:8" x14ac:dyDescent="0.25">
      <c r="A177" s="3"/>
      <c r="B177" s="3"/>
      <c r="C177" s="3"/>
      <c r="D177" s="3"/>
      <c r="G177" s="14"/>
      <c r="H177" s="14"/>
    </row>
    <row r="178" spans="1:8" x14ac:dyDescent="0.25">
      <c r="A178" s="3"/>
      <c r="B178" s="3"/>
      <c r="C178" s="3"/>
      <c r="D178" s="3"/>
      <c r="G178" s="14"/>
      <c r="H178" s="14"/>
    </row>
    <row r="179" spans="1:8" x14ac:dyDescent="0.25">
      <c r="A179" s="3"/>
      <c r="B179" s="3"/>
      <c r="C179" s="3"/>
      <c r="D179" s="3"/>
      <c r="G179" s="14"/>
      <c r="H179" s="14"/>
    </row>
    <row r="180" spans="1:8" x14ac:dyDescent="0.25">
      <c r="A180" s="3"/>
      <c r="B180" s="3"/>
      <c r="C180" s="3"/>
      <c r="D180" s="3"/>
      <c r="G180" s="14"/>
      <c r="H180" s="14"/>
    </row>
    <row r="181" spans="1:8" x14ac:dyDescent="0.25">
      <c r="A181" s="3"/>
      <c r="B181" s="3"/>
      <c r="C181" s="3"/>
      <c r="D181" s="3"/>
      <c r="G181" s="14"/>
      <c r="H181" s="14"/>
    </row>
    <row r="182" spans="1:8" x14ac:dyDescent="0.25">
      <c r="A182" s="3"/>
      <c r="B182" s="3"/>
      <c r="C182" s="3"/>
      <c r="D182" s="3"/>
      <c r="G182" s="14"/>
      <c r="H182" s="14"/>
    </row>
    <row r="183" spans="1:8" x14ac:dyDescent="0.25">
      <c r="A183" s="3"/>
      <c r="B183" s="3"/>
      <c r="C183" s="3"/>
      <c r="D183" s="3"/>
      <c r="G183" s="14"/>
      <c r="H183" s="14"/>
    </row>
    <row r="184" spans="1:8" x14ac:dyDescent="0.25">
      <c r="A184" s="3"/>
      <c r="B184" s="3"/>
      <c r="C184" s="3"/>
      <c r="D184" s="3"/>
      <c r="G184" s="14"/>
      <c r="H184" s="14"/>
    </row>
    <row r="185" spans="1:8" x14ac:dyDescent="0.25">
      <c r="A185" s="3"/>
      <c r="B185" s="3"/>
      <c r="C185" s="3"/>
      <c r="D185" s="3"/>
      <c r="G185" s="14"/>
      <c r="H185" s="14"/>
    </row>
    <row r="186" spans="1:8" x14ac:dyDescent="0.25">
      <c r="A186" s="3"/>
      <c r="B186" s="3"/>
      <c r="C186" s="3"/>
      <c r="D186" s="3"/>
      <c r="G186" s="14"/>
      <c r="H186" s="14"/>
    </row>
    <row r="187" spans="1:8" x14ac:dyDescent="0.25">
      <c r="A187" s="3"/>
      <c r="B187" s="3"/>
      <c r="C187" s="3"/>
      <c r="D187" s="3"/>
      <c r="G187" s="14"/>
      <c r="H187" s="14"/>
    </row>
    <row r="188" spans="1:8" x14ac:dyDescent="0.25">
      <c r="A188" s="3"/>
      <c r="B188" s="3"/>
      <c r="C188" s="3"/>
      <c r="D188" s="3"/>
      <c r="G188" s="14"/>
      <c r="H188" s="14"/>
    </row>
    <row r="189" spans="1:8" x14ac:dyDescent="0.25">
      <c r="A189" s="3"/>
      <c r="B189" s="3"/>
      <c r="C189" s="3"/>
      <c r="D189" s="3"/>
      <c r="G189" s="14"/>
      <c r="H189" s="14"/>
    </row>
    <row r="190" spans="1:8" x14ac:dyDescent="0.25">
      <c r="A190" s="3"/>
      <c r="B190" s="3"/>
      <c r="C190" s="3"/>
      <c r="D190" s="3"/>
      <c r="G190" s="14"/>
      <c r="H190" s="14"/>
    </row>
    <row r="191" spans="1:8" x14ac:dyDescent="0.25">
      <c r="A191" s="3"/>
      <c r="B191" s="3"/>
      <c r="C191" s="3"/>
      <c r="D191" s="3"/>
      <c r="G191" s="14"/>
      <c r="H191" s="14"/>
    </row>
    <row r="192" spans="1:8" x14ac:dyDescent="0.25">
      <c r="A192" s="3"/>
      <c r="B192" s="3"/>
      <c r="C192" s="3"/>
      <c r="D192" s="3"/>
      <c r="G192" s="14"/>
      <c r="H192" s="14"/>
    </row>
    <row r="193" spans="1:8" x14ac:dyDescent="0.25">
      <c r="A193" s="3"/>
      <c r="B193" s="3"/>
      <c r="C193" s="3"/>
      <c r="D193" s="3"/>
      <c r="G193" s="14"/>
      <c r="H193" s="14"/>
    </row>
    <row r="194" spans="1:8" x14ac:dyDescent="0.25">
      <c r="A194" s="3"/>
      <c r="B194" s="3"/>
      <c r="C194" s="3"/>
      <c r="D194" s="3"/>
      <c r="G194" s="14"/>
      <c r="H194" s="14"/>
    </row>
    <row r="195" spans="1:8" x14ac:dyDescent="0.25">
      <c r="A195" s="3"/>
      <c r="B195" s="3"/>
      <c r="C195" s="3"/>
      <c r="D195" s="3"/>
      <c r="G195" s="14"/>
      <c r="H195" s="14"/>
    </row>
    <row r="196" spans="1:8" x14ac:dyDescent="0.25">
      <c r="A196" s="3"/>
      <c r="B196" s="3"/>
      <c r="C196" s="3"/>
      <c r="D196" s="3"/>
      <c r="G196" s="14"/>
      <c r="H196" s="14"/>
    </row>
    <row r="197" spans="1:8" x14ac:dyDescent="0.25">
      <c r="A197" s="3"/>
      <c r="B197" s="3"/>
      <c r="C197" s="3"/>
      <c r="D197" s="3"/>
      <c r="G197" s="14"/>
      <c r="H197" s="14"/>
    </row>
    <row r="198" spans="1:8" x14ac:dyDescent="0.25">
      <c r="A198" s="3"/>
      <c r="B198" s="3"/>
      <c r="C198" s="3"/>
      <c r="D198" s="3"/>
      <c r="G198" s="14"/>
      <c r="H198" s="14"/>
    </row>
    <row r="199" spans="1:8" x14ac:dyDescent="0.25">
      <c r="A199" s="3"/>
      <c r="B199" s="3"/>
      <c r="C199" s="3"/>
      <c r="D199" s="3"/>
      <c r="G199" s="14"/>
      <c r="H199" s="14"/>
    </row>
    <row r="200" spans="1:8" x14ac:dyDescent="0.25">
      <c r="A200" s="3"/>
      <c r="B200" s="3"/>
      <c r="C200" s="3"/>
      <c r="D200" s="3"/>
      <c r="G200" s="14"/>
      <c r="H200" s="14"/>
    </row>
    <row r="201" spans="1:8" x14ac:dyDescent="0.25">
      <c r="A201" s="3"/>
      <c r="B201" s="3"/>
      <c r="C201" s="3"/>
      <c r="D201" s="3"/>
      <c r="G201" s="14"/>
      <c r="H201" s="14"/>
    </row>
    <row r="202" spans="1:8" x14ac:dyDescent="0.25">
      <c r="A202" s="3"/>
      <c r="B202" s="3"/>
      <c r="C202" s="3"/>
      <c r="D202" s="3"/>
      <c r="G202" s="14"/>
      <c r="H202" s="14"/>
    </row>
    <row r="203" spans="1:8" x14ac:dyDescent="0.25">
      <c r="A203" s="3"/>
      <c r="B203" s="3"/>
      <c r="C203" s="3"/>
      <c r="D203" s="3"/>
      <c r="G203" s="14"/>
      <c r="H203" s="14"/>
    </row>
    <row r="204" spans="1:8" x14ac:dyDescent="0.25">
      <c r="A204" s="3"/>
      <c r="B204" s="3"/>
      <c r="C204" s="3"/>
      <c r="D204" s="3"/>
      <c r="G204" s="14"/>
      <c r="H204" s="14"/>
    </row>
    <row r="205" spans="1:8" x14ac:dyDescent="0.25">
      <c r="A205" s="3"/>
      <c r="B205" s="3"/>
      <c r="C205" s="3"/>
      <c r="D205" s="3"/>
      <c r="G205" s="14"/>
      <c r="H205" s="14"/>
    </row>
    <row r="206" spans="1:8" x14ac:dyDescent="0.25">
      <c r="A206" s="3"/>
      <c r="B206" s="3"/>
      <c r="C206" s="3"/>
      <c r="D206" s="3"/>
      <c r="G206" s="14"/>
      <c r="H206" s="14"/>
    </row>
    <row r="207" spans="1:8" x14ac:dyDescent="0.25">
      <c r="A207" s="3"/>
      <c r="B207" s="3"/>
      <c r="C207" s="3"/>
      <c r="D207" s="3"/>
      <c r="G207" s="14"/>
      <c r="H207" s="14"/>
    </row>
    <row r="208" spans="1:8" x14ac:dyDescent="0.25">
      <c r="A208" s="3"/>
      <c r="B208" s="3"/>
      <c r="C208" s="3"/>
      <c r="D208" s="3"/>
      <c r="G208" s="14"/>
      <c r="H208" s="14"/>
    </row>
    <row r="209" spans="1:8" x14ac:dyDescent="0.25">
      <c r="A209" s="3"/>
      <c r="B209" s="3"/>
      <c r="C209" s="3"/>
      <c r="D209" s="3"/>
      <c r="G209" s="14"/>
      <c r="H209" s="14"/>
    </row>
    <row r="210" spans="1:8" x14ac:dyDescent="0.25">
      <c r="A210" s="3"/>
      <c r="B210" s="3"/>
      <c r="C210" s="3"/>
      <c r="D210" s="3"/>
      <c r="G210" s="14"/>
      <c r="H210" s="14"/>
    </row>
    <row r="211" spans="1:8" x14ac:dyDescent="0.25">
      <c r="A211" s="3"/>
      <c r="B211" s="3"/>
      <c r="C211" s="3"/>
      <c r="D211" s="3"/>
      <c r="G211" s="14"/>
      <c r="H211" s="14"/>
    </row>
    <row r="212" spans="1:8" x14ac:dyDescent="0.25">
      <c r="A212" s="3"/>
      <c r="B212" s="3"/>
      <c r="C212" s="3"/>
      <c r="D212" s="3"/>
      <c r="G212" s="14"/>
      <c r="H212" s="14"/>
    </row>
    <row r="213" spans="1:8" x14ac:dyDescent="0.25">
      <c r="A213" s="3"/>
      <c r="B213" s="3"/>
      <c r="C213" s="3"/>
      <c r="D213" s="3"/>
      <c r="G213" s="14"/>
      <c r="H213" s="14"/>
    </row>
    <row r="214" spans="1:8" x14ac:dyDescent="0.25">
      <c r="A214" s="3"/>
      <c r="B214" s="3"/>
      <c r="C214" s="3"/>
      <c r="D214" s="3"/>
      <c r="G214" s="14"/>
      <c r="H214" s="14"/>
    </row>
    <row r="215" spans="1:8" x14ac:dyDescent="0.25">
      <c r="A215" s="3"/>
      <c r="B215" s="3"/>
      <c r="C215" s="3"/>
      <c r="D215" s="3"/>
      <c r="G215" s="14"/>
      <c r="H215" s="14"/>
    </row>
    <row r="216" spans="1:8" x14ac:dyDescent="0.25">
      <c r="A216" s="3"/>
      <c r="B216" s="3"/>
      <c r="C216" s="3"/>
      <c r="D216" s="3"/>
      <c r="G216" s="14"/>
      <c r="H216" s="14"/>
    </row>
    <row r="217" spans="1:8" x14ac:dyDescent="0.25">
      <c r="A217" s="3"/>
      <c r="B217" s="3"/>
      <c r="C217" s="3"/>
      <c r="D217" s="3"/>
      <c r="G217" s="14"/>
      <c r="H217" s="14"/>
    </row>
    <row r="218" spans="1:8" x14ac:dyDescent="0.25">
      <c r="A218" s="3"/>
      <c r="B218" s="3"/>
      <c r="C218" s="3"/>
      <c r="D218" s="3"/>
      <c r="G218" s="14"/>
      <c r="H218" s="14"/>
    </row>
    <row r="219" spans="1:8" x14ac:dyDescent="0.25">
      <c r="A219" s="3"/>
      <c r="B219" s="3"/>
      <c r="C219" s="3"/>
      <c r="D219" s="3"/>
      <c r="G219" s="14"/>
      <c r="H219" s="14"/>
    </row>
    <row r="220" spans="1:8" x14ac:dyDescent="0.25">
      <c r="A220" s="3"/>
      <c r="B220" s="3"/>
      <c r="C220" s="3"/>
      <c r="D220" s="3"/>
      <c r="G220" s="14"/>
      <c r="H220" s="14"/>
    </row>
    <row r="221" spans="1:8" x14ac:dyDescent="0.25">
      <c r="A221" s="3"/>
      <c r="B221" s="3"/>
      <c r="C221" s="3"/>
      <c r="D221" s="3"/>
      <c r="G221" s="14"/>
      <c r="H221" s="14"/>
    </row>
    <row r="222" spans="1:8" x14ac:dyDescent="0.25">
      <c r="A222" s="3"/>
      <c r="B222" s="3"/>
      <c r="C222" s="3"/>
      <c r="D222" s="3"/>
      <c r="G222" s="14"/>
      <c r="H222" s="14"/>
    </row>
    <row r="223" spans="1:8" x14ac:dyDescent="0.25">
      <c r="A223" s="3"/>
      <c r="B223" s="3"/>
      <c r="C223" s="3"/>
      <c r="D223" s="3"/>
      <c r="G223" s="14"/>
      <c r="H223" s="14"/>
    </row>
    <row r="224" spans="1:8" x14ac:dyDescent="0.25">
      <c r="A224" s="3"/>
      <c r="B224" s="3"/>
      <c r="C224" s="3"/>
      <c r="D224" s="3"/>
      <c r="G224" s="14"/>
      <c r="H224" s="14"/>
    </row>
    <row r="225" spans="1:8" x14ac:dyDescent="0.25">
      <c r="A225" s="3"/>
      <c r="B225" s="3"/>
      <c r="C225" s="3"/>
      <c r="D225" s="3"/>
      <c r="G225" s="14"/>
      <c r="H225" s="14"/>
    </row>
    <row r="226" spans="1:8" x14ac:dyDescent="0.25">
      <c r="A226" s="3"/>
      <c r="B226" s="3"/>
      <c r="C226" s="3"/>
      <c r="D226" s="3"/>
      <c r="G226" s="14"/>
      <c r="H226" s="14"/>
    </row>
    <row r="227" spans="1:8" x14ac:dyDescent="0.25">
      <c r="A227" s="3"/>
      <c r="B227" s="3"/>
      <c r="C227" s="3"/>
      <c r="D227" s="3"/>
      <c r="G227" s="14"/>
      <c r="H227" s="14"/>
    </row>
    <row r="228" spans="1:8" x14ac:dyDescent="0.25">
      <c r="A228" s="3"/>
      <c r="B228" s="3"/>
      <c r="C228" s="3"/>
      <c r="D228" s="3"/>
      <c r="G228" s="14"/>
      <c r="H228" s="14"/>
    </row>
    <row r="229" spans="1:8" x14ac:dyDescent="0.25">
      <c r="A229" s="3"/>
      <c r="B229" s="3"/>
      <c r="C229" s="3"/>
      <c r="D229" s="3"/>
      <c r="G229" s="14"/>
      <c r="H229" s="14"/>
    </row>
    <row r="230" spans="1:8" x14ac:dyDescent="0.25">
      <c r="A230" s="3"/>
      <c r="B230" s="3"/>
      <c r="C230" s="3"/>
      <c r="D230" s="3"/>
      <c r="G230" s="14"/>
      <c r="H230" s="14"/>
    </row>
    <row r="231" spans="1:8" x14ac:dyDescent="0.25">
      <c r="A231" s="3"/>
      <c r="B231" s="3"/>
      <c r="C231" s="3"/>
      <c r="D231" s="3"/>
      <c r="G231" s="14"/>
      <c r="H231" s="14"/>
    </row>
    <row r="232" spans="1:8" x14ac:dyDescent="0.25">
      <c r="A232" s="3"/>
      <c r="B232" s="3"/>
      <c r="C232" s="3"/>
      <c r="D232" s="3"/>
      <c r="G232" s="14"/>
      <c r="H232" s="14"/>
    </row>
    <row r="233" spans="1:8" x14ac:dyDescent="0.25">
      <c r="A233" s="3"/>
      <c r="B233" s="3"/>
      <c r="C233" s="3"/>
      <c r="D233" s="3"/>
      <c r="G233" s="14"/>
      <c r="H233" s="14"/>
    </row>
    <row r="234" spans="1:8" x14ac:dyDescent="0.25">
      <c r="A234" s="3"/>
      <c r="B234" s="3"/>
      <c r="C234" s="3"/>
      <c r="D234" s="3"/>
      <c r="G234" s="14"/>
      <c r="H234" s="14"/>
    </row>
    <row r="235" spans="1:8" x14ac:dyDescent="0.25">
      <c r="A235" s="3"/>
      <c r="B235" s="3"/>
      <c r="C235" s="3"/>
      <c r="D235" s="3"/>
      <c r="G235" s="14"/>
      <c r="H235" s="14"/>
    </row>
    <row r="236" spans="1:8" x14ac:dyDescent="0.25">
      <c r="A236" s="3"/>
      <c r="B236" s="3"/>
      <c r="C236" s="3"/>
      <c r="D236" s="3"/>
      <c r="G236" s="14"/>
      <c r="H236" s="14"/>
    </row>
    <row r="237" spans="1:8" x14ac:dyDescent="0.25">
      <c r="A237" s="3"/>
      <c r="B237" s="3"/>
      <c r="C237" s="3"/>
      <c r="D237" s="3"/>
      <c r="G237" s="14"/>
      <c r="H237" s="14"/>
    </row>
    <row r="238" spans="1:8" x14ac:dyDescent="0.25">
      <c r="A238" s="3"/>
      <c r="B238" s="3"/>
      <c r="C238" s="3"/>
      <c r="D238" s="3"/>
      <c r="G238" s="14"/>
      <c r="H238" s="14"/>
    </row>
    <row r="239" spans="1:8" x14ac:dyDescent="0.25">
      <c r="A239" s="3"/>
      <c r="B239" s="3"/>
      <c r="C239" s="3"/>
      <c r="D239" s="3"/>
      <c r="G239" s="14"/>
      <c r="H239" s="14"/>
    </row>
    <row r="240" spans="1:8" x14ac:dyDescent="0.25">
      <c r="A240" s="3"/>
      <c r="B240" s="3"/>
      <c r="C240" s="3"/>
      <c r="D240" s="3"/>
      <c r="G240" s="14"/>
      <c r="H240" s="14"/>
    </row>
    <row r="241" spans="1:8" x14ac:dyDescent="0.25">
      <c r="A241" s="3"/>
      <c r="B241" s="3"/>
      <c r="C241" s="3"/>
      <c r="D241" s="3"/>
      <c r="G241" s="14"/>
      <c r="H241" s="14"/>
    </row>
    <row r="242" spans="1:8" x14ac:dyDescent="0.25">
      <c r="A242" s="3"/>
      <c r="B242" s="3"/>
      <c r="C242" s="3"/>
      <c r="D242" s="3"/>
      <c r="G242" s="14"/>
      <c r="H242" s="14"/>
    </row>
    <row r="243" spans="1:8" x14ac:dyDescent="0.25">
      <c r="A243" s="3"/>
      <c r="B243" s="3"/>
      <c r="C243" s="3"/>
      <c r="D243" s="3"/>
      <c r="G243" s="14"/>
      <c r="H243" s="14"/>
    </row>
    <row r="244" spans="1:8" x14ac:dyDescent="0.25">
      <c r="A244" s="3"/>
      <c r="B244" s="3"/>
      <c r="C244" s="3"/>
      <c r="D244" s="3"/>
      <c r="G244" s="14"/>
      <c r="H244" s="14"/>
    </row>
    <row r="245" spans="1:8" x14ac:dyDescent="0.25">
      <c r="A245" s="3"/>
      <c r="B245" s="3"/>
      <c r="C245" s="3"/>
      <c r="D245" s="3"/>
      <c r="G245" s="14"/>
      <c r="H245" s="14"/>
    </row>
    <row r="247" spans="1:8" x14ac:dyDescent="0.25">
      <c r="A247" s="3"/>
      <c r="G247" s="14"/>
      <c r="H247" s="14"/>
    </row>
  </sheetData>
  <phoneticPr fontId="1" type="noConversion"/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3C0012-2E14-498D-94C8-62CC91784185}">
  <sheetPr/>
  <dimension ref="A1:I247"/>
  <sheetViews>
    <sheetView topLeftCell="A20" zoomScale="115" zoomScaleNormal="115" workbookViewId="0">
      <selection activeCell="A5" sqref="A5:H119"/>
    </sheetView>
  </sheetViews>
  <sheetFormatPr defaultRowHeight="15" x14ac:dyDescent="0.25"/>
  <cols>
    <col min="1" max="1" width="8.875" style="4" customWidth="1"/>
    <col min="2" max="3" width="15.125" style="4" customWidth="1"/>
    <col min="4" max="4" width="10.25" style="4" customWidth="1"/>
    <col min="5" max="5" width="12" style="13" customWidth="1"/>
    <col min="6" max="6" width="15" style="13" customWidth="1"/>
    <col min="7" max="7" width="13.875" customWidth="1"/>
    <col min="8" max="8" width="11.125" customWidth="1"/>
    <col min="11" max="12" width="15.125" customWidth="1"/>
    <col min="13" max="13" width="11.125" customWidth="1"/>
  </cols>
  <sheetData>
    <row r="1" spans="1:9" ht="14.25" x14ac:dyDescent="0.2">
      <c r="A1" s="2" t="s">
        <v>12</v>
      </c>
      <c r="B1" s="2" t="s">
        <v>4</v>
      </c>
      <c r="C1" s="2" t="s">
        <v>5</v>
      </c>
      <c r="D1" s="2" t="s">
        <v>13</v>
      </c>
      <c r="E1" s="2" t="s">
        <v>14</v>
      </c>
      <c r="F1" s="2" t="s">
        <v>15</v>
      </c>
      <c r="G1" s="2" t="s">
        <v>16</v>
      </c>
    </row>
    <row r="2" spans="1:9" x14ac:dyDescent="0.25">
      <c r="A2" s="11">
        <v>27</v>
      </c>
      <c r="B2" s="3">
        <v>113.3682058</v>
      </c>
      <c r="C2" s="8">
        <v>22.952020300000001</v>
      </c>
      <c r="D2" s="3">
        <v>0</v>
      </c>
      <c r="E2" s="13">
        <v>1750</v>
      </c>
      <c r="F2" s="13">
        <v>27</v>
      </c>
      <c r="G2" s="19">
        <f>SUBTOTAL(2,A5:A250)</f>
        <v>39</v>
      </c>
    </row>
    <row r="3" spans="1:9" x14ac:dyDescent="0.25">
      <c r="A3" s="3"/>
      <c r="B3" s="3"/>
      <c r="C3" s="3"/>
      <c r="D3" s="3"/>
    </row>
    <row r="4" spans="1:9" ht="14.25" x14ac:dyDescent="0.2">
      <c r="A4" s="2" t="s">
        <v>0</v>
      </c>
      <c r="B4" s="2" t="s">
        <v>1</v>
      </c>
      <c r="C4" s="2" t="s">
        <v>2</v>
      </c>
      <c r="D4" s="2" t="s">
        <v>3</v>
      </c>
      <c r="E4" s="2" t="s">
        <v>7</v>
      </c>
      <c r="F4" s="2" t="s">
        <v>8</v>
      </c>
      <c r="G4" s="2" t="s">
        <v>13</v>
      </c>
      <c r="H4" s="2" t="s">
        <v>14</v>
      </c>
      <c r="I4" s="24" t="s">
        <v>20</v>
      </c>
    </row>
    <row r="5" spans="1:9" x14ac:dyDescent="0.25">
      <c r="A5" s="3">
        <v>3116</v>
      </c>
      <c r="B5" s="3">
        <v>113.368066</v>
      </c>
      <c r="C5" s="3">
        <v>22.952234270000002</v>
      </c>
      <c r="D5" s="3">
        <v>27</v>
      </c>
      <c r="E5" s="13">
        <f t="shared" ref="E5:E36" si="0">SQRT((B5-$B$2)^2+(C5-$C$2)^2)</f>
        <v>2.5559186391625846E-4</v>
      </c>
      <c r="F5" s="13">
        <f t="shared" ref="F5:F36" si="1">SQRT(1/E5)</f>
        <v>62.549880950425418</v>
      </c>
      <c r="G5" s="14">
        <f>F5/$F$123*$D$2</f>
        <v>0</v>
      </c>
      <c r="H5" s="14">
        <f>F5/$F$123*$E$2</f>
        <v>158.83967364560334</v>
      </c>
      <c r="I5" s="25" t="str">
        <f t="shared" ref="I5:I36" si="2">IF(MOD(ROW()-1,3)=1,"选中","")</f>
        <v>选中</v>
      </c>
    </row>
    <row r="6" spans="1:9" hidden="1" x14ac:dyDescent="0.25">
      <c r="A6" s="3">
        <v>3106</v>
      </c>
      <c r="B6" s="3">
        <v>113.3679302</v>
      </c>
      <c r="C6" s="3">
        <v>22.951855590000001</v>
      </c>
      <c r="D6" s="3">
        <v>27</v>
      </c>
      <c r="E6" s="13">
        <f t="shared" si="0"/>
        <v>3.2106812999289263E-4</v>
      </c>
      <c r="F6" s="13">
        <f t="shared" si="1"/>
        <v>55.808635037628882</v>
      </c>
      <c r="G6" s="14" t="e">
        <f>F6/$F$124*$D$2</f>
        <v>#DIV/0!</v>
      </c>
      <c r="H6" s="14" t="e">
        <f>F6/$F$124*$E$2</f>
        <v>#DIV/0!</v>
      </c>
      <c r="I6" s="25" t="str">
        <f t="shared" si="2"/>
        <v/>
      </c>
    </row>
    <row r="7" spans="1:9" hidden="1" x14ac:dyDescent="0.25">
      <c r="A7" s="3">
        <v>3136</v>
      </c>
      <c r="B7" s="3">
        <v>113.3674528</v>
      </c>
      <c r="C7" s="3">
        <v>22.951647220000002</v>
      </c>
      <c r="D7" s="3">
        <v>27</v>
      </c>
      <c r="E7" s="13">
        <f t="shared" si="0"/>
        <v>8.4035569040979692E-4</v>
      </c>
      <c r="F7" s="13">
        <f t="shared" si="1"/>
        <v>34.495975235600113</v>
      </c>
      <c r="G7" s="14" t="e">
        <f>F7/$F$124*$D$2</f>
        <v>#DIV/0!</v>
      </c>
      <c r="H7" s="14" t="e">
        <f>F7/$F$124*$E$2</f>
        <v>#DIV/0!</v>
      </c>
      <c r="I7" s="25" t="str">
        <f t="shared" si="2"/>
        <v/>
      </c>
    </row>
    <row r="8" spans="1:9" x14ac:dyDescent="0.25">
      <c r="A8" s="3">
        <v>3095</v>
      </c>
      <c r="B8" s="3">
        <v>113.36748369999999</v>
      </c>
      <c r="C8" s="3">
        <v>22.951582210000002</v>
      </c>
      <c r="D8" s="3">
        <v>27</v>
      </c>
      <c r="E8" s="13">
        <f t="shared" si="0"/>
        <v>8.44601242069774E-4</v>
      </c>
      <c r="F8" s="13">
        <f t="shared" si="1"/>
        <v>34.409165657864747</v>
      </c>
      <c r="G8" s="14">
        <f>F8/$F$123*$D$2</f>
        <v>0</v>
      </c>
      <c r="H8" s="14">
        <f>F8/$F$123*$E$2</f>
        <v>87.378913604080424</v>
      </c>
      <c r="I8" s="25" t="str">
        <f t="shared" si="2"/>
        <v>选中</v>
      </c>
    </row>
    <row r="9" spans="1:9" hidden="1" x14ac:dyDescent="0.25">
      <c r="A9" s="3">
        <v>3121</v>
      </c>
      <c r="B9" s="3">
        <v>113.3685334</v>
      </c>
      <c r="C9" s="3">
        <v>22.952900459999999</v>
      </c>
      <c r="D9" s="3">
        <v>27</v>
      </c>
      <c r="E9" s="13">
        <f t="shared" si="0"/>
        <v>9.3915035303173246E-4</v>
      </c>
      <c r="F9" s="13">
        <f t="shared" si="1"/>
        <v>32.63115430648508</v>
      </c>
      <c r="G9" s="14" t="e">
        <f>F9/$F$124*$D$2</f>
        <v>#DIV/0!</v>
      </c>
      <c r="H9" s="14" t="e">
        <f>F9/$F$124*$E$2</f>
        <v>#DIV/0!</v>
      </c>
      <c r="I9" s="25" t="str">
        <f t="shared" si="2"/>
        <v/>
      </c>
    </row>
    <row r="10" spans="1:9" hidden="1" x14ac:dyDescent="0.25">
      <c r="A10" s="3">
        <v>3123</v>
      </c>
      <c r="B10" s="3">
        <v>113.36851249999999</v>
      </c>
      <c r="C10" s="3">
        <v>22.953086410000001</v>
      </c>
      <c r="D10" s="3">
        <v>27</v>
      </c>
      <c r="E10" s="13">
        <f t="shared" si="0"/>
        <v>1.1093490983894543E-3</v>
      </c>
      <c r="F10" s="13">
        <f t="shared" si="1"/>
        <v>30.023815500658753</v>
      </c>
      <c r="G10" s="14" t="e">
        <f>F10/$F$124*$D$2</f>
        <v>#DIV/0!</v>
      </c>
      <c r="H10" s="14" t="e">
        <f>F10/$F$124*$E$2</f>
        <v>#DIV/0!</v>
      </c>
      <c r="I10" s="25" t="str">
        <f t="shared" si="2"/>
        <v/>
      </c>
    </row>
    <row r="11" spans="1:9" x14ac:dyDescent="0.25">
      <c r="A11" s="3">
        <v>3077</v>
      </c>
      <c r="B11" s="3">
        <v>113.3694955</v>
      </c>
      <c r="C11" s="3">
        <v>22.951773889999998</v>
      </c>
      <c r="D11" s="3">
        <v>27</v>
      </c>
      <c r="E11" s="13">
        <f t="shared" si="0"/>
        <v>1.3130285518996607E-3</v>
      </c>
      <c r="F11" s="13">
        <f t="shared" si="1"/>
        <v>27.597066178062779</v>
      </c>
      <c r="G11" s="14">
        <f>F11/$F$123*$D$2</f>
        <v>0</v>
      </c>
      <c r="H11" s="14">
        <f>F11/$F$123*$E$2</f>
        <v>70.080213082640498</v>
      </c>
      <c r="I11" s="25" t="str">
        <f t="shared" si="2"/>
        <v>选中</v>
      </c>
    </row>
    <row r="12" spans="1:9" hidden="1" x14ac:dyDescent="0.25">
      <c r="A12" s="3">
        <v>3104</v>
      </c>
      <c r="B12" s="3">
        <v>113.36966030000001</v>
      </c>
      <c r="C12" s="3">
        <v>22.951184959999999</v>
      </c>
      <c r="D12" s="3">
        <v>27</v>
      </c>
      <c r="E12" s="13">
        <f t="shared" si="0"/>
        <v>1.6773083096519213E-3</v>
      </c>
      <c r="F12" s="13">
        <f t="shared" si="1"/>
        <v>24.417070138743227</v>
      </c>
      <c r="G12" s="14" t="e">
        <f>F12/$F$124*$D$2</f>
        <v>#DIV/0!</v>
      </c>
      <c r="H12" s="14" t="e">
        <f>F12/$F$124*$E$2</f>
        <v>#DIV/0!</v>
      </c>
      <c r="I12" s="25" t="str">
        <f t="shared" si="2"/>
        <v/>
      </c>
    </row>
    <row r="13" spans="1:9" hidden="1" x14ac:dyDescent="0.25">
      <c r="A13" s="3">
        <v>3144</v>
      </c>
      <c r="B13" s="3">
        <v>113.3697942</v>
      </c>
      <c r="C13" s="3">
        <v>22.95126179</v>
      </c>
      <c r="D13" s="3">
        <v>27</v>
      </c>
      <c r="E13" s="13">
        <f t="shared" si="0"/>
        <v>1.7602136177492893E-3</v>
      </c>
      <c r="F13" s="13">
        <f t="shared" si="1"/>
        <v>23.835118296526971</v>
      </c>
      <c r="G13" s="14" t="e">
        <f>F13/$F$124*$D$2</f>
        <v>#DIV/0!</v>
      </c>
      <c r="H13" s="14" t="e">
        <f>F13/$F$124*$E$2</f>
        <v>#DIV/0!</v>
      </c>
      <c r="I13" s="25" t="str">
        <f t="shared" si="2"/>
        <v/>
      </c>
    </row>
    <row r="14" spans="1:9" x14ac:dyDescent="0.25">
      <c r="A14" s="3">
        <v>3080</v>
      </c>
      <c r="B14" s="3">
        <v>113.3664469</v>
      </c>
      <c r="C14" s="3">
        <v>22.952644960000001</v>
      </c>
      <c r="D14" s="3">
        <v>27</v>
      </c>
      <c r="E14" s="13">
        <f t="shared" si="0"/>
        <v>1.866528683303579E-3</v>
      </c>
      <c r="F14" s="13">
        <f t="shared" si="1"/>
        <v>23.14635799556638</v>
      </c>
      <c r="G14" s="14">
        <f>F14/$F$123*$D$2</f>
        <v>0</v>
      </c>
      <c r="H14" s="14">
        <f>F14/$F$123*$E$2</f>
        <v>58.778048722650048</v>
      </c>
      <c r="I14" s="25" t="str">
        <f t="shared" si="2"/>
        <v>选中</v>
      </c>
    </row>
    <row r="15" spans="1:9" hidden="1" x14ac:dyDescent="0.25">
      <c r="A15" s="3">
        <v>3086</v>
      </c>
      <c r="B15" s="3">
        <v>113.3668326</v>
      </c>
      <c r="C15" s="3">
        <v>22.950229539999999</v>
      </c>
      <c r="D15" s="3">
        <v>27</v>
      </c>
      <c r="E15" s="13">
        <f t="shared" si="0"/>
        <v>2.2566567345560129E-3</v>
      </c>
      <c r="F15" s="13">
        <f t="shared" si="1"/>
        <v>21.050734254800084</v>
      </c>
      <c r="G15" s="14" t="e">
        <f>F15/$F$124*$D$2</f>
        <v>#DIV/0!</v>
      </c>
      <c r="H15" s="14" t="e">
        <f>F15/$F$124*$E$2</f>
        <v>#DIV/0!</v>
      </c>
      <c r="I15" s="25" t="str">
        <f t="shared" si="2"/>
        <v/>
      </c>
    </row>
    <row r="16" spans="1:9" hidden="1" x14ac:dyDescent="0.25">
      <c r="A16" s="3">
        <v>3111</v>
      </c>
      <c r="B16" s="3">
        <v>113.3669804</v>
      </c>
      <c r="C16" s="3">
        <v>22.950118410000002</v>
      </c>
      <c r="D16" s="3">
        <v>27</v>
      </c>
      <c r="E16" s="13">
        <f t="shared" si="0"/>
        <v>2.2624744710352247E-3</v>
      </c>
      <c r="F16" s="13">
        <f t="shared" si="1"/>
        <v>21.023651859841774</v>
      </c>
      <c r="G16" s="14" t="e">
        <f>F16/$F$124*$D$2</f>
        <v>#DIV/0!</v>
      </c>
      <c r="H16" s="14" t="e">
        <f>F16/$F$124*$E$2</f>
        <v>#DIV/0!</v>
      </c>
      <c r="I16" s="25" t="str">
        <f t="shared" si="2"/>
        <v/>
      </c>
    </row>
    <row r="17" spans="1:9" x14ac:dyDescent="0.25">
      <c r="A17" s="3">
        <v>3112</v>
      </c>
      <c r="B17" s="3">
        <v>113.3660094</v>
      </c>
      <c r="C17" s="3">
        <v>22.952885380000001</v>
      </c>
      <c r="D17" s="3">
        <v>27</v>
      </c>
      <c r="E17" s="13">
        <f t="shared" si="0"/>
        <v>2.3606220295532398E-3</v>
      </c>
      <c r="F17" s="13">
        <f t="shared" si="1"/>
        <v>20.58196200567523</v>
      </c>
      <c r="G17" s="14">
        <f>F17/$F$123*$D$2</f>
        <v>0</v>
      </c>
      <c r="H17" s="14">
        <f>F17/$F$123*$E$2</f>
        <v>52.266000802762939</v>
      </c>
      <c r="I17" s="25" t="str">
        <f t="shared" si="2"/>
        <v>选中</v>
      </c>
    </row>
    <row r="18" spans="1:9" hidden="1" x14ac:dyDescent="0.25">
      <c r="A18" s="3">
        <v>2703</v>
      </c>
      <c r="B18" s="3">
        <v>113.36680339999999</v>
      </c>
      <c r="C18" s="3">
        <v>22.95396998</v>
      </c>
      <c r="D18" s="3">
        <v>27</v>
      </c>
      <c r="E18" s="13">
        <f t="shared" si="0"/>
        <v>2.4016614795608713E-3</v>
      </c>
      <c r="F18" s="13">
        <f t="shared" si="1"/>
        <v>20.405352604300973</v>
      </c>
      <c r="G18" s="14" t="e">
        <f>F18/$F$124*$D$2</f>
        <v>#DIV/0!</v>
      </c>
      <c r="H18" s="14" t="e">
        <f>F18/$F$124*$E$2</f>
        <v>#DIV/0!</v>
      </c>
      <c r="I18" s="25" t="str">
        <f t="shared" si="2"/>
        <v/>
      </c>
    </row>
    <row r="19" spans="1:9" hidden="1" x14ac:dyDescent="0.25">
      <c r="A19" s="3">
        <v>3107</v>
      </c>
      <c r="B19" s="3">
        <v>113.36993409999999</v>
      </c>
      <c r="C19" s="3">
        <v>22.950314039999999</v>
      </c>
      <c r="D19" s="3">
        <v>27</v>
      </c>
      <c r="E19" s="13">
        <f t="shared" si="0"/>
        <v>2.4286506701449652E-3</v>
      </c>
      <c r="F19" s="13">
        <f t="shared" si="1"/>
        <v>20.291655203512075</v>
      </c>
      <c r="G19" s="14" t="e">
        <f>F19/$F$124*$D$2</f>
        <v>#DIV/0!</v>
      </c>
      <c r="H19" s="14" t="e">
        <f>F19/$F$124*$E$2</f>
        <v>#DIV/0!</v>
      </c>
      <c r="I19" s="25" t="str">
        <f t="shared" si="2"/>
        <v/>
      </c>
    </row>
    <row r="20" spans="1:9" x14ac:dyDescent="0.25">
      <c r="A20" s="3">
        <v>2704</v>
      </c>
      <c r="B20" s="3">
        <v>113.36638189999999</v>
      </c>
      <c r="C20" s="3">
        <v>22.95363862</v>
      </c>
      <c r="D20" s="3">
        <v>27</v>
      </c>
      <c r="E20" s="13">
        <f t="shared" si="0"/>
        <v>2.438354123669103E-3</v>
      </c>
      <c r="F20" s="13">
        <f t="shared" si="1"/>
        <v>20.251239536951712</v>
      </c>
      <c r="G20" s="14">
        <f>F20/$F$123*$D$2</f>
        <v>0</v>
      </c>
      <c r="H20" s="14">
        <f>F20/$F$123*$E$2</f>
        <v>51.426161490503546</v>
      </c>
      <c r="I20" s="25" t="str">
        <f t="shared" si="2"/>
        <v>选中</v>
      </c>
    </row>
    <row r="21" spans="1:9" hidden="1" x14ac:dyDescent="0.25">
      <c r="A21" s="3">
        <v>3089</v>
      </c>
      <c r="B21" s="3">
        <v>113.3662403</v>
      </c>
      <c r="C21" s="3">
        <v>22.950568090000001</v>
      </c>
      <c r="D21" s="3">
        <v>27</v>
      </c>
      <c r="E21" s="13">
        <f t="shared" si="0"/>
        <v>2.4437888890182584E-3</v>
      </c>
      <c r="F21" s="13">
        <f t="shared" si="1"/>
        <v>20.22870854116416</v>
      </c>
      <c r="G21" s="14" t="e">
        <f>F21/$F$124*$D$2</f>
        <v>#DIV/0!</v>
      </c>
      <c r="H21" s="14" t="e">
        <f>F21/$F$124*$E$2</f>
        <v>#DIV/0!</v>
      </c>
      <c r="I21" s="25" t="str">
        <f t="shared" si="2"/>
        <v/>
      </c>
    </row>
    <row r="22" spans="1:9" hidden="1" x14ac:dyDescent="0.25">
      <c r="A22" s="3">
        <v>2678</v>
      </c>
      <c r="B22" s="3">
        <v>113.3665117</v>
      </c>
      <c r="C22" s="3">
        <v>22.953783399999999</v>
      </c>
      <c r="D22" s="3">
        <v>27</v>
      </c>
      <c r="E22" s="13">
        <f t="shared" si="0"/>
        <v>2.4450964030022803E-3</v>
      </c>
      <c r="F22" s="13">
        <f t="shared" si="1"/>
        <v>20.223299172406893</v>
      </c>
      <c r="G22" s="14" t="e">
        <f>F22/$F$124*$D$2</f>
        <v>#DIV/0!</v>
      </c>
      <c r="H22" s="14" t="e">
        <f>F22/$F$124*$E$2</f>
        <v>#DIV/0!</v>
      </c>
      <c r="I22" s="25" t="str">
        <f t="shared" si="2"/>
        <v/>
      </c>
    </row>
    <row r="23" spans="1:9" x14ac:dyDescent="0.25">
      <c r="A23" s="3">
        <v>3124</v>
      </c>
      <c r="B23" s="3">
        <v>113.36621510000001</v>
      </c>
      <c r="C23" s="3">
        <v>22.953498870000001</v>
      </c>
      <c r="D23" s="3">
        <v>27</v>
      </c>
      <c r="E23" s="13">
        <f t="shared" si="0"/>
        <v>2.4797289639943111E-3</v>
      </c>
      <c r="F23" s="13">
        <f t="shared" si="1"/>
        <v>20.081580597584896</v>
      </c>
      <c r="G23" s="14">
        <f>F23/$F$123*$D$2</f>
        <v>0</v>
      </c>
      <c r="H23" s="14">
        <f>F23/$F$123*$E$2</f>
        <v>50.995328207520288</v>
      </c>
      <c r="I23" s="25" t="str">
        <f t="shared" si="2"/>
        <v>选中</v>
      </c>
    </row>
    <row r="24" spans="1:9" hidden="1" x14ac:dyDescent="0.25">
      <c r="A24" s="3">
        <v>2701</v>
      </c>
      <c r="B24" s="3">
        <v>113.36737170000001</v>
      </c>
      <c r="C24" s="3">
        <v>22.954393140000001</v>
      </c>
      <c r="D24" s="3">
        <v>27</v>
      </c>
      <c r="E24" s="13">
        <f t="shared" si="0"/>
        <v>2.5151724544420647E-3</v>
      </c>
      <c r="F24" s="13">
        <f t="shared" si="1"/>
        <v>19.93958503655902</v>
      </c>
      <c r="G24" s="14" t="e">
        <f>F24/$F$124*$D$2</f>
        <v>#DIV/0!</v>
      </c>
      <c r="H24" s="14" t="e">
        <f>F24/$F$124*$E$2</f>
        <v>#DIV/0!</v>
      </c>
      <c r="I24" s="25" t="str">
        <f t="shared" si="2"/>
        <v/>
      </c>
    </row>
    <row r="25" spans="1:9" hidden="1" x14ac:dyDescent="0.25">
      <c r="A25" s="3">
        <v>2684</v>
      </c>
      <c r="B25" s="3">
        <v>113.36695020000001</v>
      </c>
      <c r="C25" s="3">
        <v>22.954264680000001</v>
      </c>
      <c r="D25" s="3">
        <v>27</v>
      </c>
      <c r="E25" s="13">
        <f t="shared" si="0"/>
        <v>2.5717256744033279E-3</v>
      </c>
      <c r="F25" s="13">
        <f t="shared" si="1"/>
        <v>19.719126802162229</v>
      </c>
      <c r="G25" s="14" t="e">
        <f>F25/$F$124*$D$2</f>
        <v>#DIV/0!</v>
      </c>
      <c r="H25" s="14" t="e">
        <f>F25/$F$124*$E$2</f>
        <v>#DIV/0!</v>
      </c>
      <c r="I25" s="25" t="str">
        <f t="shared" si="2"/>
        <v/>
      </c>
    </row>
    <row r="26" spans="1:9" x14ac:dyDescent="0.25">
      <c r="A26" s="3">
        <v>3078</v>
      </c>
      <c r="B26" s="3">
        <v>113.3702807</v>
      </c>
      <c r="C26" s="3">
        <v>22.95038864</v>
      </c>
      <c r="D26" s="3">
        <v>27</v>
      </c>
      <c r="E26" s="13">
        <f t="shared" si="0"/>
        <v>2.6396068581494318E-3</v>
      </c>
      <c r="F26" s="13">
        <f t="shared" si="1"/>
        <v>19.463922916079316</v>
      </c>
      <c r="G26" s="14">
        <f>F26/$F$123*$D$2</f>
        <v>0</v>
      </c>
      <c r="H26" s="14">
        <f>F26/$F$123*$E$2</f>
        <v>49.426843294930222</v>
      </c>
      <c r="I26" s="25" t="str">
        <f t="shared" si="2"/>
        <v>选中</v>
      </c>
    </row>
    <row r="27" spans="1:9" hidden="1" x14ac:dyDescent="0.25">
      <c r="A27" s="3">
        <v>2702</v>
      </c>
      <c r="B27" s="3">
        <v>113.36656069999999</v>
      </c>
      <c r="C27" s="3">
        <v>22.954102209999999</v>
      </c>
      <c r="D27" s="3">
        <v>27</v>
      </c>
      <c r="E27" s="13">
        <f t="shared" si="0"/>
        <v>2.6534323541603819E-3</v>
      </c>
      <c r="F27" s="13">
        <f t="shared" si="1"/>
        <v>19.41314908849737</v>
      </c>
      <c r="G27" s="14" t="e">
        <f>F27/$F$124*$D$2</f>
        <v>#DIV/0!</v>
      </c>
      <c r="H27" s="14" t="e">
        <f>F27/$F$124*$E$2</f>
        <v>#DIV/0!</v>
      </c>
      <c r="I27" s="25" t="str">
        <f t="shared" si="2"/>
        <v/>
      </c>
    </row>
    <row r="28" spans="1:9" hidden="1" x14ac:dyDescent="0.25">
      <c r="A28" s="3">
        <v>3088</v>
      </c>
      <c r="B28" s="3">
        <v>113.3676577</v>
      </c>
      <c r="C28" s="3">
        <v>22.949420929999999</v>
      </c>
      <c r="D28" s="3">
        <v>27</v>
      </c>
      <c r="E28" s="13">
        <f t="shared" si="0"/>
        <v>2.6565274338720755E-3</v>
      </c>
      <c r="F28" s="13">
        <f t="shared" si="1"/>
        <v>19.401836810216132</v>
      </c>
      <c r="G28" s="14" t="e">
        <f>F28/$F$124*$D$2</f>
        <v>#DIV/0!</v>
      </c>
      <c r="H28" s="14" t="e">
        <f>F28/$F$124*$E$2</f>
        <v>#DIV/0!</v>
      </c>
      <c r="I28" s="25" t="str">
        <f t="shared" si="2"/>
        <v/>
      </c>
    </row>
    <row r="29" spans="1:9" x14ac:dyDescent="0.25">
      <c r="A29" s="3">
        <v>2688</v>
      </c>
      <c r="B29" s="3">
        <v>113.36647480000001</v>
      </c>
      <c r="C29" s="3">
        <v>22.954108309999999</v>
      </c>
      <c r="D29" s="3">
        <v>27</v>
      </c>
      <c r="E29" s="13">
        <f t="shared" si="0"/>
        <v>2.7122217387345856E-3</v>
      </c>
      <c r="F29" s="13">
        <f t="shared" si="1"/>
        <v>19.201599350851225</v>
      </c>
      <c r="G29" s="14">
        <f>F29/$F$123*$D$2</f>
        <v>0</v>
      </c>
      <c r="H29" s="14">
        <f>F29/$F$123*$E$2</f>
        <v>48.760696711479412</v>
      </c>
      <c r="I29" s="25" t="str">
        <f t="shared" si="2"/>
        <v>选中</v>
      </c>
    </row>
    <row r="30" spans="1:9" hidden="1" x14ac:dyDescent="0.25">
      <c r="A30" s="3">
        <v>2695</v>
      </c>
      <c r="B30" s="3">
        <v>113.36723379999999</v>
      </c>
      <c r="C30" s="3">
        <v>22.954553229999998</v>
      </c>
      <c r="D30" s="3">
        <v>27</v>
      </c>
      <c r="E30" s="13">
        <f t="shared" si="0"/>
        <v>2.7130275311716958E-3</v>
      </c>
      <c r="F30" s="13">
        <f t="shared" si="1"/>
        <v>19.198747619271511</v>
      </c>
      <c r="G30" s="14" t="e">
        <f>F30/$F$124*$D$2</f>
        <v>#DIV/0!</v>
      </c>
      <c r="H30" s="14" t="e">
        <f>F30/$F$124*$E$2</f>
        <v>#DIV/0!</v>
      </c>
      <c r="I30" s="25" t="str">
        <f t="shared" si="2"/>
        <v/>
      </c>
    </row>
    <row r="31" spans="1:9" hidden="1" x14ac:dyDescent="0.25">
      <c r="A31" s="3">
        <v>2679</v>
      </c>
      <c r="B31" s="3">
        <v>113.3676124</v>
      </c>
      <c r="C31" s="3">
        <v>22.954738720000002</v>
      </c>
      <c r="D31" s="3">
        <v>27</v>
      </c>
      <c r="E31" s="13">
        <f t="shared" si="0"/>
        <v>2.7824325430104834E-3</v>
      </c>
      <c r="F31" s="13">
        <f t="shared" si="1"/>
        <v>18.957788679663359</v>
      </c>
      <c r="G31" s="14" t="e">
        <f>F31/$F$124*$D$2</f>
        <v>#DIV/0!</v>
      </c>
      <c r="H31" s="14" t="e">
        <f>F31/$F$124*$E$2</f>
        <v>#DIV/0!</v>
      </c>
      <c r="I31" s="25" t="str">
        <f t="shared" si="2"/>
        <v/>
      </c>
    </row>
    <row r="32" spans="1:9" x14ac:dyDescent="0.25">
      <c r="A32" s="3">
        <v>2685</v>
      </c>
      <c r="B32" s="3">
        <v>113.36646279999999</v>
      </c>
      <c r="C32" s="3">
        <v>22.954236269999999</v>
      </c>
      <c r="D32" s="3">
        <v>27</v>
      </c>
      <c r="E32" s="13">
        <f t="shared" si="0"/>
        <v>2.8193212021528093E-3</v>
      </c>
      <c r="F32" s="13">
        <f t="shared" si="1"/>
        <v>18.833356239341136</v>
      </c>
      <c r="G32" s="14">
        <f>F32/$F$123*$D$2</f>
        <v>0</v>
      </c>
      <c r="H32" s="14">
        <f>F32/$F$123*$E$2</f>
        <v>47.825577175426858</v>
      </c>
      <c r="I32" s="25" t="str">
        <f t="shared" si="2"/>
        <v>选中</v>
      </c>
    </row>
    <row r="33" spans="1:9" hidden="1" x14ac:dyDescent="0.25">
      <c r="A33" s="3">
        <v>2687</v>
      </c>
      <c r="B33" s="3">
        <v>113.3699708</v>
      </c>
      <c r="C33" s="3">
        <v>22.95450821</v>
      </c>
      <c r="D33" s="3">
        <v>27</v>
      </c>
      <c r="E33" s="13">
        <f t="shared" si="0"/>
        <v>3.0503968869833218E-3</v>
      </c>
      <c r="F33" s="13">
        <f t="shared" si="1"/>
        <v>18.105971210055323</v>
      </c>
      <c r="G33" s="14" t="e">
        <f>F33/$F$124*$D$2</f>
        <v>#DIV/0!</v>
      </c>
      <c r="H33" s="14" t="e">
        <f>F33/$F$124*$E$2</f>
        <v>#DIV/0!</v>
      </c>
      <c r="I33" s="25" t="str">
        <f t="shared" si="2"/>
        <v/>
      </c>
    </row>
    <row r="34" spans="1:9" hidden="1" x14ac:dyDescent="0.25">
      <c r="A34" s="3">
        <v>2669</v>
      </c>
      <c r="B34" s="3">
        <v>113.3678671</v>
      </c>
      <c r="C34" s="3">
        <v>22.955060289999999</v>
      </c>
      <c r="D34" s="3">
        <v>27</v>
      </c>
      <c r="E34" s="13">
        <f t="shared" si="0"/>
        <v>3.0587999101096327E-3</v>
      </c>
      <c r="F34" s="13">
        <f t="shared" si="1"/>
        <v>18.081084075431832</v>
      </c>
      <c r="G34" s="14" t="e">
        <f>F34/$F$124*$D$2</f>
        <v>#DIV/0!</v>
      </c>
      <c r="H34" s="14" t="e">
        <f>F34/$F$124*$E$2</f>
        <v>#DIV/0!</v>
      </c>
      <c r="I34" s="25" t="str">
        <f t="shared" si="2"/>
        <v/>
      </c>
    </row>
    <row r="35" spans="1:9" x14ac:dyDescent="0.25">
      <c r="A35" s="3">
        <v>3131</v>
      </c>
      <c r="B35" s="3">
        <v>113.3654231</v>
      </c>
      <c r="C35" s="3">
        <v>22.95350882</v>
      </c>
      <c r="D35" s="3">
        <v>27</v>
      </c>
      <c r="E35" s="13">
        <f t="shared" si="0"/>
        <v>3.1558059319897452E-3</v>
      </c>
      <c r="F35" s="13">
        <f t="shared" si="1"/>
        <v>17.801018679165054</v>
      </c>
      <c r="G35" s="14">
        <f>F35/$F$123*$D$2</f>
        <v>0</v>
      </c>
      <c r="H35" s="14">
        <f>F35/$F$123*$E$2</f>
        <v>45.204050824634471</v>
      </c>
      <c r="I35" s="25" t="str">
        <f t="shared" si="2"/>
        <v>选中</v>
      </c>
    </row>
    <row r="36" spans="1:9" hidden="1" x14ac:dyDescent="0.25">
      <c r="A36" s="3">
        <v>3081</v>
      </c>
      <c r="B36" s="3">
        <v>113.3662643</v>
      </c>
      <c r="C36" s="3">
        <v>22.949482530000001</v>
      </c>
      <c r="D36" s="3">
        <v>27</v>
      </c>
      <c r="E36" s="13">
        <f t="shared" si="0"/>
        <v>3.1952619333794185E-3</v>
      </c>
      <c r="F36" s="13">
        <f t="shared" si="1"/>
        <v>17.690771264470637</v>
      </c>
      <c r="G36" s="14" t="e">
        <f>F36/$F$124*$D$2</f>
        <v>#DIV/0!</v>
      </c>
      <c r="H36" s="14" t="e">
        <f>F36/$F$124*$E$2</f>
        <v>#DIV/0!</v>
      </c>
      <c r="I36" s="25" t="str">
        <f t="shared" si="2"/>
        <v/>
      </c>
    </row>
    <row r="37" spans="1:9" hidden="1" x14ac:dyDescent="0.25">
      <c r="A37" s="3">
        <v>3079</v>
      </c>
      <c r="B37" s="3">
        <v>113.36797540000001</v>
      </c>
      <c r="C37" s="3">
        <v>22.948730860000001</v>
      </c>
      <c r="D37" s="3">
        <v>27</v>
      </c>
      <c r="E37" s="13">
        <f t="shared" ref="E37:E68" si="3">SQRT((B37-$B$2)^2+(C37-$C$2)^2)</f>
        <v>3.2974990028192823E-3</v>
      </c>
      <c r="F37" s="13">
        <f t="shared" ref="F37:F68" si="4">SQRT(1/E37)</f>
        <v>17.414365828143435</v>
      </c>
      <c r="G37" s="14" t="e">
        <f>F37/$F$124*$D$2</f>
        <v>#DIV/0!</v>
      </c>
      <c r="H37" s="14" t="e">
        <f>F37/$F$124*$E$2</f>
        <v>#DIV/0!</v>
      </c>
      <c r="I37" s="25" t="str">
        <f t="shared" ref="I37:I68" si="5">IF(MOD(ROW()-1,3)=1,"选中","")</f>
        <v/>
      </c>
    </row>
    <row r="38" spans="1:9" x14ac:dyDescent="0.25">
      <c r="A38" s="3">
        <v>3122</v>
      </c>
      <c r="B38" s="3">
        <v>113.36635819999999</v>
      </c>
      <c r="C38" s="3">
        <v>22.949282499999999</v>
      </c>
      <c r="D38" s="3">
        <v>27</v>
      </c>
      <c r="E38" s="13">
        <f t="shared" si="3"/>
        <v>3.3029039646997435E-3</v>
      </c>
      <c r="F38" s="13">
        <f t="shared" si="4"/>
        <v>17.400111323201639</v>
      </c>
      <c r="G38" s="14">
        <f>F38/$F$123*$D$2</f>
        <v>0</v>
      </c>
      <c r="H38" s="14">
        <f>F38/$F$123*$E$2</f>
        <v>44.185983441999149</v>
      </c>
      <c r="I38" s="25" t="str">
        <f t="shared" si="5"/>
        <v>选中</v>
      </c>
    </row>
    <row r="39" spans="1:9" hidden="1" x14ac:dyDescent="0.25">
      <c r="A39" s="3">
        <v>3127</v>
      </c>
      <c r="B39" s="3">
        <v>113.3663093</v>
      </c>
      <c r="C39" s="3">
        <v>22.94925357</v>
      </c>
      <c r="D39" s="3">
        <v>27</v>
      </c>
      <c r="E39" s="13">
        <f t="shared" si="3"/>
        <v>3.3543266303253279E-3</v>
      </c>
      <c r="F39" s="13">
        <f t="shared" si="4"/>
        <v>17.266222175028989</v>
      </c>
      <c r="G39" s="14" t="e">
        <f>F39/$F$124*$D$2</f>
        <v>#DIV/0!</v>
      </c>
      <c r="H39" s="14" t="e">
        <f>F39/$F$124*$E$2</f>
        <v>#DIV/0!</v>
      </c>
      <c r="I39" s="25" t="str">
        <f t="shared" si="5"/>
        <v/>
      </c>
    </row>
    <row r="40" spans="1:9" hidden="1" x14ac:dyDescent="0.25">
      <c r="A40" s="3">
        <v>3082</v>
      </c>
      <c r="B40" s="3">
        <v>113.3663363</v>
      </c>
      <c r="C40" s="3">
        <v>22.949225550000001</v>
      </c>
      <c r="D40" s="3">
        <v>27</v>
      </c>
      <c r="E40" s="13">
        <f t="shared" si="3"/>
        <v>3.3623887063351714E-3</v>
      </c>
      <c r="F40" s="13">
        <f t="shared" si="4"/>
        <v>17.245509944879927</v>
      </c>
      <c r="G40" s="14" t="e">
        <f>F40/$F$124*$D$2</f>
        <v>#DIV/0!</v>
      </c>
      <c r="H40" s="14" t="e">
        <f>F40/$F$124*$E$2</f>
        <v>#DIV/0!</v>
      </c>
      <c r="I40" s="25" t="str">
        <f t="shared" si="5"/>
        <v/>
      </c>
    </row>
    <row r="41" spans="1:9" x14ac:dyDescent="0.25">
      <c r="A41" s="3">
        <v>2693</v>
      </c>
      <c r="B41" s="3">
        <v>113.36702099999999</v>
      </c>
      <c r="C41" s="3">
        <v>22.95518221</v>
      </c>
      <c r="D41" s="3">
        <v>27</v>
      </c>
      <c r="E41" s="13">
        <f t="shared" si="3"/>
        <v>3.3765997524293507E-3</v>
      </c>
      <c r="F41" s="13">
        <f t="shared" si="4"/>
        <v>17.209181217533409</v>
      </c>
      <c r="G41" s="14">
        <f>F41/$F$123*$D$2</f>
        <v>0</v>
      </c>
      <c r="H41" s="14">
        <f>F41/$F$123*$E$2</f>
        <v>43.701133987249619</v>
      </c>
      <c r="I41" s="25" t="str">
        <f t="shared" si="5"/>
        <v>选中</v>
      </c>
    </row>
    <row r="42" spans="1:9" hidden="1" x14ac:dyDescent="0.25">
      <c r="A42" s="3">
        <v>3092</v>
      </c>
      <c r="B42" s="3">
        <v>113.3686446</v>
      </c>
      <c r="C42" s="3">
        <v>22.948665139999999</v>
      </c>
      <c r="D42" s="3">
        <v>27</v>
      </c>
      <c r="E42" s="13">
        <f t="shared" si="3"/>
        <v>3.383732268606568E-3</v>
      </c>
      <c r="F42" s="13">
        <f t="shared" si="4"/>
        <v>17.191034167931914</v>
      </c>
      <c r="G42" s="14" t="e">
        <f>F42/$F$124*$D$2</f>
        <v>#DIV/0!</v>
      </c>
      <c r="H42" s="14" t="e">
        <f>F42/$F$124*$E$2</f>
        <v>#DIV/0!</v>
      </c>
      <c r="I42" s="25" t="str">
        <f t="shared" si="5"/>
        <v/>
      </c>
    </row>
    <row r="43" spans="1:9" hidden="1" x14ac:dyDescent="0.25">
      <c r="A43" s="3">
        <v>2700</v>
      </c>
      <c r="B43" s="3">
        <v>113.3668492</v>
      </c>
      <c r="C43" s="3">
        <v>22.955180410000001</v>
      </c>
      <c r="D43" s="3">
        <v>27</v>
      </c>
      <c r="E43" s="13">
        <f t="shared" si="3"/>
        <v>3.4389909526024273E-3</v>
      </c>
      <c r="F43" s="13">
        <f t="shared" si="4"/>
        <v>17.052359635176597</v>
      </c>
      <c r="G43" s="14" t="e">
        <f>F43/$F$124*$D$2</f>
        <v>#DIV/0!</v>
      </c>
      <c r="H43" s="14" t="e">
        <f>F43/$F$124*$E$2</f>
        <v>#DIV/0!</v>
      </c>
      <c r="I43" s="25" t="str">
        <f t="shared" si="5"/>
        <v/>
      </c>
    </row>
    <row r="44" spans="1:9" x14ac:dyDescent="0.25">
      <c r="A44" s="3">
        <v>3087</v>
      </c>
      <c r="B44" s="3">
        <v>113.3662953</v>
      </c>
      <c r="C44" s="3">
        <v>22.94910965</v>
      </c>
      <c r="D44" s="3">
        <v>27</v>
      </c>
      <c r="E44" s="13">
        <f t="shared" si="3"/>
        <v>3.4816509980868963E-3</v>
      </c>
      <c r="F44" s="13">
        <f t="shared" si="4"/>
        <v>16.947567894498764</v>
      </c>
      <c r="G44" s="14">
        <f>F44/$F$123*$D$2</f>
        <v>0</v>
      </c>
      <c r="H44" s="14">
        <f>F44/$F$123*$E$2</f>
        <v>43.03679099856992</v>
      </c>
      <c r="I44" s="25" t="str">
        <f t="shared" si="5"/>
        <v>选中</v>
      </c>
    </row>
    <row r="45" spans="1:9" hidden="1" x14ac:dyDescent="0.25">
      <c r="A45" s="3">
        <v>3186</v>
      </c>
      <c r="B45" s="3">
        <v>113.3717231</v>
      </c>
      <c r="C45" s="3">
        <v>22.952119419999999</v>
      </c>
      <c r="D45" s="3">
        <v>27</v>
      </c>
      <c r="E45" s="13">
        <f t="shared" si="3"/>
        <v>3.5186963586518586E-3</v>
      </c>
      <c r="F45" s="13">
        <f t="shared" si="4"/>
        <v>16.858118575161718</v>
      </c>
      <c r="G45" s="14" t="e">
        <f>F45/$F$124*$D$2</f>
        <v>#DIV/0!</v>
      </c>
      <c r="H45" s="14" t="e">
        <f>F45/$F$124*$E$2</f>
        <v>#DIV/0!</v>
      </c>
      <c r="I45" s="25" t="str">
        <f t="shared" si="5"/>
        <v/>
      </c>
    </row>
    <row r="46" spans="1:9" hidden="1" x14ac:dyDescent="0.25">
      <c r="A46" s="3">
        <v>3102</v>
      </c>
      <c r="B46" s="3">
        <v>113.3705575</v>
      </c>
      <c r="C46" s="3">
        <v>22.94938578</v>
      </c>
      <c r="D46" s="3">
        <v>27</v>
      </c>
      <c r="E46" s="13">
        <f t="shared" si="3"/>
        <v>3.5314569968258776E-3</v>
      </c>
      <c r="F46" s="13">
        <f t="shared" si="4"/>
        <v>16.827633277793435</v>
      </c>
      <c r="G46" s="14" t="e">
        <f>F46/$F$124*$D$2</f>
        <v>#DIV/0!</v>
      </c>
      <c r="H46" s="14" t="e">
        <f>F46/$F$124*$E$2</f>
        <v>#DIV/0!</v>
      </c>
      <c r="I46" s="25" t="str">
        <f t="shared" si="5"/>
        <v/>
      </c>
    </row>
    <row r="47" spans="1:9" x14ac:dyDescent="0.25">
      <c r="A47" s="3">
        <v>3125</v>
      </c>
      <c r="B47" s="3">
        <v>113.3647071</v>
      </c>
      <c r="C47" s="3">
        <v>22.952716030000001</v>
      </c>
      <c r="D47" s="3">
        <v>27</v>
      </c>
      <c r="E47" s="13">
        <f t="shared" si="3"/>
        <v>3.5672036559273412E-3</v>
      </c>
      <c r="F47" s="13">
        <f t="shared" si="4"/>
        <v>16.743106810882814</v>
      </c>
      <c r="G47" s="14">
        <f>F47/$F$123*$D$2</f>
        <v>0</v>
      </c>
      <c r="H47" s="14">
        <f>F47/$F$123*$E$2</f>
        <v>42.517580868969134</v>
      </c>
      <c r="I47" s="25" t="str">
        <f t="shared" si="5"/>
        <v>选中</v>
      </c>
    </row>
    <row r="48" spans="1:9" hidden="1" x14ac:dyDescent="0.25">
      <c r="A48" s="3">
        <v>3190</v>
      </c>
      <c r="B48" s="3">
        <v>113.37182989999999</v>
      </c>
      <c r="C48" s="3">
        <v>22.95281602</v>
      </c>
      <c r="D48" s="3">
        <v>27</v>
      </c>
      <c r="E48" s="13">
        <f t="shared" si="3"/>
        <v>3.7104273511781396E-3</v>
      </c>
      <c r="F48" s="13">
        <f t="shared" si="4"/>
        <v>16.416782093474623</v>
      </c>
      <c r="G48" s="14" t="e">
        <f>F48/$F$124*$D$2</f>
        <v>#DIV/0!</v>
      </c>
      <c r="H48" s="14" t="e">
        <f>F48/$F$124*$E$2</f>
        <v>#DIV/0!</v>
      </c>
      <c r="I48" s="25" t="str">
        <f t="shared" si="5"/>
        <v/>
      </c>
    </row>
    <row r="49" spans="1:9" hidden="1" x14ac:dyDescent="0.25">
      <c r="A49" s="3">
        <v>3138</v>
      </c>
      <c r="B49" s="3">
        <v>113.3693279</v>
      </c>
      <c r="C49" s="3">
        <v>22.94846248</v>
      </c>
      <c r="D49" s="3">
        <v>27</v>
      </c>
      <c r="E49" s="13">
        <f t="shared" si="3"/>
        <v>3.7305752321076685E-3</v>
      </c>
      <c r="F49" s="13">
        <f t="shared" si="4"/>
        <v>16.372390658861693</v>
      </c>
      <c r="G49" s="14" t="e">
        <f>F49/$F$124*$D$2</f>
        <v>#DIV/0!</v>
      </c>
      <c r="H49" s="14" t="e">
        <f>F49/$F$124*$E$2</f>
        <v>#DIV/0!</v>
      </c>
      <c r="I49" s="25" t="str">
        <f t="shared" si="5"/>
        <v/>
      </c>
    </row>
    <row r="50" spans="1:9" x14ac:dyDescent="0.25">
      <c r="A50" s="3">
        <v>3113</v>
      </c>
      <c r="B50" s="3">
        <v>113.369173</v>
      </c>
      <c r="C50" s="3">
        <v>22.94838068</v>
      </c>
      <c r="D50" s="3">
        <v>27</v>
      </c>
      <c r="E50" s="13">
        <f t="shared" si="3"/>
        <v>3.7659407303380858E-3</v>
      </c>
      <c r="F50" s="13">
        <f t="shared" si="4"/>
        <v>16.295333744457242</v>
      </c>
      <c r="G50" s="14">
        <f>F50/$F$123*$D$2</f>
        <v>0</v>
      </c>
      <c r="H50" s="14">
        <f>F50/$F$123*$E$2</f>
        <v>41.380502322093896</v>
      </c>
      <c r="I50" s="25" t="str">
        <f t="shared" si="5"/>
        <v>选中</v>
      </c>
    </row>
    <row r="51" spans="1:9" hidden="1" x14ac:dyDescent="0.25">
      <c r="A51" s="3">
        <v>3085</v>
      </c>
      <c r="B51" s="3">
        <v>113.3651457</v>
      </c>
      <c r="C51" s="3">
        <v>22.94982173</v>
      </c>
      <c r="D51" s="3">
        <v>27</v>
      </c>
      <c r="E51" s="13">
        <f t="shared" si="3"/>
        <v>3.7680130115085721E-3</v>
      </c>
      <c r="F51" s="13">
        <f t="shared" si="4"/>
        <v>16.290852183837924</v>
      </c>
      <c r="G51" s="14" t="e">
        <f>F51/$F$124*$D$2</f>
        <v>#DIV/0!</v>
      </c>
      <c r="H51" s="14" t="e">
        <f>F51/$F$124*$E$2</f>
        <v>#DIV/0!</v>
      </c>
      <c r="I51" s="25" t="str">
        <f t="shared" si="5"/>
        <v/>
      </c>
    </row>
    <row r="52" spans="1:9" hidden="1" x14ac:dyDescent="0.25">
      <c r="A52" s="3">
        <v>3188</v>
      </c>
      <c r="B52" s="3">
        <v>113.3718179</v>
      </c>
      <c r="C52" s="3">
        <v>22.953230850000001</v>
      </c>
      <c r="D52" s="3">
        <v>27</v>
      </c>
      <c r="E52" s="13">
        <f t="shared" si="3"/>
        <v>3.8095534794100063E-3</v>
      </c>
      <c r="F52" s="13">
        <f t="shared" si="4"/>
        <v>16.201788653581644</v>
      </c>
      <c r="G52" s="14" t="e">
        <f>F52/$F$124*$D$2</f>
        <v>#DIV/0!</v>
      </c>
      <c r="H52" s="14" t="e">
        <f>F52/$F$124*$E$2</f>
        <v>#DIV/0!</v>
      </c>
      <c r="I52" s="25" t="str">
        <f t="shared" si="5"/>
        <v/>
      </c>
    </row>
    <row r="53" spans="1:9" x14ac:dyDescent="0.25">
      <c r="A53" s="3">
        <v>2662</v>
      </c>
      <c r="B53" s="3">
        <v>113.36615310000001</v>
      </c>
      <c r="C53" s="3">
        <v>22.955239200000001</v>
      </c>
      <c r="D53" s="3">
        <v>27</v>
      </c>
      <c r="E53" s="13">
        <f t="shared" si="3"/>
        <v>3.8177080165948977E-3</v>
      </c>
      <c r="F53" s="13">
        <f t="shared" si="4"/>
        <v>16.184476078442902</v>
      </c>
      <c r="G53" s="14">
        <f>F53/$F$123*$D$2</f>
        <v>0</v>
      </c>
      <c r="H53" s="14">
        <f>F53/$F$123*$E$2</f>
        <v>41.09898946829987</v>
      </c>
      <c r="I53" s="25" t="str">
        <f t="shared" si="5"/>
        <v>选中</v>
      </c>
    </row>
    <row r="54" spans="1:9" hidden="1" x14ac:dyDescent="0.25">
      <c r="A54" s="3">
        <v>3099</v>
      </c>
      <c r="B54" s="3">
        <v>113.37047459999999</v>
      </c>
      <c r="C54" s="3">
        <v>22.948947050000001</v>
      </c>
      <c r="D54" s="3">
        <v>27</v>
      </c>
      <c r="E54" s="13">
        <f t="shared" si="3"/>
        <v>3.8199893982158077E-3</v>
      </c>
      <c r="F54" s="13">
        <f t="shared" si="4"/>
        <v>16.179642494253482</v>
      </c>
      <c r="G54" s="14" t="e">
        <f>F54/$F$124*$D$2</f>
        <v>#DIV/0!</v>
      </c>
      <c r="H54" s="14" t="e">
        <f>F54/$F$124*$E$2</f>
        <v>#DIV/0!</v>
      </c>
      <c r="I54" s="25" t="str">
        <f t="shared" si="5"/>
        <v/>
      </c>
    </row>
    <row r="55" spans="1:9" hidden="1" x14ac:dyDescent="0.25">
      <c r="A55" s="3">
        <v>3096</v>
      </c>
      <c r="B55" s="3">
        <v>113.3645144</v>
      </c>
      <c r="C55" s="3">
        <v>22.95061617</v>
      </c>
      <c r="D55" s="3">
        <v>27</v>
      </c>
      <c r="E55" s="13">
        <f t="shared" si="3"/>
        <v>3.94943223981089E-3</v>
      </c>
      <c r="F55" s="13">
        <f t="shared" si="4"/>
        <v>15.912289315040749</v>
      </c>
      <c r="G55" s="14" t="e">
        <f>F55/$F$124*$D$2</f>
        <v>#DIV/0!</v>
      </c>
      <c r="H55" s="14" t="e">
        <f>F55/$F$124*$E$2</f>
        <v>#DIV/0!</v>
      </c>
      <c r="I55" s="25" t="str">
        <f t="shared" si="5"/>
        <v/>
      </c>
    </row>
    <row r="56" spans="1:9" x14ac:dyDescent="0.25">
      <c r="A56" s="3">
        <v>3091</v>
      </c>
      <c r="B56" s="3">
        <v>113.3689553</v>
      </c>
      <c r="C56" s="3">
        <v>22.94811803</v>
      </c>
      <c r="D56" s="3">
        <v>27</v>
      </c>
      <c r="E56" s="13">
        <f t="shared" si="3"/>
        <v>3.9735955258311285E-3</v>
      </c>
      <c r="F56" s="13">
        <f t="shared" si="4"/>
        <v>15.863834521182131</v>
      </c>
      <c r="G56" s="14">
        <f>F56/$F$123*$D$2</f>
        <v>0</v>
      </c>
      <c r="H56" s="14">
        <f>F56/$F$123*$E$2</f>
        <v>40.284749704152524</v>
      </c>
      <c r="I56" s="25" t="str">
        <f t="shared" si="5"/>
        <v>选中</v>
      </c>
    </row>
    <row r="57" spans="1:9" hidden="1" x14ac:dyDescent="0.25">
      <c r="A57" s="3">
        <v>3146</v>
      </c>
      <c r="B57" s="3">
        <v>113.3697734</v>
      </c>
      <c r="C57" s="3">
        <v>22.94832306</v>
      </c>
      <c r="D57" s="3">
        <v>27</v>
      </c>
      <c r="E57" s="13">
        <f t="shared" si="3"/>
        <v>4.0158378176430275E-3</v>
      </c>
      <c r="F57" s="13">
        <f t="shared" si="4"/>
        <v>15.780178714449097</v>
      </c>
      <c r="G57" s="14" t="e">
        <f>F57/$F$124*$D$2</f>
        <v>#DIV/0!</v>
      </c>
      <c r="H57" s="14" t="e">
        <f>F57/$F$124*$E$2</f>
        <v>#DIV/0!</v>
      </c>
      <c r="I57" s="25" t="str">
        <f t="shared" si="5"/>
        <v/>
      </c>
    </row>
    <row r="58" spans="1:9" hidden="1" x14ac:dyDescent="0.25">
      <c r="A58" s="3">
        <v>3147</v>
      </c>
      <c r="B58" s="3">
        <v>113.3697734</v>
      </c>
      <c r="C58" s="3">
        <v>22.94832306</v>
      </c>
      <c r="D58" s="3">
        <v>27</v>
      </c>
      <c r="E58" s="13">
        <f t="shared" si="3"/>
        <v>4.0158378176430275E-3</v>
      </c>
      <c r="F58" s="13">
        <f t="shared" si="4"/>
        <v>15.780178714449097</v>
      </c>
      <c r="G58" s="14" t="e">
        <f>F58/$F$124*$D$2</f>
        <v>#DIV/0!</v>
      </c>
      <c r="H58" s="14" t="e">
        <f>F58/$F$124*$E$2</f>
        <v>#DIV/0!</v>
      </c>
      <c r="I58" s="25" t="str">
        <f t="shared" si="5"/>
        <v/>
      </c>
    </row>
    <row r="59" spans="1:9" x14ac:dyDescent="0.25">
      <c r="A59" s="3">
        <v>3098</v>
      </c>
      <c r="B59" s="3">
        <v>113.3684988</v>
      </c>
      <c r="C59" s="3">
        <v>22.947977600000002</v>
      </c>
      <c r="D59" s="3">
        <v>27</v>
      </c>
      <c r="E59" s="13">
        <f t="shared" si="3"/>
        <v>4.0533038733846106E-3</v>
      </c>
      <c r="F59" s="13">
        <f t="shared" si="4"/>
        <v>15.70707864119008</v>
      </c>
      <c r="G59" s="14">
        <f>F59/$F$123*$D$2</f>
        <v>0</v>
      </c>
      <c r="H59" s="14">
        <f>F59/$F$123*$E$2</f>
        <v>39.886682554517165</v>
      </c>
      <c r="I59" s="25" t="str">
        <f t="shared" si="5"/>
        <v>选中</v>
      </c>
    </row>
    <row r="60" spans="1:9" hidden="1" x14ac:dyDescent="0.25">
      <c r="A60" s="3">
        <v>3090</v>
      </c>
      <c r="B60" s="3">
        <v>113.3644515</v>
      </c>
      <c r="C60" s="3">
        <v>22.950462309999999</v>
      </c>
      <c r="D60" s="3">
        <v>27</v>
      </c>
      <c r="E60" s="13">
        <f t="shared" si="3"/>
        <v>4.0647387775949997E-3</v>
      </c>
      <c r="F60" s="13">
        <f t="shared" si="4"/>
        <v>15.684969540670663</v>
      </c>
      <c r="G60" s="14" t="e">
        <f>F60/$F$124*$D$2</f>
        <v>#DIV/0!</v>
      </c>
      <c r="H60" s="14" t="e">
        <f>F60/$F$124*$E$2</f>
        <v>#DIV/0!</v>
      </c>
      <c r="I60" s="25" t="str">
        <f t="shared" si="5"/>
        <v/>
      </c>
    </row>
    <row r="61" spans="1:9" hidden="1" x14ac:dyDescent="0.25">
      <c r="A61" s="3">
        <v>2671</v>
      </c>
      <c r="B61" s="3">
        <v>113.365449</v>
      </c>
      <c r="C61" s="3">
        <v>22.955011150000001</v>
      </c>
      <c r="D61" s="3">
        <v>27</v>
      </c>
      <c r="E61" s="13">
        <f t="shared" si="3"/>
        <v>4.0675705233591038E-3</v>
      </c>
      <c r="F61" s="13">
        <f t="shared" si="4"/>
        <v>15.679508838906866</v>
      </c>
      <c r="G61" s="14" t="e">
        <f>F61/$F$124*$D$2</f>
        <v>#DIV/0!</v>
      </c>
      <c r="H61" s="14" t="e">
        <f>F61/$F$124*$E$2</f>
        <v>#DIV/0!</v>
      </c>
      <c r="I61" s="25" t="str">
        <f t="shared" si="5"/>
        <v/>
      </c>
    </row>
    <row r="62" spans="1:9" x14ac:dyDescent="0.25">
      <c r="A62" s="3">
        <v>3117</v>
      </c>
      <c r="B62" s="3">
        <v>113.3641867</v>
      </c>
      <c r="C62" s="3">
        <v>22.952780650000001</v>
      </c>
      <c r="D62" s="3">
        <v>27</v>
      </c>
      <c r="E62" s="13">
        <f t="shared" si="3"/>
        <v>4.090390804366858E-3</v>
      </c>
      <c r="F62" s="13">
        <f t="shared" si="4"/>
        <v>15.635709692529167</v>
      </c>
      <c r="G62" s="14">
        <f>F62/$F$123*$D$2</f>
        <v>0</v>
      </c>
      <c r="H62" s="14">
        <f>F62/$F$123*$E$2</f>
        <v>39.705447668990942</v>
      </c>
      <c r="I62" s="25" t="str">
        <f t="shared" si="5"/>
        <v>选中</v>
      </c>
    </row>
    <row r="63" spans="1:9" hidden="1" x14ac:dyDescent="0.25">
      <c r="A63" s="3">
        <v>3119</v>
      </c>
      <c r="B63" s="3">
        <v>113.3641867</v>
      </c>
      <c r="C63" s="3">
        <v>22.952780650000001</v>
      </c>
      <c r="D63" s="3">
        <v>27</v>
      </c>
      <c r="E63" s="13">
        <f t="shared" si="3"/>
        <v>4.090390804366858E-3</v>
      </c>
      <c r="F63" s="13">
        <f t="shared" si="4"/>
        <v>15.635709692529167</v>
      </c>
      <c r="G63" s="14" t="e">
        <f>F63/$F$124*$D$2</f>
        <v>#DIV/0!</v>
      </c>
      <c r="H63" s="14" t="e">
        <f>F63/$F$124*$E$2</f>
        <v>#DIV/0!</v>
      </c>
      <c r="I63" s="25" t="str">
        <f t="shared" si="5"/>
        <v/>
      </c>
    </row>
    <row r="64" spans="1:9" hidden="1" x14ac:dyDescent="0.25">
      <c r="A64" s="3">
        <v>3130</v>
      </c>
      <c r="B64" s="3">
        <v>113.3642636</v>
      </c>
      <c r="C64" s="3">
        <v>22.95312741</v>
      </c>
      <c r="D64" s="3">
        <v>27</v>
      </c>
      <c r="E64" s="13">
        <f t="shared" si="3"/>
        <v>4.0947079739681053E-3</v>
      </c>
      <c r="F64" s="13">
        <f t="shared" si="4"/>
        <v>15.627464927245995</v>
      </c>
      <c r="G64" s="14" t="e">
        <f>F64/$F$124*$D$2</f>
        <v>#DIV/0!</v>
      </c>
      <c r="H64" s="14" t="e">
        <f>F64/$F$124*$E$2</f>
        <v>#DIV/0!</v>
      </c>
      <c r="I64" s="25" t="str">
        <f t="shared" si="5"/>
        <v/>
      </c>
    </row>
    <row r="65" spans="1:9" x14ac:dyDescent="0.25">
      <c r="A65" s="3">
        <v>3101</v>
      </c>
      <c r="B65" s="3">
        <v>113.3698673</v>
      </c>
      <c r="C65" s="3">
        <v>22.948212009999999</v>
      </c>
      <c r="D65" s="3">
        <v>27</v>
      </c>
      <c r="E65" s="13">
        <f t="shared" si="3"/>
        <v>4.1549554719764051E-3</v>
      </c>
      <c r="F65" s="13">
        <f t="shared" si="4"/>
        <v>15.513750872970187</v>
      </c>
      <c r="G65" s="14">
        <f>F65/$F$123*$D$2</f>
        <v>0</v>
      </c>
      <c r="H65" s="14">
        <f>F65/$F$123*$E$2</f>
        <v>39.395744456089467</v>
      </c>
      <c r="I65" s="25" t="str">
        <f t="shared" si="5"/>
        <v>选中</v>
      </c>
    </row>
    <row r="66" spans="1:9" hidden="1" x14ac:dyDescent="0.25">
      <c r="A66" s="3">
        <v>3103</v>
      </c>
      <c r="B66" s="3">
        <v>113.36971749999999</v>
      </c>
      <c r="C66" s="3">
        <v>22.94807123</v>
      </c>
      <c r="D66" s="3">
        <v>27</v>
      </c>
      <c r="E66" s="13">
        <f t="shared" si="3"/>
        <v>4.2285211073010984E-3</v>
      </c>
      <c r="F66" s="13">
        <f t="shared" si="4"/>
        <v>15.378208633654667</v>
      </c>
      <c r="G66" s="14" t="e">
        <f>F66/$F$124*$D$2</f>
        <v>#DIV/0!</v>
      </c>
      <c r="H66" s="14" t="e">
        <f>F66/$F$124*$E$2</f>
        <v>#DIV/0!</v>
      </c>
      <c r="I66" s="25" t="str">
        <f t="shared" si="5"/>
        <v/>
      </c>
    </row>
    <row r="67" spans="1:9" hidden="1" x14ac:dyDescent="0.25">
      <c r="A67" s="3">
        <v>3109</v>
      </c>
      <c r="B67" s="3">
        <v>113.3711019</v>
      </c>
      <c r="C67" s="3">
        <v>22.948912419999999</v>
      </c>
      <c r="D67" s="3">
        <v>27</v>
      </c>
      <c r="E67" s="13">
        <f t="shared" si="3"/>
        <v>4.2480952560431462E-3</v>
      </c>
      <c r="F67" s="13">
        <f t="shared" si="4"/>
        <v>15.342738278490591</v>
      </c>
      <c r="G67" s="14" t="e">
        <f>F67/$F$124*$D$2</f>
        <v>#DIV/0!</v>
      </c>
      <c r="H67" s="14" t="e">
        <f>F67/$F$124*$E$2</f>
        <v>#DIV/0!</v>
      </c>
      <c r="I67" s="25" t="str">
        <f t="shared" si="5"/>
        <v/>
      </c>
    </row>
    <row r="68" spans="1:9" x14ac:dyDescent="0.25">
      <c r="A68" s="3">
        <v>2681</v>
      </c>
      <c r="B68" s="3">
        <v>113.37044520000001</v>
      </c>
      <c r="C68" s="3">
        <v>22.955660219999999</v>
      </c>
      <c r="D68" s="3">
        <v>27</v>
      </c>
      <c r="E68" s="13">
        <f t="shared" si="3"/>
        <v>4.2736319409160031E-3</v>
      </c>
      <c r="F68" s="13">
        <f t="shared" si="4"/>
        <v>15.296830052400864</v>
      </c>
      <c r="G68" s="14">
        <f>F68/$F$123*$D$2</f>
        <v>0</v>
      </c>
      <c r="H68" s="14">
        <f>F68/$F$123*$E$2</f>
        <v>38.844893969683646</v>
      </c>
      <c r="I68" s="25" t="str">
        <f t="shared" si="5"/>
        <v>选中</v>
      </c>
    </row>
    <row r="69" spans="1:9" hidden="1" x14ac:dyDescent="0.25">
      <c r="A69" s="3">
        <v>3118</v>
      </c>
      <c r="B69" s="3">
        <v>113.3714825</v>
      </c>
      <c r="C69" s="3">
        <v>22.949136939999999</v>
      </c>
      <c r="D69" s="3">
        <v>27</v>
      </c>
      <c r="E69" s="13">
        <f t="shared" ref="E69:E100" si="6">SQRT((B69-$B$2)^2+(C69-$C$2)^2)</f>
        <v>4.3646910291126034E-3</v>
      </c>
      <c r="F69" s="13">
        <f t="shared" ref="F69:F100" si="7">SQRT(1/E69)</f>
        <v>15.136422688428775</v>
      </c>
      <c r="G69" s="14" t="e">
        <f>F69/$F$124*$D$2</f>
        <v>#DIV/0!</v>
      </c>
      <c r="H69" s="14" t="e">
        <f>F69/$F$124*$E$2</f>
        <v>#DIV/0!</v>
      </c>
      <c r="I69" s="25" t="str">
        <f t="shared" ref="I69:I100" si="8">IF(MOD(ROW()-1,3)=1,"选中","")</f>
        <v/>
      </c>
    </row>
    <row r="70" spans="1:9" hidden="1" x14ac:dyDescent="0.25">
      <c r="A70" s="3">
        <v>3120</v>
      </c>
      <c r="B70" s="3">
        <v>113.3714825</v>
      </c>
      <c r="C70" s="3">
        <v>22.949136939999999</v>
      </c>
      <c r="D70" s="3">
        <v>27</v>
      </c>
      <c r="E70" s="13">
        <f t="shared" si="6"/>
        <v>4.3646910291126034E-3</v>
      </c>
      <c r="F70" s="13">
        <f t="shared" si="7"/>
        <v>15.136422688428775</v>
      </c>
      <c r="G70" s="14" t="e">
        <f>F70/$F$124*$D$2</f>
        <v>#DIV/0!</v>
      </c>
      <c r="H70" s="14" t="e">
        <f>F70/$F$124*$E$2</f>
        <v>#DIV/0!</v>
      </c>
      <c r="I70" s="25" t="str">
        <f t="shared" si="8"/>
        <v/>
      </c>
    </row>
    <row r="71" spans="1:9" x14ac:dyDescent="0.25">
      <c r="A71" s="3">
        <v>3076</v>
      </c>
      <c r="B71" s="3">
        <v>113.3710011</v>
      </c>
      <c r="C71" s="3">
        <v>22.94865763</v>
      </c>
      <c r="D71" s="3">
        <v>27</v>
      </c>
      <c r="E71" s="13">
        <f t="shared" si="6"/>
        <v>4.3727853387655578E-3</v>
      </c>
      <c r="F71" s="13">
        <f t="shared" si="7"/>
        <v>15.122406948697122</v>
      </c>
      <c r="G71" s="14">
        <f>F71/$F$123*$D$2</f>
        <v>0</v>
      </c>
      <c r="H71" s="14">
        <f>F71/$F$123*$E$2</f>
        <v>38.401962529246319</v>
      </c>
      <c r="I71" s="25" t="str">
        <f t="shared" si="8"/>
        <v>选中</v>
      </c>
    </row>
    <row r="72" spans="1:9" hidden="1" x14ac:dyDescent="0.25">
      <c r="A72" s="3">
        <v>3108</v>
      </c>
      <c r="B72" s="3">
        <v>113.3705396</v>
      </c>
      <c r="C72" s="3">
        <v>22.948306259999999</v>
      </c>
      <c r="D72" s="3">
        <v>27</v>
      </c>
      <c r="E72" s="13">
        <f t="shared" si="6"/>
        <v>4.3864240061382322E-3</v>
      </c>
      <c r="F72" s="13">
        <f t="shared" si="7"/>
        <v>15.098878665739896</v>
      </c>
      <c r="G72" s="14" t="e">
        <f>F72/$F$124*$D$2</f>
        <v>#DIV/0!</v>
      </c>
      <c r="H72" s="14" t="e">
        <f>F72/$F$124*$E$2</f>
        <v>#DIV/0!</v>
      </c>
      <c r="I72" s="25" t="str">
        <f t="shared" si="8"/>
        <v/>
      </c>
    </row>
    <row r="73" spans="1:9" hidden="1" x14ac:dyDescent="0.25">
      <c r="A73" s="3">
        <v>3137</v>
      </c>
      <c r="B73" s="3">
        <v>113.36452749999999</v>
      </c>
      <c r="C73" s="3">
        <v>22.94962357</v>
      </c>
      <c r="D73" s="3">
        <v>27</v>
      </c>
      <c r="E73" s="13">
        <f t="shared" si="6"/>
        <v>4.3902398092741804E-3</v>
      </c>
      <c r="F73" s="13">
        <f t="shared" si="7"/>
        <v>15.092315599088336</v>
      </c>
      <c r="G73" s="14" t="e">
        <f>F73/$F$124*$D$2</f>
        <v>#DIV/0!</v>
      </c>
      <c r="H73" s="14" t="e">
        <f>F73/$F$124*$E$2</f>
        <v>#DIV/0!</v>
      </c>
      <c r="I73" s="25" t="str">
        <f t="shared" si="8"/>
        <v/>
      </c>
    </row>
    <row r="74" spans="1:9" x14ac:dyDescent="0.25">
      <c r="A74" s="3">
        <v>3148</v>
      </c>
      <c r="B74" s="3">
        <v>113.36402390000001</v>
      </c>
      <c r="C74" s="3">
        <v>22.95341458</v>
      </c>
      <c r="D74" s="3">
        <v>27</v>
      </c>
      <c r="E74" s="13">
        <f t="shared" si="6"/>
        <v>4.4082087437337363E-3</v>
      </c>
      <c r="F74" s="13">
        <f t="shared" si="7"/>
        <v>15.061524208258202</v>
      </c>
      <c r="G74" s="14">
        <f>F74/$F$123*$D$2</f>
        <v>0</v>
      </c>
      <c r="H74" s="14">
        <f>F74/$F$123*$E$2</f>
        <v>38.247356405700977</v>
      </c>
      <c r="I74" s="25" t="str">
        <f t="shared" si="8"/>
        <v>选中</v>
      </c>
    </row>
    <row r="75" spans="1:9" hidden="1" x14ac:dyDescent="0.25">
      <c r="A75" s="3">
        <v>3177</v>
      </c>
      <c r="B75" s="3">
        <v>113.3717013</v>
      </c>
      <c r="C75" s="3">
        <v>22.94932064</v>
      </c>
      <c r="D75" s="3">
        <v>27</v>
      </c>
      <c r="E75" s="13">
        <f t="shared" si="6"/>
        <v>4.4166372236808761E-3</v>
      </c>
      <c r="F75" s="13">
        <f t="shared" si="7"/>
        <v>15.047146032017856</v>
      </c>
      <c r="G75" s="14" t="e">
        <f>F75/$F$124*$D$2</f>
        <v>#DIV/0!</v>
      </c>
      <c r="H75" s="14" t="e">
        <f>F75/$F$124*$E$2</f>
        <v>#DIV/0!</v>
      </c>
      <c r="I75" s="25" t="str">
        <f t="shared" si="8"/>
        <v/>
      </c>
    </row>
    <row r="76" spans="1:9" hidden="1" x14ac:dyDescent="0.25">
      <c r="A76" s="3">
        <v>3149</v>
      </c>
      <c r="B76" s="3">
        <v>113.3638481</v>
      </c>
      <c r="C76" s="3">
        <v>22.953063960000001</v>
      </c>
      <c r="D76" s="3">
        <v>27</v>
      </c>
      <c r="E76" s="13">
        <f t="shared" si="6"/>
        <v>4.4809346665177305E-3</v>
      </c>
      <c r="F76" s="13">
        <f t="shared" si="7"/>
        <v>14.938799350231706</v>
      </c>
      <c r="G76" s="14" t="e">
        <f>F76/$F$124*$D$2</f>
        <v>#DIV/0!</v>
      </c>
      <c r="H76" s="14" t="e">
        <f>F76/$F$124*$E$2</f>
        <v>#DIV/0!</v>
      </c>
      <c r="I76" s="25" t="str">
        <f t="shared" si="8"/>
        <v/>
      </c>
    </row>
    <row r="77" spans="1:9" x14ac:dyDescent="0.25">
      <c r="A77" s="3">
        <v>3083</v>
      </c>
      <c r="B77" s="3">
        <v>113.3648561</v>
      </c>
      <c r="C77" s="3">
        <v>22.949010430000001</v>
      </c>
      <c r="D77" s="3">
        <v>27</v>
      </c>
      <c r="E77" s="13">
        <f t="shared" si="6"/>
        <v>4.5033107273322066E-3</v>
      </c>
      <c r="F77" s="13">
        <f t="shared" si="7"/>
        <v>14.901639161864825</v>
      </c>
      <c r="G77" s="14">
        <f>F77/$F$123*$D$2</f>
        <v>0</v>
      </c>
      <c r="H77" s="14">
        <f>F77/$F$123*$E$2</f>
        <v>37.841343025594554</v>
      </c>
      <c r="I77" s="25" t="str">
        <f t="shared" si="8"/>
        <v>选中</v>
      </c>
    </row>
    <row r="78" spans="1:9" hidden="1" x14ac:dyDescent="0.25">
      <c r="A78" s="3">
        <v>3084</v>
      </c>
      <c r="B78" s="3">
        <v>113.3639709</v>
      </c>
      <c r="C78" s="3">
        <v>22.95361157</v>
      </c>
      <c r="D78" s="3">
        <v>27</v>
      </c>
      <c r="E78" s="13">
        <f t="shared" si="6"/>
        <v>4.5239936143740469E-3</v>
      </c>
      <c r="F78" s="13">
        <f t="shared" si="7"/>
        <v>14.867536329018705</v>
      </c>
      <c r="G78" s="14" t="e">
        <f>F78/$F$124*$D$2</f>
        <v>#DIV/0!</v>
      </c>
      <c r="H78" s="14" t="e">
        <f>F78/$F$124*$E$2</f>
        <v>#DIV/0!</v>
      </c>
      <c r="I78" s="25" t="str">
        <f t="shared" si="8"/>
        <v/>
      </c>
    </row>
    <row r="79" spans="1:9" hidden="1" x14ac:dyDescent="0.25">
      <c r="A79" s="3">
        <v>3129</v>
      </c>
      <c r="B79" s="3">
        <v>113.3638291</v>
      </c>
      <c r="C79" s="3">
        <v>22.953476800000001</v>
      </c>
      <c r="D79" s="3">
        <v>27</v>
      </c>
      <c r="E79" s="13">
        <f t="shared" si="6"/>
        <v>4.6126884937042678E-3</v>
      </c>
      <c r="F79" s="13">
        <f t="shared" si="7"/>
        <v>14.723902627367757</v>
      </c>
      <c r="G79" s="14" t="e">
        <f>F79/$F$124*$D$2</f>
        <v>#DIV/0!</v>
      </c>
      <c r="H79" s="14" t="e">
        <f>F79/$F$124*$E$2</f>
        <v>#DIV/0!</v>
      </c>
      <c r="I79" s="25" t="str">
        <f t="shared" si="8"/>
        <v/>
      </c>
    </row>
    <row r="80" spans="1:9" x14ac:dyDescent="0.25">
      <c r="A80" s="3">
        <v>3198</v>
      </c>
      <c r="B80" s="3">
        <v>113.37282999999999</v>
      </c>
      <c r="C80" s="3">
        <v>22.952426200000001</v>
      </c>
      <c r="D80" s="3">
        <v>27</v>
      </c>
      <c r="E80" s="13">
        <f t="shared" si="6"/>
        <v>4.6419802293799044E-3</v>
      </c>
      <c r="F80" s="13">
        <f t="shared" si="7"/>
        <v>14.677373864310452</v>
      </c>
      <c r="G80" s="14">
        <f>F80/$F$123*$D$2</f>
        <v>0</v>
      </c>
      <c r="H80" s="14">
        <f>F80/$F$123*$E$2</f>
        <v>37.271841914924124</v>
      </c>
      <c r="I80" s="25" t="str">
        <f t="shared" si="8"/>
        <v>选中</v>
      </c>
    </row>
    <row r="81" spans="1:9" hidden="1" x14ac:dyDescent="0.25">
      <c r="A81" s="3">
        <v>2675</v>
      </c>
      <c r="B81" s="3">
        <v>113.36460700000001</v>
      </c>
      <c r="C81" s="3">
        <v>22.95503317</v>
      </c>
      <c r="D81" s="3">
        <v>27</v>
      </c>
      <c r="E81" s="13">
        <f t="shared" si="6"/>
        <v>4.6934792080966913E-3</v>
      </c>
      <c r="F81" s="13">
        <f t="shared" si="7"/>
        <v>14.596628363913128</v>
      </c>
      <c r="G81" s="14" t="e">
        <f>F81/$F$124*$D$2</f>
        <v>#DIV/0!</v>
      </c>
      <c r="H81" s="14" t="e">
        <f>F81/$F$124*$E$2</f>
        <v>#DIV/0!</v>
      </c>
      <c r="I81" s="25" t="str">
        <f t="shared" si="8"/>
        <v/>
      </c>
    </row>
    <row r="82" spans="1:9" hidden="1" x14ac:dyDescent="0.25">
      <c r="A82" s="3">
        <v>2655</v>
      </c>
      <c r="B82" s="3">
        <v>113.36752130000001</v>
      </c>
      <c r="C82" s="3">
        <v>22.956741969999999</v>
      </c>
      <c r="D82" s="3">
        <v>27</v>
      </c>
      <c r="E82" s="13">
        <f t="shared" si="6"/>
        <v>4.7710279645873585E-3</v>
      </c>
      <c r="F82" s="13">
        <f t="shared" si="7"/>
        <v>14.477514845681998</v>
      </c>
      <c r="G82" s="14" t="e">
        <f>F82/$F$124*$D$2</f>
        <v>#DIV/0!</v>
      </c>
      <c r="H82" s="14" t="e">
        <f>F82/$F$124*$E$2</f>
        <v>#DIV/0!</v>
      </c>
      <c r="I82" s="25" t="str">
        <f t="shared" si="8"/>
        <v/>
      </c>
    </row>
    <row r="83" spans="1:9" x14ac:dyDescent="0.25">
      <c r="A83" s="3">
        <v>3182</v>
      </c>
      <c r="B83" s="3">
        <v>113.3729769</v>
      </c>
      <c r="C83" s="3">
        <v>22.951880299999999</v>
      </c>
      <c r="D83" s="3">
        <v>27</v>
      </c>
      <c r="E83" s="13">
        <f t="shared" si="6"/>
        <v>4.7731535917036405E-3</v>
      </c>
      <c r="F83" s="13">
        <f t="shared" si="7"/>
        <v>14.474290852945769</v>
      </c>
      <c r="G83" s="14">
        <f>F83/$F$123*$D$2</f>
        <v>0</v>
      </c>
      <c r="H83" s="14">
        <f>F83/$F$123*$E$2</f>
        <v>36.756131273145307</v>
      </c>
      <c r="I83" s="25" t="str">
        <f t="shared" si="8"/>
        <v>选中</v>
      </c>
    </row>
    <row r="84" spans="1:9" hidden="1" x14ac:dyDescent="0.25">
      <c r="A84" s="3">
        <v>3193</v>
      </c>
      <c r="B84" s="3">
        <v>113.3731107</v>
      </c>
      <c r="C84" s="3">
        <v>22.95217804</v>
      </c>
      <c r="D84" s="3">
        <v>27</v>
      </c>
      <c r="E84" s="13">
        <f t="shared" si="6"/>
        <v>4.9074357782447091E-3</v>
      </c>
      <c r="F84" s="13">
        <f t="shared" si="7"/>
        <v>14.274887279802753</v>
      </c>
      <c r="G84" s="14" t="e">
        <f>F84/$F$124*$D$2</f>
        <v>#DIV/0!</v>
      </c>
      <c r="H84" s="14" t="e">
        <f>F84/$F$124*$E$2</f>
        <v>#DIV/0!</v>
      </c>
      <c r="I84" s="25" t="str">
        <f t="shared" si="8"/>
        <v/>
      </c>
    </row>
    <row r="85" spans="1:9" hidden="1" x14ac:dyDescent="0.25">
      <c r="A85" s="3">
        <v>3110</v>
      </c>
      <c r="B85" s="3">
        <v>113.37125279999999</v>
      </c>
      <c r="C85" s="3">
        <v>22.948082620000001</v>
      </c>
      <c r="D85" s="3">
        <v>27</v>
      </c>
      <c r="E85" s="13">
        <f t="shared" si="6"/>
        <v>4.9789087943413789E-3</v>
      </c>
      <c r="F85" s="13">
        <f t="shared" si="7"/>
        <v>14.172057790352401</v>
      </c>
      <c r="G85" s="14" t="e">
        <f>F85/$F$124*$D$2</f>
        <v>#DIV/0!</v>
      </c>
      <c r="H85" s="14" t="e">
        <f>F85/$F$124*$E$2</f>
        <v>#DIV/0!</v>
      </c>
      <c r="I85" s="25" t="str">
        <f t="shared" si="8"/>
        <v/>
      </c>
    </row>
    <row r="86" spans="1:9" x14ac:dyDescent="0.25">
      <c r="A86" s="3">
        <v>3176</v>
      </c>
      <c r="B86" s="3">
        <v>113.37183020000001</v>
      </c>
      <c r="C86" s="3">
        <v>22.94855583</v>
      </c>
      <c r="D86" s="3">
        <v>27</v>
      </c>
      <c r="E86" s="13">
        <f t="shared" si="6"/>
        <v>5.013863554281732E-3</v>
      </c>
      <c r="F86" s="13">
        <f t="shared" si="7"/>
        <v>14.122570274646842</v>
      </c>
      <c r="G86" s="14">
        <f>F86/$F$123*$D$2</f>
        <v>0</v>
      </c>
      <c r="H86" s="14">
        <f>F86/$F$123*$E$2</f>
        <v>35.862969191578394</v>
      </c>
      <c r="I86" s="25" t="str">
        <f t="shared" si="8"/>
        <v>选中</v>
      </c>
    </row>
    <row r="87" spans="1:9" hidden="1" x14ac:dyDescent="0.25">
      <c r="A87" s="3">
        <v>3152</v>
      </c>
      <c r="B87" s="3">
        <v>113.3637805</v>
      </c>
      <c r="C87" s="3">
        <v>22.949612510000001</v>
      </c>
      <c r="D87" s="3">
        <v>27</v>
      </c>
      <c r="E87" s="13">
        <f t="shared" si="6"/>
        <v>5.0379294133646854E-3</v>
      </c>
      <c r="F87" s="13">
        <f t="shared" si="7"/>
        <v>14.088798598143606</v>
      </c>
      <c r="G87" s="14" t="e">
        <f>F87/$F$124*$D$2</f>
        <v>#DIV/0!</v>
      </c>
      <c r="H87" s="14" t="e">
        <f>F87/$F$124*$E$2</f>
        <v>#DIV/0!</v>
      </c>
      <c r="I87" s="25" t="str">
        <f t="shared" si="8"/>
        <v/>
      </c>
    </row>
    <row r="88" spans="1:9" hidden="1" x14ac:dyDescent="0.25">
      <c r="A88" s="3">
        <v>3105</v>
      </c>
      <c r="B88" s="3">
        <v>113.3636266</v>
      </c>
      <c r="C88" s="3">
        <v>22.949822619999999</v>
      </c>
      <c r="D88" s="3">
        <v>27</v>
      </c>
      <c r="E88" s="13">
        <f t="shared" si="6"/>
        <v>5.0792588063970009E-3</v>
      </c>
      <c r="F88" s="13">
        <f t="shared" si="7"/>
        <v>14.031361986689637</v>
      </c>
      <c r="G88" s="14" t="e">
        <f>F88/$F$124*$D$2</f>
        <v>#DIV/0!</v>
      </c>
      <c r="H88" s="14" t="e">
        <f>F88/$F$124*$E$2</f>
        <v>#DIV/0!</v>
      </c>
      <c r="I88" s="25" t="str">
        <f t="shared" si="8"/>
        <v/>
      </c>
    </row>
    <row r="89" spans="1:9" x14ac:dyDescent="0.25">
      <c r="A89" s="3">
        <v>2657</v>
      </c>
      <c r="B89" s="3">
        <v>113.3674754</v>
      </c>
      <c r="C89" s="3">
        <v>22.957046890000001</v>
      </c>
      <c r="D89" s="3">
        <v>27</v>
      </c>
      <c r="E89" s="13">
        <f t="shared" si="6"/>
        <v>5.0793790159912094E-3</v>
      </c>
      <c r="F89" s="13">
        <f t="shared" si="7"/>
        <v>14.031195951205291</v>
      </c>
      <c r="G89" s="14">
        <f>F89/$F$123*$D$2</f>
        <v>0</v>
      </c>
      <c r="H89" s="14">
        <f>F89/$F$123*$E$2</f>
        <v>35.630932495512631</v>
      </c>
      <c r="I89" s="25" t="str">
        <f t="shared" si="8"/>
        <v>选中</v>
      </c>
    </row>
    <row r="90" spans="1:9" hidden="1" x14ac:dyDescent="0.25">
      <c r="A90" s="3">
        <v>2686</v>
      </c>
      <c r="B90" s="3">
        <v>113.3636253</v>
      </c>
      <c r="C90" s="3">
        <v>22.954317700000001</v>
      </c>
      <c r="D90" s="3">
        <v>27</v>
      </c>
      <c r="E90" s="13">
        <f t="shared" si="6"/>
        <v>5.124356253230873E-3</v>
      </c>
      <c r="F90" s="13">
        <f t="shared" si="7"/>
        <v>13.969483290235168</v>
      </c>
      <c r="G90" s="14" t="e">
        <f>F90/$F$124*$D$2</f>
        <v>#DIV/0!</v>
      </c>
      <c r="H90" s="14" t="e">
        <f>F90/$F$124*$E$2</f>
        <v>#DIV/0!</v>
      </c>
      <c r="I90" s="25" t="str">
        <f t="shared" si="8"/>
        <v/>
      </c>
    </row>
    <row r="91" spans="1:9" hidden="1" x14ac:dyDescent="0.25">
      <c r="A91" s="3">
        <v>3093</v>
      </c>
      <c r="B91" s="3">
        <v>113.36377950000001</v>
      </c>
      <c r="C91" s="3">
        <v>22.949383610000002</v>
      </c>
      <c r="D91" s="3">
        <v>27</v>
      </c>
      <c r="E91" s="13">
        <f t="shared" si="6"/>
        <v>5.1521127555616579E-3</v>
      </c>
      <c r="F91" s="13">
        <f t="shared" si="7"/>
        <v>13.931802861000516</v>
      </c>
      <c r="G91" s="14" t="e">
        <f>F91/$F$124*$D$2</f>
        <v>#DIV/0!</v>
      </c>
      <c r="H91" s="14" t="e">
        <f>F91/$F$124*$E$2</f>
        <v>#DIV/0!</v>
      </c>
      <c r="I91" s="25" t="str">
        <f t="shared" si="8"/>
        <v/>
      </c>
    </row>
    <row r="92" spans="1:9" x14ac:dyDescent="0.25">
      <c r="A92" s="3">
        <v>3141</v>
      </c>
      <c r="B92" s="3">
        <v>113.3630412</v>
      </c>
      <c r="C92" s="3">
        <v>22.95223833</v>
      </c>
      <c r="D92" s="3">
        <v>27</v>
      </c>
      <c r="E92" s="13">
        <f t="shared" si="6"/>
        <v>5.1692001548503622E-3</v>
      </c>
      <c r="F92" s="13">
        <f t="shared" si="7"/>
        <v>13.908757193449789</v>
      </c>
      <c r="G92" s="14">
        <f>F92/$F$123*$D$2</f>
        <v>0</v>
      </c>
      <c r="H92" s="14">
        <f>F92/$F$123*$E$2</f>
        <v>35.320010523672728</v>
      </c>
      <c r="I92" s="25" t="str">
        <f t="shared" si="8"/>
        <v>选中</v>
      </c>
    </row>
    <row r="93" spans="1:9" hidden="1" x14ac:dyDescent="0.25">
      <c r="A93" s="3">
        <v>3172</v>
      </c>
      <c r="B93" s="3">
        <v>113.3721369</v>
      </c>
      <c r="C93" s="3">
        <v>22.9486165</v>
      </c>
      <c r="D93" s="3">
        <v>27</v>
      </c>
      <c r="E93" s="13">
        <f t="shared" si="6"/>
        <v>5.1999424660304832E-3</v>
      </c>
      <c r="F93" s="13">
        <f t="shared" si="7"/>
        <v>13.867581622863929</v>
      </c>
      <c r="G93" s="14" t="e">
        <f>F93/$F$124*$D$2</f>
        <v>#DIV/0!</v>
      </c>
      <c r="H93" s="14" t="e">
        <f>F93/$F$124*$E$2</f>
        <v>#DIV/0!</v>
      </c>
      <c r="I93" s="25" t="str">
        <f t="shared" si="8"/>
        <v/>
      </c>
    </row>
    <row r="94" spans="1:9" hidden="1" x14ac:dyDescent="0.25">
      <c r="A94" s="3">
        <v>3075</v>
      </c>
      <c r="B94" s="3">
        <v>113.36516880000001</v>
      </c>
      <c r="C94" s="3">
        <v>22.947772570000001</v>
      </c>
      <c r="D94" s="3">
        <v>27</v>
      </c>
      <c r="E94" s="13">
        <f t="shared" si="6"/>
        <v>5.2217410078293338E-3</v>
      </c>
      <c r="F94" s="13">
        <f t="shared" si="7"/>
        <v>13.838605731146609</v>
      </c>
      <c r="G94" s="14" t="e">
        <f>F94/$F$124*$D$2</f>
        <v>#DIV/0!</v>
      </c>
      <c r="H94" s="14" t="e">
        <f>F94/$F$124*$E$2</f>
        <v>#DIV/0!</v>
      </c>
      <c r="I94" s="25" t="str">
        <f t="shared" si="8"/>
        <v/>
      </c>
    </row>
    <row r="95" spans="1:9" x14ac:dyDescent="0.25">
      <c r="A95" s="3">
        <v>3174</v>
      </c>
      <c r="B95" s="3">
        <v>113.3731349</v>
      </c>
      <c r="C95" s="3">
        <v>22.949767040000001</v>
      </c>
      <c r="D95" s="3">
        <v>27</v>
      </c>
      <c r="E95" s="13">
        <f t="shared" si="6"/>
        <v>5.4197054751694614E-3</v>
      </c>
      <c r="F95" s="13">
        <f t="shared" si="7"/>
        <v>13.58351469475668</v>
      </c>
      <c r="G95" s="14">
        <f>F95/$F$123*$D$2</f>
        <v>0</v>
      </c>
      <c r="H95" s="14">
        <f>F95/$F$123*$E$2</f>
        <v>34.494087091635528</v>
      </c>
      <c r="I95" s="25" t="str">
        <f t="shared" si="8"/>
        <v>选中</v>
      </c>
    </row>
    <row r="96" spans="1:9" hidden="1" x14ac:dyDescent="0.25">
      <c r="A96" s="3">
        <v>3168</v>
      </c>
      <c r="B96" s="3">
        <v>113.37320579999999</v>
      </c>
      <c r="C96" s="3">
        <v>22.949665020000001</v>
      </c>
      <c r="D96" s="3">
        <v>27</v>
      </c>
      <c r="E96" s="13">
        <f t="shared" si="6"/>
        <v>5.5269651598642529E-3</v>
      </c>
      <c r="F96" s="13">
        <f t="shared" si="7"/>
        <v>13.451063921476605</v>
      </c>
      <c r="G96" s="14" t="e">
        <f>F96/$F$124*$D$2</f>
        <v>#DIV/0!</v>
      </c>
      <c r="H96" s="14" t="e">
        <f>F96/$F$124*$E$2</f>
        <v>#DIV/0!</v>
      </c>
      <c r="I96" s="25" t="str">
        <f t="shared" si="8"/>
        <v/>
      </c>
    </row>
    <row r="97" spans="1:9" hidden="1" x14ac:dyDescent="0.25">
      <c r="A97" s="3">
        <v>3139</v>
      </c>
      <c r="B97" s="3">
        <v>113.36278950000001</v>
      </c>
      <c r="C97" s="3">
        <v>22.95329821</v>
      </c>
      <c r="D97" s="3">
        <v>27</v>
      </c>
      <c r="E97" s="13">
        <f t="shared" si="6"/>
        <v>5.5650120986412083E-3</v>
      </c>
      <c r="F97" s="13">
        <f t="shared" si="7"/>
        <v>13.405003866147537</v>
      </c>
      <c r="G97" s="14" t="e">
        <f>F97/$F$124*$D$2</f>
        <v>#DIV/0!</v>
      </c>
      <c r="H97" s="14" t="e">
        <f>F97/$F$124*$E$2</f>
        <v>#DIV/0!</v>
      </c>
      <c r="I97" s="25" t="str">
        <f t="shared" si="8"/>
        <v/>
      </c>
    </row>
    <row r="98" spans="1:9" x14ac:dyDescent="0.25">
      <c r="A98" s="3">
        <v>3100</v>
      </c>
      <c r="B98" s="3">
        <v>113.3664553</v>
      </c>
      <c r="C98" s="3">
        <v>22.946668500000001</v>
      </c>
      <c r="D98" s="3">
        <v>27</v>
      </c>
      <c r="E98" s="13">
        <f t="shared" si="6"/>
        <v>5.6308093103919418E-3</v>
      </c>
      <c r="F98" s="13">
        <f t="shared" si="7"/>
        <v>13.326453553166061</v>
      </c>
      <c r="G98" s="14">
        <f>F98/$F$123*$D$2</f>
        <v>0</v>
      </c>
      <c r="H98" s="14">
        <f>F98/$F$123*$E$2</f>
        <v>33.841303949336961</v>
      </c>
      <c r="I98" s="25" t="str">
        <f t="shared" si="8"/>
        <v>选中</v>
      </c>
    </row>
    <row r="99" spans="1:9" hidden="1" x14ac:dyDescent="0.25">
      <c r="A99" s="3">
        <v>3126</v>
      </c>
      <c r="B99" s="3">
        <v>113.3626297</v>
      </c>
      <c r="C99" s="3">
        <v>22.95297755</v>
      </c>
      <c r="D99" s="3">
        <v>27</v>
      </c>
      <c r="E99" s="13">
        <f t="shared" si="6"/>
        <v>5.6576690228827171E-3</v>
      </c>
      <c r="F99" s="13">
        <f t="shared" si="7"/>
        <v>13.294782333493838</v>
      </c>
      <c r="G99" s="14" t="e">
        <f>F99/$F$124*$D$2</f>
        <v>#DIV/0!</v>
      </c>
      <c r="H99" s="14" t="e">
        <f>F99/$F$124*$E$2</f>
        <v>#DIV/0!</v>
      </c>
      <c r="I99" s="25" t="str">
        <f t="shared" si="8"/>
        <v/>
      </c>
    </row>
    <row r="100" spans="1:9" hidden="1" x14ac:dyDescent="0.25">
      <c r="A100" s="3">
        <v>3167</v>
      </c>
      <c r="B100" s="3">
        <v>113.3733557</v>
      </c>
      <c r="C100" s="3">
        <v>22.9496219</v>
      </c>
      <c r="D100" s="3">
        <v>27</v>
      </c>
      <c r="E100" s="13">
        <f t="shared" si="6"/>
        <v>5.6810027785654509E-3</v>
      </c>
      <c r="F100" s="13">
        <f t="shared" si="7"/>
        <v>13.267451207992705</v>
      </c>
      <c r="G100" s="14" t="e">
        <f>F100/$F$124*$D$2</f>
        <v>#DIV/0!</v>
      </c>
      <c r="H100" s="14" t="e">
        <f>F100/$F$124*$E$2</f>
        <v>#DIV/0!</v>
      </c>
      <c r="I100" s="25" t="str">
        <f t="shared" si="8"/>
        <v/>
      </c>
    </row>
    <row r="101" spans="1:9" x14ac:dyDescent="0.25">
      <c r="A101" s="3">
        <v>3151</v>
      </c>
      <c r="B101" s="3">
        <v>113.3676299</v>
      </c>
      <c r="C101" s="3">
        <v>22.946355270000002</v>
      </c>
      <c r="D101" s="3">
        <v>27</v>
      </c>
      <c r="E101" s="13">
        <f t="shared" ref="E101:E121" si="9">SQRT((B101-$B$2)^2+(C101-$C$2)^2)</f>
        <v>5.694227402457213E-3</v>
      </c>
      <c r="F101" s="13">
        <f t="shared" ref="F101:F121" si="10">SQRT(1/E101)</f>
        <v>13.252035680006911</v>
      </c>
      <c r="G101" s="14">
        <f>F101/$F$123*$D$2</f>
        <v>0</v>
      </c>
      <c r="H101" s="14">
        <f>F101/$F$123*$E$2</f>
        <v>33.652326600277448</v>
      </c>
      <c r="I101" s="25" t="str">
        <f t="shared" ref="I101:I121" si="11">IF(MOD(ROW()-1,3)=1,"选中","")</f>
        <v>选中</v>
      </c>
    </row>
    <row r="102" spans="1:9" hidden="1" x14ac:dyDescent="0.25">
      <c r="A102" s="3">
        <v>3145</v>
      </c>
      <c r="B102" s="3">
        <v>113.3665172</v>
      </c>
      <c r="C102" s="3">
        <v>22.946542480000002</v>
      </c>
      <c r="D102" s="3">
        <v>27</v>
      </c>
      <c r="E102" s="13">
        <f t="shared" si="9"/>
        <v>5.7321795080382985E-3</v>
      </c>
      <c r="F102" s="13">
        <f t="shared" si="10"/>
        <v>13.20809271682927</v>
      </c>
      <c r="G102" s="14" t="e">
        <f>F102/$F$124*$D$2</f>
        <v>#DIV/0!</v>
      </c>
      <c r="H102" s="14" t="e">
        <f>F102/$F$124*$E$2</f>
        <v>#DIV/0!</v>
      </c>
      <c r="I102" s="25" t="str">
        <f t="shared" si="11"/>
        <v/>
      </c>
    </row>
    <row r="103" spans="1:9" hidden="1" x14ac:dyDescent="0.25">
      <c r="A103" s="3">
        <v>2712</v>
      </c>
      <c r="B103" s="3">
        <v>113.37350720000001</v>
      </c>
      <c r="C103" s="3">
        <v>22.95422679</v>
      </c>
      <c r="D103" s="3">
        <v>27</v>
      </c>
      <c r="E103" s="13">
        <f t="shared" si="9"/>
        <v>5.742250436908472E-3</v>
      </c>
      <c r="F103" s="13">
        <f t="shared" si="10"/>
        <v>13.196505261915316</v>
      </c>
      <c r="G103" s="14" t="e">
        <f>F103/$F$124*$D$2</f>
        <v>#DIV/0!</v>
      </c>
      <c r="H103" s="14" t="e">
        <f>F103/$F$124*$E$2</f>
        <v>#DIV/0!</v>
      </c>
      <c r="I103" s="25" t="str">
        <f t="shared" si="11"/>
        <v/>
      </c>
    </row>
    <row r="104" spans="1:9" x14ac:dyDescent="0.25">
      <c r="A104" s="3">
        <v>3150</v>
      </c>
      <c r="B104" s="3">
        <v>113.363429</v>
      </c>
      <c r="C104" s="3">
        <v>22.948822289999999</v>
      </c>
      <c r="D104" s="3">
        <v>27</v>
      </c>
      <c r="E104" s="13">
        <f t="shared" si="9"/>
        <v>5.7484855570950934E-3</v>
      </c>
      <c r="F104" s="13">
        <f t="shared" si="10"/>
        <v>13.189346496404758</v>
      </c>
      <c r="G104" s="14">
        <f>F104/$F$123*$D$2</f>
        <v>0</v>
      </c>
      <c r="H104" s="14">
        <f>F104/$F$123*$E$2</f>
        <v>33.493133180351236</v>
      </c>
      <c r="I104" s="25" t="str">
        <f t="shared" si="11"/>
        <v>选中</v>
      </c>
    </row>
    <row r="105" spans="1:9" hidden="1" x14ac:dyDescent="0.25">
      <c r="A105" s="3">
        <v>3171</v>
      </c>
      <c r="B105" s="3">
        <v>113.3732488</v>
      </c>
      <c r="C105" s="3">
        <v>22.94898727</v>
      </c>
      <c r="D105" s="3">
        <v>27</v>
      </c>
      <c r="E105" s="13">
        <f t="shared" si="9"/>
        <v>5.8848211511406028E-3</v>
      </c>
      <c r="F105" s="13">
        <f t="shared" si="10"/>
        <v>13.035670241678257</v>
      </c>
      <c r="G105" s="14" t="e">
        <f>F105/$F$124*$D$2</f>
        <v>#DIV/0!</v>
      </c>
      <c r="H105" s="14" t="e">
        <f>F105/$F$124*$E$2</f>
        <v>#DIV/0!</v>
      </c>
      <c r="I105" s="25" t="str">
        <f t="shared" si="11"/>
        <v/>
      </c>
    </row>
    <row r="106" spans="1:9" hidden="1" x14ac:dyDescent="0.25">
      <c r="A106" s="3">
        <v>3114</v>
      </c>
      <c r="B106" s="3">
        <v>113.3627448</v>
      </c>
      <c r="C106" s="3">
        <v>22.949790759999999</v>
      </c>
      <c r="D106" s="3">
        <v>27</v>
      </c>
      <c r="E106" s="13">
        <f t="shared" si="9"/>
        <v>5.8985904766794646E-3</v>
      </c>
      <c r="F106" s="13">
        <f t="shared" si="10"/>
        <v>13.02044649801751</v>
      </c>
      <c r="G106" s="14" t="e">
        <f>F106/$F$124*$D$2</f>
        <v>#DIV/0!</v>
      </c>
      <c r="H106" s="14" t="e">
        <f>F106/$F$124*$E$2</f>
        <v>#DIV/0!</v>
      </c>
      <c r="I106" s="25" t="str">
        <f t="shared" si="11"/>
        <v/>
      </c>
    </row>
    <row r="107" spans="1:9" x14ac:dyDescent="0.25">
      <c r="A107" s="3">
        <v>3133</v>
      </c>
      <c r="B107" s="3">
        <v>113.3666032</v>
      </c>
      <c r="C107" s="3">
        <v>22.946264490000001</v>
      </c>
      <c r="D107" s="3">
        <v>27</v>
      </c>
      <c r="E107" s="13">
        <f t="shared" si="9"/>
        <v>5.9747531761651833E-3</v>
      </c>
      <c r="F107" s="13">
        <f t="shared" si="10"/>
        <v>12.937191763821259</v>
      </c>
      <c r="G107" s="14">
        <f>F107/$F$123*$D$2</f>
        <v>0</v>
      </c>
      <c r="H107" s="14">
        <f>F107/$F$123*$E$2</f>
        <v>32.852809412772828</v>
      </c>
      <c r="I107" s="25" t="str">
        <f t="shared" si="11"/>
        <v>选中</v>
      </c>
    </row>
    <row r="108" spans="1:9" hidden="1" x14ac:dyDescent="0.25">
      <c r="A108" s="3">
        <v>2663</v>
      </c>
      <c r="B108" s="3">
        <v>113.3679028</v>
      </c>
      <c r="C108" s="3">
        <v>22.958145930000001</v>
      </c>
      <c r="D108" s="3">
        <v>27</v>
      </c>
      <c r="E108" s="13">
        <f t="shared" si="9"/>
        <v>6.1331192632213894E-3</v>
      </c>
      <c r="F108" s="13">
        <f t="shared" si="10"/>
        <v>12.769070801076964</v>
      </c>
      <c r="G108" s="14" t="e">
        <f>F108/$F$124*$D$2</f>
        <v>#DIV/0!</v>
      </c>
      <c r="H108" s="14" t="e">
        <f>F108/$F$124*$E$2</f>
        <v>#DIV/0!</v>
      </c>
      <c r="I108" s="25" t="str">
        <f t="shared" si="11"/>
        <v/>
      </c>
    </row>
    <row r="109" spans="1:9" hidden="1" x14ac:dyDescent="0.25">
      <c r="A109" s="3">
        <v>3094</v>
      </c>
      <c r="B109" s="3">
        <v>113.3661657</v>
      </c>
      <c r="C109" s="3">
        <v>22.946180049999999</v>
      </c>
      <c r="D109" s="3">
        <v>27</v>
      </c>
      <c r="E109" s="13">
        <f t="shared" si="9"/>
        <v>6.1863178121183771E-3</v>
      </c>
      <c r="F109" s="13">
        <f t="shared" si="10"/>
        <v>12.714049158655545</v>
      </c>
      <c r="G109" s="14" t="e">
        <f>F109/$F$124*$D$2</f>
        <v>#DIV/0!</v>
      </c>
      <c r="H109" s="14" t="e">
        <f>F109/$F$124*$E$2</f>
        <v>#DIV/0!</v>
      </c>
      <c r="I109" s="25" t="str">
        <f t="shared" si="11"/>
        <v/>
      </c>
    </row>
    <row r="110" spans="1:9" x14ac:dyDescent="0.25">
      <c r="A110" s="3">
        <v>2713</v>
      </c>
      <c r="B110" s="3">
        <v>113.3727548</v>
      </c>
      <c r="C110" s="3">
        <v>22.95624565</v>
      </c>
      <c r="D110" s="3">
        <v>27</v>
      </c>
      <c r="E110" s="13">
        <f t="shared" si="9"/>
        <v>6.208621716811539E-3</v>
      </c>
      <c r="F110" s="13">
        <f t="shared" si="10"/>
        <v>12.691191583369156</v>
      </c>
      <c r="G110" s="14">
        <f>F110/$F$123*$D$2</f>
        <v>0</v>
      </c>
      <c r="H110" s="14">
        <f>F110/$F$123*$E$2</f>
        <v>32.22811456466048</v>
      </c>
      <c r="I110" s="25" t="str">
        <f t="shared" si="11"/>
        <v>选中</v>
      </c>
    </row>
    <row r="111" spans="1:9" hidden="1" x14ac:dyDescent="0.25">
      <c r="A111" s="3">
        <v>2658</v>
      </c>
      <c r="B111" s="3">
        <v>113.3654887</v>
      </c>
      <c r="C111" s="3">
        <v>22.957637980000001</v>
      </c>
      <c r="D111" s="3">
        <v>27</v>
      </c>
      <c r="E111" s="13">
        <f t="shared" si="9"/>
        <v>6.2402693044766241E-3</v>
      </c>
      <c r="F111" s="13">
        <f t="shared" si="10"/>
        <v>12.658968925066723</v>
      </c>
      <c r="G111" s="14" t="e">
        <f>F111/$F$124*$D$2</f>
        <v>#DIV/0!</v>
      </c>
      <c r="H111" s="14" t="e">
        <f>F111/$F$124*$E$2</f>
        <v>#DIV/0!</v>
      </c>
      <c r="I111" s="25" t="str">
        <f t="shared" si="11"/>
        <v/>
      </c>
    </row>
    <row r="112" spans="1:9" hidden="1" x14ac:dyDescent="0.25">
      <c r="A112" s="3">
        <v>3097</v>
      </c>
      <c r="B112" s="3">
        <v>113.36745019999999</v>
      </c>
      <c r="C112" s="3">
        <v>22.945315910000001</v>
      </c>
      <c r="D112" s="3">
        <v>27</v>
      </c>
      <c r="E112" s="13">
        <f t="shared" si="9"/>
        <v>6.7468345638603206E-3</v>
      </c>
      <c r="F112" s="13">
        <f t="shared" si="10"/>
        <v>12.174467353305541</v>
      </c>
      <c r="G112" s="14" t="e">
        <f>F112/$F$124*$D$2</f>
        <v>#DIV/0!</v>
      </c>
      <c r="H112" s="14" t="e">
        <f>F112/$F$124*$E$2</f>
        <v>#DIV/0!</v>
      </c>
      <c r="I112" s="25" t="str">
        <f t="shared" si="11"/>
        <v/>
      </c>
    </row>
    <row r="113" spans="1:9" x14ac:dyDescent="0.25">
      <c r="A113" s="3">
        <v>2706</v>
      </c>
      <c r="B113" s="3">
        <v>113.3727797</v>
      </c>
      <c r="C113" s="3">
        <v>22.957147240000001</v>
      </c>
      <c r="D113" s="3">
        <v>27</v>
      </c>
      <c r="E113" s="13">
        <f t="shared" si="9"/>
        <v>6.8706677239970112E-3</v>
      </c>
      <c r="F113" s="13">
        <f t="shared" si="10"/>
        <v>12.064255522825896</v>
      </c>
      <c r="G113" s="14">
        <f>F113/$F$123*$D$2</f>
        <v>0</v>
      </c>
      <c r="H113" s="14">
        <f>F113/$F$123*$E$2</f>
        <v>30.63606806129021</v>
      </c>
      <c r="I113" s="25" t="str">
        <f t="shared" si="11"/>
        <v>选中</v>
      </c>
    </row>
    <row r="114" spans="1:9" hidden="1" x14ac:dyDescent="0.25">
      <c r="A114" s="3">
        <v>2659</v>
      </c>
      <c r="B114" s="3">
        <v>113.367637</v>
      </c>
      <c r="C114" s="3">
        <v>22.95949066</v>
      </c>
      <c r="D114" s="3">
        <v>27</v>
      </c>
      <c r="E114" s="13">
        <f t="shared" si="9"/>
        <v>7.4919831800121118E-3</v>
      </c>
      <c r="F114" s="13">
        <f t="shared" si="10"/>
        <v>11.553181686568628</v>
      </c>
      <c r="G114" s="14" t="e">
        <f>F114/$F$124*$D$2</f>
        <v>#DIV/0!</v>
      </c>
      <c r="H114" s="14" t="e">
        <f>F114/$F$124*$E$2</f>
        <v>#DIV/0!</v>
      </c>
      <c r="I114" s="25" t="str">
        <f t="shared" si="11"/>
        <v/>
      </c>
    </row>
    <row r="115" spans="1:9" hidden="1" x14ac:dyDescent="0.25">
      <c r="A115" s="3">
        <v>2709</v>
      </c>
      <c r="B115" s="3">
        <v>113.3724299</v>
      </c>
      <c r="C115" s="3">
        <v>22.959936389999999</v>
      </c>
      <c r="D115" s="3">
        <v>27</v>
      </c>
      <c r="E115" s="13">
        <f t="shared" si="9"/>
        <v>8.9725972660144419E-3</v>
      </c>
      <c r="F115" s="13">
        <f t="shared" si="10"/>
        <v>10.557009504089173</v>
      </c>
      <c r="G115" s="14" t="e">
        <f>F115/$F$124*$D$2</f>
        <v>#DIV/0!</v>
      </c>
      <c r="H115" s="14" t="e">
        <f>F115/$F$124*$E$2</f>
        <v>#DIV/0!</v>
      </c>
      <c r="I115" s="25" t="str">
        <f t="shared" si="11"/>
        <v/>
      </c>
    </row>
    <row r="116" spans="1:9" x14ac:dyDescent="0.25">
      <c r="A116" s="3">
        <v>2710</v>
      </c>
      <c r="B116" s="3">
        <v>113.3724308</v>
      </c>
      <c r="C116" s="3">
        <v>22.961351780000001</v>
      </c>
      <c r="D116" s="3">
        <v>27</v>
      </c>
      <c r="E116" s="13">
        <f t="shared" si="9"/>
        <v>1.0243395139818026E-2</v>
      </c>
      <c r="F116" s="13">
        <f t="shared" si="10"/>
        <v>9.8804798545072021</v>
      </c>
      <c r="G116" s="14">
        <f>F116/$F$123*$D$2</f>
        <v>0</v>
      </c>
      <c r="H116" s="14">
        <f>F116/$F$123*$E$2</f>
        <v>25.09057046480611</v>
      </c>
      <c r="I116" s="25" t="str">
        <f t="shared" si="11"/>
        <v>选中</v>
      </c>
    </row>
    <row r="117" spans="1:9" hidden="1" x14ac:dyDescent="0.25">
      <c r="A117" s="3">
        <v>2708</v>
      </c>
      <c r="B117" s="3">
        <v>113.3761635</v>
      </c>
      <c r="C117" s="3">
        <v>22.960307830000001</v>
      </c>
      <c r="D117" s="3">
        <v>27</v>
      </c>
      <c r="E117" s="13">
        <f t="shared" si="9"/>
        <v>1.1489479657103679E-2</v>
      </c>
      <c r="F117" s="13">
        <f t="shared" si="10"/>
        <v>9.3293163460502857</v>
      </c>
      <c r="G117" s="14" t="e">
        <f>F117/$F$124*$D$2</f>
        <v>#DIV/0!</v>
      </c>
      <c r="H117" s="14" t="e">
        <f>F117/$F$124*$E$2</f>
        <v>#DIV/0!</v>
      </c>
      <c r="I117" s="25" t="str">
        <f t="shared" si="11"/>
        <v/>
      </c>
    </row>
    <row r="118" spans="1:9" hidden="1" x14ac:dyDescent="0.25">
      <c r="A118" s="3">
        <v>2707</v>
      </c>
      <c r="B118" s="3">
        <v>113.3745038</v>
      </c>
      <c r="C118" s="3">
        <v>22.961938580000002</v>
      </c>
      <c r="D118" s="3">
        <v>27</v>
      </c>
      <c r="E118" s="13">
        <f t="shared" si="9"/>
        <v>1.1748918339933658E-2</v>
      </c>
      <c r="F118" s="13">
        <f t="shared" si="10"/>
        <v>9.2257367330836182</v>
      </c>
      <c r="G118" s="14" t="e">
        <f>F118/$F$124*$D$2</f>
        <v>#DIV/0!</v>
      </c>
      <c r="H118" s="14" t="e">
        <f>F118/$F$124*$E$2</f>
        <v>#DIV/0!</v>
      </c>
      <c r="I118" s="25" t="str">
        <f t="shared" si="11"/>
        <v/>
      </c>
    </row>
    <row r="119" spans="1:9" x14ac:dyDescent="0.25">
      <c r="A119" s="3">
        <v>2714</v>
      </c>
      <c r="B119" s="3">
        <v>113.37677100000001</v>
      </c>
      <c r="C119" s="3">
        <v>22.960163380000001</v>
      </c>
      <c r="D119" s="3">
        <v>27</v>
      </c>
      <c r="E119" s="13">
        <f t="shared" si="9"/>
        <v>1.1818307955308766E-2</v>
      </c>
      <c r="F119" s="13">
        <f t="shared" si="10"/>
        <v>9.1986130211597423</v>
      </c>
      <c r="G119" s="14">
        <f>F119/$F$123*$D$2</f>
        <v>0</v>
      </c>
      <c r="H119" s="14">
        <f>F119/$F$123*$E$2</f>
        <v>23.359032312647006</v>
      </c>
      <c r="I119" s="25" t="str">
        <f t="shared" si="11"/>
        <v>选中</v>
      </c>
    </row>
    <row r="120" spans="1:9" hidden="1" x14ac:dyDescent="0.25">
      <c r="A120" s="3">
        <v>2705</v>
      </c>
      <c r="B120" s="3">
        <v>113.376786</v>
      </c>
      <c r="C120" s="3">
        <v>22.96018136</v>
      </c>
      <c r="D120" s="3">
        <v>27</v>
      </c>
      <c r="E120" s="13">
        <f t="shared" si="9"/>
        <v>1.1841567985851264E-2</v>
      </c>
      <c r="F120" s="13">
        <f t="shared" si="10"/>
        <v>9.1895743029689108</v>
      </c>
      <c r="G120" s="14" t="e">
        <f>F120/$F$124*$D$2</f>
        <v>#DIV/0!</v>
      </c>
      <c r="H120" s="14" t="e">
        <f>F120/$F$124*$E$2</f>
        <v>#DIV/0!</v>
      </c>
      <c r="I120" s="25" t="str">
        <f t="shared" si="11"/>
        <v/>
      </c>
    </row>
    <row r="121" spans="1:9" hidden="1" x14ac:dyDescent="0.25">
      <c r="A121" s="3">
        <v>2711</v>
      </c>
      <c r="B121" s="3">
        <v>113.374234</v>
      </c>
      <c r="C121" s="3">
        <v>22.96280745</v>
      </c>
      <c r="D121" s="3">
        <v>27</v>
      </c>
      <c r="E121" s="13">
        <f t="shared" si="9"/>
        <v>1.2357256991845247E-2</v>
      </c>
      <c r="F121" s="13">
        <f t="shared" si="10"/>
        <v>8.9957827924653007</v>
      </c>
      <c r="G121" s="14" t="e">
        <f>F121/$F$124*$D$2</f>
        <v>#DIV/0!</v>
      </c>
      <c r="H121" s="14" t="e">
        <f>F121/$F$124*$E$2</f>
        <v>#DIV/0!</v>
      </c>
      <c r="I121" s="25" t="str">
        <f t="shared" si="11"/>
        <v/>
      </c>
    </row>
    <row r="122" spans="1:9" x14ac:dyDescent="0.25">
      <c r="A122" s="3"/>
      <c r="B122" s="3"/>
      <c r="C122" s="3"/>
      <c r="D122" s="3"/>
      <c r="G122" s="14"/>
      <c r="H122" s="14"/>
    </row>
    <row r="123" spans="1:9" x14ac:dyDescent="0.25">
      <c r="A123" s="3"/>
      <c r="B123" s="3"/>
      <c r="C123" s="3"/>
      <c r="D123" s="3"/>
      <c r="F123" s="13">
        <f>SUBTOTAL(9,F5:F121)</f>
        <v>689.13697158225295</v>
      </c>
      <c r="G123" s="13">
        <f t="shared" ref="G123:H123" si="12">SUBTOTAL(9,G5:G121)</f>
        <v>0</v>
      </c>
      <c r="H123" s="13">
        <f t="shared" si="12"/>
        <v>1750</v>
      </c>
    </row>
    <row r="124" spans="1:9" x14ac:dyDescent="0.25">
      <c r="A124" s="3"/>
      <c r="B124" s="3"/>
      <c r="C124" s="3"/>
      <c r="D124" s="3"/>
      <c r="G124" s="14"/>
      <c r="H124" s="14"/>
    </row>
    <row r="125" spans="1:9" x14ac:dyDescent="0.25">
      <c r="A125" s="3"/>
      <c r="B125" s="3"/>
      <c r="C125" s="3"/>
      <c r="D125" s="3"/>
      <c r="G125" s="14"/>
      <c r="H125" s="14"/>
    </row>
    <row r="126" spans="1:9" x14ac:dyDescent="0.25">
      <c r="A126" s="18"/>
      <c r="B126" s="3"/>
      <c r="C126" s="3"/>
      <c r="D126" s="3"/>
      <c r="G126" s="14"/>
      <c r="H126" s="14"/>
    </row>
    <row r="127" spans="1:9" x14ac:dyDescent="0.25">
      <c r="A127" s="3"/>
      <c r="B127" s="3"/>
      <c r="C127" s="3"/>
      <c r="D127" s="3"/>
      <c r="G127" s="14"/>
      <c r="H127" s="14"/>
    </row>
    <row r="128" spans="1:9" x14ac:dyDescent="0.25">
      <c r="A128" s="3"/>
      <c r="B128" s="3"/>
      <c r="C128" s="3"/>
      <c r="D128" s="3"/>
      <c r="G128" s="14"/>
      <c r="H128" s="14"/>
    </row>
    <row r="129" spans="1:8" x14ac:dyDescent="0.25">
      <c r="A129" s="3"/>
      <c r="B129" s="3"/>
      <c r="C129" s="3"/>
      <c r="D129" s="3"/>
      <c r="G129" s="14"/>
      <c r="H129" s="14"/>
    </row>
    <row r="130" spans="1:8" x14ac:dyDescent="0.25">
      <c r="A130" s="3"/>
      <c r="B130" s="3"/>
      <c r="C130" s="3"/>
      <c r="D130" s="3"/>
      <c r="G130" s="14"/>
      <c r="H130" s="14"/>
    </row>
    <row r="131" spans="1:8" x14ac:dyDescent="0.25">
      <c r="A131" s="3"/>
      <c r="B131" s="3"/>
      <c r="C131" s="3"/>
      <c r="D131" s="3"/>
      <c r="G131" s="14"/>
      <c r="H131" s="14"/>
    </row>
    <row r="132" spans="1:8" x14ac:dyDescent="0.25">
      <c r="A132" s="3"/>
      <c r="B132" s="3"/>
      <c r="C132" s="3"/>
      <c r="D132" s="3"/>
      <c r="G132" s="14"/>
      <c r="H132" s="14"/>
    </row>
    <row r="133" spans="1:8" x14ac:dyDescent="0.25">
      <c r="A133" s="3"/>
      <c r="B133" s="3"/>
      <c r="C133" s="3"/>
      <c r="D133" s="3"/>
      <c r="G133" s="14"/>
      <c r="H133" s="14"/>
    </row>
    <row r="134" spans="1:8" x14ac:dyDescent="0.25">
      <c r="A134" s="3"/>
      <c r="B134" s="3"/>
      <c r="C134" s="3"/>
      <c r="D134" s="3"/>
      <c r="G134" s="14"/>
      <c r="H134" s="14"/>
    </row>
    <row r="135" spans="1:8" x14ac:dyDescent="0.25">
      <c r="A135" s="3"/>
      <c r="B135" s="3"/>
      <c r="C135" s="3"/>
      <c r="D135" s="3"/>
      <c r="G135" s="14"/>
      <c r="H135" s="14"/>
    </row>
    <row r="136" spans="1:8" x14ac:dyDescent="0.25">
      <c r="A136" s="3"/>
      <c r="B136" s="3"/>
      <c r="C136" s="3"/>
      <c r="D136" s="3"/>
      <c r="G136" s="14"/>
      <c r="H136" s="14"/>
    </row>
    <row r="137" spans="1:8" x14ac:dyDescent="0.25">
      <c r="A137" s="3"/>
      <c r="B137" s="3"/>
      <c r="C137" s="3"/>
      <c r="D137" s="3"/>
      <c r="G137" s="14"/>
      <c r="H137" s="14"/>
    </row>
    <row r="138" spans="1:8" x14ac:dyDescent="0.25">
      <c r="A138" s="3"/>
      <c r="B138" s="3"/>
      <c r="C138" s="3"/>
      <c r="D138" s="3"/>
      <c r="G138" s="14"/>
      <c r="H138" s="14"/>
    </row>
    <row r="139" spans="1:8" x14ac:dyDescent="0.25">
      <c r="A139" s="3"/>
      <c r="B139" s="3"/>
      <c r="C139" s="3"/>
      <c r="D139" s="3"/>
      <c r="G139" s="14"/>
      <c r="H139" s="14"/>
    </row>
    <row r="140" spans="1:8" x14ac:dyDescent="0.25">
      <c r="A140" s="3"/>
      <c r="B140" s="3"/>
      <c r="C140" s="3"/>
      <c r="D140" s="3"/>
      <c r="G140" s="14"/>
      <c r="H140" s="14"/>
    </row>
    <row r="141" spans="1:8" x14ac:dyDescent="0.25">
      <c r="A141" s="3"/>
      <c r="B141" s="3"/>
      <c r="C141" s="3"/>
      <c r="D141" s="3"/>
      <c r="G141" s="14"/>
      <c r="H141" s="14"/>
    </row>
    <row r="142" spans="1:8" x14ac:dyDescent="0.25">
      <c r="A142" s="3"/>
      <c r="B142" s="3"/>
      <c r="C142" s="3"/>
      <c r="D142" s="3"/>
      <c r="G142" s="14"/>
      <c r="H142" s="14"/>
    </row>
    <row r="143" spans="1:8" x14ac:dyDescent="0.25">
      <c r="A143" s="3"/>
      <c r="B143" s="3"/>
      <c r="C143" s="3"/>
      <c r="D143" s="3"/>
      <c r="G143" s="14"/>
      <c r="H143" s="14"/>
    </row>
    <row r="144" spans="1:8" x14ac:dyDescent="0.25">
      <c r="A144" s="3"/>
      <c r="B144" s="3"/>
      <c r="C144" s="3"/>
      <c r="D144" s="3"/>
      <c r="G144" s="14"/>
      <c r="H144" s="14"/>
    </row>
    <row r="145" spans="1:8" x14ac:dyDescent="0.25">
      <c r="A145" s="3"/>
      <c r="B145" s="3"/>
      <c r="C145" s="3"/>
      <c r="D145" s="3"/>
      <c r="G145" s="14"/>
      <c r="H145" s="14"/>
    </row>
    <row r="146" spans="1:8" x14ac:dyDescent="0.25">
      <c r="A146" s="3"/>
      <c r="B146" s="3"/>
      <c r="C146" s="3"/>
      <c r="D146" s="3"/>
      <c r="G146" s="14"/>
      <c r="H146" s="14"/>
    </row>
    <row r="147" spans="1:8" x14ac:dyDescent="0.25">
      <c r="A147" s="3"/>
      <c r="B147" s="3"/>
      <c r="C147" s="3"/>
      <c r="D147" s="3"/>
      <c r="G147" s="14"/>
      <c r="H147" s="14"/>
    </row>
    <row r="148" spans="1:8" x14ac:dyDescent="0.25">
      <c r="A148" s="3"/>
      <c r="B148" s="3"/>
      <c r="C148" s="3"/>
      <c r="D148" s="3"/>
      <c r="G148" s="14"/>
      <c r="H148" s="14"/>
    </row>
    <row r="149" spans="1:8" x14ac:dyDescent="0.25">
      <c r="A149" s="3"/>
      <c r="B149" s="3"/>
      <c r="C149" s="3"/>
      <c r="D149" s="3"/>
      <c r="G149" s="14"/>
      <c r="H149" s="14"/>
    </row>
    <row r="150" spans="1:8" x14ac:dyDescent="0.25">
      <c r="A150" s="3"/>
      <c r="B150" s="3"/>
      <c r="C150" s="3"/>
      <c r="D150" s="3"/>
      <c r="G150" s="14"/>
      <c r="H150" s="14"/>
    </row>
    <row r="151" spans="1:8" x14ac:dyDescent="0.25">
      <c r="A151" s="3"/>
      <c r="B151" s="3"/>
      <c r="C151" s="3"/>
      <c r="D151" s="3"/>
      <c r="G151" s="14"/>
      <c r="H151" s="14"/>
    </row>
    <row r="152" spans="1:8" x14ac:dyDescent="0.25">
      <c r="A152" s="3"/>
      <c r="B152" s="3"/>
      <c r="C152" s="3"/>
      <c r="D152" s="3"/>
      <c r="G152" s="14"/>
      <c r="H152" s="14"/>
    </row>
    <row r="153" spans="1:8" x14ac:dyDescent="0.25">
      <c r="A153" s="3"/>
      <c r="B153" s="3"/>
      <c r="C153" s="3"/>
      <c r="D153" s="3"/>
      <c r="G153" s="14"/>
      <c r="H153" s="14"/>
    </row>
    <row r="154" spans="1:8" x14ac:dyDescent="0.25">
      <c r="A154" s="3"/>
      <c r="B154" s="3"/>
      <c r="C154" s="3"/>
      <c r="D154" s="3"/>
      <c r="G154" s="14"/>
      <c r="H154" s="14"/>
    </row>
    <row r="155" spans="1:8" x14ac:dyDescent="0.25">
      <c r="A155" s="3"/>
      <c r="B155" s="3"/>
      <c r="C155" s="3"/>
      <c r="D155" s="3"/>
      <c r="G155" s="14"/>
      <c r="H155" s="14"/>
    </row>
    <row r="156" spans="1:8" x14ac:dyDescent="0.25">
      <c r="A156" s="3"/>
      <c r="B156" s="3"/>
      <c r="C156" s="3"/>
      <c r="D156" s="3"/>
      <c r="G156" s="14"/>
      <c r="H156" s="14"/>
    </row>
    <row r="157" spans="1:8" x14ac:dyDescent="0.25">
      <c r="A157" s="3"/>
      <c r="B157" s="3"/>
      <c r="C157" s="3"/>
      <c r="D157" s="3"/>
      <c r="G157" s="14"/>
      <c r="H157" s="14"/>
    </row>
    <row r="158" spans="1:8" x14ac:dyDescent="0.25">
      <c r="A158" s="3"/>
      <c r="B158" s="3"/>
      <c r="C158" s="3"/>
      <c r="D158" s="3"/>
      <c r="G158" s="14"/>
      <c r="H158" s="14"/>
    </row>
    <row r="159" spans="1:8" x14ac:dyDescent="0.25">
      <c r="A159" s="3"/>
      <c r="B159" s="3"/>
      <c r="C159" s="3"/>
      <c r="D159" s="3"/>
      <c r="G159" s="14"/>
      <c r="H159" s="14"/>
    </row>
    <row r="160" spans="1:8" x14ac:dyDescent="0.25">
      <c r="A160" s="3"/>
      <c r="B160" s="3"/>
      <c r="C160" s="3"/>
      <c r="D160" s="3"/>
      <c r="G160" s="14"/>
      <c r="H160" s="14"/>
    </row>
    <row r="161" spans="1:8" x14ac:dyDescent="0.25">
      <c r="A161" s="3"/>
      <c r="B161" s="3"/>
      <c r="C161" s="3"/>
      <c r="D161" s="3"/>
      <c r="G161" s="14"/>
      <c r="H161" s="14"/>
    </row>
    <row r="162" spans="1:8" x14ac:dyDescent="0.25">
      <c r="A162" s="3"/>
      <c r="B162" s="3"/>
      <c r="C162" s="3"/>
      <c r="D162" s="3"/>
      <c r="G162" s="14"/>
      <c r="H162" s="14"/>
    </row>
    <row r="163" spans="1:8" x14ac:dyDescent="0.25">
      <c r="A163" s="3"/>
      <c r="B163" s="3"/>
      <c r="C163" s="3"/>
      <c r="D163" s="3"/>
      <c r="G163" s="14"/>
      <c r="H163" s="14"/>
    </row>
    <row r="164" spans="1:8" x14ac:dyDescent="0.25">
      <c r="A164" s="3"/>
      <c r="B164" s="3"/>
      <c r="C164" s="3"/>
      <c r="D164" s="3"/>
      <c r="G164" s="14"/>
      <c r="H164" s="14"/>
    </row>
    <row r="165" spans="1:8" x14ac:dyDescent="0.25">
      <c r="A165" s="3"/>
      <c r="B165" s="3"/>
      <c r="C165" s="3"/>
      <c r="D165" s="3"/>
      <c r="G165" s="14"/>
      <c r="H165" s="14"/>
    </row>
    <row r="166" spans="1:8" x14ac:dyDescent="0.25">
      <c r="A166" s="3"/>
      <c r="B166" s="3"/>
      <c r="C166" s="3"/>
      <c r="D166" s="3"/>
      <c r="G166" s="14"/>
      <c r="H166" s="14"/>
    </row>
    <row r="167" spans="1:8" x14ac:dyDescent="0.25">
      <c r="A167" s="3"/>
      <c r="B167" s="3"/>
      <c r="C167" s="3"/>
      <c r="D167" s="3"/>
      <c r="G167" s="14"/>
      <c r="H167" s="14"/>
    </row>
    <row r="168" spans="1:8" x14ac:dyDescent="0.25">
      <c r="A168" s="3"/>
      <c r="B168" s="3"/>
      <c r="C168" s="3"/>
      <c r="D168" s="3"/>
      <c r="G168" s="14"/>
      <c r="H168" s="14"/>
    </row>
    <row r="169" spans="1:8" x14ac:dyDescent="0.25">
      <c r="A169" s="3"/>
      <c r="B169" s="3"/>
      <c r="C169" s="3"/>
      <c r="D169" s="3"/>
      <c r="G169" s="14"/>
      <c r="H169" s="14"/>
    </row>
    <row r="170" spans="1:8" x14ac:dyDescent="0.25">
      <c r="A170" s="3"/>
      <c r="B170" s="3"/>
      <c r="C170" s="3"/>
      <c r="D170" s="3"/>
      <c r="G170" s="14"/>
      <c r="H170" s="14"/>
    </row>
    <row r="171" spans="1:8" x14ac:dyDescent="0.25">
      <c r="A171" s="3"/>
      <c r="B171" s="3"/>
      <c r="C171" s="3"/>
      <c r="D171" s="3"/>
      <c r="G171" s="14"/>
      <c r="H171" s="14"/>
    </row>
    <row r="172" spans="1:8" x14ac:dyDescent="0.25">
      <c r="A172" s="3"/>
      <c r="B172" s="3"/>
      <c r="C172" s="3"/>
      <c r="D172" s="3"/>
      <c r="G172" s="14"/>
      <c r="H172" s="14"/>
    </row>
    <row r="173" spans="1:8" x14ac:dyDescent="0.25">
      <c r="A173" s="3"/>
      <c r="B173" s="3"/>
      <c r="C173" s="3"/>
      <c r="D173" s="3"/>
      <c r="G173" s="14"/>
      <c r="H173" s="14"/>
    </row>
    <row r="174" spans="1:8" x14ac:dyDescent="0.25">
      <c r="A174" s="3"/>
      <c r="B174" s="3"/>
      <c r="C174" s="3"/>
      <c r="D174" s="3"/>
      <c r="G174" s="14"/>
      <c r="H174" s="14"/>
    </row>
    <row r="175" spans="1:8" x14ac:dyDescent="0.25">
      <c r="A175" s="3"/>
      <c r="B175" s="3"/>
      <c r="C175" s="3"/>
      <c r="D175" s="3"/>
      <c r="G175" s="14"/>
      <c r="H175" s="14"/>
    </row>
    <row r="176" spans="1:8" x14ac:dyDescent="0.25">
      <c r="A176" s="3"/>
      <c r="B176" s="3"/>
      <c r="C176" s="3"/>
      <c r="D176" s="3"/>
      <c r="G176" s="14"/>
      <c r="H176" s="14"/>
    </row>
    <row r="177" spans="1:8" x14ac:dyDescent="0.25">
      <c r="A177" s="3"/>
      <c r="B177" s="3"/>
      <c r="C177" s="3"/>
      <c r="D177" s="3"/>
      <c r="G177" s="14"/>
      <c r="H177" s="14"/>
    </row>
    <row r="178" spans="1:8" x14ac:dyDescent="0.25">
      <c r="A178" s="3"/>
      <c r="B178" s="3"/>
      <c r="C178" s="3"/>
      <c r="D178" s="3"/>
      <c r="G178" s="14"/>
      <c r="H178" s="14"/>
    </row>
    <row r="179" spans="1:8" x14ac:dyDescent="0.25">
      <c r="A179" s="3"/>
      <c r="B179" s="3"/>
      <c r="C179" s="3"/>
      <c r="D179" s="3"/>
      <c r="G179" s="14"/>
      <c r="H179" s="14"/>
    </row>
    <row r="180" spans="1:8" x14ac:dyDescent="0.25">
      <c r="A180" s="3"/>
      <c r="B180" s="3"/>
      <c r="C180" s="3"/>
      <c r="D180" s="3"/>
      <c r="G180" s="14"/>
      <c r="H180" s="14"/>
    </row>
    <row r="181" spans="1:8" x14ac:dyDescent="0.25">
      <c r="A181" s="3"/>
      <c r="B181" s="3"/>
      <c r="C181" s="3"/>
      <c r="D181" s="3"/>
      <c r="G181" s="14"/>
      <c r="H181" s="14"/>
    </row>
    <row r="182" spans="1:8" x14ac:dyDescent="0.25">
      <c r="A182" s="3"/>
      <c r="B182" s="3"/>
      <c r="C182" s="3"/>
      <c r="D182" s="3"/>
      <c r="G182" s="14"/>
      <c r="H182" s="14"/>
    </row>
    <row r="183" spans="1:8" x14ac:dyDescent="0.25">
      <c r="A183" s="3"/>
      <c r="B183" s="3"/>
      <c r="C183" s="3"/>
      <c r="D183" s="3"/>
      <c r="G183" s="14"/>
      <c r="H183" s="14"/>
    </row>
    <row r="184" spans="1:8" x14ac:dyDescent="0.25">
      <c r="A184" s="3"/>
      <c r="B184" s="3"/>
      <c r="C184" s="3"/>
      <c r="D184" s="3"/>
      <c r="G184" s="14"/>
      <c r="H184" s="14"/>
    </row>
    <row r="185" spans="1:8" x14ac:dyDescent="0.25">
      <c r="A185" s="3"/>
      <c r="B185" s="3"/>
      <c r="C185" s="3"/>
      <c r="D185" s="3"/>
      <c r="G185" s="14"/>
      <c r="H185" s="14"/>
    </row>
    <row r="186" spans="1:8" x14ac:dyDescent="0.25">
      <c r="A186" s="3"/>
      <c r="B186" s="3"/>
      <c r="C186" s="3"/>
      <c r="D186" s="3"/>
      <c r="G186" s="14"/>
      <c r="H186" s="14"/>
    </row>
    <row r="187" spans="1:8" x14ac:dyDescent="0.25">
      <c r="A187" s="3"/>
      <c r="B187" s="3"/>
      <c r="C187" s="3"/>
      <c r="D187" s="3"/>
      <c r="G187" s="14"/>
      <c r="H187" s="14"/>
    </row>
    <row r="188" spans="1:8" x14ac:dyDescent="0.25">
      <c r="A188" s="3"/>
      <c r="B188" s="3"/>
      <c r="C188" s="3"/>
      <c r="D188" s="3"/>
      <c r="G188" s="14"/>
      <c r="H188" s="14"/>
    </row>
    <row r="189" spans="1:8" x14ac:dyDescent="0.25">
      <c r="A189" s="3"/>
      <c r="B189" s="3"/>
      <c r="C189" s="3"/>
      <c r="D189" s="3"/>
      <c r="G189" s="14"/>
      <c r="H189" s="14"/>
    </row>
    <row r="190" spans="1:8" x14ac:dyDescent="0.25">
      <c r="A190" s="3"/>
      <c r="B190" s="3"/>
      <c r="C190" s="3"/>
      <c r="D190" s="3"/>
      <c r="G190" s="14"/>
      <c r="H190" s="14"/>
    </row>
    <row r="191" spans="1:8" x14ac:dyDescent="0.25">
      <c r="A191" s="3"/>
      <c r="B191" s="3"/>
      <c r="C191" s="3"/>
      <c r="D191" s="3"/>
      <c r="G191" s="14"/>
      <c r="H191" s="14"/>
    </row>
    <row r="192" spans="1:8" x14ac:dyDescent="0.25">
      <c r="A192" s="3"/>
      <c r="B192" s="3"/>
      <c r="C192" s="3"/>
      <c r="D192" s="3"/>
      <c r="G192" s="14"/>
      <c r="H192" s="14"/>
    </row>
    <row r="193" spans="1:8" x14ac:dyDescent="0.25">
      <c r="A193" s="3"/>
      <c r="B193" s="3"/>
      <c r="C193" s="3"/>
      <c r="D193" s="3"/>
      <c r="G193" s="14"/>
      <c r="H193" s="14"/>
    </row>
    <row r="194" spans="1:8" x14ac:dyDescent="0.25">
      <c r="A194" s="3"/>
      <c r="B194" s="3"/>
      <c r="C194" s="3"/>
      <c r="D194" s="3"/>
      <c r="G194" s="14"/>
      <c r="H194" s="14"/>
    </row>
    <row r="195" spans="1:8" x14ac:dyDescent="0.25">
      <c r="A195" s="3"/>
      <c r="B195" s="3"/>
      <c r="C195" s="3"/>
      <c r="D195" s="3"/>
      <c r="G195" s="14"/>
      <c r="H195" s="14"/>
    </row>
    <row r="196" spans="1:8" x14ac:dyDescent="0.25">
      <c r="A196" s="3"/>
      <c r="B196" s="3"/>
      <c r="C196" s="3"/>
      <c r="D196" s="3"/>
      <c r="G196" s="14"/>
      <c r="H196" s="14"/>
    </row>
    <row r="197" spans="1:8" x14ac:dyDescent="0.25">
      <c r="A197" s="3"/>
      <c r="B197" s="3"/>
      <c r="C197" s="3"/>
      <c r="D197" s="3"/>
      <c r="G197" s="14"/>
      <c r="H197" s="14"/>
    </row>
    <row r="198" spans="1:8" x14ac:dyDescent="0.25">
      <c r="A198" s="3"/>
      <c r="B198" s="3"/>
      <c r="C198" s="3"/>
      <c r="D198" s="3"/>
      <c r="G198" s="14"/>
      <c r="H198" s="14"/>
    </row>
    <row r="199" spans="1:8" x14ac:dyDescent="0.25">
      <c r="A199" s="3"/>
      <c r="B199" s="3"/>
      <c r="C199" s="3"/>
      <c r="D199" s="3"/>
      <c r="G199" s="14"/>
      <c r="H199" s="14"/>
    </row>
    <row r="200" spans="1:8" x14ac:dyDescent="0.25">
      <c r="A200" s="3"/>
      <c r="B200" s="3"/>
      <c r="C200" s="3"/>
      <c r="D200" s="3"/>
      <c r="G200" s="14"/>
      <c r="H200" s="14"/>
    </row>
    <row r="201" spans="1:8" x14ac:dyDescent="0.25">
      <c r="A201" s="3"/>
      <c r="B201" s="3"/>
      <c r="C201" s="3"/>
      <c r="D201" s="3"/>
      <c r="G201" s="14"/>
      <c r="H201" s="14"/>
    </row>
    <row r="202" spans="1:8" x14ac:dyDescent="0.25">
      <c r="A202" s="3"/>
      <c r="B202" s="3"/>
      <c r="C202" s="3"/>
      <c r="D202" s="3"/>
      <c r="G202" s="14"/>
      <c r="H202" s="14"/>
    </row>
    <row r="203" spans="1:8" x14ac:dyDescent="0.25">
      <c r="A203" s="3"/>
      <c r="B203" s="3"/>
      <c r="C203" s="3"/>
      <c r="D203" s="3"/>
      <c r="G203" s="14"/>
      <c r="H203" s="14"/>
    </row>
    <row r="204" spans="1:8" x14ac:dyDescent="0.25">
      <c r="A204" s="3"/>
      <c r="B204" s="3"/>
      <c r="C204" s="3"/>
      <c r="D204" s="3"/>
      <c r="G204" s="14"/>
      <c r="H204" s="14"/>
    </row>
    <row r="205" spans="1:8" x14ac:dyDescent="0.25">
      <c r="A205" s="3"/>
      <c r="B205" s="3"/>
      <c r="C205" s="3"/>
      <c r="D205" s="3"/>
      <c r="G205" s="14"/>
      <c r="H205" s="14"/>
    </row>
    <row r="206" spans="1:8" x14ac:dyDescent="0.25">
      <c r="A206" s="3"/>
      <c r="B206" s="3"/>
      <c r="C206" s="3"/>
      <c r="D206" s="3"/>
      <c r="G206" s="14"/>
      <c r="H206" s="14"/>
    </row>
    <row r="207" spans="1:8" x14ac:dyDescent="0.25">
      <c r="A207" s="3"/>
      <c r="B207" s="3"/>
      <c r="C207" s="3"/>
      <c r="D207" s="3"/>
      <c r="G207" s="14"/>
      <c r="H207" s="14"/>
    </row>
    <row r="208" spans="1:8" x14ac:dyDescent="0.25">
      <c r="A208" s="3"/>
      <c r="B208" s="3"/>
      <c r="C208" s="3"/>
      <c r="D208" s="3"/>
      <c r="G208" s="14"/>
      <c r="H208" s="14"/>
    </row>
    <row r="209" spans="1:8" x14ac:dyDescent="0.25">
      <c r="A209" s="3"/>
      <c r="B209" s="3"/>
      <c r="C209" s="3"/>
      <c r="D209" s="3"/>
      <c r="G209" s="14"/>
      <c r="H209" s="14"/>
    </row>
    <row r="210" spans="1:8" x14ac:dyDescent="0.25">
      <c r="A210" s="3"/>
      <c r="B210" s="3"/>
      <c r="C210" s="3"/>
      <c r="D210" s="3"/>
      <c r="G210" s="14"/>
      <c r="H210" s="14"/>
    </row>
    <row r="211" spans="1:8" x14ac:dyDescent="0.25">
      <c r="A211" s="3"/>
      <c r="B211" s="3"/>
      <c r="C211" s="3"/>
      <c r="D211" s="3"/>
      <c r="G211" s="14"/>
      <c r="H211" s="14"/>
    </row>
    <row r="212" spans="1:8" x14ac:dyDescent="0.25">
      <c r="A212" s="3"/>
      <c r="B212" s="3"/>
      <c r="C212" s="3"/>
      <c r="D212" s="3"/>
      <c r="G212" s="14"/>
      <c r="H212" s="14"/>
    </row>
    <row r="213" spans="1:8" x14ac:dyDescent="0.25">
      <c r="A213" s="3"/>
      <c r="B213" s="3"/>
      <c r="C213" s="3"/>
      <c r="D213" s="3"/>
      <c r="G213" s="14"/>
      <c r="H213" s="14"/>
    </row>
    <row r="214" spans="1:8" x14ac:dyDescent="0.25">
      <c r="A214" s="3"/>
      <c r="B214" s="3"/>
      <c r="C214" s="3"/>
      <c r="D214" s="3"/>
      <c r="G214" s="14"/>
      <c r="H214" s="14"/>
    </row>
    <row r="215" spans="1:8" x14ac:dyDescent="0.25">
      <c r="A215" s="3"/>
      <c r="B215" s="3"/>
      <c r="C215" s="3"/>
      <c r="D215" s="3"/>
      <c r="G215" s="14"/>
      <c r="H215" s="14"/>
    </row>
    <row r="216" spans="1:8" x14ac:dyDescent="0.25">
      <c r="A216" s="3"/>
      <c r="B216" s="3"/>
      <c r="C216" s="3"/>
      <c r="D216" s="3"/>
      <c r="G216" s="14"/>
      <c r="H216" s="14"/>
    </row>
    <row r="217" spans="1:8" x14ac:dyDescent="0.25">
      <c r="A217" s="3"/>
      <c r="B217" s="3"/>
      <c r="C217" s="3"/>
      <c r="D217" s="3"/>
      <c r="G217" s="14"/>
      <c r="H217" s="14"/>
    </row>
    <row r="218" spans="1:8" x14ac:dyDescent="0.25">
      <c r="A218" s="3"/>
      <c r="B218" s="3"/>
      <c r="C218" s="3"/>
      <c r="D218" s="3"/>
      <c r="G218" s="14"/>
      <c r="H218" s="14"/>
    </row>
    <row r="219" spans="1:8" x14ac:dyDescent="0.25">
      <c r="A219" s="3"/>
      <c r="B219" s="3"/>
      <c r="C219" s="3"/>
      <c r="D219" s="3"/>
      <c r="G219" s="14"/>
      <c r="H219" s="14"/>
    </row>
    <row r="220" spans="1:8" x14ac:dyDescent="0.25">
      <c r="A220" s="3"/>
      <c r="B220" s="3"/>
      <c r="C220" s="3"/>
      <c r="D220" s="3"/>
      <c r="G220" s="14"/>
      <c r="H220" s="14"/>
    </row>
    <row r="221" spans="1:8" x14ac:dyDescent="0.25">
      <c r="A221" s="3"/>
      <c r="B221" s="3"/>
      <c r="C221" s="3"/>
      <c r="D221" s="3"/>
      <c r="G221" s="14"/>
      <c r="H221" s="14"/>
    </row>
    <row r="222" spans="1:8" x14ac:dyDescent="0.25">
      <c r="A222" s="3"/>
      <c r="B222" s="3"/>
      <c r="C222" s="3"/>
      <c r="D222" s="3"/>
      <c r="G222" s="14"/>
      <c r="H222" s="14"/>
    </row>
    <row r="223" spans="1:8" x14ac:dyDescent="0.25">
      <c r="A223" s="3"/>
      <c r="B223" s="3"/>
      <c r="C223" s="3"/>
      <c r="D223" s="3"/>
      <c r="G223" s="14"/>
      <c r="H223" s="14"/>
    </row>
    <row r="224" spans="1:8" x14ac:dyDescent="0.25">
      <c r="A224" s="3"/>
      <c r="B224" s="3"/>
      <c r="C224" s="3"/>
      <c r="D224" s="3"/>
      <c r="G224" s="14"/>
      <c r="H224" s="14"/>
    </row>
    <row r="225" spans="1:8" x14ac:dyDescent="0.25">
      <c r="A225" s="3"/>
      <c r="B225" s="3"/>
      <c r="C225" s="3"/>
      <c r="D225" s="3"/>
      <c r="G225" s="14"/>
      <c r="H225" s="14"/>
    </row>
    <row r="226" spans="1:8" x14ac:dyDescent="0.25">
      <c r="A226" s="3"/>
      <c r="B226" s="3"/>
      <c r="C226" s="3"/>
      <c r="D226" s="3"/>
      <c r="G226" s="14"/>
      <c r="H226" s="14"/>
    </row>
    <row r="227" spans="1:8" x14ac:dyDescent="0.25">
      <c r="A227" s="3"/>
      <c r="B227" s="3"/>
      <c r="C227" s="3"/>
      <c r="D227" s="3"/>
      <c r="G227" s="14"/>
      <c r="H227" s="14"/>
    </row>
    <row r="228" spans="1:8" x14ac:dyDescent="0.25">
      <c r="A228" s="3"/>
      <c r="B228" s="3"/>
      <c r="C228" s="3"/>
      <c r="D228" s="3"/>
      <c r="G228" s="14"/>
      <c r="H228" s="14"/>
    </row>
    <row r="229" spans="1:8" x14ac:dyDescent="0.25">
      <c r="A229" s="3"/>
      <c r="B229" s="3"/>
      <c r="C229" s="3"/>
      <c r="D229" s="3"/>
      <c r="G229" s="14"/>
      <c r="H229" s="14"/>
    </row>
    <row r="230" spans="1:8" x14ac:dyDescent="0.25">
      <c r="A230" s="3"/>
      <c r="B230" s="3"/>
      <c r="C230" s="3"/>
      <c r="D230" s="3"/>
      <c r="G230" s="14"/>
      <c r="H230" s="14"/>
    </row>
    <row r="231" spans="1:8" x14ac:dyDescent="0.25">
      <c r="A231" s="3"/>
      <c r="B231" s="3"/>
      <c r="C231" s="3"/>
      <c r="D231" s="3"/>
      <c r="G231" s="14"/>
      <c r="H231" s="14"/>
    </row>
    <row r="232" spans="1:8" x14ac:dyDescent="0.25">
      <c r="A232" s="3"/>
      <c r="B232" s="3"/>
      <c r="C232" s="3"/>
      <c r="D232" s="3"/>
      <c r="G232" s="14"/>
      <c r="H232" s="14"/>
    </row>
    <row r="233" spans="1:8" x14ac:dyDescent="0.25">
      <c r="A233" s="3"/>
      <c r="B233" s="3"/>
      <c r="C233" s="3"/>
      <c r="D233" s="3"/>
      <c r="G233" s="14"/>
      <c r="H233" s="14"/>
    </row>
    <row r="234" spans="1:8" x14ac:dyDescent="0.25">
      <c r="A234" s="3"/>
      <c r="B234" s="3"/>
      <c r="C234" s="3"/>
      <c r="D234" s="3"/>
      <c r="G234" s="14"/>
      <c r="H234" s="14"/>
    </row>
    <row r="235" spans="1:8" x14ac:dyDescent="0.25">
      <c r="A235" s="3"/>
      <c r="B235" s="3"/>
      <c r="C235" s="3"/>
      <c r="D235" s="3"/>
      <c r="G235" s="14"/>
      <c r="H235" s="14"/>
    </row>
    <row r="236" spans="1:8" x14ac:dyDescent="0.25">
      <c r="A236" s="3"/>
      <c r="B236" s="3"/>
      <c r="C236" s="3"/>
      <c r="D236" s="3"/>
      <c r="G236" s="14"/>
      <c r="H236" s="14"/>
    </row>
    <row r="237" spans="1:8" x14ac:dyDescent="0.25">
      <c r="A237" s="3"/>
      <c r="B237" s="3"/>
      <c r="C237" s="3"/>
      <c r="D237" s="3"/>
      <c r="G237" s="14"/>
      <c r="H237" s="14"/>
    </row>
    <row r="238" spans="1:8" x14ac:dyDescent="0.25">
      <c r="A238" s="3"/>
      <c r="B238" s="3"/>
      <c r="C238" s="3"/>
      <c r="D238" s="3"/>
      <c r="G238" s="14"/>
      <c r="H238" s="14"/>
    </row>
    <row r="239" spans="1:8" x14ac:dyDescent="0.25">
      <c r="A239" s="3"/>
      <c r="B239" s="3"/>
      <c r="C239" s="3"/>
      <c r="D239" s="3"/>
      <c r="G239" s="14"/>
      <c r="H239" s="14"/>
    </row>
    <row r="240" spans="1:8" x14ac:dyDescent="0.25">
      <c r="A240" s="3"/>
      <c r="B240" s="3"/>
      <c r="C240" s="3"/>
      <c r="D240" s="3"/>
      <c r="G240" s="14"/>
      <c r="H240" s="14"/>
    </row>
    <row r="241" spans="1:8" x14ac:dyDescent="0.25">
      <c r="A241" s="3"/>
      <c r="B241" s="3"/>
      <c r="C241" s="3"/>
      <c r="D241" s="3"/>
      <c r="G241" s="14"/>
      <c r="H241" s="14"/>
    </row>
    <row r="242" spans="1:8" x14ac:dyDescent="0.25">
      <c r="A242" s="3"/>
      <c r="B242" s="3"/>
      <c r="C242" s="3"/>
      <c r="D242" s="3"/>
      <c r="G242" s="14"/>
      <c r="H242" s="14"/>
    </row>
    <row r="243" spans="1:8" x14ac:dyDescent="0.25">
      <c r="A243" s="3"/>
      <c r="B243" s="3"/>
      <c r="C243" s="3"/>
      <c r="D243" s="3"/>
      <c r="G243" s="14"/>
      <c r="H243" s="14"/>
    </row>
    <row r="244" spans="1:8" x14ac:dyDescent="0.25">
      <c r="A244" s="3"/>
      <c r="B244" s="3"/>
      <c r="C244" s="3"/>
      <c r="D244" s="3"/>
      <c r="G244" s="14"/>
      <c r="H244" s="14"/>
    </row>
    <row r="245" spans="1:8" x14ac:dyDescent="0.25">
      <c r="A245" s="3"/>
      <c r="B245" s="3"/>
      <c r="C245" s="3"/>
      <c r="D245" s="3"/>
      <c r="G245" s="14"/>
      <c r="H245" s="14"/>
    </row>
    <row r="247" spans="1:8" x14ac:dyDescent="0.25">
      <c r="A247" s="3"/>
      <c r="G247" s="14"/>
      <c r="H247" s="14"/>
    </row>
  </sheetData>
  <phoneticPr fontId="1" type="noConversion"/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2D2BA7-9B43-492C-9BF0-457342878014}">
  <sheetPr/>
  <dimension ref="A1:I247"/>
  <sheetViews>
    <sheetView topLeftCell="A4" zoomScale="115" zoomScaleNormal="115" workbookViewId="0">
      <selection activeCell="A5" sqref="A5:H80"/>
    </sheetView>
  </sheetViews>
  <sheetFormatPr defaultRowHeight="15" x14ac:dyDescent="0.25"/>
  <cols>
    <col min="1" max="1" width="8.875" style="4" customWidth="1"/>
    <col min="2" max="3" width="15.125" style="4" customWidth="1"/>
    <col min="4" max="4" width="10.25" style="4" customWidth="1"/>
    <col min="5" max="5" width="12" style="13" customWidth="1"/>
    <col min="6" max="6" width="15" style="13" customWidth="1"/>
    <col min="7" max="7" width="13.875" customWidth="1"/>
    <col min="8" max="8" width="11.125" customWidth="1"/>
    <col min="11" max="12" width="15.125" customWidth="1"/>
    <col min="13" max="13" width="11.125" customWidth="1"/>
  </cols>
  <sheetData>
    <row r="1" spans="1:9" ht="14.25" x14ac:dyDescent="0.2">
      <c r="A1" s="2" t="s">
        <v>12</v>
      </c>
      <c r="B1" s="2" t="s">
        <v>4</v>
      </c>
      <c r="C1" s="2" t="s">
        <v>5</v>
      </c>
      <c r="D1" s="2" t="s">
        <v>13</v>
      </c>
      <c r="E1" s="2" t="s">
        <v>14</v>
      </c>
      <c r="F1" s="2" t="s">
        <v>15</v>
      </c>
      <c r="G1" s="2" t="s">
        <v>16</v>
      </c>
    </row>
    <row r="2" spans="1:9" x14ac:dyDescent="0.25">
      <c r="A2" s="11">
        <v>28</v>
      </c>
      <c r="B2" s="3">
        <v>113.3453299</v>
      </c>
      <c r="C2" s="8">
        <v>22.9622703</v>
      </c>
      <c r="D2" s="3">
        <v>0</v>
      </c>
      <c r="E2" s="13">
        <v>980</v>
      </c>
      <c r="F2" s="13">
        <v>27</v>
      </c>
      <c r="G2" s="19">
        <f>SUBTOTAL(2,A5:A250)</f>
        <v>26</v>
      </c>
    </row>
    <row r="3" spans="1:9" x14ac:dyDescent="0.25">
      <c r="A3" s="3"/>
      <c r="B3" s="3"/>
      <c r="C3" s="3"/>
      <c r="D3" s="3"/>
    </row>
    <row r="4" spans="1:9" ht="14.25" x14ac:dyDescent="0.2">
      <c r="A4" s="2" t="s">
        <v>0</v>
      </c>
      <c r="B4" s="2" t="s">
        <v>1</v>
      </c>
      <c r="C4" s="2" t="s">
        <v>2</v>
      </c>
      <c r="D4" s="2" t="s">
        <v>3</v>
      </c>
      <c r="E4" s="2" t="s">
        <v>7</v>
      </c>
      <c r="F4" s="2" t="s">
        <v>8</v>
      </c>
      <c r="G4" s="2" t="s">
        <v>13</v>
      </c>
      <c r="H4" s="2" t="s">
        <v>14</v>
      </c>
      <c r="I4" s="24" t="s">
        <v>20</v>
      </c>
    </row>
    <row r="5" spans="1:9" x14ac:dyDescent="0.25">
      <c r="A5" s="3">
        <v>2525</v>
      </c>
      <c r="B5" s="3">
        <v>113.3466483</v>
      </c>
      <c r="C5" s="3">
        <v>22.96168291</v>
      </c>
      <c r="D5" s="3">
        <v>28</v>
      </c>
      <c r="E5" s="13">
        <f t="shared" ref="E5:E36" si="0">SQRT((B5-$B$2)^2+(C5-$C$2)^2)</f>
        <v>1.4433314145081114E-3</v>
      </c>
      <c r="F5" s="13">
        <f t="shared" ref="F5:F36" si="1">SQRT(1/E5)</f>
        <v>26.321883818272553</v>
      </c>
      <c r="G5" s="14">
        <f>F5/$F$82*$D$2</f>
        <v>0</v>
      </c>
      <c r="H5" s="14">
        <f>F5/$F$82*$E$2</f>
        <v>64.50125011302697</v>
      </c>
      <c r="I5" s="25" t="str">
        <f>IF(MOD(ROW()-1,3)=1,"选中","")</f>
        <v>选中</v>
      </c>
    </row>
    <row r="6" spans="1:9" hidden="1" x14ac:dyDescent="0.25">
      <c r="A6" s="3">
        <v>2557</v>
      </c>
      <c r="B6" s="3">
        <v>113.3444763</v>
      </c>
      <c r="C6" s="3">
        <v>22.961082879999999</v>
      </c>
      <c r="D6" s="3">
        <v>28</v>
      </c>
      <c r="E6" s="13">
        <f t="shared" si="0"/>
        <v>1.462395027480829E-3</v>
      </c>
      <c r="F6" s="13">
        <f t="shared" si="1"/>
        <v>26.149756498791579</v>
      </c>
      <c r="G6" s="14" t="e">
        <f>F6/$F$124*$D$2</f>
        <v>#DIV/0!</v>
      </c>
      <c r="H6" s="14" t="e">
        <f>F6/$F$124*$E$2</f>
        <v>#DIV/0!</v>
      </c>
      <c r="I6" s="25" t="str">
        <f t="shared" ref="I6:I69" si="2">IF(MOD(ROW()-1,3)=1,"选中","")</f>
        <v/>
      </c>
    </row>
    <row r="7" spans="1:9" hidden="1" x14ac:dyDescent="0.25">
      <c r="A7" s="3">
        <v>2551</v>
      </c>
      <c r="B7" s="3">
        <v>113.3444044</v>
      </c>
      <c r="C7" s="3">
        <v>22.96113398</v>
      </c>
      <c r="D7" s="3">
        <v>28</v>
      </c>
      <c r="E7" s="13">
        <f t="shared" si="0"/>
        <v>1.4655283662863476E-3</v>
      </c>
      <c r="F7" s="13">
        <f t="shared" si="1"/>
        <v>26.121787101909455</v>
      </c>
      <c r="G7" s="14" t="e">
        <f>F7/$F$124*$D$2</f>
        <v>#DIV/0!</v>
      </c>
      <c r="H7" s="14" t="e">
        <f>F7/$F$124*$E$2</f>
        <v>#DIV/0!</v>
      </c>
      <c r="I7" s="25" t="str">
        <f t="shared" si="2"/>
        <v/>
      </c>
    </row>
    <row r="8" spans="1:9" x14ac:dyDescent="0.25">
      <c r="A8" s="3">
        <v>2548</v>
      </c>
      <c r="B8" s="3">
        <v>113.3463539</v>
      </c>
      <c r="C8" s="3">
        <v>22.960820779999999</v>
      </c>
      <c r="D8" s="3">
        <v>28</v>
      </c>
      <c r="E8" s="13">
        <f t="shared" si="0"/>
        <v>1.774734974695069E-3</v>
      </c>
      <c r="F8" s="13">
        <f t="shared" si="1"/>
        <v>23.737405346394127</v>
      </c>
      <c r="G8" s="14">
        <f>F8/$F$82*$D$2</f>
        <v>0</v>
      </c>
      <c r="H8" s="14">
        <f>F8/$F$82*$E$2</f>
        <v>58.168037282316114</v>
      </c>
      <c r="I8" s="25" t="str">
        <f t="shared" si="2"/>
        <v>选中</v>
      </c>
    </row>
    <row r="9" spans="1:9" hidden="1" x14ac:dyDescent="0.25">
      <c r="A9" s="3">
        <v>2560</v>
      </c>
      <c r="B9" s="3">
        <v>113.34711849999999</v>
      </c>
      <c r="C9" s="3">
        <v>22.962117930000002</v>
      </c>
      <c r="D9" s="3">
        <v>28</v>
      </c>
      <c r="E9" s="13">
        <f t="shared" si="0"/>
        <v>1.795078431960824E-3</v>
      </c>
      <c r="F9" s="13">
        <f t="shared" si="1"/>
        <v>23.602515177140692</v>
      </c>
      <c r="G9" s="14" t="e">
        <f>F9/$F$124*$D$2</f>
        <v>#DIV/0!</v>
      </c>
      <c r="H9" s="14" t="e">
        <f>F9/$F$124*$E$2</f>
        <v>#DIV/0!</v>
      </c>
      <c r="I9" s="25" t="str">
        <f t="shared" si="2"/>
        <v/>
      </c>
    </row>
    <row r="10" spans="1:9" hidden="1" x14ac:dyDescent="0.25">
      <c r="A10" s="3">
        <v>2556</v>
      </c>
      <c r="B10" s="3">
        <v>113.3459257</v>
      </c>
      <c r="C10" s="3">
        <v>22.960495640000001</v>
      </c>
      <c r="D10" s="3">
        <v>28</v>
      </c>
      <c r="E10" s="13">
        <f t="shared" si="0"/>
        <v>1.8720031398464373E-3</v>
      </c>
      <c r="F10" s="13">
        <f t="shared" si="1"/>
        <v>23.112488793135839</v>
      </c>
      <c r="G10" s="14" t="e">
        <f>F10/$F$124*$D$2</f>
        <v>#DIV/0!</v>
      </c>
      <c r="H10" s="14" t="e">
        <f>F10/$F$124*$E$2</f>
        <v>#DIV/0!</v>
      </c>
      <c r="I10" s="25" t="str">
        <f t="shared" si="2"/>
        <v/>
      </c>
    </row>
    <row r="11" spans="1:9" x14ac:dyDescent="0.25">
      <c r="A11" s="3">
        <v>2522</v>
      </c>
      <c r="B11" s="3">
        <v>113.34479279999999</v>
      </c>
      <c r="C11" s="3">
        <v>22.960376629999999</v>
      </c>
      <c r="D11" s="3">
        <v>28</v>
      </c>
      <c r="E11" s="13">
        <f t="shared" si="0"/>
        <v>1.9683654332738028E-3</v>
      </c>
      <c r="F11" s="13">
        <f t="shared" si="1"/>
        <v>22.539648296782893</v>
      </c>
      <c r="G11" s="14">
        <f>F11/$F$82*$D$2</f>
        <v>0</v>
      </c>
      <c r="H11" s="14">
        <f>F11/$F$82*$E$2</f>
        <v>55.232957575825502</v>
      </c>
      <c r="I11" s="25" t="str">
        <f t="shared" si="2"/>
        <v>选中</v>
      </c>
    </row>
    <row r="12" spans="1:9" hidden="1" x14ac:dyDescent="0.25">
      <c r="A12" s="3">
        <v>2524</v>
      </c>
      <c r="B12" s="3">
        <v>113.3469778</v>
      </c>
      <c r="C12" s="3">
        <v>22.96113059</v>
      </c>
      <c r="D12" s="3">
        <v>28</v>
      </c>
      <c r="E12" s="13">
        <f t="shared" si="0"/>
        <v>2.0036250383068648E-3</v>
      </c>
      <c r="F12" s="13">
        <f t="shared" si="1"/>
        <v>22.340442700722022</v>
      </c>
      <c r="G12" s="14" t="e">
        <f>F12/$F$124*$D$2</f>
        <v>#DIV/0!</v>
      </c>
      <c r="H12" s="14" t="e">
        <f>F12/$F$124*$E$2</f>
        <v>#DIV/0!</v>
      </c>
      <c r="I12" s="25" t="str">
        <f t="shared" si="2"/>
        <v/>
      </c>
    </row>
    <row r="13" spans="1:9" hidden="1" x14ac:dyDescent="0.25">
      <c r="A13" s="3">
        <v>2527</v>
      </c>
      <c r="B13" s="3">
        <v>113.3476575</v>
      </c>
      <c r="C13" s="3">
        <v>22.962100039999999</v>
      </c>
      <c r="D13" s="3">
        <v>28</v>
      </c>
      <c r="E13" s="13">
        <f t="shared" si="0"/>
        <v>2.3338188077922581E-3</v>
      </c>
      <c r="F13" s="13">
        <f t="shared" si="1"/>
        <v>20.699813485679009</v>
      </c>
      <c r="G13" s="14" t="e">
        <f>F13/$F$124*$D$2</f>
        <v>#DIV/0!</v>
      </c>
      <c r="H13" s="14" t="e">
        <f>F13/$F$124*$E$2</f>
        <v>#DIV/0!</v>
      </c>
      <c r="I13" s="25" t="str">
        <f t="shared" si="2"/>
        <v/>
      </c>
    </row>
    <row r="14" spans="1:9" x14ac:dyDescent="0.25">
      <c r="A14" s="3">
        <v>2534</v>
      </c>
      <c r="B14" s="3">
        <v>113.3477403</v>
      </c>
      <c r="C14" s="3">
        <v>22.962589690000001</v>
      </c>
      <c r="D14" s="3">
        <v>28</v>
      </c>
      <c r="E14" s="13">
        <f t="shared" si="0"/>
        <v>2.4314683078567449E-3</v>
      </c>
      <c r="F14" s="13">
        <f t="shared" si="1"/>
        <v>20.279894592418668</v>
      </c>
      <c r="G14" s="14">
        <f>F14/$F$82*$D$2</f>
        <v>0</v>
      </c>
      <c r="H14" s="14">
        <f>F14/$F$82*$E$2</f>
        <v>49.695476296546694</v>
      </c>
      <c r="I14" s="25" t="str">
        <f t="shared" si="2"/>
        <v>选中</v>
      </c>
    </row>
    <row r="15" spans="1:9" hidden="1" x14ac:dyDescent="0.25">
      <c r="A15" s="3">
        <v>2519</v>
      </c>
      <c r="B15" s="3">
        <v>113.34487369999999</v>
      </c>
      <c r="C15" s="3">
        <v>22.959860720000002</v>
      </c>
      <c r="D15" s="3">
        <v>28</v>
      </c>
      <c r="E15" s="13">
        <f t="shared" si="0"/>
        <v>2.452385413509472E-3</v>
      </c>
      <c r="F15" s="13">
        <f t="shared" si="1"/>
        <v>20.193222836468976</v>
      </c>
      <c r="G15" s="14" t="e">
        <f>F15/$F$124*$D$2</f>
        <v>#DIV/0!</v>
      </c>
      <c r="H15" s="14" t="e">
        <f>F15/$F$124*$E$2</f>
        <v>#DIV/0!</v>
      </c>
      <c r="I15" s="25" t="str">
        <f t="shared" si="2"/>
        <v/>
      </c>
    </row>
    <row r="16" spans="1:9" hidden="1" x14ac:dyDescent="0.25">
      <c r="A16" s="3">
        <v>2520</v>
      </c>
      <c r="B16" s="3">
        <v>113.3466365</v>
      </c>
      <c r="C16" s="3">
        <v>22.960139590000001</v>
      </c>
      <c r="D16" s="3">
        <v>28</v>
      </c>
      <c r="E16" s="13">
        <f t="shared" si="0"/>
        <v>2.4994256668512448E-3</v>
      </c>
      <c r="F16" s="13">
        <f t="shared" si="1"/>
        <v>20.002297728501095</v>
      </c>
      <c r="G16" s="14" t="e">
        <f>F16/$F$124*$D$2</f>
        <v>#DIV/0!</v>
      </c>
      <c r="H16" s="14" t="e">
        <f>F16/$F$124*$E$2</f>
        <v>#DIV/0!</v>
      </c>
      <c r="I16" s="25" t="str">
        <f t="shared" si="2"/>
        <v/>
      </c>
    </row>
    <row r="17" spans="1:9" x14ac:dyDescent="0.25">
      <c r="A17" s="3">
        <v>2517</v>
      </c>
      <c r="B17" s="3">
        <v>113.3442678</v>
      </c>
      <c r="C17" s="3">
        <v>22.959911739999999</v>
      </c>
      <c r="D17" s="3">
        <v>28</v>
      </c>
      <c r="E17" s="13">
        <f t="shared" si="0"/>
        <v>2.586669998975972E-3</v>
      </c>
      <c r="F17" s="13">
        <f t="shared" si="1"/>
        <v>19.66208127601962</v>
      </c>
      <c r="G17" s="14">
        <f>F17/$F$82*$D$2</f>
        <v>0</v>
      </c>
      <c r="H17" s="14">
        <f>F17/$F$82*$E$2</f>
        <v>48.181537115014777</v>
      </c>
      <c r="I17" s="25" t="str">
        <f t="shared" si="2"/>
        <v>选中</v>
      </c>
    </row>
    <row r="18" spans="1:9" hidden="1" x14ac:dyDescent="0.25">
      <c r="A18" s="3">
        <v>2526</v>
      </c>
      <c r="B18" s="3">
        <v>113.343559</v>
      </c>
      <c r="C18" s="3">
        <v>22.960279809999999</v>
      </c>
      <c r="D18" s="3">
        <v>28</v>
      </c>
      <c r="E18" s="13">
        <f t="shared" si="0"/>
        <v>2.6642329571738999E-3</v>
      </c>
      <c r="F18" s="13">
        <f t="shared" si="1"/>
        <v>19.373759393194096</v>
      </c>
      <c r="G18" s="14" t="e">
        <f>F18/$F$124*$D$2</f>
        <v>#DIV/0!</v>
      </c>
      <c r="H18" s="14" t="e">
        <f>F18/$F$124*$E$2</f>
        <v>#DIV/0!</v>
      </c>
      <c r="I18" s="25" t="str">
        <f t="shared" si="2"/>
        <v/>
      </c>
    </row>
    <row r="19" spans="1:9" hidden="1" x14ac:dyDescent="0.25">
      <c r="A19" s="3">
        <v>2279</v>
      </c>
      <c r="B19" s="3">
        <v>113.3442744</v>
      </c>
      <c r="C19" s="3">
        <v>22.96473666</v>
      </c>
      <c r="D19" s="3">
        <v>28</v>
      </c>
      <c r="E19" s="13">
        <f t="shared" si="0"/>
        <v>2.6827247155797834E-3</v>
      </c>
      <c r="F19" s="13">
        <f t="shared" si="1"/>
        <v>19.306873222045851</v>
      </c>
      <c r="G19" s="14" t="e">
        <f>F19/$F$124*$D$2</f>
        <v>#DIV/0!</v>
      </c>
      <c r="H19" s="14" t="e">
        <f>F19/$F$124*$E$2</f>
        <v>#DIV/0!</v>
      </c>
      <c r="I19" s="25" t="str">
        <f t="shared" si="2"/>
        <v/>
      </c>
    </row>
    <row r="20" spans="1:9" x14ac:dyDescent="0.25">
      <c r="A20" s="3">
        <v>2523</v>
      </c>
      <c r="B20" s="3">
        <v>113.347976</v>
      </c>
      <c r="C20" s="3">
        <v>22.960971990000001</v>
      </c>
      <c r="D20" s="3">
        <v>28</v>
      </c>
      <c r="E20" s="13">
        <f t="shared" si="0"/>
        <v>2.9474487385083379E-3</v>
      </c>
      <c r="F20" s="13">
        <f t="shared" si="1"/>
        <v>18.419458971699914</v>
      </c>
      <c r="G20" s="14">
        <f>F20/$F$82*$D$2</f>
        <v>0</v>
      </c>
      <c r="H20" s="14">
        <f>F20/$F$82*$E$2</f>
        <v>45.136515998733167</v>
      </c>
      <c r="I20" s="25" t="str">
        <f t="shared" si="2"/>
        <v>选中</v>
      </c>
    </row>
    <row r="21" spans="1:9" hidden="1" x14ac:dyDescent="0.25">
      <c r="A21" s="3">
        <v>2537</v>
      </c>
      <c r="B21" s="3">
        <v>113.34828349999999</v>
      </c>
      <c r="C21" s="3">
        <v>22.961676180000001</v>
      </c>
      <c r="D21" s="3">
        <v>28</v>
      </c>
      <c r="E21" s="13">
        <f t="shared" si="0"/>
        <v>3.0127614466442789E-3</v>
      </c>
      <c r="F21" s="13">
        <f t="shared" si="1"/>
        <v>18.21871018808319</v>
      </c>
      <c r="G21" s="14" t="e">
        <f>F21/$F$124*$D$2</f>
        <v>#DIV/0!</v>
      </c>
      <c r="H21" s="14" t="e">
        <f>F21/$F$124*$E$2</f>
        <v>#DIV/0!</v>
      </c>
      <c r="I21" s="25" t="str">
        <f t="shared" si="2"/>
        <v/>
      </c>
    </row>
    <row r="22" spans="1:9" hidden="1" x14ac:dyDescent="0.25">
      <c r="A22" s="3">
        <v>2529</v>
      </c>
      <c r="B22" s="3">
        <v>113.34319170000001</v>
      </c>
      <c r="C22" s="3">
        <v>22.959946590000001</v>
      </c>
      <c r="D22" s="3">
        <v>28</v>
      </c>
      <c r="E22" s="13">
        <f t="shared" si="0"/>
        <v>3.1577725383651919E-3</v>
      </c>
      <c r="F22" s="13">
        <f t="shared" si="1"/>
        <v>17.795474731868566</v>
      </c>
      <c r="G22" s="14" t="e">
        <f>F22/$F$124*$D$2</f>
        <v>#DIV/0!</v>
      </c>
      <c r="H22" s="14" t="e">
        <f>F22/$F$124*$E$2</f>
        <v>#DIV/0!</v>
      </c>
      <c r="I22" s="25" t="str">
        <f t="shared" si="2"/>
        <v/>
      </c>
    </row>
    <row r="23" spans="1:9" x14ac:dyDescent="0.25">
      <c r="A23" s="3">
        <v>2559</v>
      </c>
      <c r="B23" s="3">
        <v>113.34821839999999</v>
      </c>
      <c r="C23" s="3">
        <v>22.963595470000001</v>
      </c>
      <c r="D23" s="3">
        <v>28</v>
      </c>
      <c r="E23" s="13">
        <f t="shared" si="0"/>
        <v>3.1779722747198756E-3</v>
      </c>
      <c r="F23" s="13">
        <f t="shared" si="1"/>
        <v>17.738829032523586</v>
      </c>
      <c r="G23" s="14">
        <f>F23/$F$82*$D$2</f>
        <v>0</v>
      </c>
      <c r="H23" s="14">
        <f>F23/$F$82*$E$2</f>
        <v>43.468645938811754</v>
      </c>
      <c r="I23" s="25" t="str">
        <f t="shared" si="2"/>
        <v>选中</v>
      </c>
    </row>
    <row r="24" spans="1:9" hidden="1" x14ac:dyDescent="0.25">
      <c r="A24" s="3">
        <v>2546</v>
      </c>
      <c r="B24" s="3">
        <v>113.3484361</v>
      </c>
      <c r="C24" s="3">
        <v>22.963371200000001</v>
      </c>
      <c r="D24" s="3">
        <v>28</v>
      </c>
      <c r="E24" s="13">
        <f t="shared" si="0"/>
        <v>3.2955210893016434E-3</v>
      </c>
      <c r="F24" s="13">
        <f t="shared" si="1"/>
        <v>17.419590941563023</v>
      </c>
      <c r="G24" s="14" t="e">
        <f>F24/$F$124*$D$2</f>
        <v>#DIV/0!</v>
      </c>
      <c r="H24" s="14" t="e">
        <f>F24/$F$124*$E$2</f>
        <v>#DIV/0!</v>
      </c>
      <c r="I24" s="25" t="str">
        <f t="shared" si="2"/>
        <v/>
      </c>
    </row>
    <row r="25" spans="1:9" hidden="1" x14ac:dyDescent="0.25">
      <c r="A25" s="3">
        <v>2291</v>
      </c>
      <c r="B25" s="3">
        <v>113.34618690000001</v>
      </c>
      <c r="C25" s="3">
        <v>22.965454080000001</v>
      </c>
      <c r="D25" s="3">
        <v>28</v>
      </c>
      <c r="E25" s="13">
        <f t="shared" si="0"/>
        <v>3.2971054105717353E-3</v>
      </c>
      <c r="F25" s="13">
        <f t="shared" si="1"/>
        <v>17.415405217849049</v>
      </c>
      <c r="G25" s="14" t="e">
        <f>F25/$F$124*$D$2</f>
        <v>#DIV/0!</v>
      </c>
      <c r="H25" s="14" t="e">
        <f>F25/$F$124*$E$2</f>
        <v>#DIV/0!</v>
      </c>
      <c r="I25" s="25" t="str">
        <f t="shared" si="2"/>
        <v/>
      </c>
    </row>
    <row r="26" spans="1:9" x14ac:dyDescent="0.25">
      <c r="A26" s="3">
        <v>2558</v>
      </c>
      <c r="B26" s="3">
        <v>113.3486158</v>
      </c>
      <c r="C26" s="3">
        <v>22.963012060000001</v>
      </c>
      <c r="D26" s="3">
        <v>28</v>
      </c>
      <c r="E26" s="13">
        <f t="shared" si="0"/>
        <v>3.3685822993743046E-3</v>
      </c>
      <c r="F26" s="13">
        <f t="shared" si="1"/>
        <v>17.229648552317983</v>
      </c>
      <c r="G26" s="14">
        <f>F26/$F$82*$D$2</f>
        <v>0</v>
      </c>
      <c r="H26" s="14">
        <f>F26/$F$82*$E$2</f>
        <v>42.220909350763542</v>
      </c>
      <c r="I26" s="25" t="str">
        <f t="shared" si="2"/>
        <v>选中</v>
      </c>
    </row>
    <row r="27" spans="1:9" hidden="1" x14ac:dyDescent="0.25">
      <c r="A27" s="3">
        <v>2284</v>
      </c>
      <c r="B27" s="3">
        <v>113.3482583</v>
      </c>
      <c r="C27" s="3">
        <v>22.964171149999999</v>
      </c>
      <c r="D27" s="3">
        <v>28</v>
      </c>
      <c r="E27" s="13">
        <f t="shared" si="0"/>
        <v>3.491240078038838E-3</v>
      </c>
      <c r="F27" s="13">
        <f t="shared" si="1"/>
        <v>16.924277699260188</v>
      </c>
      <c r="G27" s="14" t="e">
        <f>F27/$F$124*$D$2</f>
        <v>#DIV/0!</v>
      </c>
      <c r="H27" s="14" t="e">
        <f>F27/$F$124*$E$2</f>
        <v>#DIV/0!</v>
      </c>
      <c r="I27" s="25" t="str">
        <f t="shared" si="2"/>
        <v/>
      </c>
    </row>
    <row r="28" spans="1:9" hidden="1" x14ac:dyDescent="0.25">
      <c r="A28" s="3">
        <v>2561</v>
      </c>
      <c r="B28" s="3">
        <v>113.34318380000001</v>
      </c>
      <c r="C28" s="3">
        <v>22.9595038</v>
      </c>
      <c r="D28" s="3">
        <v>28</v>
      </c>
      <c r="E28" s="13">
        <f t="shared" si="0"/>
        <v>3.5013236725498042E-3</v>
      </c>
      <c r="F28" s="13">
        <f t="shared" si="1"/>
        <v>16.899889693791739</v>
      </c>
      <c r="G28" s="14" t="e">
        <f>F28/$F$124*$D$2</f>
        <v>#DIV/0!</v>
      </c>
      <c r="H28" s="14" t="e">
        <f>F28/$F$124*$E$2</f>
        <v>#DIV/0!</v>
      </c>
      <c r="I28" s="25" t="str">
        <f t="shared" si="2"/>
        <v/>
      </c>
    </row>
    <row r="29" spans="1:9" x14ac:dyDescent="0.25">
      <c r="A29" s="3">
        <v>2521</v>
      </c>
      <c r="B29" s="3">
        <v>113.34181220000001</v>
      </c>
      <c r="C29" s="3">
        <v>22.962133080000001</v>
      </c>
      <c r="D29" s="3">
        <v>28</v>
      </c>
      <c r="E29" s="13">
        <f t="shared" si="0"/>
        <v>3.5203753519082192E-3</v>
      </c>
      <c r="F29" s="13">
        <f t="shared" si="1"/>
        <v>16.854097975047292</v>
      </c>
      <c r="G29" s="14">
        <f>F29/$F$82*$D$2</f>
        <v>0</v>
      </c>
      <c r="H29" s="14">
        <f>F29/$F$82*$E$2</f>
        <v>41.300630168548906</v>
      </c>
      <c r="I29" s="25" t="str">
        <f t="shared" si="2"/>
        <v>选中</v>
      </c>
    </row>
    <row r="30" spans="1:9" hidden="1" x14ac:dyDescent="0.25">
      <c r="A30" s="3">
        <v>2286</v>
      </c>
      <c r="B30" s="3">
        <v>113.3486307</v>
      </c>
      <c r="C30" s="3">
        <v>22.964199529999998</v>
      </c>
      <c r="D30" s="3">
        <v>28</v>
      </c>
      <c r="E30" s="13">
        <f t="shared" si="0"/>
        <v>3.8232458765985167E-3</v>
      </c>
      <c r="F30" s="13">
        <f t="shared" si="1"/>
        <v>16.172750460364771</v>
      </c>
      <c r="G30" s="14" t="e">
        <f>F30/$F$124*$D$2</f>
        <v>#DIV/0!</v>
      </c>
      <c r="H30" s="14" t="e">
        <f>F30/$F$124*$E$2</f>
        <v>#DIV/0!</v>
      </c>
      <c r="I30" s="25" t="str">
        <f t="shared" si="2"/>
        <v/>
      </c>
    </row>
    <row r="31" spans="1:9" hidden="1" x14ac:dyDescent="0.25">
      <c r="A31" s="3">
        <v>2554</v>
      </c>
      <c r="B31" s="3">
        <v>113.3492597</v>
      </c>
      <c r="C31" s="3">
        <v>22.962009429999998</v>
      </c>
      <c r="D31" s="3">
        <v>28</v>
      </c>
      <c r="E31" s="13">
        <f t="shared" si="0"/>
        <v>3.9384490852326266E-3</v>
      </c>
      <c r="F31" s="13">
        <f t="shared" si="1"/>
        <v>15.934461172003259</v>
      </c>
      <c r="G31" s="14" t="e">
        <f>F31/$F$124*$D$2</f>
        <v>#DIV/0!</v>
      </c>
      <c r="H31" s="14" t="e">
        <f>F31/$F$124*$E$2</f>
        <v>#DIV/0!</v>
      </c>
      <c r="I31" s="25" t="str">
        <f t="shared" si="2"/>
        <v/>
      </c>
    </row>
    <row r="32" spans="1:9" x14ac:dyDescent="0.25">
      <c r="A32" s="3">
        <v>2532</v>
      </c>
      <c r="B32" s="3">
        <v>113.3489683</v>
      </c>
      <c r="C32" s="3">
        <v>22.960752450000001</v>
      </c>
      <c r="D32" s="3">
        <v>28</v>
      </c>
      <c r="E32" s="13">
        <f t="shared" si="0"/>
        <v>3.9423119083217889E-3</v>
      </c>
      <c r="F32" s="13">
        <f t="shared" si="1"/>
        <v>15.926652671422302</v>
      </c>
      <c r="G32" s="14">
        <f>F32/$F$82*$D$2</f>
        <v>0</v>
      </c>
      <c r="H32" s="14">
        <f>F32/$F$82*$E$2</f>
        <v>39.027943991971384</v>
      </c>
      <c r="I32" s="25" t="str">
        <f t="shared" si="2"/>
        <v>选中</v>
      </c>
    </row>
    <row r="33" spans="1:9" hidden="1" x14ac:dyDescent="0.25">
      <c r="A33" s="3">
        <v>2508</v>
      </c>
      <c r="B33" s="3">
        <v>113.3414298</v>
      </c>
      <c r="C33" s="3">
        <v>22.963146330000001</v>
      </c>
      <c r="D33" s="3">
        <v>28</v>
      </c>
      <c r="E33" s="13">
        <f t="shared" si="0"/>
        <v>3.9972751432528321E-3</v>
      </c>
      <c r="F33" s="13">
        <f t="shared" si="1"/>
        <v>15.81677652491094</v>
      </c>
      <c r="G33" s="14" t="e">
        <f>F33/$F$124*$D$2</f>
        <v>#DIV/0!</v>
      </c>
      <c r="H33" s="14" t="e">
        <f>F33/$F$124*$E$2</f>
        <v>#DIV/0!</v>
      </c>
      <c r="I33" s="25" t="str">
        <f t="shared" si="2"/>
        <v/>
      </c>
    </row>
    <row r="34" spans="1:9" hidden="1" x14ac:dyDescent="0.25">
      <c r="A34" s="3">
        <v>2275</v>
      </c>
      <c r="B34" s="3">
        <v>113.3467898</v>
      </c>
      <c r="C34" s="3">
        <v>22.966003820000001</v>
      </c>
      <c r="D34" s="3">
        <v>28</v>
      </c>
      <c r="E34" s="13">
        <f t="shared" si="0"/>
        <v>4.0088002694580981E-3</v>
      </c>
      <c r="F34" s="13">
        <f t="shared" si="1"/>
        <v>15.794023888058758</v>
      </c>
      <c r="G34" s="14" t="e">
        <f>F34/$F$124*$D$2</f>
        <v>#DIV/0!</v>
      </c>
      <c r="H34" s="14" t="e">
        <f>F34/$F$124*$E$2</f>
        <v>#DIV/0!</v>
      </c>
      <c r="I34" s="25" t="str">
        <f t="shared" si="2"/>
        <v/>
      </c>
    </row>
    <row r="35" spans="1:9" x14ac:dyDescent="0.25">
      <c r="A35" s="3">
        <v>2287</v>
      </c>
      <c r="B35" s="3">
        <v>113.34906789999999</v>
      </c>
      <c r="C35" s="3">
        <v>22.963794979999999</v>
      </c>
      <c r="D35" s="3">
        <v>28</v>
      </c>
      <c r="E35" s="13">
        <f t="shared" si="0"/>
        <v>4.0369905997396528E-3</v>
      </c>
      <c r="F35" s="13">
        <f t="shared" si="1"/>
        <v>15.738782398035521</v>
      </c>
      <c r="G35" s="14">
        <f>F35/$F$82*$D$2</f>
        <v>0</v>
      </c>
      <c r="H35" s="14">
        <f>F35/$F$82*$E$2</f>
        <v>38.567571642629453</v>
      </c>
      <c r="I35" s="25" t="str">
        <f t="shared" si="2"/>
        <v>选中</v>
      </c>
    </row>
    <row r="36" spans="1:9" hidden="1" x14ac:dyDescent="0.25">
      <c r="A36" s="3">
        <v>2293</v>
      </c>
      <c r="B36" s="3">
        <v>113.3491428</v>
      </c>
      <c r="C36" s="3">
        <v>22.96380585</v>
      </c>
      <c r="D36" s="3">
        <v>28</v>
      </c>
      <c r="E36" s="13">
        <f t="shared" si="0"/>
        <v>4.1104890478503705E-3</v>
      </c>
      <c r="F36" s="13">
        <f t="shared" si="1"/>
        <v>15.597437437012623</v>
      </c>
      <c r="G36" s="14" t="e">
        <f>F36/$F$124*$D$2</f>
        <v>#DIV/0!</v>
      </c>
      <c r="H36" s="14" t="e">
        <f>F36/$F$124*$E$2</f>
        <v>#DIV/0!</v>
      </c>
      <c r="I36" s="25" t="str">
        <f t="shared" si="2"/>
        <v/>
      </c>
    </row>
    <row r="37" spans="1:9" hidden="1" x14ac:dyDescent="0.25">
      <c r="A37" s="3">
        <v>2535</v>
      </c>
      <c r="B37" s="3">
        <v>113.3494206</v>
      </c>
      <c r="C37" s="3">
        <v>22.960670740000001</v>
      </c>
      <c r="D37" s="3">
        <v>28</v>
      </c>
      <c r="E37" s="13">
        <f t="shared" ref="E37:E68" si="3">SQRT((B37-$B$2)^2+(C37-$C$2)^2)</f>
        <v>4.3923135912234913E-3</v>
      </c>
      <c r="F37" s="13">
        <f t="shared" ref="F37:F68" si="4">SQRT(1/E37)</f>
        <v>15.088752344079813</v>
      </c>
      <c r="G37" s="14" t="e">
        <f>F37/$F$124*$D$2</f>
        <v>#DIV/0!</v>
      </c>
      <c r="H37" s="14" t="e">
        <f>F37/$F$124*$E$2</f>
        <v>#DIV/0!</v>
      </c>
      <c r="I37" s="25" t="str">
        <f t="shared" si="2"/>
        <v/>
      </c>
    </row>
    <row r="38" spans="1:9" x14ac:dyDescent="0.25">
      <c r="A38" s="3">
        <v>2274</v>
      </c>
      <c r="B38" s="3">
        <v>113.34715009999999</v>
      </c>
      <c r="C38" s="3">
        <v>22.9662711</v>
      </c>
      <c r="D38" s="3">
        <v>28</v>
      </c>
      <c r="E38" s="13">
        <f t="shared" si="3"/>
        <v>4.3953985803326977E-3</v>
      </c>
      <c r="F38" s="13">
        <f t="shared" si="4"/>
        <v>15.083456259274532</v>
      </c>
      <c r="G38" s="14">
        <f>F38/$F$82*$D$2</f>
        <v>0</v>
      </c>
      <c r="H38" s="14">
        <f>F38/$F$82*$E$2</f>
        <v>36.961708039794019</v>
      </c>
      <c r="I38" s="25" t="str">
        <f t="shared" si="2"/>
        <v>选中</v>
      </c>
    </row>
    <row r="39" spans="1:9" hidden="1" x14ac:dyDescent="0.25">
      <c r="A39" s="3">
        <v>2518</v>
      </c>
      <c r="B39" s="3">
        <v>113.34682429999999</v>
      </c>
      <c r="C39" s="3">
        <v>22.958077159999998</v>
      </c>
      <c r="D39" s="3">
        <v>28</v>
      </c>
      <c r="E39" s="13">
        <f t="shared" si="3"/>
        <v>4.4514777793009368E-3</v>
      </c>
      <c r="F39" s="13">
        <f t="shared" si="4"/>
        <v>14.988145315607236</v>
      </c>
      <c r="G39" s="14" t="e">
        <f>F39/$F$124*$D$2</f>
        <v>#DIV/0!</v>
      </c>
      <c r="H39" s="14" t="e">
        <f>F39/$F$124*$E$2</f>
        <v>#DIV/0!</v>
      </c>
      <c r="I39" s="25" t="str">
        <f t="shared" si="2"/>
        <v/>
      </c>
    </row>
    <row r="40" spans="1:9" hidden="1" x14ac:dyDescent="0.25">
      <c r="A40" s="3">
        <v>2536</v>
      </c>
      <c r="B40" s="3">
        <v>113.3492279</v>
      </c>
      <c r="C40" s="3">
        <v>22.960084309999999</v>
      </c>
      <c r="D40" s="3">
        <v>28</v>
      </c>
      <c r="E40" s="13">
        <f t="shared" si="3"/>
        <v>4.4691113524005909E-3</v>
      </c>
      <c r="F40" s="13">
        <f t="shared" si="4"/>
        <v>14.958547062778804</v>
      </c>
      <c r="G40" s="14" t="e">
        <f>F40/$F$124*$D$2</f>
        <v>#DIV/0!</v>
      </c>
      <c r="H40" s="14" t="e">
        <f>F40/$F$124*$E$2</f>
        <v>#DIV/0!</v>
      </c>
      <c r="I40" s="25" t="str">
        <f t="shared" si="2"/>
        <v/>
      </c>
    </row>
    <row r="41" spans="1:9" x14ac:dyDescent="0.25">
      <c r="A41" s="3">
        <v>2281</v>
      </c>
      <c r="B41" s="3">
        <v>113.3492626</v>
      </c>
      <c r="C41" s="3">
        <v>22.9644184</v>
      </c>
      <c r="D41" s="3">
        <v>28</v>
      </c>
      <c r="E41" s="13">
        <f t="shared" si="3"/>
        <v>4.481122950785163E-3</v>
      </c>
      <c r="F41" s="13">
        <f t="shared" si="4"/>
        <v>14.938485503627923</v>
      </c>
      <c r="G41" s="14">
        <f>F41/$F$82*$D$2</f>
        <v>0</v>
      </c>
      <c r="H41" s="14">
        <f>F41/$F$82*$E$2</f>
        <v>36.606460101098037</v>
      </c>
      <c r="I41" s="25" t="str">
        <f t="shared" si="2"/>
        <v>选中</v>
      </c>
    </row>
    <row r="42" spans="1:9" hidden="1" x14ac:dyDescent="0.25">
      <c r="A42" s="3">
        <v>2563</v>
      </c>
      <c r="B42" s="3">
        <v>113.349739</v>
      </c>
      <c r="C42" s="3">
        <v>22.961361929999999</v>
      </c>
      <c r="D42" s="3">
        <v>28</v>
      </c>
      <c r="E42" s="13">
        <f t="shared" si="3"/>
        <v>4.5016995531615605E-3</v>
      </c>
      <c r="F42" s="13">
        <f t="shared" si="4"/>
        <v>14.904305597949694</v>
      </c>
      <c r="G42" s="14" t="e">
        <f>F42/$F$124*$D$2</f>
        <v>#DIV/0!</v>
      </c>
      <c r="H42" s="14" t="e">
        <f>F42/$F$124*$E$2</f>
        <v>#DIV/0!</v>
      </c>
      <c r="I42" s="25" t="str">
        <f t="shared" si="2"/>
        <v/>
      </c>
    </row>
    <row r="43" spans="1:9" hidden="1" x14ac:dyDescent="0.25">
      <c r="A43" s="3">
        <v>2553</v>
      </c>
      <c r="B43" s="3">
        <v>113.3497618</v>
      </c>
      <c r="C43" s="3">
        <v>22.963443999999999</v>
      </c>
      <c r="D43" s="3">
        <v>28</v>
      </c>
      <c r="E43" s="13">
        <f t="shared" si="3"/>
        <v>4.5846820282325904E-3</v>
      </c>
      <c r="F43" s="13">
        <f t="shared" si="4"/>
        <v>14.768806137693899</v>
      </c>
      <c r="G43" s="14" t="e">
        <f>F43/$F$124*$D$2</f>
        <v>#DIV/0!</v>
      </c>
      <c r="H43" s="14" t="e">
        <f>F43/$F$124*$E$2</f>
        <v>#DIV/0!</v>
      </c>
      <c r="I43" s="25" t="str">
        <f t="shared" si="2"/>
        <v/>
      </c>
    </row>
    <row r="44" spans="1:9" x14ac:dyDescent="0.25">
      <c r="A44" s="3">
        <v>2506</v>
      </c>
      <c r="B44" s="3">
        <v>113.34096289999999</v>
      </c>
      <c r="C44" s="3">
        <v>22.960400329999999</v>
      </c>
      <c r="D44" s="3">
        <v>28</v>
      </c>
      <c r="E44" s="13">
        <f t="shared" si="3"/>
        <v>4.7505238448956886E-3</v>
      </c>
      <c r="F44" s="13">
        <f t="shared" si="4"/>
        <v>14.508724990411402</v>
      </c>
      <c r="G44" s="14">
        <f>F44/$F$82*$D$2</f>
        <v>0</v>
      </c>
      <c r="H44" s="14">
        <f>F44/$F$82*$E$2</f>
        <v>35.553340554523693</v>
      </c>
      <c r="I44" s="25" t="str">
        <f t="shared" si="2"/>
        <v>选中</v>
      </c>
    </row>
    <row r="45" spans="1:9" hidden="1" x14ac:dyDescent="0.25">
      <c r="A45" s="3">
        <v>2512</v>
      </c>
      <c r="B45" s="3">
        <v>113.34071230000001</v>
      </c>
      <c r="C45" s="3">
        <v>22.960756629999999</v>
      </c>
      <c r="D45" s="3">
        <v>28</v>
      </c>
      <c r="E45" s="13">
        <f t="shared" si="3"/>
        <v>4.8593648380011118E-3</v>
      </c>
      <c r="F45" s="13">
        <f t="shared" si="4"/>
        <v>14.345320202000361</v>
      </c>
      <c r="G45" s="14" t="e">
        <f>F45/$F$124*$D$2</f>
        <v>#DIV/0!</v>
      </c>
      <c r="H45" s="14" t="e">
        <f>F45/$F$124*$E$2</f>
        <v>#DIV/0!</v>
      </c>
      <c r="I45" s="25" t="str">
        <f t="shared" si="2"/>
        <v/>
      </c>
    </row>
    <row r="46" spans="1:9" hidden="1" x14ac:dyDescent="0.25">
      <c r="A46" s="3">
        <v>2513</v>
      </c>
      <c r="B46" s="3">
        <v>113.3409729</v>
      </c>
      <c r="C46" s="3">
        <v>22.959630650000001</v>
      </c>
      <c r="D46" s="3">
        <v>28</v>
      </c>
      <c r="E46" s="13">
        <f t="shared" si="3"/>
        <v>5.094232142578951E-3</v>
      </c>
      <c r="F46" s="13">
        <f t="shared" si="4"/>
        <v>14.01072581384717</v>
      </c>
      <c r="G46" s="14" t="e">
        <f>F46/$F$124*$D$2</f>
        <v>#DIV/0!</v>
      </c>
      <c r="H46" s="14" t="e">
        <f>F46/$F$124*$E$2</f>
        <v>#DIV/0!</v>
      </c>
      <c r="I46" s="25" t="str">
        <f t="shared" si="2"/>
        <v/>
      </c>
    </row>
    <row r="47" spans="1:9" x14ac:dyDescent="0.25">
      <c r="A47" s="3">
        <v>2289</v>
      </c>
      <c r="B47" s="3">
        <v>113.350223</v>
      </c>
      <c r="C47" s="3">
        <v>22.963854080000001</v>
      </c>
      <c r="D47" s="3">
        <v>28</v>
      </c>
      <c r="E47" s="13">
        <f t="shared" si="3"/>
        <v>5.1430328307760283E-3</v>
      </c>
      <c r="F47" s="13">
        <f t="shared" si="4"/>
        <v>13.944095601713686</v>
      </c>
      <c r="G47" s="14">
        <f>F47/$F$82*$D$2</f>
        <v>0</v>
      </c>
      <c r="H47" s="14">
        <f>F47/$F$82*$E$2</f>
        <v>34.169727524658605</v>
      </c>
      <c r="I47" s="25" t="str">
        <f t="shared" si="2"/>
        <v>选中</v>
      </c>
    </row>
    <row r="48" spans="1:9" hidden="1" x14ac:dyDescent="0.25">
      <c r="A48" s="3">
        <v>2511</v>
      </c>
      <c r="B48" s="3">
        <v>113.3404848</v>
      </c>
      <c r="C48" s="3">
        <v>22.9601373</v>
      </c>
      <c r="D48" s="3">
        <v>28</v>
      </c>
      <c r="E48" s="13">
        <f t="shared" si="3"/>
        <v>5.2938344335627906E-3</v>
      </c>
      <c r="F48" s="13">
        <f t="shared" si="4"/>
        <v>13.744053048766338</v>
      </c>
      <c r="G48" s="14" t="e">
        <f>F48/$F$124*$D$2</f>
        <v>#DIV/0!</v>
      </c>
      <c r="H48" s="14" t="e">
        <f>F48/$F$124*$E$2</f>
        <v>#DIV/0!</v>
      </c>
      <c r="I48" s="25" t="str">
        <f t="shared" si="2"/>
        <v/>
      </c>
    </row>
    <row r="49" spans="1:9" hidden="1" x14ac:dyDescent="0.25">
      <c r="A49" s="3">
        <v>2267</v>
      </c>
      <c r="B49" s="3">
        <v>113.3411512</v>
      </c>
      <c r="C49" s="3">
        <v>22.965565789999999</v>
      </c>
      <c r="D49" s="3">
        <v>28</v>
      </c>
      <c r="E49" s="13">
        <f t="shared" si="3"/>
        <v>5.3218218713210448E-3</v>
      </c>
      <c r="F49" s="13">
        <f t="shared" si="4"/>
        <v>13.707865451250647</v>
      </c>
      <c r="G49" s="14" t="e">
        <f>F49/$F$124*$D$2</f>
        <v>#DIV/0!</v>
      </c>
      <c r="H49" s="14" t="e">
        <f>F49/$F$124*$E$2</f>
        <v>#DIV/0!</v>
      </c>
      <c r="I49" s="25" t="str">
        <f t="shared" si="2"/>
        <v/>
      </c>
    </row>
    <row r="50" spans="1:9" x14ac:dyDescent="0.25">
      <c r="A50" s="3">
        <v>2541</v>
      </c>
      <c r="B50" s="3">
        <v>113.350362</v>
      </c>
      <c r="C50" s="3">
        <v>22.96015444</v>
      </c>
      <c r="D50" s="3">
        <v>28</v>
      </c>
      <c r="E50" s="13">
        <f t="shared" si="3"/>
        <v>5.458836318271724E-3</v>
      </c>
      <c r="F50" s="13">
        <f t="shared" si="4"/>
        <v>13.534741445594918</v>
      </c>
      <c r="G50" s="14">
        <f>F50/$F$82*$D$2</f>
        <v>0</v>
      </c>
      <c r="H50" s="14">
        <f>F50/$F$82*$E$2</f>
        <v>33.166613348222107</v>
      </c>
      <c r="I50" s="25" t="str">
        <f t="shared" si="2"/>
        <v>选中</v>
      </c>
    </row>
    <row r="51" spans="1:9" hidden="1" x14ac:dyDescent="0.25">
      <c r="A51" s="3">
        <v>2273</v>
      </c>
      <c r="B51" s="3">
        <v>113.34252650000001</v>
      </c>
      <c r="C51" s="3">
        <v>22.96703072</v>
      </c>
      <c r="D51" s="3">
        <v>28</v>
      </c>
      <c r="E51" s="13">
        <f t="shared" si="3"/>
        <v>5.5245497677502324E-3</v>
      </c>
      <c r="F51" s="13">
        <f t="shared" si="4"/>
        <v>13.454004074490303</v>
      </c>
      <c r="G51" s="14" t="e">
        <f>F51/$F$124*$D$2</f>
        <v>#DIV/0!</v>
      </c>
      <c r="H51" s="14" t="e">
        <f>F51/$F$124*$E$2</f>
        <v>#DIV/0!</v>
      </c>
      <c r="I51" s="25" t="str">
        <f t="shared" si="2"/>
        <v/>
      </c>
    </row>
    <row r="52" spans="1:9" hidden="1" x14ac:dyDescent="0.25">
      <c r="A52" s="3">
        <v>2292</v>
      </c>
      <c r="B52" s="3">
        <v>113.35081889999999</v>
      </c>
      <c r="C52" s="3">
        <v>22.964319920000001</v>
      </c>
      <c r="D52" s="3">
        <v>28</v>
      </c>
      <c r="E52" s="13">
        <f t="shared" si="3"/>
        <v>5.85918621861207E-3</v>
      </c>
      <c r="F52" s="13">
        <f t="shared" si="4"/>
        <v>13.064155751532276</v>
      </c>
      <c r="G52" s="14" t="e">
        <f>F52/$F$124*$D$2</f>
        <v>#DIV/0!</v>
      </c>
      <c r="H52" s="14" t="e">
        <f>F52/$F$124*$E$2</f>
        <v>#DIV/0!</v>
      </c>
      <c r="I52" s="25" t="str">
        <f t="shared" si="2"/>
        <v/>
      </c>
    </row>
    <row r="53" spans="1:9" x14ac:dyDescent="0.25">
      <c r="A53" s="3">
        <v>2507</v>
      </c>
      <c r="B53" s="3">
        <v>113.33974619999999</v>
      </c>
      <c r="C53" s="3">
        <v>22.9599707</v>
      </c>
      <c r="D53" s="3">
        <v>28</v>
      </c>
      <c r="E53" s="13">
        <f t="shared" si="3"/>
        <v>6.0386973636729832E-3</v>
      </c>
      <c r="F53" s="13">
        <f t="shared" si="4"/>
        <v>12.868513056150173</v>
      </c>
      <c r="G53" s="14">
        <f>F53/$F$82*$D$2</f>
        <v>0</v>
      </c>
      <c r="H53" s="14">
        <f>F53/$F$82*$E$2</f>
        <v>31.534033998025933</v>
      </c>
      <c r="I53" s="25" t="str">
        <f t="shared" si="2"/>
        <v>选中</v>
      </c>
    </row>
    <row r="54" spans="1:9" hidden="1" x14ac:dyDescent="0.25">
      <c r="A54" s="3">
        <v>2550</v>
      </c>
      <c r="B54" s="3">
        <v>113.3515269</v>
      </c>
      <c r="C54" s="3">
        <v>22.961279090000001</v>
      </c>
      <c r="D54" s="3">
        <v>28</v>
      </c>
      <c r="E54" s="13">
        <f t="shared" si="3"/>
        <v>6.2757713680551058E-3</v>
      </c>
      <c r="F54" s="13">
        <f t="shared" si="4"/>
        <v>12.623112224003355</v>
      </c>
      <c r="G54" s="14" t="e">
        <f>F54/$F$124*$D$2</f>
        <v>#DIV/0!</v>
      </c>
      <c r="H54" s="14" t="e">
        <f>F54/$F$124*$E$2</f>
        <v>#DIV/0!</v>
      </c>
      <c r="I54" s="25" t="str">
        <f t="shared" si="2"/>
        <v/>
      </c>
    </row>
    <row r="55" spans="1:9" hidden="1" x14ac:dyDescent="0.25">
      <c r="A55" s="3">
        <v>2510</v>
      </c>
      <c r="B55" s="3">
        <v>113.3389047</v>
      </c>
      <c r="C55" s="3">
        <v>22.961394599999998</v>
      </c>
      <c r="D55" s="3">
        <v>28</v>
      </c>
      <c r="E55" s="13">
        <f t="shared" si="3"/>
        <v>6.4846006453707934E-3</v>
      </c>
      <c r="F55" s="13">
        <f t="shared" si="4"/>
        <v>12.418192347051495</v>
      </c>
      <c r="G55" s="14" t="e">
        <f>F55/$F$124*$D$2</f>
        <v>#DIV/0!</v>
      </c>
      <c r="H55" s="14" t="e">
        <f>F55/$F$124*$E$2</f>
        <v>#DIV/0!</v>
      </c>
      <c r="I55" s="25" t="str">
        <f t="shared" si="2"/>
        <v/>
      </c>
    </row>
    <row r="56" spans="1:9" x14ac:dyDescent="0.25">
      <c r="A56" s="3">
        <v>2544</v>
      </c>
      <c r="B56" s="3">
        <v>113.34814110000001</v>
      </c>
      <c r="C56" s="3">
        <v>22.956414670000001</v>
      </c>
      <c r="D56" s="3">
        <v>28</v>
      </c>
      <c r="E56" s="13">
        <f t="shared" si="3"/>
        <v>6.495479053691953E-3</v>
      </c>
      <c r="F56" s="13">
        <f t="shared" si="4"/>
        <v>12.407789205545933</v>
      </c>
      <c r="G56" s="14">
        <f>F56/$F$82*$D$2</f>
        <v>0</v>
      </c>
      <c r="H56" s="14">
        <f>F56/$F$82*$E$2</f>
        <v>30.405039412150916</v>
      </c>
      <c r="I56" s="25" t="str">
        <f t="shared" si="2"/>
        <v>选中</v>
      </c>
    </row>
    <row r="57" spans="1:9" hidden="1" x14ac:dyDescent="0.25">
      <c r="A57" s="3">
        <v>2504</v>
      </c>
      <c r="B57" s="3">
        <v>113.3386242</v>
      </c>
      <c r="C57" s="3">
        <v>22.9623597</v>
      </c>
      <c r="D57" s="3">
        <v>28</v>
      </c>
      <c r="E57" s="13">
        <f t="shared" si="3"/>
        <v>6.7062959113037401E-3</v>
      </c>
      <c r="F57" s="13">
        <f t="shared" si="4"/>
        <v>12.211208418270479</v>
      </c>
      <c r="G57" s="14" t="e">
        <f>F57/$F$124*$D$2</f>
        <v>#DIV/0!</v>
      </c>
      <c r="H57" s="14" t="e">
        <f>F57/$F$124*$E$2</f>
        <v>#DIV/0!</v>
      </c>
      <c r="I57" s="25" t="str">
        <f t="shared" si="2"/>
        <v/>
      </c>
    </row>
    <row r="58" spans="1:9" hidden="1" x14ac:dyDescent="0.25">
      <c r="A58" s="3">
        <v>2265</v>
      </c>
      <c r="B58" s="3">
        <v>113.3402708</v>
      </c>
      <c r="C58" s="3">
        <v>22.966731859999999</v>
      </c>
      <c r="D58" s="3">
        <v>28</v>
      </c>
      <c r="E58" s="13">
        <f t="shared" si="3"/>
        <v>6.7453695557443119E-3</v>
      </c>
      <c r="F58" s="13">
        <f t="shared" si="4"/>
        <v>12.175789350937935</v>
      </c>
      <c r="G58" s="14" t="e">
        <f>F58/$F$124*$D$2</f>
        <v>#DIV/0!</v>
      </c>
      <c r="H58" s="14" t="e">
        <f>F58/$F$124*$E$2</f>
        <v>#DIV/0!</v>
      </c>
      <c r="I58" s="25" t="str">
        <f t="shared" si="2"/>
        <v/>
      </c>
    </row>
    <row r="59" spans="1:9" x14ac:dyDescent="0.25">
      <c r="A59" s="3">
        <v>2278</v>
      </c>
      <c r="B59" s="3">
        <v>113.34256430000001</v>
      </c>
      <c r="C59" s="3">
        <v>22.968519019999999</v>
      </c>
      <c r="D59" s="3">
        <v>28</v>
      </c>
      <c r="E59" s="13">
        <f t="shared" si="3"/>
        <v>6.8333772761587676E-3</v>
      </c>
      <c r="F59" s="13">
        <f t="shared" si="4"/>
        <v>12.097128682000289</v>
      </c>
      <c r="G59" s="14">
        <f>F59/$F$82*$D$2</f>
        <v>0</v>
      </c>
      <c r="H59" s="14">
        <f>F59/$F$82*$E$2</f>
        <v>29.643772009414672</v>
      </c>
      <c r="I59" s="25" t="str">
        <f t="shared" si="2"/>
        <v>选中</v>
      </c>
    </row>
    <row r="60" spans="1:9" hidden="1" x14ac:dyDescent="0.25">
      <c r="A60" s="3">
        <v>2549</v>
      </c>
      <c r="B60" s="3">
        <v>113.34667570000001</v>
      </c>
      <c r="C60" s="3">
        <v>22.955434539999999</v>
      </c>
      <c r="D60" s="3">
        <v>28</v>
      </c>
      <c r="E60" s="13">
        <f t="shared" si="3"/>
        <v>6.9669787151709133E-3</v>
      </c>
      <c r="F60" s="13">
        <f t="shared" si="4"/>
        <v>11.980577645539277</v>
      </c>
      <c r="G60" s="14" t="e">
        <f>F60/$F$124*$D$2</f>
        <v>#DIV/0!</v>
      </c>
      <c r="H60" s="14" t="e">
        <f>F60/$F$124*$E$2</f>
        <v>#DIV/0!</v>
      </c>
      <c r="I60" s="25" t="str">
        <f t="shared" si="2"/>
        <v/>
      </c>
    </row>
    <row r="61" spans="1:9" hidden="1" x14ac:dyDescent="0.25">
      <c r="A61" s="3">
        <v>2277</v>
      </c>
      <c r="B61" s="3">
        <v>113.3439168</v>
      </c>
      <c r="C61" s="3">
        <v>22.969127400000001</v>
      </c>
      <c r="D61" s="3">
        <v>28</v>
      </c>
      <c r="E61" s="13">
        <f t="shared" si="3"/>
        <v>7.0011907572925924E-3</v>
      </c>
      <c r="F61" s="13">
        <f t="shared" si="4"/>
        <v>11.951269632178457</v>
      </c>
      <c r="G61" s="14" t="e">
        <f>F61/$F$124*$D$2</f>
        <v>#DIV/0!</v>
      </c>
      <c r="H61" s="14" t="e">
        <f>F61/$F$124*$E$2</f>
        <v>#DIV/0!</v>
      </c>
      <c r="I61" s="25" t="str">
        <f t="shared" si="2"/>
        <v/>
      </c>
    </row>
    <row r="62" spans="1:9" x14ac:dyDescent="0.25">
      <c r="A62" s="3">
        <v>2528</v>
      </c>
      <c r="B62" s="3">
        <v>113.348752</v>
      </c>
      <c r="C62" s="3">
        <v>22.956122780000001</v>
      </c>
      <c r="D62" s="3">
        <v>28</v>
      </c>
      <c r="E62" s="13">
        <f t="shared" si="3"/>
        <v>7.0358205321374677E-3</v>
      </c>
      <c r="F62" s="13">
        <f t="shared" si="4"/>
        <v>11.921821731210457</v>
      </c>
      <c r="G62" s="14">
        <f>F62/$F$82*$D$2</f>
        <v>0</v>
      </c>
      <c r="H62" s="14">
        <f>F62/$F$82*$E$2</f>
        <v>29.214185830951358</v>
      </c>
      <c r="I62" s="25" t="str">
        <f t="shared" si="2"/>
        <v>选中</v>
      </c>
    </row>
    <row r="63" spans="1:9" hidden="1" x14ac:dyDescent="0.25">
      <c r="A63" s="3">
        <v>2543</v>
      </c>
      <c r="B63" s="3">
        <v>113.3505868</v>
      </c>
      <c r="C63" s="3">
        <v>22.957462230000001</v>
      </c>
      <c r="D63" s="3">
        <v>28</v>
      </c>
      <c r="E63" s="13">
        <f t="shared" si="3"/>
        <v>7.1240813256839295E-3</v>
      </c>
      <c r="F63" s="13">
        <f t="shared" si="4"/>
        <v>11.847741384415515</v>
      </c>
      <c r="G63" s="14" t="e">
        <f>F63/$F$124*$D$2</f>
        <v>#DIV/0!</v>
      </c>
      <c r="H63" s="14" t="e">
        <f>F63/$F$124*$E$2</f>
        <v>#DIV/0!</v>
      </c>
      <c r="I63" s="25" t="str">
        <f t="shared" si="2"/>
        <v/>
      </c>
    </row>
    <row r="64" spans="1:9" hidden="1" x14ac:dyDescent="0.25">
      <c r="A64" s="3">
        <v>2272</v>
      </c>
      <c r="B64" s="3">
        <v>113.3436133</v>
      </c>
      <c r="C64" s="3">
        <v>22.969543739999999</v>
      </c>
      <c r="D64" s="3">
        <v>28</v>
      </c>
      <c r="E64" s="13">
        <f t="shared" si="3"/>
        <v>7.4732620048786778E-3</v>
      </c>
      <c r="F64" s="13">
        <f t="shared" si="4"/>
        <v>11.567643500643765</v>
      </c>
      <c r="G64" s="14" t="e">
        <f>F64/$F$124*$D$2</f>
        <v>#DIV/0!</v>
      </c>
      <c r="H64" s="14" t="e">
        <f>F64/$F$124*$E$2</f>
        <v>#DIV/0!</v>
      </c>
      <c r="I64" s="25" t="str">
        <f t="shared" si="2"/>
        <v/>
      </c>
    </row>
    <row r="65" spans="1:9" x14ac:dyDescent="0.25">
      <c r="A65" s="3">
        <v>2502</v>
      </c>
      <c r="B65" s="3">
        <v>113.3378348</v>
      </c>
      <c r="C65" s="3">
        <v>22.96164344</v>
      </c>
      <c r="D65" s="3">
        <v>28</v>
      </c>
      <c r="E65" s="13">
        <f t="shared" si="3"/>
        <v>7.5212683418156741E-3</v>
      </c>
      <c r="F65" s="13">
        <f t="shared" si="4"/>
        <v>11.530667745876235</v>
      </c>
      <c r="G65" s="14">
        <f>F65/$F$82*$D$2</f>
        <v>0</v>
      </c>
      <c r="H65" s="14">
        <f>F65/$F$82*$E$2</f>
        <v>28.255670809194616</v>
      </c>
      <c r="I65" s="25" t="str">
        <f t="shared" si="2"/>
        <v>选中</v>
      </c>
    </row>
    <row r="66" spans="1:9" hidden="1" x14ac:dyDescent="0.25">
      <c r="A66" s="3">
        <v>2540</v>
      </c>
      <c r="B66" s="3">
        <v>113.3475143</v>
      </c>
      <c r="C66" s="3">
        <v>22.955056290000002</v>
      </c>
      <c r="D66" s="3">
        <v>28</v>
      </c>
      <c r="E66" s="13">
        <f t="shared" si="3"/>
        <v>7.537475946236695E-3</v>
      </c>
      <c r="F66" s="13">
        <f t="shared" si="4"/>
        <v>11.518264053046211</v>
      </c>
      <c r="G66" s="14" t="e">
        <f>F66/$F$124*$D$2</f>
        <v>#DIV/0!</v>
      </c>
      <c r="H66" s="14" t="e">
        <f>F66/$F$124*$E$2</f>
        <v>#DIV/0!</v>
      </c>
      <c r="I66" s="25" t="str">
        <f t="shared" si="2"/>
        <v/>
      </c>
    </row>
    <row r="67" spans="1:9" hidden="1" x14ac:dyDescent="0.25">
      <c r="A67" s="3">
        <v>2538</v>
      </c>
      <c r="B67" s="3">
        <v>113.3481292</v>
      </c>
      <c r="C67" s="3">
        <v>22.955222200000001</v>
      </c>
      <c r="D67" s="3">
        <v>28</v>
      </c>
      <c r="E67" s="13">
        <f t="shared" si="3"/>
        <v>7.5836530841025583E-3</v>
      </c>
      <c r="F67" s="13">
        <f t="shared" si="4"/>
        <v>11.483142944819072</v>
      </c>
      <c r="G67" s="14" t="e">
        <f>F67/$F$124*$D$2</f>
        <v>#DIV/0!</v>
      </c>
      <c r="H67" s="14" t="e">
        <f>F67/$F$124*$E$2</f>
        <v>#DIV/0!</v>
      </c>
      <c r="I67" s="25" t="str">
        <f t="shared" si="2"/>
        <v/>
      </c>
    </row>
    <row r="68" spans="1:9" x14ac:dyDescent="0.25">
      <c r="A68" s="3">
        <v>2268</v>
      </c>
      <c r="B68" s="3">
        <v>113.340127</v>
      </c>
      <c r="C68" s="3">
        <v>22.96784963</v>
      </c>
      <c r="D68" s="3">
        <v>28</v>
      </c>
      <c r="E68" s="13">
        <f t="shared" si="3"/>
        <v>7.6288329159119863E-3</v>
      </c>
      <c r="F68" s="13">
        <f t="shared" si="4"/>
        <v>11.449089448001326</v>
      </c>
      <c r="G68" s="14">
        <f>F68/$F$82*$D$2</f>
        <v>0</v>
      </c>
      <c r="H68" s="14">
        <f>F68/$F$82*$E$2</f>
        <v>28.055764821030813</v>
      </c>
      <c r="I68" s="25" t="str">
        <f t="shared" si="2"/>
        <v>选中</v>
      </c>
    </row>
    <row r="69" spans="1:9" hidden="1" x14ac:dyDescent="0.25">
      <c r="A69" s="3">
        <v>2530</v>
      </c>
      <c r="B69" s="3">
        <v>113.34991599999999</v>
      </c>
      <c r="C69" s="3">
        <v>22.95615987</v>
      </c>
      <c r="D69" s="3">
        <v>28</v>
      </c>
      <c r="E69" s="13">
        <f t="shared" ref="E69:E80" si="5">SQRT((B69-$B$2)^2+(C69-$C$2)^2)</f>
        <v>7.6400044499248714E-3</v>
      </c>
      <c r="F69" s="13">
        <f t="shared" ref="F69:F80" si="6">SQRT(1/E69)</f>
        <v>11.440715717079794</v>
      </c>
      <c r="G69" s="14" t="e">
        <f>F69/$F$124*$D$2</f>
        <v>#DIV/0!</v>
      </c>
      <c r="H69" s="14" t="e">
        <f>F69/$F$124*$E$2</f>
        <v>#DIV/0!</v>
      </c>
      <c r="I69" s="25" t="str">
        <f t="shared" si="2"/>
        <v/>
      </c>
    </row>
    <row r="70" spans="1:9" hidden="1" x14ac:dyDescent="0.25">
      <c r="A70" s="3">
        <v>2282</v>
      </c>
      <c r="B70" s="3">
        <v>113.34194840000001</v>
      </c>
      <c r="C70" s="3">
        <v>22.9692218</v>
      </c>
      <c r="D70" s="3">
        <v>28</v>
      </c>
      <c r="E70" s="13">
        <f t="shared" si="5"/>
        <v>7.7303230527526945E-3</v>
      </c>
      <c r="F70" s="13">
        <f t="shared" si="6"/>
        <v>11.373684531756677</v>
      </c>
      <c r="G70" s="14" t="e">
        <f>F70/$F$124*$D$2</f>
        <v>#DIV/0!</v>
      </c>
      <c r="H70" s="14" t="e">
        <f>F70/$F$124*$E$2</f>
        <v>#DIV/0!</v>
      </c>
      <c r="I70" s="25" t="str">
        <f t="shared" ref="I70:I80" si="7">IF(MOD(ROW()-1,3)=1,"选中","")</f>
        <v/>
      </c>
    </row>
    <row r="71" spans="1:9" x14ac:dyDescent="0.25">
      <c r="A71" s="3">
        <v>2509</v>
      </c>
      <c r="B71" s="3">
        <v>113.33757129999999</v>
      </c>
      <c r="C71" s="3">
        <v>22.9612181</v>
      </c>
      <c r="D71" s="3">
        <v>28</v>
      </c>
      <c r="E71" s="13">
        <f t="shared" si="5"/>
        <v>7.8296231582394293E-3</v>
      </c>
      <c r="F71" s="13">
        <f t="shared" si="6"/>
        <v>11.301330351820006</v>
      </c>
      <c r="G71" s="14">
        <f>F71/$F$82*$D$2</f>
        <v>0</v>
      </c>
      <c r="H71" s="14">
        <f>F71/$F$82*$E$2</f>
        <v>27.693684109594425</v>
      </c>
      <c r="I71" s="25" t="str">
        <f t="shared" si="7"/>
        <v>选中</v>
      </c>
    </row>
    <row r="72" spans="1:9" hidden="1" x14ac:dyDescent="0.25">
      <c r="A72" s="3">
        <v>2533</v>
      </c>
      <c r="B72" s="3">
        <v>113.3476201</v>
      </c>
      <c r="C72" s="3">
        <v>22.954576320000001</v>
      </c>
      <c r="D72" s="3">
        <v>28</v>
      </c>
      <c r="E72" s="13">
        <f t="shared" si="5"/>
        <v>8.027598911281417E-3</v>
      </c>
      <c r="F72" s="13">
        <f t="shared" si="6"/>
        <v>11.161104317747952</v>
      </c>
      <c r="G72" s="14" t="e">
        <f>F72/$F$124*$D$2</f>
        <v>#DIV/0!</v>
      </c>
      <c r="H72" s="14" t="e">
        <f>F72/$F$124*$E$2</f>
        <v>#DIV/0!</v>
      </c>
      <c r="I72" s="25" t="str">
        <f t="shared" si="7"/>
        <v/>
      </c>
    </row>
    <row r="73" spans="1:9" hidden="1" x14ac:dyDescent="0.25">
      <c r="A73" s="3">
        <v>2547</v>
      </c>
      <c r="B73" s="3">
        <v>113.34538910000001</v>
      </c>
      <c r="C73" s="3">
        <v>22.95413928</v>
      </c>
      <c r="D73" s="3">
        <v>28</v>
      </c>
      <c r="E73" s="13">
        <f t="shared" si="5"/>
        <v>8.131235507621716E-3</v>
      </c>
      <c r="F73" s="13">
        <f t="shared" si="6"/>
        <v>11.08974934269814</v>
      </c>
      <c r="G73" s="14" t="e">
        <f>F73/$F$124*$D$2</f>
        <v>#DIV/0!</v>
      </c>
      <c r="H73" s="14" t="e">
        <f>F73/$F$124*$E$2</f>
        <v>#DIV/0!</v>
      </c>
      <c r="I73" s="25" t="str">
        <f t="shared" si="7"/>
        <v/>
      </c>
    </row>
    <row r="74" spans="1:9" x14ac:dyDescent="0.25">
      <c r="A74" s="3">
        <v>2262</v>
      </c>
      <c r="B74" s="3">
        <v>113.3388874</v>
      </c>
      <c r="C74" s="3">
        <v>22.967320099999998</v>
      </c>
      <c r="D74" s="3">
        <v>28</v>
      </c>
      <c r="E74" s="13">
        <f t="shared" si="5"/>
        <v>8.1857367591361731E-3</v>
      </c>
      <c r="F74" s="13">
        <f t="shared" si="6"/>
        <v>11.052769493297133</v>
      </c>
      <c r="G74" s="14">
        <f>F74/$F$82*$D$2</f>
        <v>0</v>
      </c>
      <c r="H74" s="14">
        <f>F74/$F$82*$E$2</f>
        <v>27.084590694602493</v>
      </c>
      <c r="I74" s="25" t="str">
        <f t="shared" si="7"/>
        <v>选中</v>
      </c>
    </row>
    <row r="75" spans="1:9" hidden="1" x14ac:dyDescent="0.25">
      <c r="A75" s="3">
        <v>2531</v>
      </c>
      <c r="B75" s="3">
        <v>113.35006079999999</v>
      </c>
      <c r="C75" s="3">
        <v>22.955560890000001</v>
      </c>
      <c r="D75" s="3">
        <v>28</v>
      </c>
      <c r="E75" s="13">
        <f t="shared" si="5"/>
        <v>8.2096039708425377E-3</v>
      </c>
      <c r="F75" s="13">
        <f t="shared" si="6"/>
        <v>11.036691324328013</v>
      </c>
      <c r="G75" s="14" t="e">
        <f>F75/$F$124*$D$2</f>
        <v>#DIV/0!</v>
      </c>
      <c r="H75" s="14" t="e">
        <f>F75/$F$124*$E$2</f>
        <v>#DIV/0!</v>
      </c>
      <c r="I75" s="25" t="str">
        <f t="shared" si="7"/>
        <v/>
      </c>
    </row>
    <row r="76" spans="1:9" hidden="1" x14ac:dyDescent="0.25">
      <c r="A76" s="3">
        <v>2264</v>
      </c>
      <c r="B76" s="3">
        <v>113.3390189</v>
      </c>
      <c r="C76" s="3">
        <v>22.970414529999999</v>
      </c>
      <c r="D76" s="3">
        <v>28</v>
      </c>
      <c r="E76" s="13">
        <f t="shared" si="5"/>
        <v>1.0303261779302917E-2</v>
      </c>
      <c r="F76" s="13">
        <f t="shared" si="6"/>
        <v>9.8517329935295717</v>
      </c>
      <c r="G76" s="14" t="e">
        <f>F76/$F$124*$D$2</f>
        <v>#DIV/0!</v>
      </c>
      <c r="H76" s="14" t="e">
        <f>F76/$F$124*$E$2</f>
        <v>#DIV/0!</v>
      </c>
      <c r="I76" s="25" t="str">
        <f t="shared" si="7"/>
        <v/>
      </c>
    </row>
    <row r="77" spans="1:9" x14ac:dyDescent="0.25">
      <c r="A77" s="3">
        <v>2260</v>
      </c>
      <c r="B77" s="3">
        <v>113.33692600000001</v>
      </c>
      <c r="C77" s="3">
        <v>22.969234849999999</v>
      </c>
      <c r="D77" s="3">
        <v>28</v>
      </c>
      <c r="E77" s="13">
        <f t="shared" si="5"/>
        <v>1.0914691562858292E-2</v>
      </c>
      <c r="F77" s="13">
        <f t="shared" si="6"/>
        <v>9.5718143403472311</v>
      </c>
      <c r="G77" s="14">
        <f>F77/$F$82*$D$2</f>
        <v>0</v>
      </c>
      <c r="H77" s="14">
        <f>F77/$F$82*$E$2</f>
        <v>23.455539697109462</v>
      </c>
      <c r="I77" s="25" t="str">
        <f t="shared" si="7"/>
        <v>选中</v>
      </c>
    </row>
    <row r="78" spans="1:9" hidden="1" x14ac:dyDescent="0.25">
      <c r="A78" s="3">
        <v>2300</v>
      </c>
      <c r="B78" s="3">
        <v>113.35451260000001</v>
      </c>
      <c r="C78" s="3">
        <v>22.968631299999998</v>
      </c>
      <c r="D78" s="3">
        <v>28</v>
      </c>
      <c r="E78" s="13">
        <f t="shared" si="5"/>
        <v>1.1170689338182214E-2</v>
      </c>
      <c r="F78" s="13">
        <f t="shared" si="6"/>
        <v>9.4615004197389627</v>
      </c>
      <c r="G78" s="14" t="e">
        <f>F78/$F$124*$D$2</f>
        <v>#DIV/0!</v>
      </c>
      <c r="H78" s="14" t="e">
        <f>F78/$F$124*$E$2</f>
        <v>#DIV/0!</v>
      </c>
      <c r="I78" s="25" t="str">
        <f t="shared" si="7"/>
        <v/>
      </c>
    </row>
    <row r="79" spans="1:9" hidden="1" x14ac:dyDescent="0.25">
      <c r="A79" s="3">
        <v>2263</v>
      </c>
      <c r="B79" s="3">
        <v>113.3365927</v>
      </c>
      <c r="C79" s="3">
        <v>22.969385389999999</v>
      </c>
      <c r="D79" s="3">
        <v>28</v>
      </c>
      <c r="E79" s="13">
        <f t="shared" si="5"/>
        <v>1.1267793464031345E-2</v>
      </c>
      <c r="F79" s="13">
        <f t="shared" si="6"/>
        <v>9.4206433202901625</v>
      </c>
      <c r="G79" s="14" t="e">
        <f>F79/$F$124*$D$2</f>
        <v>#DIV/0!</v>
      </c>
      <c r="H79" s="14" t="e">
        <f>F79/$F$124*$E$2</f>
        <v>#DIV/0!</v>
      </c>
      <c r="I79" s="25" t="str">
        <f t="shared" si="7"/>
        <v/>
      </c>
    </row>
    <row r="80" spans="1:9" x14ac:dyDescent="0.25">
      <c r="A80" s="3">
        <v>2261</v>
      </c>
      <c r="B80" s="3">
        <v>113.3369429</v>
      </c>
      <c r="C80" s="3">
        <v>22.970363330000001</v>
      </c>
      <c r="D80" s="3">
        <v>28</v>
      </c>
      <c r="E80" s="13">
        <f t="shared" si="5"/>
        <v>1.1654994791114429E-2</v>
      </c>
      <c r="F80" s="13">
        <f t="shared" si="6"/>
        <v>9.2628356428320586</v>
      </c>
      <c r="G80" s="14">
        <f>F80/$F$82*$D$2</f>
        <v>0</v>
      </c>
      <c r="H80" s="14">
        <f>F80/$F$82*$E$2</f>
        <v>22.698393575440598</v>
      </c>
      <c r="I80" s="25" t="str">
        <f t="shared" si="7"/>
        <v>选中</v>
      </c>
    </row>
    <row r="81" spans="1:8" x14ac:dyDescent="0.25">
      <c r="A81" s="3"/>
      <c r="B81" s="3"/>
      <c r="C81" s="3"/>
      <c r="D81" s="3"/>
      <c r="G81" s="14"/>
      <c r="H81" s="14"/>
    </row>
    <row r="82" spans="1:8" x14ac:dyDescent="0.25">
      <c r="A82" s="3"/>
      <c r="B82" s="3"/>
      <c r="C82" s="3"/>
      <c r="D82" s="3"/>
      <c r="F82" s="13">
        <f>SUBTOTAL(9,F5:F80)</f>
        <v>399.92164642863776</v>
      </c>
      <c r="G82" s="13">
        <f t="shared" ref="G82:H82" si="8">SUBTOTAL(9,G5:G80)</f>
        <v>0</v>
      </c>
      <c r="H82" s="13">
        <f t="shared" si="8"/>
        <v>979.99999999999989</v>
      </c>
    </row>
    <row r="83" spans="1:8" x14ac:dyDescent="0.25">
      <c r="A83" s="3"/>
      <c r="B83" s="3"/>
      <c r="C83" s="3"/>
      <c r="D83" s="3"/>
      <c r="G83" s="14"/>
      <c r="H83" s="14"/>
    </row>
    <row r="84" spans="1:8" x14ac:dyDescent="0.25">
      <c r="A84" s="3"/>
      <c r="B84" s="3"/>
      <c r="C84" s="3"/>
      <c r="D84" s="3"/>
      <c r="G84" s="14"/>
      <c r="H84" s="14"/>
    </row>
    <row r="85" spans="1:8" x14ac:dyDescent="0.25">
      <c r="A85" s="3"/>
      <c r="B85" s="3"/>
      <c r="C85" s="3"/>
      <c r="D85" s="3"/>
      <c r="G85" s="14"/>
      <c r="H85" s="14"/>
    </row>
    <row r="86" spans="1:8" x14ac:dyDescent="0.25">
      <c r="A86" s="3"/>
      <c r="B86" s="3"/>
      <c r="C86" s="3"/>
      <c r="D86" s="3"/>
      <c r="G86" s="14"/>
      <c r="H86" s="14"/>
    </row>
    <row r="87" spans="1:8" x14ac:dyDescent="0.25">
      <c r="A87" s="3"/>
      <c r="B87" s="3"/>
      <c r="C87" s="3"/>
      <c r="D87" s="3"/>
      <c r="G87" s="14"/>
      <c r="H87" s="14"/>
    </row>
    <row r="88" spans="1:8" x14ac:dyDescent="0.25">
      <c r="A88" s="3"/>
      <c r="B88" s="3"/>
      <c r="C88" s="3"/>
      <c r="D88" s="3"/>
      <c r="G88" s="14"/>
      <c r="H88" s="14"/>
    </row>
    <row r="89" spans="1:8" x14ac:dyDescent="0.25">
      <c r="A89" s="3"/>
      <c r="B89" s="3"/>
      <c r="C89" s="3"/>
      <c r="D89" s="3"/>
      <c r="G89" s="14"/>
      <c r="H89" s="14"/>
    </row>
    <row r="90" spans="1:8" x14ac:dyDescent="0.25">
      <c r="A90" s="3"/>
      <c r="B90" s="3"/>
      <c r="C90" s="3"/>
      <c r="D90" s="3"/>
      <c r="G90" s="14"/>
      <c r="H90" s="14"/>
    </row>
    <row r="91" spans="1:8" x14ac:dyDescent="0.25">
      <c r="A91" s="3"/>
      <c r="B91" s="3"/>
      <c r="C91" s="3"/>
      <c r="D91" s="3"/>
      <c r="G91" s="14"/>
      <c r="H91" s="14"/>
    </row>
    <row r="92" spans="1:8" x14ac:dyDescent="0.25">
      <c r="A92" s="3"/>
      <c r="B92" s="3"/>
      <c r="C92" s="3"/>
      <c r="D92" s="3"/>
      <c r="G92" s="14"/>
      <c r="H92" s="14"/>
    </row>
    <row r="93" spans="1:8" x14ac:dyDescent="0.25">
      <c r="A93" s="3"/>
      <c r="B93" s="3"/>
      <c r="C93" s="3"/>
      <c r="D93" s="3"/>
      <c r="G93" s="14"/>
      <c r="H93" s="14"/>
    </row>
    <row r="94" spans="1:8" x14ac:dyDescent="0.25">
      <c r="A94" s="3"/>
      <c r="B94" s="3"/>
      <c r="C94" s="3"/>
      <c r="D94" s="3"/>
      <c r="G94" s="14"/>
      <c r="H94" s="14"/>
    </row>
    <row r="95" spans="1:8" x14ac:dyDescent="0.25">
      <c r="A95" s="3"/>
      <c r="B95" s="3"/>
      <c r="C95" s="3"/>
      <c r="D95" s="3"/>
      <c r="G95" s="14"/>
      <c r="H95" s="14"/>
    </row>
    <row r="96" spans="1:8" x14ac:dyDescent="0.25">
      <c r="A96" s="3"/>
      <c r="B96" s="3"/>
      <c r="C96" s="3"/>
      <c r="D96" s="3"/>
      <c r="G96" s="14"/>
      <c r="H96" s="14"/>
    </row>
    <row r="97" spans="1:8" x14ac:dyDescent="0.25">
      <c r="A97" s="3"/>
      <c r="B97" s="3"/>
      <c r="C97" s="3"/>
      <c r="D97" s="3"/>
      <c r="G97" s="14"/>
      <c r="H97" s="14"/>
    </row>
    <row r="98" spans="1:8" x14ac:dyDescent="0.25">
      <c r="A98" s="3"/>
      <c r="B98" s="3"/>
      <c r="C98" s="3"/>
      <c r="D98" s="3"/>
      <c r="G98" s="14"/>
      <c r="H98" s="14"/>
    </row>
    <row r="99" spans="1:8" x14ac:dyDescent="0.25">
      <c r="A99" s="3"/>
      <c r="B99" s="3"/>
      <c r="C99" s="3"/>
      <c r="D99" s="3"/>
      <c r="G99" s="14"/>
      <c r="H99" s="14"/>
    </row>
    <row r="100" spans="1:8" x14ac:dyDescent="0.25">
      <c r="A100" s="3"/>
      <c r="B100" s="3"/>
      <c r="C100" s="3"/>
      <c r="D100" s="3"/>
      <c r="G100" s="14"/>
      <c r="H100" s="14"/>
    </row>
    <row r="101" spans="1:8" x14ac:dyDescent="0.25">
      <c r="A101" s="3"/>
      <c r="B101" s="3"/>
      <c r="C101" s="3"/>
      <c r="D101" s="3"/>
      <c r="G101" s="14"/>
      <c r="H101" s="14"/>
    </row>
    <row r="102" spans="1:8" x14ac:dyDescent="0.25">
      <c r="A102" s="3"/>
      <c r="B102" s="3"/>
      <c r="C102" s="3"/>
      <c r="D102" s="3"/>
      <c r="G102" s="14"/>
      <c r="H102" s="14"/>
    </row>
    <row r="103" spans="1:8" x14ac:dyDescent="0.25">
      <c r="A103" s="3"/>
      <c r="B103" s="3"/>
      <c r="C103" s="3"/>
      <c r="D103" s="3"/>
      <c r="G103" s="14"/>
      <c r="H103" s="14"/>
    </row>
    <row r="104" spans="1:8" x14ac:dyDescent="0.25">
      <c r="A104" s="3"/>
      <c r="B104" s="3"/>
      <c r="C104" s="3"/>
      <c r="D104" s="3"/>
      <c r="G104" s="14"/>
      <c r="H104" s="14"/>
    </row>
    <row r="105" spans="1:8" x14ac:dyDescent="0.25">
      <c r="A105" s="3"/>
      <c r="B105" s="3"/>
      <c r="C105" s="3"/>
      <c r="D105" s="3"/>
      <c r="G105" s="14"/>
      <c r="H105" s="14"/>
    </row>
    <row r="106" spans="1:8" x14ac:dyDescent="0.25">
      <c r="A106" s="3"/>
      <c r="B106" s="3"/>
      <c r="C106" s="3"/>
      <c r="D106" s="3"/>
      <c r="G106" s="14"/>
      <c r="H106" s="14"/>
    </row>
    <row r="107" spans="1:8" x14ac:dyDescent="0.25">
      <c r="A107" s="3"/>
      <c r="B107" s="3"/>
      <c r="C107" s="3"/>
      <c r="D107" s="3"/>
      <c r="G107" s="14"/>
      <c r="H107" s="14"/>
    </row>
    <row r="108" spans="1:8" x14ac:dyDescent="0.25">
      <c r="A108" s="3"/>
      <c r="B108" s="3"/>
      <c r="C108" s="3"/>
      <c r="D108" s="3"/>
      <c r="G108" s="14"/>
      <c r="H108" s="14"/>
    </row>
    <row r="109" spans="1:8" x14ac:dyDescent="0.25">
      <c r="A109" s="3"/>
      <c r="B109" s="3"/>
      <c r="C109" s="3"/>
      <c r="D109" s="3"/>
      <c r="G109" s="14"/>
      <c r="H109" s="14"/>
    </row>
    <row r="110" spans="1:8" x14ac:dyDescent="0.25">
      <c r="A110" s="3"/>
      <c r="B110" s="3"/>
      <c r="C110" s="3"/>
      <c r="D110" s="3"/>
      <c r="G110" s="14"/>
      <c r="H110" s="14"/>
    </row>
    <row r="111" spans="1:8" x14ac:dyDescent="0.25">
      <c r="A111" s="3"/>
      <c r="B111" s="3"/>
      <c r="C111" s="3"/>
      <c r="D111" s="3"/>
      <c r="G111" s="14"/>
      <c r="H111" s="14"/>
    </row>
    <row r="112" spans="1:8" x14ac:dyDescent="0.25">
      <c r="A112" s="3"/>
      <c r="B112" s="3"/>
      <c r="C112" s="3"/>
      <c r="D112" s="3"/>
      <c r="G112" s="14"/>
      <c r="H112" s="14"/>
    </row>
    <row r="113" spans="1:8" x14ac:dyDescent="0.25">
      <c r="A113" s="3"/>
      <c r="B113" s="3"/>
      <c r="C113" s="3"/>
      <c r="D113" s="3"/>
      <c r="G113" s="14"/>
      <c r="H113" s="14"/>
    </row>
    <row r="114" spans="1:8" x14ac:dyDescent="0.25">
      <c r="A114" s="3"/>
      <c r="B114" s="3"/>
      <c r="C114" s="3"/>
      <c r="D114" s="3"/>
      <c r="G114" s="14"/>
      <c r="H114" s="14"/>
    </row>
    <row r="115" spans="1:8" x14ac:dyDescent="0.25">
      <c r="A115" s="3"/>
      <c r="B115" s="3"/>
      <c r="C115" s="3"/>
      <c r="D115" s="3"/>
      <c r="G115" s="14"/>
      <c r="H115" s="14"/>
    </row>
    <row r="116" spans="1:8" x14ac:dyDescent="0.25">
      <c r="A116" s="3"/>
      <c r="B116" s="3"/>
      <c r="C116" s="3"/>
      <c r="D116" s="3"/>
      <c r="G116" s="14"/>
      <c r="H116" s="14"/>
    </row>
    <row r="117" spans="1:8" x14ac:dyDescent="0.25">
      <c r="A117" s="3"/>
      <c r="B117" s="3"/>
      <c r="C117" s="3"/>
      <c r="D117" s="3"/>
      <c r="G117" s="14"/>
      <c r="H117" s="14"/>
    </row>
    <row r="118" spans="1:8" x14ac:dyDescent="0.25">
      <c r="A118" s="3"/>
      <c r="B118" s="3"/>
      <c r="C118" s="3"/>
      <c r="D118" s="3"/>
      <c r="G118" s="14"/>
      <c r="H118" s="14"/>
    </row>
    <row r="119" spans="1:8" x14ac:dyDescent="0.25">
      <c r="A119" s="3"/>
      <c r="B119" s="3"/>
      <c r="C119" s="3"/>
      <c r="D119" s="3"/>
      <c r="G119" s="14"/>
      <c r="H119" s="14"/>
    </row>
    <row r="120" spans="1:8" x14ac:dyDescent="0.25">
      <c r="A120" s="3"/>
      <c r="B120" s="3"/>
      <c r="C120" s="3"/>
      <c r="D120" s="3"/>
      <c r="G120" s="14"/>
      <c r="H120" s="14"/>
    </row>
    <row r="121" spans="1:8" x14ac:dyDescent="0.25">
      <c r="A121" s="3"/>
      <c r="B121" s="3"/>
      <c r="C121" s="3"/>
      <c r="D121" s="3"/>
      <c r="G121" s="14"/>
      <c r="H121" s="14"/>
    </row>
    <row r="122" spans="1:8" x14ac:dyDescent="0.25">
      <c r="A122" s="3"/>
      <c r="B122" s="3"/>
      <c r="C122" s="3"/>
      <c r="D122" s="3"/>
      <c r="G122" s="14"/>
      <c r="H122" s="14"/>
    </row>
    <row r="123" spans="1:8" x14ac:dyDescent="0.25">
      <c r="A123" s="3"/>
      <c r="B123" s="3"/>
      <c r="C123" s="3"/>
      <c r="D123" s="3"/>
      <c r="G123" s="14"/>
      <c r="H123" s="14"/>
    </row>
    <row r="124" spans="1:8" x14ac:dyDescent="0.25">
      <c r="A124" s="3"/>
      <c r="B124" s="3"/>
      <c r="C124" s="3"/>
      <c r="D124" s="3"/>
      <c r="G124" s="14"/>
      <c r="H124" s="14"/>
    </row>
    <row r="125" spans="1:8" x14ac:dyDescent="0.25">
      <c r="A125" s="3"/>
      <c r="B125" s="3"/>
      <c r="C125" s="3"/>
      <c r="D125" s="3"/>
      <c r="G125" s="14"/>
      <c r="H125" s="14"/>
    </row>
    <row r="126" spans="1:8" x14ac:dyDescent="0.25">
      <c r="A126" s="18"/>
      <c r="B126" s="3"/>
      <c r="C126" s="3"/>
      <c r="D126" s="3"/>
      <c r="G126" s="14"/>
      <c r="H126" s="14"/>
    </row>
    <row r="127" spans="1:8" x14ac:dyDescent="0.25">
      <c r="A127" s="3"/>
      <c r="B127" s="3"/>
      <c r="C127" s="3"/>
      <c r="D127" s="3"/>
      <c r="G127" s="14"/>
      <c r="H127" s="14"/>
    </row>
    <row r="128" spans="1:8" x14ac:dyDescent="0.25">
      <c r="A128" s="3"/>
      <c r="B128" s="3"/>
      <c r="C128" s="3"/>
      <c r="D128" s="3"/>
      <c r="G128" s="14"/>
      <c r="H128" s="14"/>
    </row>
    <row r="129" spans="1:8" x14ac:dyDescent="0.25">
      <c r="A129" s="3"/>
      <c r="B129" s="3"/>
      <c r="C129" s="3"/>
      <c r="D129" s="3"/>
      <c r="G129" s="14"/>
      <c r="H129" s="14"/>
    </row>
    <row r="130" spans="1:8" x14ac:dyDescent="0.25">
      <c r="A130" s="3"/>
      <c r="B130" s="3"/>
      <c r="C130" s="3"/>
      <c r="D130" s="3"/>
      <c r="G130" s="14"/>
      <c r="H130" s="14"/>
    </row>
    <row r="131" spans="1:8" x14ac:dyDescent="0.25">
      <c r="A131" s="3"/>
      <c r="B131" s="3"/>
      <c r="C131" s="3"/>
      <c r="D131" s="3"/>
      <c r="G131" s="14"/>
      <c r="H131" s="14"/>
    </row>
    <row r="132" spans="1:8" x14ac:dyDescent="0.25">
      <c r="A132" s="3"/>
      <c r="B132" s="3"/>
      <c r="C132" s="3"/>
      <c r="D132" s="3"/>
      <c r="G132" s="14"/>
      <c r="H132" s="14"/>
    </row>
    <row r="133" spans="1:8" x14ac:dyDescent="0.25">
      <c r="A133" s="3"/>
      <c r="B133" s="3"/>
      <c r="C133" s="3"/>
      <c r="D133" s="3"/>
      <c r="G133" s="14"/>
      <c r="H133" s="14"/>
    </row>
    <row r="134" spans="1:8" x14ac:dyDescent="0.25">
      <c r="A134" s="3"/>
      <c r="B134" s="3"/>
      <c r="C134" s="3"/>
      <c r="D134" s="3"/>
      <c r="G134" s="14"/>
      <c r="H134" s="14"/>
    </row>
    <row r="135" spans="1:8" x14ac:dyDescent="0.25">
      <c r="A135" s="3"/>
      <c r="B135" s="3"/>
      <c r="C135" s="3"/>
      <c r="D135" s="3"/>
      <c r="G135" s="14"/>
      <c r="H135" s="14"/>
    </row>
    <row r="136" spans="1:8" x14ac:dyDescent="0.25">
      <c r="A136" s="3"/>
      <c r="B136" s="3"/>
      <c r="C136" s="3"/>
      <c r="D136" s="3"/>
      <c r="G136" s="14"/>
      <c r="H136" s="14"/>
    </row>
    <row r="137" spans="1:8" x14ac:dyDescent="0.25">
      <c r="A137" s="3"/>
      <c r="B137" s="3"/>
      <c r="C137" s="3"/>
      <c r="D137" s="3"/>
      <c r="G137" s="14"/>
      <c r="H137" s="14"/>
    </row>
    <row r="138" spans="1:8" x14ac:dyDescent="0.25">
      <c r="A138" s="3"/>
      <c r="B138" s="3"/>
      <c r="C138" s="3"/>
      <c r="D138" s="3"/>
      <c r="G138" s="14"/>
      <c r="H138" s="14"/>
    </row>
    <row r="139" spans="1:8" x14ac:dyDescent="0.25">
      <c r="A139" s="3"/>
      <c r="B139" s="3"/>
      <c r="C139" s="3"/>
      <c r="D139" s="3"/>
      <c r="G139" s="14"/>
      <c r="H139" s="14"/>
    </row>
    <row r="140" spans="1:8" x14ac:dyDescent="0.25">
      <c r="A140" s="3"/>
      <c r="B140" s="3"/>
      <c r="C140" s="3"/>
      <c r="D140" s="3"/>
      <c r="G140" s="14"/>
      <c r="H140" s="14"/>
    </row>
    <row r="141" spans="1:8" x14ac:dyDescent="0.25">
      <c r="A141" s="3"/>
      <c r="B141" s="3"/>
      <c r="C141" s="3"/>
      <c r="D141" s="3"/>
      <c r="G141" s="14"/>
      <c r="H141" s="14"/>
    </row>
    <row r="142" spans="1:8" x14ac:dyDescent="0.25">
      <c r="A142" s="3"/>
      <c r="B142" s="3"/>
      <c r="C142" s="3"/>
      <c r="D142" s="3"/>
      <c r="G142" s="14"/>
      <c r="H142" s="14"/>
    </row>
    <row r="143" spans="1:8" x14ac:dyDescent="0.25">
      <c r="A143" s="3"/>
      <c r="B143" s="3"/>
      <c r="C143" s="3"/>
      <c r="D143" s="3"/>
      <c r="G143" s="14"/>
      <c r="H143" s="14"/>
    </row>
    <row r="144" spans="1:8" x14ac:dyDescent="0.25">
      <c r="A144" s="3"/>
      <c r="B144" s="3"/>
      <c r="C144" s="3"/>
      <c r="D144" s="3"/>
      <c r="G144" s="14"/>
      <c r="H144" s="14"/>
    </row>
    <row r="145" spans="1:8" x14ac:dyDescent="0.25">
      <c r="A145" s="3"/>
      <c r="B145" s="3"/>
      <c r="C145" s="3"/>
      <c r="D145" s="3"/>
      <c r="G145" s="14"/>
      <c r="H145" s="14"/>
    </row>
    <row r="146" spans="1:8" x14ac:dyDescent="0.25">
      <c r="A146" s="3"/>
      <c r="B146" s="3"/>
      <c r="C146" s="3"/>
      <c r="D146" s="3"/>
      <c r="G146" s="14"/>
      <c r="H146" s="14"/>
    </row>
    <row r="147" spans="1:8" x14ac:dyDescent="0.25">
      <c r="A147" s="3"/>
      <c r="B147" s="3"/>
      <c r="C147" s="3"/>
      <c r="D147" s="3"/>
      <c r="G147" s="14"/>
      <c r="H147" s="14"/>
    </row>
    <row r="148" spans="1:8" x14ac:dyDescent="0.25">
      <c r="A148" s="3"/>
      <c r="B148" s="3"/>
      <c r="C148" s="3"/>
      <c r="D148" s="3"/>
      <c r="G148" s="14"/>
      <c r="H148" s="14"/>
    </row>
    <row r="149" spans="1:8" x14ac:dyDescent="0.25">
      <c r="A149" s="3"/>
      <c r="B149" s="3"/>
      <c r="C149" s="3"/>
      <c r="D149" s="3"/>
      <c r="G149" s="14"/>
      <c r="H149" s="14"/>
    </row>
    <row r="150" spans="1:8" x14ac:dyDescent="0.25">
      <c r="A150" s="3"/>
      <c r="B150" s="3"/>
      <c r="C150" s="3"/>
      <c r="D150" s="3"/>
      <c r="G150" s="14"/>
      <c r="H150" s="14"/>
    </row>
    <row r="151" spans="1:8" x14ac:dyDescent="0.25">
      <c r="A151" s="3"/>
      <c r="B151" s="3"/>
      <c r="C151" s="3"/>
      <c r="D151" s="3"/>
      <c r="G151" s="14"/>
      <c r="H151" s="14"/>
    </row>
    <row r="152" spans="1:8" x14ac:dyDescent="0.25">
      <c r="A152" s="3"/>
      <c r="B152" s="3"/>
      <c r="C152" s="3"/>
      <c r="D152" s="3"/>
      <c r="G152" s="14"/>
      <c r="H152" s="14"/>
    </row>
    <row r="153" spans="1:8" x14ac:dyDescent="0.25">
      <c r="A153" s="3"/>
      <c r="B153" s="3"/>
      <c r="C153" s="3"/>
      <c r="D153" s="3"/>
      <c r="G153" s="14"/>
      <c r="H153" s="14"/>
    </row>
    <row r="154" spans="1:8" x14ac:dyDescent="0.25">
      <c r="A154" s="3"/>
      <c r="B154" s="3"/>
      <c r="C154" s="3"/>
      <c r="D154" s="3"/>
      <c r="G154" s="14"/>
      <c r="H154" s="14"/>
    </row>
    <row r="155" spans="1:8" x14ac:dyDescent="0.25">
      <c r="A155" s="3"/>
      <c r="B155" s="3"/>
      <c r="C155" s="3"/>
      <c r="D155" s="3"/>
      <c r="G155" s="14"/>
      <c r="H155" s="14"/>
    </row>
    <row r="156" spans="1:8" x14ac:dyDescent="0.25">
      <c r="A156" s="3"/>
      <c r="B156" s="3"/>
      <c r="C156" s="3"/>
      <c r="D156" s="3"/>
      <c r="G156" s="14"/>
      <c r="H156" s="14"/>
    </row>
    <row r="157" spans="1:8" x14ac:dyDescent="0.25">
      <c r="A157" s="3"/>
      <c r="B157" s="3"/>
      <c r="C157" s="3"/>
      <c r="D157" s="3"/>
      <c r="G157" s="14"/>
      <c r="H157" s="14"/>
    </row>
    <row r="158" spans="1:8" x14ac:dyDescent="0.25">
      <c r="A158" s="3"/>
      <c r="B158" s="3"/>
      <c r="C158" s="3"/>
      <c r="D158" s="3"/>
      <c r="G158" s="14"/>
      <c r="H158" s="14"/>
    </row>
    <row r="159" spans="1:8" x14ac:dyDescent="0.25">
      <c r="A159" s="3"/>
      <c r="B159" s="3"/>
      <c r="C159" s="3"/>
      <c r="D159" s="3"/>
      <c r="G159" s="14"/>
      <c r="H159" s="14"/>
    </row>
    <row r="160" spans="1:8" x14ac:dyDescent="0.25">
      <c r="A160" s="3"/>
      <c r="B160" s="3"/>
      <c r="C160" s="3"/>
      <c r="D160" s="3"/>
      <c r="G160" s="14"/>
      <c r="H160" s="14"/>
    </row>
    <row r="161" spans="1:8" x14ac:dyDescent="0.25">
      <c r="A161" s="3"/>
      <c r="B161" s="3"/>
      <c r="C161" s="3"/>
      <c r="D161" s="3"/>
      <c r="G161" s="14"/>
      <c r="H161" s="14"/>
    </row>
    <row r="162" spans="1:8" x14ac:dyDescent="0.25">
      <c r="A162" s="3"/>
      <c r="B162" s="3"/>
      <c r="C162" s="3"/>
      <c r="D162" s="3"/>
      <c r="G162" s="14"/>
      <c r="H162" s="14"/>
    </row>
    <row r="163" spans="1:8" x14ac:dyDescent="0.25">
      <c r="A163" s="3"/>
      <c r="B163" s="3"/>
      <c r="C163" s="3"/>
      <c r="D163" s="3"/>
      <c r="G163" s="14"/>
      <c r="H163" s="14"/>
    </row>
    <row r="164" spans="1:8" x14ac:dyDescent="0.25">
      <c r="A164" s="3"/>
      <c r="B164" s="3"/>
      <c r="C164" s="3"/>
      <c r="D164" s="3"/>
      <c r="G164" s="14"/>
      <c r="H164" s="14"/>
    </row>
    <row r="165" spans="1:8" x14ac:dyDescent="0.25">
      <c r="A165" s="3"/>
      <c r="B165" s="3"/>
      <c r="C165" s="3"/>
      <c r="D165" s="3"/>
      <c r="G165" s="14"/>
      <c r="H165" s="14"/>
    </row>
    <row r="166" spans="1:8" x14ac:dyDescent="0.25">
      <c r="A166" s="3"/>
      <c r="B166" s="3"/>
      <c r="C166" s="3"/>
      <c r="D166" s="3"/>
      <c r="G166" s="14"/>
      <c r="H166" s="14"/>
    </row>
    <row r="167" spans="1:8" x14ac:dyDescent="0.25">
      <c r="A167" s="3"/>
      <c r="B167" s="3"/>
      <c r="C167" s="3"/>
      <c r="D167" s="3"/>
      <c r="G167" s="14"/>
      <c r="H167" s="14"/>
    </row>
    <row r="168" spans="1:8" x14ac:dyDescent="0.25">
      <c r="A168" s="3"/>
      <c r="B168" s="3"/>
      <c r="C168" s="3"/>
      <c r="D168" s="3"/>
      <c r="G168" s="14"/>
      <c r="H168" s="14"/>
    </row>
    <row r="169" spans="1:8" x14ac:dyDescent="0.25">
      <c r="A169" s="3"/>
      <c r="B169" s="3"/>
      <c r="C169" s="3"/>
      <c r="D169" s="3"/>
      <c r="G169" s="14"/>
      <c r="H169" s="14"/>
    </row>
    <row r="170" spans="1:8" x14ac:dyDescent="0.25">
      <c r="A170" s="3"/>
      <c r="B170" s="3"/>
      <c r="C170" s="3"/>
      <c r="D170" s="3"/>
      <c r="G170" s="14"/>
      <c r="H170" s="14"/>
    </row>
    <row r="171" spans="1:8" x14ac:dyDescent="0.25">
      <c r="A171" s="3"/>
      <c r="B171" s="3"/>
      <c r="C171" s="3"/>
      <c r="D171" s="3"/>
      <c r="G171" s="14"/>
      <c r="H171" s="14"/>
    </row>
    <row r="172" spans="1:8" x14ac:dyDescent="0.25">
      <c r="A172" s="3"/>
      <c r="B172" s="3"/>
      <c r="C172" s="3"/>
      <c r="D172" s="3"/>
      <c r="G172" s="14"/>
      <c r="H172" s="14"/>
    </row>
    <row r="173" spans="1:8" x14ac:dyDescent="0.25">
      <c r="A173" s="3"/>
      <c r="B173" s="3"/>
      <c r="C173" s="3"/>
      <c r="D173" s="3"/>
      <c r="G173" s="14"/>
      <c r="H173" s="14"/>
    </row>
    <row r="174" spans="1:8" x14ac:dyDescent="0.25">
      <c r="A174" s="3"/>
      <c r="B174" s="3"/>
      <c r="C174" s="3"/>
      <c r="D174" s="3"/>
      <c r="G174" s="14"/>
      <c r="H174" s="14"/>
    </row>
    <row r="175" spans="1:8" x14ac:dyDescent="0.25">
      <c r="A175" s="3"/>
      <c r="B175" s="3"/>
      <c r="C175" s="3"/>
      <c r="D175" s="3"/>
      <c r="G175" s="14"/>
      <c r="H175" s="14"/>
    </row>
    <row r="176" spans="1:8" x14ac:dyDescent="0.25">
      <c r="A176" s="3"/>
      <c r="B176" s="3"/>
      <c r="C176" s="3"/>
      <c r="D176" s="3"/>
      <c r="G176" s="14"/>
      <c r="H176" s="14"/>
    </row>
    <row r="177" spans="1:8" x14ac:dyDescent="0.25">
      <c r="A177" s="3"/>
      <c r="B177" s="3"/>
      <c r="C177" s="3"/>
      <c r="D177" s="3"/>
      <c r="G177" s="14"/>
      <c r="H177" s="14"/>
    </row>
    <row r="178" spans="1:8" x14ac:dyDescent="0.25">
      <c r="A178" s="3"/>
      <c r="B178" s="3"/>
      <c r="C178" s="3"/>
      <c r="D178" s="3"/>
      <c r="G178" s="14"/>
      <c r="H178" s="14"/>
    </row>
    <row r="179" spans="1:8" x14ac:dyDescent="0.25">
      <c r="A179" s="3"/>
      <c r="B179" s="3"/>
      <c r="C179" s="3"/>
      <c r="D179" s="3"/>
      <c r="G179" s="14"/>
      <c r="H179" s="14"/>
    </row>
    <row r="180" spans="1:8" x14ac:dyDescent="0.25">
      <c r="A180" s="3"/>
      <c r="B180" s="3"/>
      <c r="C180" s="3"/>
      <c r="D180" s="3"/>
      <c r="G180" s="14"/>
      <c r="H180" s="14"/>
    </row>
    <row r="181" spans="1:8" x14ac:dyDescent="0.25">
      <c r="A181" s="3"/>
      <c r="B181" s="3"/>
      <c r="C181" s="3"/>
      <c r="D181" s="3"/>
      <c r="G181" s="14"/>
      <c r="H181" s="14"/>
    </row>
    <row r="182" spans="1:8" x14ac:dyDescent="0.25">
      <c r="A182" s="3"/>
      <c r="B182" s="3"/>
      <c r="C182" s="3"/>
      <c r="D182" s="3"/>
      <c r="G182" s="14"/>
      <c r="H182" s="14"/>
    </row>
    <row r="183" spans="1:8" x14ac:dyDescent="0.25">
      <c r="A183" s="3"/>
      <c r="B183" s="3"/>
      <c r="C183" s="3"/>
      <c r="D183" s="3"/>
      <c r="G183" s="14"/>
      <c r="H183" s="14"/>
    </row>
    <row r="184" spans="1:8" x14ac:dyDescent="0.25">
      <c r="A184" s="3"/>
      <c r="B184" s="3"/>
      <c r="C184" s="3"/>
      <c r="D184" s="3"/>
      <c r="G184" s="14"/>
      <c r="H184" s="14"/>
    </row>
    <row r="185" spans="1:8" x14ac:dyDescent="0.25">
      <c r="A185" s="3"/>
      <c r="B185" s="3"/>
      <c r="C185" s="3"/>
      <c r="D185" s="3"/>
      <c r="G185" s="14"/>
      <c r="H185" s="14"/>
    </row>
    <row r="186" spans="1:8" x14ac:dyDescent="0.25">
      <c r="A186" s="3"/>
      <c r="B186" s="3"/>
      <c r="C186" s="3"/>
      <c r="D186" s="3"/>
      <c r="G186" s="14"/>
      <c r="H186" s="14"/>
    </row>
    <row r="187" spans="1:8" x14ac:dyDescent="0.25">
      <c r="A187" s="3"/>
      <c r="B187" s="3"/>
      <c r="C187" s="3"/>
      <c r="D187" s="3"/>
      <c r="G187" s="14"/>
      <c r="H187" s="14"/>
    </row>
    <row r="188" spans="1:8" x14ac:dyDescent="0.25">
      <c r="A188" s="3"/>
      <c r="B188" s="3"/>
      <c r="C188" s="3"/>
      <c r="D188" s="3"/>
      <c r="G188" s="14"/>
      <c r="H188" s="14"/>
    </row>
    <row r="189" spans="1:8" x14ac:dyDescent="0.25">
      <c r="A189" s="3"/>
      <c r="B189" s="3"/>
      <c r="C189" s="3"/>
      <c r="D189" s="3"/>
      <c r="G189" s="14"/>
      <c r="H189" s="14"/>
    </row>
    <row r="190" spans="1:8" x14ac:dyDescent="0.25">
      <c r="A190" s="3"/>
      <c r="B190" s="3"/>
      <c r="C190" s="3"/>
      <c r="D190" s="3"/>
      <c r="G190" s="14"/>
      <c r="H190" s="14"/>
    </row>
    <row r="191" spans="1:8" x14ac:dyDescent="0.25">
      <c r="A191" s="3"/>
      <c r="B191" s="3"/>
      <c r="C191" s="3"/>
      <c r="D191" s="3"/>
      <c r="G191" s="14"/>
      <c r="H191" s="14"/>
    </row>
    <row r="192" spans="1:8" x14ac:dyDescent="0.25">
      <c r="A192" s="3"/>
      <c r="B192" s="3"/>
      <c r="C192" s="3"/>
      <c r="D192" s="3"/>
      <c r="G192" s="14"/>
      <c r="H192" s="14"/>
    </row>
    <row r="193" spans="1:8" x14ac:dyDescent="0.25">
      <c r="A193" s="3"/>
      <c r="B193" s="3"/>
      <c r="C193" s="3"/>
      <c r="D193" s="3"/>
      <c r="G193" s="14"/>
      <c r="H193" s="14"/>
    </row>
    <row r="194" spans="1:8" x14ac:dyDescent="0.25">
      <c r="A194" s="3"/>
      <c r="B194" s="3"/>
      <c r="C194" s="3"/>
      <c r="D194" s="3"/>
      <c r="G194" s="14"/>
      <c r="H194" s="14"/>
    </row>
    <row r="195" spans="1:8" x14ac:dyDescent="0.25">
      <c r="A195" s="3"/>
      <c r="B195" s="3"/>
      <c r="C195" s="3"/>
      <c r="D195" s="3"/>
      <c r="G195" s="14"/>
      <c r="H195" s="14"/>
    </row>
    <row r="196" spans="1:8" x14ac:dyDescent="0.25">
      <c r="A196" s="3"/>
      <c r="B196" s="3"/>
      <c r="C196" s="3"/>
      <c r="D196" s="3"/>
      <c r="G196" s="14"/>
      <c r="H196" s="14"/>
    </row>
    <row r="197" spans="1:8" x14ac:dyDescent="0.25">
      <c r="A197" s="3"/>
      <c r="B197" s="3"/>
      <c r="C197" s="3"/>
      <c r="D197" s="3"/>
      <c r="G197" s="14"/>
      <c r="H197" s="14"/>
    </row>
    <row r="198" spans="1:8" x14ac:dyDescent="0.25">
      <c r="A198" s="3"/>
      <c r="B198" s="3"/>
      <c r="C198" s="3"/>
      <c r="D198" s="3"/>
      <c r="G198" s="14"/>
      <c r="H198" s="14"/>
    </row>
    <row r="199" spans="1:8" x14ac:dyDescent="0.25">
      <c r="A199" s="3"/>
      <c r="B199" s="3"/>
      <c r="C199" s="3"/>
      <c r="D199" s="3"/>
      <c r="G199" s="14"/>
      <c r="H199" s="14"/>
    </row>
    <row r="200" spans="1:8" x14ac:dyDescent="0.25">
      <c r="A200" s="3"/>
      <c r="B200" s="3"/>
      <c r="C200" s="3"/>
      <c r="D200" s="3"/>
      <c r="G200" s="14"/>
      <c r="H200" s="14"/>
    </row>
    <row r="201" spans="1:8" x14ac:dyDescent="0.25">
      <c r="A201" s="3"/>
      <c r="B201" s="3"/>
      <c r="C201" s="3"/>
      <c r="D201" s="3"/>
      <c r="G201" s="14"/>
      <c r="H201" s="14"/>
    </row>
    <row r="202" spans="1:8" x14ac:dyDescent="0.25">
      <c r="A202" s="3"/>
      <c r="B202" s="3"/>
      <c r="C202" s="3"/>
      <c r="D202" s="3"/>
      <c r="G202" s="14"/>
      <c r="H202" s="14"/>
    </row>
    <row r="203" spans="1:8" x14ac:dyDescent="0.25">
      <c r="A203" s="3"/>
      <c r="B203" s="3"/>
      <c r="C203" s="3"/>
      <c r="D203" s="3"/>
      <c r="G203" s="14"/>
      <c r="H203" s="14"/>
    </row>
    <row r="204" spans="1:8" x14ac:dyDescent="0.25">
      <c r="A204" s="3"/>
      <c r="B204" s="3"/>
      <c r="C204" s="3"/>
      <c r="D204" s="3"/>
      <c r="G204" s="14"/>
      <c r="H204" s="14"/>
    </row>
    <row r="205" spans="1:8" x14ac:dyDescent="0.25">
      <c r="A205" s="3"/>
      <c r="B205" s="3"/>
      <c r="C205" s="3"/>
      <c r="D205" s="3"/>
      <c r="G205" s="14"/>
      <c r="H205" s="14"/>
    </row>
    <row r="206" spans="1:8" x14ac:dyDescent="0.25">
      <c r="A206" s="3"/>
      <c r="B206" s="3"/>
      <c r="C206" s="3"/>
      <c r="D206" s="3"/>
      <c r="G206" s="14"/>
      <c r="H206" s="14"/>
    </row>
    <row r="207" spans="1:8" x14ac:dyDescent="0.25">
      <c r="A207" s="3"/>
      <c r="B207" s="3"/>
      <c r="C207" s="3"/>
      <c r="D207" s="3"/>
      <c r="G207" s="14"/>
      <c r="H207" s="14"/>
    </row>
    <row r="208" spans="1:8" x14ac:dyDescent="0.25">
      <c r="A208" s="3"/>
      <c r="B208" s="3"/>
      <c r="C208" s="3"/>
      <c r="D208" s="3"/>
      <c r="G208" s="14"/>
      <c r="H208" s="14"/>
    </row>
    <row r="209" spans="1:8" x14ac:dyDescent="0.25">
      <c r="A209" s="3"/>
      <c r="B209" s="3"/>
      <c r="C209" s="3"/>
      <c r="D209" s="3"/>
      <c r="G209" s="14"/>
      <c r="H209" s="14"/>
    </row>
    <row r="210" spans="1:8" x14ac:dyDescent="0.25">
      <c r="A210" s="3"/>
      <c r="B210" s="3"/>
      <c r="C210" s="3"/>
      <c r="D210" s="3"/>
      <c r="G210" s="14"/>
      <c r="H210" s="14"/>
    </row>
    <row r="211" spans="1:8" x14ac:dyDescent="0.25">
      <c r="A211" s="3"/>
      <c r="B211" s="3"/>
      <c r="C211" s="3"/>
      <c r="D211" s="3"/>
      <c r="G211" s="14"/>
      <c r="H211" s="14"/>
    </row>
    <row r="212" spans="1:8" x14ac:dyDescent="0.25">
      <c r="A212" s="3"/>
      <c r="B212" s="3"/>
      <c r="C212" s="3"/>
      <c r="D212" s="3"/>
      <c r="G212" s="14"/>
      <c r="H212" s="14"/>
    </row>
    <row r="213" spans="1:8" x14ac:dyDescent="0.25">
      <c r="A213" s="3"/>
      <c r="B213" s="3"/>
      <c r="C213" s="3"/>
      <c r="D213" s="3"/>
      <c r="G213" s="14"/>
      <c r="H213" s="14"/>
    </row>
    <row r="214" spans="1:8" x14ac:dyDescent="0.25">
      <c r="A214" s="3"/>
      <c r="B214" s="3"/>
      <c r="C214" s="3"/>
      <c r="D214" s="3"/>
      <c r="G214" s="14"/>
      <c r="H214" s="14"/>
    </row>
    <row r="215" spans="1:8" x14ac:dyDescent="0.25">
      <c r="A215" s="3"/>
      <c r="B215" s="3"/>
      <c r="C215" s="3"/>
      <c r="D215" s="3"/>
      <c r="G215" s="14"/>
      <c r="H215" s="14"/>
    </row>
    <row r="216" spans="1:8" x14ac:dyDescent="0.25">
      <c r="A216" s="3"/>
      <c r="B216" s="3"/>
      <c r="C216" s="3"/>
      <c r="D216" s="3"/>
      <c r="G216" s="14"/>
      <c r="H216" s="14"/>
    </row>
    <row r="217" spans="1:8" x14ac:dyDescent="0.25">
      <c r="A217" s="3"/>
      <c r="B217" s="3"/>
      <c r="C217" s="3"/>
      <c r="D217" s="3"/>
      <c r="G217" s="14"/>
      <c r="H217" s="14"/>
    </row>
    <row r="218" spans="1:8" x14ac:dyDescent="0.25">
      <c r="A218" s="3"/>
      <c r="B218" s="3"/>
      <c r="C218" s="3"/>
      <c r="D218" s="3"/>
      <c r="G218" s="14"/>
      <c r="H218" s="14"/>
    </row>
    <row r="219" spans="1:8" x14ac:dyDescent="0.25">
      <c r="A219" s="3"/>
      <c r="B219" s="3"/>
      <c r="C219" s="3"/>
      <c r="D219" s="3"/>
      <c r="G219" s="14"/>
      <c r="H219" s="14"/>
    </row>
    <row r="220" spans="1:8" x14ac:dyDescent="0.25">
      <c r="A220" s="3"/>
      <c r="B220" s="3"/>
      <c r="C220" s="3"/>
      <c r="D220" s="3"/>
      <c r="G220" s="14"/>
      <c r="H220" s="14"/>
    </row>
    <row r="221" spans="1:8" x14ac:dyDescent="0.25">
      <c r="A221" s="3"/>
      <c r="B221" s="3"/>
      <c r="C221" s="3"/>
      <c r="D221" s="3"/>
      <c r="G221" s="14"/>
      <c r="H221" s="14"/>
    </row>
    <row r="222" spans="1:8" x14ac:dyDescent="0.25">
      <c r="A222" s="3"/>
      <c r="B222" s="3"/>
      <c r="C222" s="3"/>
      <c r="D222" s="3"/>
      <c r="G222" s="14"/>
      <c r="H222" s="14"/>
    </row>
    <row r="223" spans="1:8" x14ac:dyDescent="0.25">
      <c r="A223" s="3"/>
      <c r="B223" s="3"/>
      <c r="C223" s="3"/>
      <c r="D223" s="3"/>
      <c r="G223" s="14"/>
      <c r="H223" s="14"/>
    </row>
    <row r="224" spans="1:8" x14ac:dyDescent="0.25">
      <c r="A224" s="3"/>
      <c r="B224" s="3"/>
      <c r="C224" s="3"/>
      <c r="D224" s="3"/>
      <c r="G224" s="14"/>
      <c r="H224" s="14"/>
    </row>
    <row r="225" spans="1:8" x14ac:dyDescent="0.25">
      <c r="A225" s="3"/>
      <c r="B225" s="3"/>
      <c r="C225" s="3"/>
      <c r="D225" s="3"/>
      <c r="G225" s="14"/>
      <c r="H225" s="14"/>
    </row>
    <row r="226" spans="1:8" x14ac:dyDescent="0.25">
      <c r="A226" s="3"/>
      <c r="B226" s="3"/>
      <c r="C226" s="3"/>
      <c r="D226" s="3"/>
      <c r="G226" s="14"/>
      <c r="H226" s="14"/>
    </row>
    <row r="227" spans="1:8" x14ac:dyDescent="0.25">
      <c r="A227" s="3"/>
      <c r="B227" s="3"/>
      <c r="C227" s="3"/>
      <c r="D227" s="3"/>
      <c r="G227" s="14"/>
      <c r="H227" s="14"/>
    </row>
    <row r="228" spans="1:8" x14ac:dyDescent="0.25">
      <c r="A228" s="3"/>
      <c r="B228" s="3"/>
      <c r="C228" s="3"/>
      <c r="D228" s="3"/>
      <c r="G228" s="14"/>
      <c r="H228" s="14"/>
    </row>
    <row r="229" spans="1:8" x14ac:dyDescent="0.25">
      <c r="A229" s="3"/>
      <c r="B229" s="3"/>
      <c r="C229" s="3"/>
      <c r="D229" s="3"/>
      <c r="G229" s="14"/>
      <c r="H229" s="14"/>
    </row>
    <row r="230" spans="1:8" x14ac:dyDescent="0.25">
      <c r="A230" s="3"/>
      <c r="B230" s="3"/>
      <c r="C230" s="3"/>
      <c r="D230" s="3"/>
      <c r="G230" s="14"/>
      <c r="H230" s="14"/>
    </row>
    <row r="231" spans="1:8" x14ac:dyDescent="0.25">
      <c r="A231" s="3"/>
      <c r="B231" s="3"/>
      <c r="C231" s="3"/>
      <c r="D231" s="3"/>
      <c r="G231" s="14"/>
      <c r="H231" s="14"/>
    </row>
    <row r="232" spans="1:8" x14ac:dyDescent="0.25">
      <c r="A232" s="3"/>
      <c r="B232" s="3"/>
      <c r="C232" s="3"/>
      <c r="D232" s="3"/>
      <c r="G232" s="14"/>
      <c r="H232" s="14"/>
    </row>
    <row r="233" spans="1:8" x14ac:dyDescent="0.25">
      <c r="A233" s="3"/>
      <c r="B233" s="3"/>
      <c r="C233" s="3"/>
      <c r="D233" s="3"/>
      <c r="G233" s="14"/>
      <c r="H233" s="14"/>
    </row>
    <row r="234" spans="1:8" x14ac:dyDescent="0.25">
      <c r="A234" s="3"/>
      <c r="B234" s="3"/>
      <c r="C234" s="3"/>
      <c r="D234" s="3"/>
      <c r="G234" s="14"/>
      <c r="H234" s="14"/>
    </row>
    <row r="235" spans="1:8" x14ac:dyDescent="0.25">
      <c r="A235" s="3"/>
      <c r="B235" s="3"/>
      <c r="C235" s="3"/>
      <c r="D235" s="3"/>
      <c r="G235" s="14"/>
      <c r="H235" s="14"/>
    </row>
    <row r="236" spans="1:8" x14ac:dyDescent="0.25">
      <c r="A236" s="3"/>
      <c r="B236" s="3"/>
      <c r="C236" s="3"/>
      <c r="D236" s="3"/>
      <c r="G236" s="14"/>
      <c r="H236" s="14"/>
    </row>
    <row r="237" spans="1:8" x14ac:dyDescent="0.25">
      <c r="A237" s="3"/>
      <c r="B237" s="3"/>
      <c r="C237" s="3"/>
      <c r="D237" s="3"/>
      <c r="G237" s="14"/>
      <c r="H237" s="14"/>
    </row>
    <row r="238" spans="1:8" x14ac:dyDescent="0.25">
      <c r="A238" s="3"/>
      <c r="B238" s="3"/>
      <c r="C238" s="3"/>
      <c r="D238" s="3"/>
      <c r="G238" s="14"/>
      <c r="H238" s="14"/>
    </row>
    <row r="239" spans="1:8" x14ac:dyDescent="0.25">
      <c r="A239" s="3"/>
      <c r="B239" s="3"/>
      <c r="C239" s="3"/>
      <c r="D239" s="3"/>
      <c r="G239" s="14"/>
      <c r="H239" s="14"/>
    </row>
    <row r="240" spans="1:8" x14ac:dyDescent="0.25">
      <c r="A240" s="3"/>
      <c r="B240" s="3"/>
      <c r="C240" s="3"/>
      <c r="D240" s="3"/>
      <c r="G240" s="14"/>
      <c r="H240" s="14"/>
    </row>
    <row r="241" spans="1:8" x14ac:dyDescent="0.25">
      <c r="A241" s="3"/>
      <c r="B241" s="3"/>
      <c r="C241" s="3"/>
      <c r="D241" s="3"/>
      <c r="G241" s="14"/>
      <c r="H241" s="14"/>
    </row>
    <row r="242" spans="1:8" x14ac:dyDescent="0.25">
      <c r="A242" s="3"/>
      <c r="B242" s="3"/>
      <c r="C242" s="3"/>
      <c r="D242" s="3"/>
      <c r="G242" s="14"/>
      <c r="H242" s="14"/>
    </row>
    <row r="243" spans="1:8" x14ac:dyDescent="0.25">
      <c r="A243" s="3"/>
      <c r="B243" s="3"/>
      <c r="C243" s="3"/>
      <c r="D243" s="3"/>
      <c r="G243" s="14"/>
      <c r="H243" s="14"/>
    </row>
    <row r="244" spans="1:8" x14ac:dyDescent="0.25">
      <c r="A244" s="3"/>
      <c r="B244" s="3"/>
      <c r="C244" s="3"/>
      <c r="D244" s="3"/>
      <c r="G244" s="14"/>
      <c r="H244" s="14"/>
    </row>
    <row r="245" spans="1:8" x14ac:dyDescent="0.25">
      <c r="A245" s="3"/>
      <c r="B245" s="3"/>
      <c r="C245" s="3"/>
      <c r="D245" s="3"/>
      <c r="G245" s="14"/>
      <c r="H245" s="14"/>
    </row>
    <row r="247" spans="1:8" x14ac:dyDescent="0.25">
      <c r="A247" s="3"/>
      <c r="G247" s="14"/>
      <c r="H247" s="14"/>
    </row>
  </sheetData>
  <phoneticPr fontId="1" type="noConversion"/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7A049B-67E8-45DF-8E26-577FBE4A2963}">
  <sheetPr/>
  <dimension ref="A1:I247"/>
  <sheetViews>
    <sheetView topLeftCell="A29" zoomScale="115" zoomScaleNormal="115" workbookViewId="0">
      <selection activeCell="A5" sqref="A5:H107"/>
    </sheetView>
  </sheetViews>
  <sheetFormatPr defaultRowHeight="15" x14ac:dyDescent="0.25"/>
  <cols>
    <col min="1" max="1" width="8.875" style="4" customWidth="1"/>
    <col min="2" max="3" width="15.125" style="4" customWidth="1"/>
    <col min="4" max="4" width="10.25" style="4" customWidth="1"/>
    <col min="5" max="5" width="12" style="13" customWidth="1"/>
    <col min="6" max="6" width="15" style="13" customWidth="1"/>
    <col min="7" max="7" width="13.875" customWidth="1"/>
    <col min="8" max="8" width="11.125" customWidth="1"/>
    <col min="11" max="12" width="15.125" customWidth="1"/>
    <col min="13" max="13" width="11.125" customWidth="1"/>
  </cols>
  <sheetData>
    <row r="1" spans="1:9" ht="14.25" x14ac:dyDescent="0.2">
      <c r="A1" s="2" t="s">
        <v>12</v>
      </c>
      <c r="B1" s="2" t="s">
        <v>4</v>
      </c>
      <c r="C1" s="2" t="s">
        <v>5</v>
      </c>
      <c r="D1" s="2" t="s">
        <v>13</v>
      </c>
      <c r="E1" s="2" t="s">
        <v>14</v>
      </c>
      <c r="F1" s="2" t="s">
        <v>15</v>
      </c>
      <c r="G1" s="2" t="s">
        <v>16</v>
      </c>
    </row>
    <row r="2" spans="1:9" x14ac:dyDescent="0.25">
      <c r="A2" s="11">
        <v>30</v>
      </c>
      <c r="B2" s="3">
        <v>113.3271548</v>
      </c>
      <c r="C2" s="8">
        <v>23.025990610000001</v>
      </c>
      <c r="D2" s="3">
        <v>1750</v>
      </c>
      <c r="E2" s="13">
        <v>1785</v>
      </c>
      <c r="F2" s="13">
        <v>6</v>
      </c>
      <c r="G2" s="19">
        <f>SUBTOTAL(2,A5:A250)</f>
        <v>35</v>
      </c>
    </row>
    <row r="3" spans="1:9" x14ac:dyDescent="0.25">
      <c r="A3" s="3"/>
      <c r="B3" s="3"/>
      <c r="C3" s="3"/>
      <c r="D3" s="3"/>
    </row>
    <row r="4" spans="1:9" ht="14.25" x14ac:dyDescent="0.2">
      <c r="A4" s="2" t="s">
        <v>0</v>
      </c>
      <c r="B4" s="2" t="s">
        <v>1</v>
      </c>
      <c r="C4" s="2" t="s">
        <v>2</v>
      </c>
      <c r="D4" s="2" t="s">
        <v>3</v>
      </c>
      <c r="E4" s="2" t="s">
        <v>7</v>
      </c>
      <c r="F4" s="2" t="s">
        <v>8</v>
      </c>
      <c r="G4" s="2" t="s">
        <v>13</v>
      </c>
      <c r="H4" s="2" t="s">
        <v>14</v>
      </c>
      <c r="I4" s="24" t="s">
        <v>20</v>
      </c>
    </row>
    <row r="5" spans="1:9" x14ac:dyDescent="0.25">
      <c r="A5" s="3">
        <v>901</v>
      </c>
      <c r="B5" s="3">
        <v>113.3273015</v>
      </c>
      <c r="C5" s="3">
        <v>23.02584646</v>
      </c>
      <c r="D5" s="3">
        <v>30</v>
      </c>
      <c r="E5" s="13">
        <f t="shared" ref="E5:E36" si="0">SQRT((B5-$B$2)^2+(C5-$C$2)^2)</f>
        <v>2.0566991151048985E-4</v>
      </c>
      <c r="F5" s="13">
        <f t="shared" ref="F5:F36" si="1">SQRT(1/E5)</f>
        <v>69.729189853225392</v>
      </c>
      <c r="G5" s="14">
        <f>F5/$F$109*$D$2</f>
        <v>195.7579268428681</v>
      </c>
      <c r="H5" s="14">
        <f>F5/$F$109*$E$2</f>
        <v>199.67308537972548</v>
      </c>
      <c r="I5" s="25" t="str">
        <f>IF(MOD(ROW()-1,3)=1,"选中","")</f>
        <v>选中</v>
      </c>
    </row>
    <row r="6" spans="1:9" hidden="1" x14ac:dyDescent="0.25">
      <c r="A6" s="3">
        <v>918</v>
      </c>
      <c r="B6" s="3">
        <v>113.3267187</v>
      </c>
      <c r="C6" s="3">
        <v>23.02578759</v>
      </c>
      <c r="D6" s="3">
        <v>30</v>
      </c>
      <c r="E6" s="13">
        <f t="shared" si="0"/>
        <v>4.8104088225616408E-4</v>
      </c>
      <c r="F6" s="13">
        <f t="shared" si="1"/>
        <v>45.594137679118411</v>
      </c>
      <c r="G6" s="14" t="e">
        <f>F6/$F$124*$D$2</f>
        <v>#DIV/0!</v>
      </c>
      <c r="H6" s="14" t="e">
        <f>F6/$F$124*$E$2</f>
        <v>#DIV/0!</v>
      </c>
      <c r="I6" s="25" t="str">
        <f t="shared" ref="I6:I69" si="2">IF(MOD(ROW()-1,3)=1,"选中","")</f>
        <v/>
      </c>
    </row>
    <row r="7" spans="1:9" hidden="1" x14ac:dyDescent="0.25">
      <c r="A7" s="3">
        <v>937</v>
      </c>
      <c r="B7" s="3">
        <v>113.32666879999999</v>
      </c>
      <c r="C7" s="3">
        <v>23.025758700000001</v>
      </c>
      <c r="D7" s="3">
        <v>30</v>
      </c>
      <c r="E7" s="13">
        <f t="shared" si="0"/>
        <v>5.3849628421104626E-4</v>
      </c>
      <c r="F7" s="13">
        <f t="shared" si="1"/>
        <v>43.093190036179124</v>
      </c>
      <c r="G7" s="14" t="e">
        <f>F7/$F$124*$D$2</f>
        <v>#DIV/0!</v>
      </c>
      <c r="H7" s="14" t="e">
        <f>F7/$F$124*$E$2</f>
        <v>#DIV/0!</v>
      </c>
      <c r="I7" s="25" t="str">
        <f t="shared" si="2"/>
        <v/>
      </c>
    </row>
    <row r="8" spans="1:9" x14ac:dyDescent="0.25">
      <c r="A8" s="3">
        <v>944</v>
      </c>
      <c r="B8" s="3">
        <v>113.32641529999999</v>
      </c>
      <c r="C8" s="3">
        <v>23.02565723</v>
      </c>
      <c r="D8" s="3">
        <v>30</v>
      </c>
      <c r="E8" s="13">
        <f t="shared" si="0"/>
        <v>8.1117351683437943E-4</v>
      </c>
      <c r="F8" s="13">
        <f t="shared" si="1"/>
        <v>35.11099349012715</v>
      </c>
      <c r="G8" s="14">
        <f>F8/$F$109*$D$2</f>
        <v>98.570703452720522</v>
      </c>
      <c r="H8" s="14">
        <f>F8/$F$109*$E$2</f>
        <v>100.54211752177493</v>
      </c>
      <c r="I8" s="25" t="str">
        <f t="shared" si="2"/>
        <v>选中</v>
      </c>
    </row>
    <row r="9" spans="1:9" hidden="1" x14ac:dyDescent="0.25">
      <c r="A9" s="3">
        <v>892</v>
      </c>
      <c r="B9" s="3">
        <v>113.3272068</v>
      </c>
      <c r="C9" s="3">
        <v>23.025058980000001</v>
      </c>
      <c r="D9" s="3">
        <v>30</v>
      </c>
      <c r="E9" s="13">
        <f t="shared" si="0"/>
        <v>9.3308009136407405E-4</v>
      </c>
      <c r="F9" s="13">
        <f t="shared" si="1"/>
        <v>32.737125129937972</v>
      </c>
      <c r="G9" s="14" t="e">
        <f>F9/$F$124*$D$2</f>
        <v>#DIV/0!</v>
      </c>
      <c r="H9" s="14" t="e">
        <f>F9/$F$124*$E$2</f>
        <v>#DIV/0!</v>
      </c>
      <c r="I9" s="25" t="str">
        <f t="shared" si="2"/>
        <v/>
      </c>
    </row>
    <row r="10" spans="1:9" hidden="1" x14ac:dyDescent="0.25">
      <c r="A10" s="3">
        <v>908</v>
      </c>
      <c r="B10" s="3">
        <v>113.3279891</v>
      </c>
      <c r="C10" s="3">
        <v>23.02529139</v>
      </c>
      <c r="D10" s="3">
        <v>30</v>
      </c>
      <c r="E10" s="13">
        <f t="shared" si="0"/>
        <v>1.088561021896239E-3</v>
      </c>
      <c r="F10" s="13">
        <f t="shared" si="1"/>
        <v>30.309139756561198</v>
      </c>
      <c r="G10" s="14" t="e">
        <f>F10/$F$124*$D$2</f>
        <v>#DIV/0!</v>
      </c>
      <c r="H10" s="14" t="e">
        <f>F10/$F$124*$E$2</f>
        <v>#DIV/0!</v>
      </c>
      <c r="I10" s="25" t="str">
        <f t="shared" si="2"/>
        <v/>
      </c>
    </row>
    <row r="11" spans="1:9" x14ac:dyDescent="0.25">
      <c r="A11" s="3">
        <v>919</v>
      </c>
      <c r="B11" s="3">
        <v>113.32729860000001</v>
      </c>
      <c r="C11" s="3">
        <v>23.024516040000002</v>
      </c>
      <c r="D11" s="3">
        <v>30</v>
      </c>
      <c r="E11" s="13">
        <f t="shared" si="0"/>
        <v>1.4815650930345918E-3</v>
      </c>
      <c r="F11" s="13">
        <f t="shared" si="1"/>
        <v>25.980028996058103</v>
      </c>
      <c r="G11" s="14">
        <f>F11/$F$109*$D$2</f>
        <v>72.93640764063295</v>
      </c>
      <c r="H11" s="14">
        <f>F11/$F$109*$E$2</f>
        <v>74.395135793445618</v>
      </c>
      <c r="I11" s="25" t="str">
        <f t="shared" si="2"/>
        <v>选中</v>
      </c>
    </row>
    <row r="12" spans="1:9" hidden="1" x14ac:dyDescent="0.25">
      <c r="A12" s="3">
        <v>902</v>
      </c>
      <c r="B12" s="3">
        <v>113.32558299999999</v>
      </c>
      <c r="C12" s="3">
        <v>23.02599567</v>
      </c>
      <c r="D12" s="3">
        <v>30</v>
      </c>
      <c r="E12" s="13">
        <f t="shared" si="0"/>
        <v>1.5718081446615751E-3</v>
      </c>
      <c r="F12" s="13">
        <f t="shared" si="1"/>
        <v>25.223202849928331</v>
      </c>
      <c r="G12" s="14" t="e">
        <f>F12/$F$124*$D$2</f>
        <v>#DIV/0!</v>
      </c>
      <c r="H12" s="14" t="e">
        <f>F12/$F$124*$E$2</f>
        <v>#DIV/0!</v>
      </c>
      <c r="I12" s="25" t="str">
        <f t="shared" si="2"/>
        <v/>
      </c>
    </row>
    <row r="13" spans="1:9" hidden="1" x14ac:dyDescent="0.25">
      <c r="A13" s="3">
        <v>898</v>
      </c>
      <c r="B13" s="3">
        <v>113.32575060000001</v>
      </c>
      <c r="C13" s="3">
        <v>23.027036899999999</v>
      </c>
      <c r="D13" s="3">
        <v>30</v>
      </c>
      <c r="E13" s="13">
        <f t="shared" si="0"/>
        <v>1.751142599585936E-3</v>
      </c>
      <c r="F13" s="13">
        <f t="shared" si="1"/>
        <v>23.896772190516153</v>
      </c>
      <c r="G13" s="14" t="e">
        <f>F13/$F$124*$D$2</f>
        <v>#DIV/0!</v>
      </c>
      <c r="H13" s="14" t="e">
        <f>F13/$F$124*$E$2</f>
        <v>#DIV/0!</v>
      </c>
      <c r="I13" s="25" t="str">
        <f t="shared" si="2"/>
        <v/>
      </c>
    </row>
    <row r="14" spans="1:9" x14ac:dyDescent="0.25">
      <c r="A14" s="3">
        <v>936</v>
      </c>
      <c r="B14" s="3">
        <v>113.3256927</v>
      </c>
      <c r="C14" s="3">
        <v>23.026996029999999</v>
      </c>
      <c r="D14" s="3">
        <v>30</v>
      </c>
      <c r="E14" s="13">
        <f t="shared" si="0"/>
        <v>1.7744311162708431E-3</v>
      </c>
      <c r="F14" s="13">
        <f t="shared" si="1"/>
        <v>23.73943768841032</v>
      </c>
      <c r="G14" s="14">
        <f>F14/$F$109*$D$2</f>
        <v>66.646165201124788</v>
      </c>
      <c r="H14" s="14">
        <f>F14/$F$109*$E$2</f>
        <v>67.979088505147288</v>
      </c>
      <c r="I14" s="25" t="str">
        <f t="shared" si="2"/>
        <v>选中</v>
      </c>
    </row>
    <row r="15" spans="1:9" hidden="1" x14ac:dyDescent="0.25">
      <c r="A15" s="3">
        <v>916</v>
      </c>
      <c r="B15" s="3">
        <v>113.3254663</v>
      </c>
      <c r="C15" s="3">
        <v>23.02543614</v>
      </c>
      <c r="D15" s="3">
        <v>30</v>
      </c>
      <c r="E15" s="13">
        <f t="shared" si="0"/>
        <v>1.7772082688592363E-3</v>
      </c>
      <c r="F15" s="13">
        <f t="shared" si="1"/>
        <v>23.720882233285085</v>
      </c>
      <c r="G15" s="14" t="e">
        <f>F15/$F$124*$D$2</f>
        <v>#DIV/0!</v>
      </c>
      <c r="H15" s="14" t="e">
        <f>F15/$F$124*$E$2</f>
        <v>#DIV/0!</v>
      </c>
      <c r="I15" s="25" t="str">
        <f t="shared" si="2"/>
        <v/>
      </c>
    </row>
    <row r="16" spans="1:9" hidden="1" x14ac:dyDescent="0.25">
      <c r="A16" s="3">
        <v>940</v>
      </c>
      <c r="B16" s="3">
        <v>113.3253945</v>
      </c>
      <c r="C16" s="3">
        <v>23.02545027</v>
      </c>
      <c r="D16" s="3">
        <v>30</v>
      </c>
      <c r="E16" s="13">
        <f t="shared" si="0"/>
        <v>1.8413645498932402E-3</v>
      </c>
      <c r="F16" s="13">
        <f t="shared" si="1"/>
        <v>23.303980654144706</v>
      </c>
      <c r="G16" s="14" t="e">
        <f>F16/$F$124*$D$2</f>
        <v>#DIV/0!</v>
      </c>
      <c r="H16" s="14" t="e">
        <f>F16/$F$124*$E$2</f>
        <v>#DIV/0!</v>
      </c>
      <c r="I16" s="25" t="str">
        <f t="shared" si="2"/>
        <v/>
      </c>
    </row>
    <row r="17" spans="1:9" x14ac:dyDescent="0.25">
      <c r="A17" s="3">
        <v>930</v>
      </c>
      <c r="B17" s="3">
        <v>113.32534440000001</v>
      </c>
      <c r="C17" s="3">
        <v>23.027542459999999</v>
      </c>
      <c r="D17" s="3">
        <v>30</v>
      </c>
      <c r="E17" s="13">
        <f t="shared" si="0"/>
        <v>2.3844887465624036E-3</v>
      </c>
      <c r="F17" s="13">
        <f t="shared" si="1"/>
        <v>20.478698939826213</v>
      </c>
      <c r="G17" s="14">
        <f>F17/$F$109*$D$2</f>
        <v>57.491957920893391</v>
      </c>
      <c r="H17" s="14">
        <f>F17/$F$109*$E$2</f>
        <v>58.64179707931126</v>
      </c>
      <c r="I17" s="25" t="str">
        <f t="shared" si="2"/>
        <v>选中</v>
      </c>
    </row>
    <row r="18" spans="1:9" hidden="1" x14ac:dyDescent="0.25">
      <c r="A18" s="3">
        <v>935</v>
      </c>
      <c r="B18" s="3">
        <v>113.3248924</v>
      </c>
      <c r="C18" s="3">
        <v>23.026957580000001</v>
      </c>
      <c r="D18" s="3">
        <v>30</v>
      </c>
      <c r="E18" s="13">
        <f t="shared" si="0"/>
        <v>2.4603830476025053E-3</v>
      </c>
      <c r="F18" s="13">
        <f t="shared" si="1"/>
        <v>20.160376434518209</v>
      </c>
      <c r="G18" s="14" t="e">
        <f>F18/$F$124*$D$2</f>
        <v>#DIV/0!</v>
      </c>
      <c r="H18" s="14" t="e">
        <f>F18/$F$124*$E$2</f>
        <v>#DIV/0!</v>
      </c>
      <c r="I18" s="25" t="str">
        <f t="shared" si="2"/>
        <v/>
      </c>
    </row>
    <row r="19" spans="1:9" hidden="1" x14ac:dyDescent="0.25">
      <c r="A19" s="3">
        <v>910</v>
      </c>
      <c r="B19" s="3">
        <v>113.3296787</v>
      </c>
      <c r="C19" s="3">
        <v>23.02609283</v>
      </c>
      <c r="D19" s="3">
        <v>30</v>
      </c>
      <c r="E19" s="13">
        <f t="shared" si="0"/>
        <v>2.5259691483466885E-3</v>
      </c>
      <c r="F19" s="13">
        <f t="shared" si="1"/>
        <v>19.896925740293302</v>
      </c>
      <c r="G19" s="14" t="e">
        <f>F19/$F$124*$D$2</f>
        <v>#DIV/0!</v>
      </c>
      <c r="H19" s="14" t="e">
        <f>F19/$F$124*$E$2</f>
        <v>#DIV/0!</v>
      </c>
      <c r="I19" s="25" t="str">
        <f t="shared" si="2"/>
        <v/>
      </c>
    </row>
    <row r="20" spans="1:9" x14ac:dyDescent="0.25">
      <c r="A20" s="3">
        <v>922</v>
      </c>
      <c r="B20" s="3">
        <v>113.3249742</v>
      </c>
      <c r="C20" s="3">
        <v>23.027278280000001</v>
      </c>
      <c r="D20" s="3">
        <v>30</v>
      </c>
      <c r="E20" s="13">
        <f t="shared" si="0"/>
        <v>2.5324119706144625E-3</v>
      </c>
      <c r="F20" s="13">
        <f t="shared" si="1"/>
        <v>19.871599293300292</v>
      </c>
      <c r="G20" s="14">
        <f>F20/$F$109*$D$2</f>
        <v>55.787584638468751</v>
      </c>
      <c r="H20" s="14">
        <f>F20/$F$109*$E$2</f>
        <v>56.90333633123813</v>
      </c>
      <c r="I20" s="25" t="str">
        <f t="shared" si="2"/>
        <v>选中</v>
      </c>
    </row>
    <row r="21" spans="1:9" hidden="1" x14ac:dyDescent="0.25">
      <c r="A21" s="3">
        <v>905</v>
      </c>
      <c r="B21" s="3">
        <v>113.3289281</v>
      </c>
      <c r="C21" s="3">
        <v>23.027816510000001</v>
      </c>
      <c r="D21" s="3">
        <v>30</v>
      </c>
      <c r="E21" s="13">
        <f t="shared" si="0"/>
        <v>2.5452904942240861E-3</v>
      </c>
      <c r="F21" s="13">
        <f t="shared" si="1"/>
        <v>19.821262916884603</v>
      </c>
      <c r="G21" s="14" t="e">
        <f>F21/$F$124*$D$2</f>
        <v>#DIV/0!</v>
      </c>
      <c r="H21" s="14" t="e">
        <f>F21/$F$124*$E$2</f>
        <v>#DIV/0!</v>
      </c>
      <c r="I21" s="25" t="str">
        <f t="shared" si="2"/>
        <v/>
      </c>
    </row>
    <row r="22" spans="1:9" hidden="1" x14ac:dyDescent="0.25">
      <c r="A22" s="3">
        <v>921</v>
      </c>
      <c r="B22" s="3">
        <v>113.32546840000001</v>
      </c>
      <c r="C22" s="3">
        <v>23.024047729999999</v>
      </c>
      <c r="D22" s="3">
        <v>30</v>
      </c>
      <c r="E22" s="13">
        <f t="shared" si="0"/>
        <v>2.5726887985909495E-3</v>
      </c>
      <c r="F22" s="13">
        <f t="shared" si="1"/>
        <v>19.715435382934547</v>
      </c>
      <c r="G22" s="14" t="e">
        <f>F22/$F$124*$D$2</f>
        <v>#DIV/0!</v>
      </c>
      <c r="H22" s="14" t="e">
        <f>F22/$F$124*$E$2</f>
        <v>#DIV/0!</v>
      </c>
      <c r="I22" s="25" t="str">
        <f t="shared" si="2"/>
        <v/>
      </c>
    </row>
    <row r="23" spans="1:9" x14ac:dyDescent="0.25">
      <c r="A23" s="3">
        <v>900</v>
      </c>
      <c r="B23" s="3">
        <v>113.3249263</v>
      </c>
      <c r="C23" s="3">
        <v>23.02727737</v>
      </c>
      <c r="D23" s="3">
        <v>30</v>
      </c>
      <c r="E23" s="13">
        <f t="shared" si="0"/>
        <v>2.573317614987108E-3</v>
      </c>
      <c r="F23" s="13">
        <f t="shared" si="1"/>
        <v>19.713026401935927</v>
      </c>
      <c r="G23" s="14">
        <f>F23/$F$109*$D$2</f>
        <v>55.342406650135494</v>
      </c>
      <c r="H23" s="14">
        <f>F23/$F$109*$E$2</f>
        <v>56.449254783138201</v>
      </c>
      <c r="I23" s="25" t="str">
        <f t="shared" si="2"/>
        <v>选中</v>
      </c>
    </row>
    <row r="24" spans="1:9" hidden="1" x14ac:dyDescent="0.25">
      <c r="A24" s="3">
        <v>943</v>
      </c>
      <c r="B24" s="3">
        <v>113.32460810000001</v>
      </c>
      <c r="C24" s="3">
        <v>23.025536729999999</v>
      </c>
      <c r="D24" s="3">
        <v>30</v>
      </c>
      <c r="E24" s="13">
        <f t="shared" si="0"/>
        <v>2.5868297091968064E-3</v>
      </c>
      <c r="F24" s="13">
        <f t="shared" si="1"/>
        <v>19.661474300654696</v>
      </c>
      <c r="G24" s="14" t="e">
        <f>F24/$F$124*$D$2</f>
        <v>#DIV/0!</v>
      </c>
      <c r="H24" s="14" t="e">
        <f>F24/$F$124*$E$2</f>
        <v>#DIV/0!</v>
      </c>
      <c r="I24" s="25" t="str">
        <f t="shared" si="2"/>
        <v/>
      </c>
    </row>
    <row r="25" spans="1:9" hidden="1" x14ac:dyDescent="0.25">
      <c r="A25" s="3">
        <v>934</v>
      </c>
      <c r="B25" s="3">
        <v>113.32840539999999</v>
      </c>
      <c r="C25" s="3">
        <v>23.023711280000001</v>
      </c>
      <c r="D25" s="3">
        <v>30</v>
      </c>
      <c r="E25" s="13">
        <f t="shared" si="0"/>
        <v>2.5998741525083049E-3</v>
      </c>
      <c r="F25" s="13">
        <f t="shared" si="1"/>
        <v>19.612088160350861</v>
      </c>
      <c r="G25" s="14" t="e">
        <f>F25/$F$124*$D$2</f>
        <v>#DIV/0!</v>
      </c>
      <c r="H25" s="14" t="e">
        <f>F25/$F$124*$E$2</f>
        <v>#DIV/0!</v>
      </c>
      <c r="I25" s="25" t="str">
        <f t="shared" si="2"/>
        <v/>
      </c>
    </row>
    <row r="26" spans="1:9" x14ac:dyDescent="0.25">
      <c r="A26" s="3">
        <v>906</v>
      </c>
      <c r="B26" s="3">
        <v>113.32491229999999</v>
      </c>
      <c r="C26" s="3">
        <v>23.02740335</v>
      </c>
      <c r="D26" s="3">
        <v>30</v>
      </c>
      <c r="E26" s="13">
        <f t="shared" si="0"/>
        <v>2.6504038480268206E-3</v>
      </c>
      <c r="F26" s="13">
        <f t="shared" si="1"/>
        <v>19.424237220535382</v>
      </c>
      <c r="G26" s="14">
        <f>F26/$F$109*$D$2</f>
        <v>54.531659077065768</v>
      </c>
      <c r="H26" s="14">
        <f>F26/$F$109*$E$2</f>
        <v>55.622292258607089</v>
      </c>
      <c r="I26" s="25" t="str">
        <f t="shared" si="2"/>
        <v>选中</v>
      </c>
    </row>
    <row r="27" spans="1:9" hidden="1" x14ac:dyDescent="0.25">
      <c r="A27" s="3">
        <v>1234</v>
      </c>
      <c r="B27" s="3">
        <v>113.327172</v>
      </c>
      <c r="C27" s="3">
        <v>23.023335790000001</v>
      </c>
      <c r="D27" s="3">
        <v>30</v>
      </c>
      <c r="E27" s="13">
        <f t="shared" si="0"/>
        <v>2.6548757169405079E-3</v>
      </c>
      <c r="F27" s="13">
        <f t="shared" si="1"/>
        <v>19.407871247034141</v>
      </c>
      <c r="G27" s="14" t="e">
        <f>F27/$F$124*$D$2</f>
        <v>#DIV/0!</v>
      </c>
      <c r="H27" s="14" t="e">
        <f>F27/$F$124*$E$2</f>
        <v>#DIV/0!</v>
      </c>
      <c r="I27" s="25" t="str">
        <f t="shared" si="2"/>
        <v/>
      </c>
    </row>
    <row r="28" spans="1:9" hidden="1" x14ac:dyDescent="0.25">
      <c r="A28" s="3">
        <v>942</v>
      </c>
      <c r="B28" s="3">
        <v>113.32460210000001</v>
      </c>
      <c r="C28" s="3">
        <v>23.025107930000001</v>
      </c>
      <c r="D28" s="3">
        <v>30</v>
      </c>
      <c r="E28" s="13">
        <f t="shared" si="0"/>
        <v>2.7010000504214754E-3</v>
      </c>
      <c r="F28" s="13">
        <f t="shared" si="1"/>
        <v>19.241445892504291</v>
      </c>
      <c r="G28" s="14" t="e">
        <f>F28/$F$124*$D$2</f>
        <v>#DIV/0!</v>
      </c>
      <c r="H28" s="14" t="e">
        <f>F28/$F$124*$E$2</f>
        <v>#DIV/0!</v>
      </c>
      <c r="I28" s="25" t="str">
        <f t="shared" si="2"/>
        <v/>
      </c>
    </row>
    <row r="29" spans="1:9" x14ac:dyDescent="0.25">
      <c r="A29" s="3">
        <v>924</v>
      </c>
      <c r="B29" s="3">
        <v>113.329561</v>
      </c>
      <c r="C29" s="3">
        <v>23.024507740000001</v>
      </c>
      <c r="D29" s="3">
        <v>30</v>
      </c>
      <c r="E29" s="13">
        <f t="shared" si="0"/>
        <v>2.826429174219752E-3</v>
      </c>
      <c r="F29" s="13">
        <f t="shared" si="1"/>
        <v>18.809660043402285</v>
      </c>
      <c r="G29" s="14">
        <f>F29/$F$109*$D$2</f>
        <v>52.806293353847749</v>
      </c>
      <c r="H29" s="14">
        <f>F29/$F$109*$E$2</f>
        <v>53.862419220924707</v>
      </c>
      <c r="I29" s="25" t="str">
        <f t="shared" si="2"/>
        <v>选中</v>
      </c>
    </row>
    <row r="30" spans="1:9" hidden="1" x14ac:dyDescent="0.25">
      <c r="A30" s="3">
        <v>909</v>
      </c>
      <c r="B30" s="3">
        <v>113.3290488</v>
      </c>
      <c r="C30" s="3">
        <v>23.028256089999999</v>
      </c>
      <c r="D30" s="3">
        <v>30</v>
      </c>
      <c r="E30" s="13">
        <f t="shared" si="0"/>
        <v>2.9529029158382371E-3</v>
      </c>
      <c r="F30" s="13">
        <f t="shared" si="1"/>
        <v>18.402440222437516</v>
      </c>
      <c r="G30" s="14" t="e">
        <f>F30/$F$124*$D$2</f>
        <v>#DIV/0!</v>
      </c>
      <c r="H30" s="14" t="e">
        <f>F30/$F$124*$E$2</f>
        <v>#DIV/0!</v>
      </c>
      <c r="I30" s="25" t="str">
        <f t="shared" si="2"/>
        <v/>
      </c>
    </row>
    <row r="31" spans="1:9" hidden="1" x14ac:dyDescent="0.25">
      <c r="A31" s="3">
        <v>938</v>
      </c>
      <c r="B31" s="3">
        <v>113.3247576</v>
      </c>
      <c r="C31" s="3">
        <v>23.0277265</v>
      </c>
      <c r="D31" s="3">
        <v>30</v>
      </c>
      <c r="E31" s="13">
        <f t="shared" si="0"/>
        <v>2.9597097716021902E-3</v>
      </c>
      <c r="F31" s="13">
        <f t="shared" si="1"/>
        <v>18.381266717271561</v>
      </c>
      <c r="G31" s="14" t="e">
        <f>F31/$F$124*$D$2</f>
        <v>#DIV/0!</v>
      </c>
      <c r="H31" s="14" t="e">
        <f>F31/$F$124*$E$2</f>
        <v>#DIV/0!</v>
      </c>
      <c r="I31" s="25" t="str">
        <f t="shared" si="2"/>
        <v/>
      </c>
    </row>
    <row r="32" spans="1:9" x14ac:dyDescent="0.25">
      <c r="A32" s="3">
        <v>939</v>
      </c>
      <c r="B32" s="3">
        <v>113.329087</v>
      </c>
      <c r="C32" s="3">
        <v>23.023739970000001</v>
      </c>
      <c r="D32" s="3">
        <v>30</v>
      </c>
      <c r="E32" s="13">
        <f t="shared" si="0"/>
        <v>2.9662732931397848E-3</v>
      </c>
      <c r="F32" s="13">
        <f t="shared" si="1"/>
        <v>18.360919190129941</v>
      </c>
      <c r="G32" s="14">
        <f>F32/$F$109*$D$2</f>
        <v>51.546497000108381</v>
      </c>
      <c r="H32" s="14">
        <f>F32/$F$109*$E$2</f>
        <v>52.577426940110549</v>
      </c>
      <c r="I32" s="25" t="str">
        <f t="shared" si="2"/>
        <v>选中</v>
      </c>
    </row>
    <row r="33" spans="1:9" hidden="1" x14ac:dyDescent="0.25">
      <c r="A33" s="3">
        <v>903</v>
      </c>
      <c r="B33" s="3">
        <v>113.32444030000001</v>
      </c>
      <c r="C33" s="3">
        <v>23.02718934</v>
      </c>
      <c r="D33" s="3">
        <v>30</v>
      </c>
      <c r="E33" s="13">
        <f t="shared" si="0"/>
        <v>2.9674001858320601E-3</v>
      </c>
      <c r="F33" s="13">
        <f t="shared" si="1"/>
        <v>18.357432510021656</v>
      </c>
      <c r="G33" s="14" t="e">
        <f>F33/$F$124*$D$2</f>
        <v>#DIV/0!</v>
      </c>
      <c r="H33" s="14" t="e">
        <f>F33/$F$124*$E$2</f>
        <v>#DIV/0!</v>
      </c>
      <c r="I33" s="25" t="str">
        <f t="shared" si="2"/>
        <v/>
      </c>
    </row>
    <row r="34" spans="1:9" hidden="1" x14ac:dyDescent="0.25">
      <c r="A34" s="3">
        <v>915</v>
      </c>
      <c r="B34" s="3">
        <v>113.3241809</v>
      </c>
      <c r="C34" s="3">
        <v>23.026212260000001</v>
      </c>
      <c r="D34" s="3">
        <v>30</v>
      </c>
      <c r="E34" s="13">
        <f t="shared" si="0"/>
        <v>2.982148542997806E-3</v>
      </c>
      <c r="F34" s="13">
        <f t="shared" si="1"/>
        <v>18.311982469636177</v>
      </c>
      <c r="G34" s="14" t="e">
        <f>F34/$F$124*$D$2</f>
        <v>#DIV/0!</v>
      </c>
      <c r="H34" s="14" t="e">
        <f>F34/$F$124*$E$2</f>
        <v>#DIV/0!</v>
      </c>
      <c r="I34" s="25" t="str">
        <f t="shared" si="2"/>
        <v/>
      </c>
    </row>
    <row r="35" spans="1:9" x14ac:dyDescent="0.25">
      <c r="A35" s="3">
        <v>899</v>
      </c>
      <c r="B35" s="3">
        <v>113.32471169999999</v>
      </c>
      <c r="C35" s="3">
        <v>23.027721589999999</v>
      </c>
      <c r="D35" s="3">
        <v>30</v>
      </c>
      <c r="E35" s="13">
        <f t="shared" si="0"/>
        <v>2.9941658889297714E-3</v>
      </c>
      <c r="F35" s="13">
        <f t="shared" si="1"/>
        <v>18.275197152894322</v>
      </c>
      <c r="G35" s="14">
        <f>F35/$F$109*$D$2</f>
        <v>51.305840707825126</v>
      </c>
      <c r="H35" s="14">
        <f>F35/$F$109*$E$2</f>
        <v>52.331957521981629</v>
      </c>
      <c r="I35" s="25" t="str">
        <f t="shared" si="2"/>
        <v>选中</v>
      </c>
    </row>
    <row r="36" spans="1:9" hidden="1" x14ac:dyDescent="0.25">
      <c r="A36" s="3">
        <v>1209</v>
      </c>
      <c r="B36" s="3">
        <v>113.3272139</v>
      </c>
      <c r="C36" s="3">
        <v>23.02279394</v>
      </c>
      <c r="D36" s="3">
        <v>30</v>
      </c>
      <c r="E36" s="13">
        <f t="shared" si="0"/>
        <v>3.197216273402232E-3</v>
      </c>
      <c r="F36" s="13">
        <f t="shared" si="1"/>
        <v>17.685363580974503</v>
      </c>
      <c r="G36" s="14" t="e">
        <f>F36/$F$124*$D$2</f>
        <v>#DIV/0!</v>
      </c>
      <c r="H36" s="14" t="e">
        <f>F36/$F$124*$E$2</f>
        <v>#DIV/0!</v>
      </c>
      <c r="I36" s="25" t="str">
        <f t="shared" si="2"/>
        <v/>
      </c>
    </row>
    <row r="37" spans="1:9" hidden="1" x14ac:dyDescent="0.25">
      <c r="A37" s="3">
        <v>1224</v>
      </c>
      <c r="B37" s="3">
        <v>113.32912</v>
      </c>
      <c r="C37" s="3">
        <v>23.02343304</v>
      </c>
      <c r="D37" s="3">
        <v>30</v>
      </c>
      <c r="E37" s="13">
        <f t="shared" ref="E37:E68" si="3">SQRT((B37-$B$2)^2+(C37-$C$2)^2)</f>
        <v>3.2253953780746591E-3</v>
      </c>
      <c r="F37" s="13">
        <f t="shared" ref="F37:F68" si="4">SQRT(1/E37)</f>
        <v>17.607938811848289</v>
      </c>
      <c r="G37" s="14" t="e">
        <f>F37/$F$124*$D$2</f>
        <v>#DIV/0!</v>
      </c>
      <c r="H37" s="14" t="e">
        <f>F37/$F$124*$E$2</f>
        <v>#DIV/0!</v>
      </c>
      <c r="I37" s="25" t="str">
        <f t="shared" si="2"/>
        <v/>
      </c>
    </row>
    <row r="38" spans="1:9" x14ac:dyDescent="0.25">
      <c r="A38" s="3">
        <v>933</v>
      </c>
      <c r="B38" s="3">
        <v>113.3294653</v>
      </c>
      <c r="C38" s="3">
        <v>23.023659290000001</v>
      </c>
      <c r="D38" s="3">
        <v>30</v>
      </c>
      <c r="E38" s="13">
        <f t="shared" si="3"/>
        <v>3.2822954151578453E-3</v>
      </c>
      <c r="F38" s="13">
        <f t="shared" si="4"/>
        <v>17.454650890737184</v>
      </c>
      <c r="G38" s="14">
        <f>F38/$F$109*$D$2</f>
        <v>49.002236786760562</v>
      </c>
      <c r="H38" s="14">
        <f>F38/$F$109*$E$2</f>
        <v>49.982281522495775</v>
      </c>
      <c r="I38" s="25" t="str">
        <f t="shared" si="2"/>
        <v>选中</v>
      </c>
    </row>
    <row r="39" spans="1:9" hidden="1" x14ac:dyDescent="0.25">
      <c r="A39" s="3">
        <v>1210</v>
      </c>
      <c r="B39" s="3">
        <v>113.3293535</v>
      </c>
      <c r="C39" s="3">
        <v>23.023376620000001</v>
      </c>
      <c r="D39" s="3">
        <v>30</v>
      </c>
      <c r="E39" s="13">
        <f t="shared" si="3"/>
        <v>3.4157320460005678E-3</v>
      </c>
      <c r="F39" s="13">
        <f t="shared" si="4"/>
        <v>17.110318858006622</v>
      </c>
      <c r="G39" s="14" t="e">
        <f>F39/$F$124*$D$2</f>
        <v>#DIV/0!</v>
      </c>
      <c r="H39" s="14" t="e">
        <f>F39/$F$124*$E$2</f>
        <v>#DIV/0!</v>
      </c>
      <c r="I39" s="25" t="str">
        <f t="shared" si="2"/>
        <v/>
      </c>
    </row>
    <row r="40" spans="1:9" hidden="1" x14ac:dyDescent="0.25">
      <c r="A40" s="3">
        <v>893</v>
      </c>
      <c r="B40" s="3">
        <v>113.3275388</v>
      </c>
      <c r="C40" s="3">
        <v>23.029440449999999</v>
      </c>
      <c r="D40" s="3">
        <v>30</v>
      </c>
      <c r="E40" s="13">
        <f t="shared" si="3"/>
        <v>3.4711456358939435E-3</v>
      </c>
      <c r="F40" s="13">
        <f t="shared" si="4"/>
        <v>16.973194280156999</v>
      </c>
      <c r="G40" s="14" t="e">
        <f>F40/$F$124*$D$2</f>
        <v>#DIV/0!</v>
      </c>
      <c r="H40" s="14" t="e">
        <f>F40/$F$124*$E$2</f>
        <v>#DIV/0!</v>
      </c>
      <c r="I40" s="25" t="str">
        <f t="shared" si="2"/>
        <v/>
      </c>
    </row>
    <row r="41" spans="1:9" x14ac:dyDescent="0.25">
      <c r="A41" s="3">
        <v>927</v>
      </c>
      <c r="B41" s="3">
        <v>113.3298392</v>
      </c>
      <c r="C41" s="3">
        <v>23.028252599999998</v>
      </c>
      <c r="D41" s="3">
        <v>30</v>
      </c>
      <c r="E41" s="13">
        <f t="shared" si="3"/>
        <v>3.5103564092622262E-3</v>
      </c>
      <c r="F41" s="13">
        <f t="shared" si="4"/>
        <v>16.878132561070242</v>
      </c>
      <c r="G41" s="14">
        <f>F41/$F$109*$D$2</f>
        <v>47.383717580670954</v>
      </c>
      <c r="H41" s="14">
        <f>F41/$F$109*$E$2</f>
        <v>48.331391932284369</v>
      </c>
      <c r="I41" s="25" t="str">
        <f t="shared" si="2"/>
        <v>选中</v>
      </c>
    </row>
    <row r="42" spans="1:9" hidden="1" x14ac:dyDescent="0.25">
      <c r="A42" s="3">
        <v>1204</v>
      </c>
      <c r="B42" s="3">
        <v>113.3268147</v>
      </c>
      <c r="C42" s="3">
        <v>23.022459850000001</v>
      </c>
      <c r="D42" s="3">
        <v>30</v>
      </c>
      <c r="E42" s="13">
        <f t="shared" si="3"/>
        <v>3.5471022240138243E-3</v>
      </c>
      <c r="F42" s="13">
        <f t="shared" si="4"/>
        <v>16.790481389426201</v>
      </c>
      <c r="G42" s="14" t="e">
        <f>F42/$F$124*$D$2</f>
        <v>#DIV/0!</v>
      </c>
      <c r="H42" s="14" t="e">
        <f>F42/$F$124*$E$2</f>
        <v>#DIV/0!</v>
      </c>
      <c r="I42" s="25" t="str">
        <f t="shared" si="2"/>
        <v/>
      </c>
    </row>
    <row r="43" spans="1:9" hidden="1" x14ac:dyDescent="0.25">
      <c r="A43" s="3">
        <v>911</v>
      </c>
      <c r="B43" s="3">
        <v>113.3302703</v>
      </c>
      <c r="C43" s="3">
        <v>23.027700020000001</v>
      </c>
      <c r="D43" s="3">
        <v>30</v>
      </c>
      <c r="E43" s="13">
        <f t="shared" si="3"/>
        <v>3.5536492227082714E-3</v>
      </c>
      <c r="F43" s="13">
        <f t="shared" si="4"/>
        <v>16.775007445581394</v>
      </c>
      <c r="G43" s="14" t="e">
        <f>F43/$F$124*$D$2</f>
        <v>#DIV/0!</v>
      </c>
      <c r="H43" s="14" t="e">
        <f>F43/$F$124*$E$2</f>
        <v>#DIV/0!</v>
      </c>
      <c r="I43" s="25" t="str">
        <f t="shared" si="2"/>
        <v/>
      </c>
    </row>
    <row r="44" spans="1:9" x14ac:dyDescent="0.25">
      <c r="A44" s="3">
        <v>1227</v>
      </c>
      <c r="B44" s="3">
        <v>113.3293585</v>
      </c>
      <c r="C44" s="3">
        <v>23.0231767</v>
      </c>
      <c r="D44" s="3">
        <v>30</v>
      </c>
      <c r="E44" s="13">
        <f t="shared" si="3"/>
        <v>3.5741269113004973E-3</v>
      </c>
      <c r="F44" s="13">
        <f t="shared" si="4"/>
        <v>16.726882849674055</v>
      </c>
      <c r="G44" s="14">
        <f>F44/$F$109*$D$2</f>
        <v>46.959098708706101</v>
      </c>
      <c r="H44" s="14">
        <f>F44/$F$109*$E$2</f>
        <v>47.89828068288022</v>
      </c>
      <c r="I44" s="25" t="str">
        <f t="shared" si="2"/>
        <v>选中</v>
      </c>
    </row>
    <row r="45" spans="1:9" hidden="1" x14ac:dyDescent="0.25">
      <c r="A45" s="3">
        <v>1235</v>
      </c>
      <c r="B45" s="3">
        <v>113.3295102</v>
      </c>
      <c r="C45" s="3">
        <v>23.023270369999999</v>
      </c>
      <c r="D45" s="3">
        <v>30</v>
      </c>
      <c r="E45" s="13">
        <f t="shared" si="3"/>
        <v>3.598279424614912E-3</v>
      </c>
      <c r="F45" s="13">
        <f t="shared" si="4"/>
        <v>16.670650908279146</v>
      </c>
      <c r="G45" s="14" t="e">
        <f>F45/$F$124*$D$2</f>
        <v>#DIV/0!</v>
      </c>
      <c r="H45" s="14" t="e">
        <f>F45/$F$124*$E$2</f>
        <v>#DIV/0!</v>
      </c>
      <c r="I45" s="25" t="str">
        <f t="shared" si="2"/>
        <v/>
      </c>
    </row>
    <row r="46" spans="1:9" hidden="1" x14ac:dyDescent="0.25">
      <c r="A46" s="3">
        <v>912</v>
      </c>
      <c r="B46" s="3">
        <v>113.3250559</v>
      </c>
      <c r="C46" s="3">
        <v>23.028985389999999</v>
      </c>
      <c r="D46" s="3">
        <v>30</v>
      </c>
      <c r="E46" s="13">
        <f t="shared" si="3"/>
        <v>3.6570600840591114E-3</v>
      </c>
      <c r="F46" s="13">
        <f t="shared" si="4"/>
        <v>16.536132828551473</v>
      </c>
      <c r="G46" s="14" t="e">
        <f>F46/$F$124*$D$2</f>
        <v>#DIV/0!</v>
      </c>
      <c r="H46" s="14" t="e">
        <f>F46/$F$124*$E$2</f>
        <v>#DIV/0!</v>
      </c>
      <c r="I46" s="25" t="str">
        <f t="shared" si="2"/>
        <v/>
      </c>
    </row>
    <row r="47" spans="1:9" x14ac:dyDescent="0.25">
      <c r="A47" s="3">
        <v>896</v>
      </c>
      <c r="B47" s="3">
        <v>113.32445420000001</v>
      </c>
      <c r="C47" s="3">
        <v>23.028560720000002</v>
      </c>
      <c r="D47" s="3">
        <v>30</v>
      </c>
      <c r="E47" s="13">
        <f t="shared" si="3"/>
        <v>3.728096802939525E-3</v>
      </c>
      <c r="F47" s="13">
        <f t="shared" si="4"/>
        <v>16.37783191628343</v>
      </c>
      <c r="G47" s="14">
        <f>F47/$F$109*$D$2</f>
        <v>45.979172120903414</v>
      </c>
      <c r="H47" s="14">
        <f>F47/$F$109*$E$2</f>
        <v>46.898755563321487</v>
      </c>
      <c r="I47" s="25" t="str">
        <f t="shared" si="2"/>
        <v>选中</v>
      </c>
    </row>
    <row r="48" spans="1:9" hidden="1" x14ac:dyDescent="0.25">
      <c r="A48" s="3">
        <v>913</v>
      </c>
      <c r="B48" s="3">
        <v>113.3294779</v>
      </c>
      <c r="C48" s="3">
        <v>23.028940980000002</v>
      </c>
      <c r="D48" s="3">
        <v>30</v>
      </c>
      <c r="E48" s="13">
        <f t="shared" si="3"/>
        <v>3.7551933035324756E-3</v>
      </c>
      <c r="F48" s="13">
        <f t="shared" si="4"/>
        <v>16.318635844137191</v>
      </c>
      <c r="G48" s="14" t="e">
        <f>F48/$F$124*$D$2</f>
        <v>#DIV/0!</v>
      </c>
      <c r="H48" s="14" t="e">
        <f>F48/$F$124*$E$2</f>
        <v>#DIV/0!</v>
      </c>
      <c r="I48" s="25" t="str">
        <f t="shared" si="2"/>
        <v/>
      </c>
    </row>
    <row r="49" spans="1:9" hidden="1" x14ac:dyDescent="0.25">
      <c r="A49" s="3">
        <v>1203</v>
      </c>
      <c r="B49" s="3">
        <v>113.32663410000001</v>
      </c>
      <c r="C49" s="3">
        <v>23.02222429</v>
      </c>
      <c r="D49" s="3">
        <v>30</v>
      </c>
      <c r="E49" s="13">
        <f t="shared" si="3"/>
        <v>3.8021434523698187E-3</v>
      </c>
      <c r="F49" s="13">
        <f t="shared" si="4"/>
        <v>16.21756886493975</v>
      </c>
      <c r="G49" s="14" t="e">
        <f>F49/$F$124*$D$2</f>
        <v>#DIV/0!</v>
      </c>
      <c r="H49" s="14" t="e">
        <f>F49/$F$124*$E$2</f>
        <v>#DIV/0!</v>
      </c>
      <c r="I49" s="25" t="str">
        <f t="shared" si="2"/>
        <v/>
      </c>
    </row>
    <row r="50" spans="1:9" x14ac:dyDescent="0.25">
      <c r="A50" s="3">
        <v>948</v>
      </c>
      <c r="B50" s="3">
        <v>113.3302803</v>
      </c>
      <c r="C50" s="3">
        <v>23.028213780000002</v>
      </c>
      <c r="D50" s="3">
        <v>30</v>
      </c>
      <c r="E50" s="13">
        <f t="shared" si="3"/>
        <v>3.8355227934242604E-3</v>
      </c>
      <c r="F50" s="13">
        <f t="shared" si="4"/>
        <v>16.146846475311268</v>
      </c>
      <c r="G50" s="14">
        <f>F50/$F$109*$D$2</f>
        <v>45.33070293388468</v>
      </c>
      <c r="H50" s="14">
        <f>F50/$F$109*$E$2</f>
        <v>46.23731699256237</v>
      </c>
      <c r="I50" s="25" t="str">
        <f t="shared" si="2"/>
        <v>选中</v>
      </c>
    </row>
    <row r="51" spans="1:9" hidden="1" x14ac:dyDescent="0.25">
      <c r="A51" s="3">
        <v>1198</v>
      </c>
      <c r="B51" s="3">
        <v>113.327208</v>
      </c>
      <c r="C51" s="3">
        <v>23.022069269999999</v>
      </c>
      <c r="D51" s="3">
        <v>30</v>
      </c>
      <c r="E51" s="13">
        <f t="shared" si="3"/>
        <v>3.9217008600365951E-3</v>
      </c>
      <c r="F51" s="13">
        <f t="shared" si="4"/>
        <v>15.968450202384812</v>
      </c>
      <c r="G51" s="14" t="e">
        <f>F51/$F$124*$D$2</f>
        <v>#DIV/0!</v>
      </c>
      <c r="H51" s="14" t="e">
        <f>F51/$F$124*$E$2</f>
        <v>#DIV/0!</v>
      </c>
      <c r="I51" s="25" t="str">
        <f t="shared" si="2"/>
        <v/>
      </c>
    </row>
    <row r="52" spans="1:9" hidden="1" x14ac:dyDescent="0.25">
      <c r="A52" s="3">
        <v>947</v>
      </c>
      <c r="B52" s="3">
        <v>113.3306468</v>
      </c>
      <c r="C52" s="3">
        <v>23.024122850000001</v>
      </c>
      <c r="D52" s="3">
        <v>30</v>
      </c>
      <c r="E52" s="13">
        <f t="shared" si="3"/>
        <v>3.9601251770062492E-3</v>
      </c>
      <c r="F52" s="13">
        <f t="shared" si="4"/>
        <v>15.890791999288897</v>
      </c>
      <c r="G52" s="14" t="e">
        <f>F52/$F$124*$D$2</f>
        <v>#DIV/0!</v>
      </c>
      <c r="H52" s="14" t="e">
        <f>F52/$F$124*$E$2</f>
        <v>#DIV/0!</v>
      </c>
      <c r="I52" s="25" t="str">
        <f t="shared" si="2"/>
        <v/>
      </c>
    </row>
    <row r="53" spans="1:9" x14ac:dyDescent="0.25">
      <c r="A53" s="3">
        <v>891</v>
      </c>
      <c r="B53" s="3">
        <v>113.32477950000001</v>
      </c>
      <c r="C53" s="3">
        <v>23.029339759999999</v>
      </c>
      <c r="D53" s="3">
        <v>30</v>
      </c>
      <c r="E53" s="13">
        <f t="shared" si="3"/>
        <v>4.105953703157696E-3</v>
      </c>
      <c r="F53" s="13">
        <f t="shared" si="4"/>
        <v>15.606049349932873</v>
      </c>
      <c r="G53" s="14">
        <f>F53/$F$109*$D$2</f>
        <v>43.812467538786933</v>
      </c>
      <c r="H53" s="14">
        <f>F53/$F$109*$E$2</f>
        <v>44.68871688956267</v>
      </c>
      <c r="I53" s="25" t="str">
        <f t="shared" si="2"/>
        <v>选中</v>
      </c>
    </row>
    <row r="54" spans="1:9" hidden="1" x14ac:dyDescent="0.25">
      <c r="A54" s="3">
        <v>929</v>
      </c>
      <c r="B54" s="3">
        <v>113.3299739</v>
      </c>
      <c r="C54" s="3">
        <v>23.029008009999998</v>
      </c>
      <c r="D54" s="3">
        <v>30</v>
      </c>
      <c r="E54" s="13">
        <f t="shared" si="3"/>
        <v>4.1294100752969588E-3</v>
      </c>
      <c r="F54" s="13">
        <f t="shared" si="4"/>
        <v>15.561662547394711</v>
      </c>
      <c r="G54" s="14" t="e">
        <f>F54/$F$124*$D$2</f>
        <v>#DIV/0!</v>
      </c>
      <c r="H54" s="14" t="e">
        <f>F54/$F$124*$E$2</f>
        <v>#DIV/0!</v>
      </c>
      <c r="I54" s="25" t="str">
        <f t="shared" si="2"/>
        <v/>
      </c>
    </row>
    <row r="55" spans="1:9" hidden="1" x14ac:dyDescent="0.25">
      <c r="A55" s="3">
        <v>928</v>
      </c>
      <c r="B55" s="3">
        <v>113.3243354</v>
      </c>
      <c r="C55" s="3">
        <v>23.029036739999999</v>
      </c>
      <c r="D55" s="3">
        <v>30</v>
      </c>
      <c r="E55" s="13">
        <f t="shared" si="3"/>
        <v>4.1506534831187662E-3</v>
      </c>
      <c r="F55" s="13">
        <f t="shared" si="4"/>
        <v>15.521788486719704</v>
      </c>
      <c r="G55" s="14" t="e">
        <f>F55/$F$124*$D$2</f>
        <v>#DIV/0!</v>
      </c>
      <c r="H55" s="14" t="e">
        <f>F55/$F$124*$E$2</f>
        <v>#DIV/0!</v>
      </c>
      <c r="I55" s="25" t="str">
        <f t="shared" si="2"/>
        <v/>
      </c>
    </row>
    <row r="56" spans="1:9" x14ac:dyDescent="0.25">
      <c r="A56" s="3">
        <v>1225</v>
      </c>
      <c r="B56" s="3">
        <v>113.3262739</v>
      </c>
      <c r="C56" s="3">
        <v>23.021919109999999</v>
      </c>
      <c r="D56" s="3">
        <v>30</v>
      </c>
      <c r="E56" s="13">
        <f t="shared" si="3"/>
        <v>4.16570486952853E-3</v>
      </c>
      <c r="F56" s="13">
        <f t="shared" si="4"/>
        <v>15.493721706099281</v>
      </c>
      <c r="G56" s="14">
        <f>F56/$F$109*$D$2</f>
        <v>43.497118590515875</v>
      </c>
      <c r="H56" s="14">
        <f>F56/$F$109*$E$2</f>
        <v>44.367060962326192</v>
      </c>
      <c r="I56" s="25" t="str">
        <f t="shared" si="2"/>
        <v>选中</v>
      </c>
    </row>
    <row r="57" spans="1:9" hidden="1" x14ac:dyDescent="0.25">
      <c r="A57" s="3">
        <v>946</v>
      </c>
      <c r="B57" s="3">
        <v>113.3276535</v>
      </c>
      <c r="C57" s="3">
        <v>23.0302209</v>
      </c>
      <c r="D57" s="3">
        <v>30</v>
      </c>
      <c r="E57" s="13">
        <f t="shared" si="3"/>
        <v>4.2595839203007453E-3</v>
      </c>
      <c r="F57" s="13">
        <f t="shared" si="4"/>
        <v>15.322033605569969</v>
      </c>
      <c r="G57" s="14" t="e">
        <f>F57/$F$124*$D$2</f>
        <v>#DIV/0!</v>
      </c>
      <c r="H57" s="14" t="e">
        <f>F57/$F$124*$E$2</f>
        <v>#DIV/0!</v>
      </c>
      <c r="I57" s="25" t="str">
        <f t="shared" si="2"/>
        <v/>
      </c>
    </row>
    <row r="58" spans="1:9" hidden="1" x14ac:dyDescent="0.25">
      <c r="A58" s="3">
        <v>895</v>
      </c>
      <c r="B58" s="3">
        <v>113.32764349999999</v>
      </c>
      <c r="C58" s="3">
        <v>23.030259900000001</v>
      </c>
      <c r="D58" s="3">
        <v>30</v>
      </c>
      <c r="E58" s="13">
        <f t="shared" si="3"/>
        <v>4.2971693932273855E-3</v>
      </c>
      <c r="F58" s="13">
        <f t="shared" si="4"/>
        <v>15.254878855583282</v>
      </c>
      <c r="G58" s="14" t="e">
        <f>F58/$F$124*$D$2</f>
        <v>#DIV/0!</v>
      </c>
      <c r="H58" s="14" t="e">
        <f>F58/$F$124*$E$2</f>
        <v>#DIV/0!</v>
      </c>
      <c r="I58" s="25" t="str">
        <f t="shared" si="2"/>
        <v/>
      </c>
    </row>
    <row r="59" spans="1:9" x14ac:dyDescent="0.25">
      <c r="A59" s="3">
        <v>1221</v>
      </c>
      <c r="B59" s="3">
        <v>113.32569410000001</v>
      </c>
      <c r="C59" s="3">
        <v>23.021946209999999</v>
      </c>
      <c r="D59" s="3">
        <v>30</v>
      </c>
      <c r="E59" s="13">
        <f t="shared" si="3"/>
        <v>4.3000948652325245E-3</v>
      </c>
      <c r="F59" s="13">
        <f t="shared" si="4"/>
        <v>15.249688817295734</v>
      </c>
      <c r="G59" s="14">
        <f>F59/$F$109*$D$2</f>
        <v>42.812019961172638</v>
      </c>
      <c r="H59" s="14">
        <f>F59/$F$109*$E$2</f>
        <v>43.66826036039609</v>
      </c>
      <c r="I59" s="25" t="str">
        <f t="shared" si="2"/>
        <v>选中</v>
      </c>
    </row>
    <row r="60" spans="1:9" hidden="1" x14ac:dyDescent="0.25">
      <c r="A60" s="3">
        <v>949</v>
      </c>
      <c r="B60" s="3">
        <v>113.330423</v>
      </c>
      <c r="C60" s="3">
        <v>23.028869220000001</v>
      </c>
      <c r="D60" s="3">
        <v>30</v>
      </c>
      <c r="E60" s="13">
        <f t="shared" si="3"/>
        <v>4.3551724158818021E-3</v>
      </c>
      <c r="F60" s="13">
        <f t="shared" si="4"/>
        <v>15.152954653385864</v>
      </c>
      <c r="G60" s="14" t="e">
        <f>F60/$F$124*$D$2</f>
        <v>#DIV/0!</v>
      </c>
      <c r="H60" s="14" t="e">
        <f>F60/$F$124*$E$2</f>
        <v>#DIV/0!</v>
      </c>
      <c r="I60" s="25" t="str">
        <f t="shared" si="2"/>
        <v/>
      </c>
    </row>
    <row r="61" spans="1:9" hidden="1" x14ac:dyDescent="0.25">
      <c r="A61" s="3">
        <v>1237</v>
      </c>
      <c r="B61" s="3">
        <v>113.3307746</v>
      </c>
      <c r="C61" s="3">
        <v>23.0234509</v>
      </c>
      <c r="D61" s="3">
        <v>30</v>
      </c>
      <c r="E61" s="13">
        <f t="shared" si="3"/>
        <v>4.421886353590687E-3</v>
      </c>
      <c r="F61" s="13">
        <f t="shared" si="4"/>
        <v>15.038212301920149</v>
      </c>
      <c r="G61" s="14" t="e">
        <f>F61/$F$124*$D$2</f>
        <v>#DIV/0!</v>
      </c>
      <c r="H61" s="14" t="e">
        <f>F61/$F$124*$E$2</f>
        <v>#DIV/0!</v>
      </c>
      <c r="I61" s="25" t="str">
        <f t="shared" si="2"/>
        <v/>
      </c>
    </row>
    <row r="62" spans="1:9" x14ac:dyDescent="0.25">
      <c r="A62" s="3">
        <v>1199</v>
      </c>
      <c r="B62" s="3">
        <v>113.32615509999999</v>
      </c>
      <c r="C62" s="3">
        <v>23.02165845</v>
      </c>
      <c r="D62" s="3">
        <v>30</v>
      </c>
      <c r="E62" s="13">
        <f t="shared" si="3"/>
        <v>4.4460106112808378E-3</v>
      </c>
      <c r="F62" s="13">
        <f t="shared" si="4"/>
        <v>14.997357791754029</v>
      </c>
      <c r="G62" s="14">
        <f>F62/$F$109*$D$2</f>
        <v>42.103625119039044</v>
      </c>
      <c r="H62" s="14">
        <f>F62/$F$109*$E$2</f>
        <v>42.945697621419825</v>
      </c>
      <c r="I62" s="25" t="str">
        <f t="shared" si="2"/>
        <v>选中</v>
      </c>
    </row>
    <row r="63" spans="1:9" hidden="1" x14ac:dyDescent="0.25">
      <c r="A63" s="3">
        <v>920</v>
      </c>
      <c r="B63" s="3">
        <v>113.32891789999999</v>
      </c>
      <c r="C63" s="3">
        <v>23.030072560000001</v>
      </c>
      <c r="D63" s="3">
        <v>30</v>
      </c>
      <c r="E63" s="13">
        <f t="shared" si="3"/>
        <v>4.4464409826811095E-3</v>
      </c>
      <c r="F63" s="13">
        <f t="shared" si="4"/>
        <v>14.996631976423609</v>
      </c>
      <c r="G63" s="14" t="e">
        <f>F63/$F$124*$D$2</f>
        <v>#DIV/0!</v>
      </c>
      <c r="H63" s="14" t="e">
        <f>F63/$F$124*$E$2</f>
        <v>#DIV/0!</v>
      </c>
      <c r="I63" s="25" t="str">
        <f t="shared" si="2"/>
        <v/>
      </c>
    </row>
    <row r="64" spans="1:9" hidden="1" x14ac:dyDescent="0.25">
      <c r="A64" s="3">
        <v>1219</v>
      </c>
      <c r="B64" s="3">
        <v>113.32642559999999</v>
      </c>
      <c r="C64" s="3">
        <v>23.021537989999999</v>
      </c>
      <c r="D64" s="3">
        <v>30</v>
      </c>
      <c r="E64" s="13">
        <f t="shared" si="3"/>
        <v>4.5119350066720118E-3</v>
      </c>
      <c r="F64" s="13">
        <f t="shared" si="4"/>
        <v>14.887390577849784</v>
      </c>
      <c r="G64" s="14" t="e">
        <f>F64/$F$124*$D$2</f>
        <v>#DIV/0!</v>
      </c>
      <c r="H64" s="14" t="e">
        <f>F64/$F$124*$E$2</f>
        <v>#DIV/0!</v>
      </c>
      <c r="I64" s="25" t="str">
        <f t="shared" si="2"/>
        <v/>
      </c>
    </row>
    <row r="65" spans="1:9" x14ac:dyDescent="0.25">
      <c r="A65" s="3">
        <v>932</v>
      </c>
      <c r="B65" s="3">
        <v>113.329874</v>
      </c>
      <c r="C65" s="3">
        <v>23.029955789999999</v>
      </c>
      <c r="D65" s="3">
        <v>30</v>
      </c>
      <c r="E65" s="13">
        <f t="shared" si="3"/>
        <v>4.8079830565832564E-3</v>
      </c>
      <c r="F65" s="13">
        <f t="shared" si="4"/>
        <v>14.421769024660541</v>
      </c>
      <c r="G65" s="14">
        <f>F65/$F$109*$D$2</f>
        <v>40.487715569574355</v>
      </c>
      <c r="H65" s="14">
        <f>F65/$F$109*$E$2</f>
        <v>41.297469880965842</v>
      </c>
      <c r="I65" s="25" t="str">
        <f t="shared" si="2"/>
        <v>选中</v>
      </c>
    </row>
    <row r="66" spans="1:9" hidden="1" x14ac:dyDescent="0.25">
      <c r="A66" s="3">
        <v>941</v>
      </c>
      <c r="B66" s="3">
        <v>113.3298411</v>
      </c>
      <c r="C66" s="3">
        <v>23.029988840000001</v>
      </c>
      <c r="D66" s="3">
        <v>30</v>
      </c>
      <c r="E66" s="13">
        <f t="shared" si="3"/>
        <v>4.8168507162739994E-3</v>
      </c>
      <c r="F66" s="13">
        <f t="shared" si="4"/>
        <v>14.408487914169839</v>
      </c>
      <c r="G66" s="14" t="e">
        <f>F66/$F$124*$D$2</f>
        <v>#DIV/0!</v>
      </c>
      <c r="H66" s="14" t="e">
        <f>F66/$F$124*$E$2</f>
        <v>#DIV/0!</v>
      </c>
      <c r="I66" s="25" t="str">
        <f t="shared" si="2"/>
        <v/>
      </c>
    </row>
    <row r="67" spans="1:9" hidden="1" x14ac:dyDescent="0.25">
      <c r="A67" s="3">
        <v>1197</v>
      </c>
      <c r="B67" s="3">
        <v>113.328677</v>
      </c>
      <c r="C67" s="3">
        <v>23.020984940000002</v>
      </c>
      <c r="D67" s="3">
        <v>30</v>
      </c>
      <c r="E67" s="13">
        <f t="shared" si="3"/>
        <v>5.2320000945031957E-3</v>
      </c>
      <c r="F67" s="13">
        <f t="shared" si="4"/>
        <v>13.825031465375702</v>
      </c>
      <c r="G67" s="14" t="e">
        <f>F67/$F$124*$D$2</f>
        <v>#DIV/0!</v>
      </c>
      <c r="H67" s="14" t="e">
        <f>F67/$F$124*$E$2</f>
        <v>#DIV/0!</v>
      </c>
      <c r="I67" s="25" t="str">
        <f t="shared" si="2"/>
        <v/>
      </c>
    </row>
    <row r="68" spans="1:9" x14ac:dyDescent="0.25">
      <c r="A68" s="3">
        <v>1226</v>
      </c>
      <c r="B68" s="3">
        <v>113.3284695</v>
      </c>
      <c r="C68" s="3">
        <v>23.020831399999999</v>
      </c>
      <c r="D68" s="3">
        <v>30</v>
      </c>
      <c r="E68" s="13">
        <f t="shared" si="3"/>
        <v>5.3240852654806905E-3</v>
      </c>
      <c r="F68" s="13">
        <f t="shared" si="4"/>
        <v>13.70495137312637</v>
      </c>
      <c r="G68" s="14">
        <f>F68/$F$109*$D$2</f>
        <v>38.475319646373876</v>
      </c>
      <c r="H68" s="14">
        <f>F68/$F$109*$E$2</f>
        <v>39.244826039301351</v>
      </c>
      <c r="I68" s="25" t="str">
        <f t="shared" si="2"/>
        <v>选中</v>
      </c>
    </row>
    <row r="69" spans="1:9" hidden="1" x14ac:dyDescent="0.25">
      <c r="A69" s="3">
        <v>897</v>
      </c>
      <c r="B69" s="3">
        <v>113.324952</v>
      </c>
      <c r="C69" s="3">
        <v>23.03084978</v>
      </c>
      <c r="D69" s="3">
        <v>30</v>
      </c>
      <c r="E69" s="13">
        <f t="shared" ref="E69:E100" si="5">SQRT((B69-$B$2)^2+(C69-$C$2)^2)</f>
        <v>5.3351533182209084E-3</v>
      </c>
      <c r="F69" s="13">
        <f t="shared" ref="F69:F100" si="6">SQRT(1/E69)</f>
        <v>13.690728175782075</v>
      </c>
      <c r="G69" s="14" t="e">
        <f>F69/$F$124*$D$2</f>
        <v>#DIV/0!</v>
      </c>
      <c r="H69" s="14" t="e">
        <f>F69/$F$124*$E$2</f>
        <v>#DIV/0!</v>
      </c>
      <c r="I69" s="25" t="str">
        <f t="shared" si="2"/>
        <v/>
      </c>
    </row>
    <row r="70" spans="1:9" hidden="1" x14ac:dyDescent="0.25">
      <c r="A70" s="3">
        <v>904</v>
      </c>
      <c r="B70" s="3">
        <v>113.3236477</v>
      </c>
      <c r="C70" s="3">
        <v>23.030043630000002</v>
      </c>
      <c r="D70" s="3">
        <v>30</v>
      </c>
      <c r="E70" s="13">
        <f t="shared" si="5"/>
        <v>5.3597314793239776E-3</v>
      </c>
      <c r="F70" s="13">
        <f t="shared" si="6"/>
        <v>13.659301267960192</v>
      </c>
      <c r="G70" s="14" t="e">
        <f>F70/$F$124*$D$2</f>
        <v>#DIV/0!</v>
      </c>
      <c r="H70" s="14" t="e">
        <f>F70/$F$124*$E$2</f>
        <v>#DIV/0!</v>
      </c>
      <c r="I70" s="25" t="str">
        <f t="shared" ref="I70:I107" si="7">IF(MOD(ROW()-1,3)=1,"选中","")</f>
        <v/>
      </c>
    </row>
    <row r="71" spans="1:9" x14ac:dyDescent="0.25">
      <c r="A71" s="3">
        <v>950</v>
      </c>
      <c r="B71" s="3">
        <v>113.3300067</v>
      </c>
      <c r="C71" s="3">
        <v>23.030541289999999</v>
      </c>
      <c r="D71" s="3">
        <v>30</v>
      </c>
      <c r="E71" s="13">
        <f t="shared" si="5"/>
        <v>5.3704768943136092E-3</v>
      </c>
      <c r="F71" s="13">
        <f t="shared" si="6"/>
        <v>13.645629451198454</v>
      </c>
      <c r="G71" s="14">
        <f>F71/$F$109*$D$2</f>
        <v>38.308779113242956</v>
      </c>
      <c r="H71" s="14">
        <f>F71/$F$109*$E$2</f>
        <v>39.07495469550782</v>
      </c>
      <c r="I71" s="25" t="str">
        <f t="shared" si="7"/>
        <v>选中</v>
      </c>
    </row>
    <row r="72" spans="1:9" hidden="1" x14ac:dyDescent="0.25">
      <c r="A72" s="3">
        <v>1191</v>
      </c>
      <c r="B72" s="3">
        <v>113.327726</v>
      </c>
      <c r="C72" s="3">
        <v>23.0206439</v>
      </c>
      <c r="D72" s="3">
        <v>30</v>
      </c>
      <c r="E72" s="13">
        <f t="shared" si="5"/>
        <v>5.3771346704457219E-3</v>
      </c>
      <c r="F72" s="13">
        <f t="shared" si="6"/>
        <v>13.637179069096591</v>
      </c>
      <c r="G72" s="14" t="e">
        <f>F72/$F$124*$D$2</f>
        <v>#DIV/0!</v>
      </c>
      <c r="H72" s="14" t="e">
        <f>F72/$F$124*$E$2</f>
        <v>#DIV/0!</v>
      </c>
      <c r="I72" s="25" t="str">
        <f t="shared" si="7"/>
        <v/>
      </c>
    </row>
    <row r="73" spans="1:9" hidden="1" x14ac:dyDescent="0.25">
      <c r="A73" s="3">
        <v>926</v>
      </c>
      <c r="B73" s="3">
        <v>113.3217689</v>
      </c>
      <c r="C73" s="3">
        <v>23.026388799999999</v>
      </c>
      <c r="D73" s="3">
        <v>30</v>
      </c>
      <c r="E73" s="13">
        <f t="shared" si="5"/>
        <v>5.4005994191550942E-3</v>
      </c>
      <c r="F73" s="13">
        <f t="shared" si="6"/>
        <v>13.607521128195708</v>
      </c>
      <c r="G73" s="14" t="e">
        <f>F73/$F$124*$D$2</f>
        <v>#DIV/0!</v>
      </c>
      <c r="H73" s="14" t="e">
        <f>F73/$F$124*$E$2</f>
        <v>#DIV/0!</v>
      </c>
      <c r="I73" s="25" t="str">
        <f t="shared" si="7"/>
        <v/>
      </c>
    </row>
    <row r="74" spans="1:9" x14ac:dyDescent="0.25">
      <c r="A74" s="3">
        <v>1188</v>
      </c>
      <c r="B74" s="3">
        <v>113.3258379</v>
      </c>
      <c r="C74" s="3">
        <v>23.020704469999998</v>
      </c>
      <c r="D74" s="3">
        <v>30</v>
      </c>
      <c r="E74" s="13">
        <f t="shared" si="5"/>
        <v>5.4477060961145643E-3</v>
      </c>
      <c r="F74" s="13">
        <f t="shared" si="6"/>
        <v>13.548560822902061</v>
      </c>
      <c r="G74" s="14">
        <f>F74/$F$109*$D$2</f>
        <v>38.036268368793166</v>
      </c>
      <c r="H74" s="14">
        <f>F74/$F$109*$E$2</f>
        <v>38.796993736169028</v>
      </c>
      <c r="I74" s="25" t="str">
        <f t="shared" si="7"/>
        <v>选中</v>
      </c>
    </row>
    <row r="75" spans="1:9" hidden="1" x14ac:dyDescent="0.25">
      <c r="A75" s="3">
        <v>967</v>
      </c>
      <c r="B75" s="3">
        <v>113.3318281</v>
      </c>
      <c r="C75" s="3">
        <v>23.02894654</v>
      </c>
      <c r="D75" s="3">
        <v>30</v>
      </c>
      <c r="E75" s="13">
        <f t="shared" si="5"/>
        <v>5.52967042913316E-3</v>
      </c>
      <c r="F75" s="13">
        <f t="shared" si="6"/>
        <v>13.447773200807573</v>
      </c>
      <c r="G75" s="14" t="e">
        <f>F75/$F$124*$D$2</f>
        <v>#DIV/0!</v>
      </c>
      <c r="H75" s="14" t="e">
        <f>F75/$F$124*$E$2</f>
        <v>#DIV/0!</v>
      </c>
      <c r="I75" s="25" t="str">
        <f t="shared" si="7"/>
        <v/>
      </c>
    </row>
    <row r="76" spans="1:9" hidden="1" x14ac:dyDescent="0.25">
      <c r="A76" s="3">
        <v>925</v>
      </c>
      <c r="B76" s="3">
        <v>113.32195539999999</v>
      </c>
      <c r="C76" s="3">
        <v>23.027976760000001</v>
      </c>
      <c r="D76" s="3">
        <v>30</v>
      </c>
      <c r="E76" s="13">
        <f t="shared" si="5"/>
        <v>5.565837958708326E-3</v>
      </c>
      <c r="F76" s="13">
        <f t="shared" si="6"/>
        <v>13.404009310774944</v>
      </c>
      <c r="G76" s="14" t="e">
        <f>F76/$F$124*$D$2</f>
        <v>#DIV/0!</v>
      </c>
      <c r="H76" s="14" t="e">
        <f>F76/$F$124*$E$2</f>
        <v>#DIV/0!</v>
      </c>
      <c r="I76" s="25" t="str">
        <f t="shared" si="7"/>
        <v/>
      </c>
    </row>
    <row r="77" spans="1:9" x14ac:dyDescent="0.25">
      <c r="A77" s="3">
        <v>894</v>
      </c>
      <c r="B77" s="3">
        <v>113.33155259999999</v>
      </c>
      <c r="C77" s="3">
        <v>23.029515809999999</v>
      </c>
      <c r="D77" s="3">
        <v>30</v>
      </c>
      <c r="E77" s="13">
        <f t="shared" si="5"/>
        <v>5.6362824521064879E-3</v>
      </c>
      <c r="F77" s="13">
        <f t="shared" si="6"/>
        <v>13.319981620232126</v>
      </c>
      <c r="G77" s="14">
        <f>F77/$F$109*$D$2</f>
        <v>37.394554462059851</v>
      </c>
      <c r="H77" s="14">
        <f>F77/$F$109*$E$2</f>
        <v>38.142445551301051</v>
      </c>
      <c r="I77" s="25" t="str">
        <f t="shared" si="7"/>
        <v>选中</v>
      </c>
    </row>
    <row r="78" spans="1:9" hidden="1" x14ac:dyDescent="0.25">
      <c r="A78" s="3">
        <v>1190</v>
      </c>
      <c r="B78" s="3">
        <v>113.326292</v>
      </c>
      <c r="C78" s="3">
        <v>23.020414729999999</v>
      </c>
      <c r="D78" s="3">
        <v>30</v>
      </c>
      <c r="E78" s="13">
        <f t="shared" si="5"/>
        <v>5.6422390603762806E-3</v>
      </c>
      <c r="F78" s="13">
        <f t="shared" si="6"/>
        <v>13.312948697350107</v>
      </c>
      <c r="G78" s="14" t="e">
        <f>F78/$F$124*$D$2</f>
        <v>#DIV/0!</v>
      </c>
      <c r="H78" s="14" t="e">
        <f>F78/$F$124*$E$2</f>
        <v>#DIV/0!</v>
      </c>
      <c r="I78" s="25" t="str">
        <f t="shared" si="7"/>
        <v/>
      </c>
    </row>
    <row r="79" spans="1:9" hidden="1" x14ac:dyDescent="0.25">
      <c r="A79" s="3">
        <v>907</v>
      </c>
      <c r="B79" s="3">
        <v>113.32402190000001</v>
      </c>
      <c r="C79" s="3">
        <v>23.030717620000001</v>
      </c>
      <c r="D79" s="3">
        <v>30</v>
      </c>
      <c r="E79" s="13">
        <f t="shared" si="5"/>
        <v>5.6709510622188052E-3</v>
      </c>
      <c r="F79" s="13">
        <f t="shared" si="6"/>
        <v>13.279204228946197</v>
      </c>
      <c r="G79" s="14" t="e">
        <f>F79/$F$124*$D$2</f>
        <v>#DIV/0!</v>
      </c>
      <c r="H79" s="14" t="e">
        <f>F79/$F$124*$E$2</f>
        <v>#DIV/0!</v>
      </c>
      <c r="I79" s="25" t="str">
        <f t="shared" si="7"/>
        <v/>
      </c>
    </row>
    <row r="80" spans="1:9" x14ac:dyDescent="0.25">
      <c r="A80" s="3">
        <v>1222</v>
      </c>
      <c r="B80" s="3">
        <v>113.33147630000001</v>
      </c>
      <c r="C80" s="3">
        <v>23.022309069999999</v>
      </c>
      <c r="D80" s="3">
        <v>30</v>
      </c>
      <c r="E80" s="13">
        <f t="shared" si="5"/>
        <v>5.6770678190105044E-3</v>
      </c>
      <c r="F80" s="13">
        <f t="shared" si="6"/>
        <v>13.272048461551075</v>
      </c>
      <c r="G80" s="14">
        <f>F80/$F$109*$D$2</f>
        <v>37.259986775411207</v>
      </c>
      <c r="H80" s="14">
        <f>F80/$F$109*$E$2</f>
        <v>38.005186510919437</v>
      </c>
      <c r="I80" s="25" t="str">
        <f t="shared" si="7"/>
        <v>选中</v>
      </c>
    </row>
    <row r="81" spans="1:9" hidden="1" x14ac:dyDescent="0.25">
      <c r="A81" s="3">
        <v>1189</v>
      </c>
      <c r="B81" s="3">
        <v>113.3277779</v>
      </c>
      <c r="C81" s="3">
        <v>23.02029795</v>
      </c>
      <c r="D81" s="3">
        <v>30</v>
      </c>
      <c r="E81" s="13">
        <f t="shared" si="5"/>
        <v>5.7266597144942184E-3</v>
      </c>
      <c r="F81" s="13">
        <f t="shared" si="6"/>
        <v>13.214456669719711</v>
      </c>
      <c r="G81" s="14" t="e">
        <f>F81/$F$124*$D$2</f>
        <v>#DIV/0!</v>
      </c>
      <c r="H81" s="14" t="e">
        <f>F81/$F$124*$E$2</f>
        <v>#DIV/0!</v>
      </c>
      <c r="I81" s="25" t="str">
        <f t="shared" si="7"/>
        <v/>
      </c>
    </row>
    <row r="82" spans="1:9" hidden="1" x14ac:dyDescent="0.25">
      <c r="A82" s="3">
        <v>931</v>
      </c>
      <c r="B82" s="3">
        <v>113.32173880000001</v>
      </c>
      <c r="C82" s="3">
        <v>23.028105119999999</v>
      </c>
      <c r="D82" s="3">
        <v>30</v>
      </c>
      <c r="E82" s="13">
        <f t="shared" si="5"/>
        <v>5.8141386756817319E-3</v>
      </c>
      <c r="F82" s="13">
        <f t="shared" si="6"/>
        <v>13.114668184637042</v>
      </c>
      <c r="G82" s="14" t="e">
        <f>F82/$F$124*$D$2</f>
        <v>#DIV/0!</v>
      </c>
      <c r="H82" s="14" t="e">
        <f>F82/$F$124*$E$2</f>
        <v>#DIV/0!</v>
      </c>
      <c r="I82" s="25" t="str">
        <f t="shared" si="7"/>
        <v/>
      </c>
    </row>
    <row r="83" spans="1:9" x14ac:dyDescent="0.25">
      <c r="A83" s="3">
        <v>914</v>
      </c>
      <c r="B83" s="3">
        <v>113.3315276</v>
      </c>
      <c r="C83" s="3">
        <v>23.030114600000001</v>
      </c>
      <c r="D83" s="3">
        <v>30</v>
      </c>
      <c r="E83" s="13">
        <f t="shared" si="5"/>
        <v>6.0107132155917701E-3</v>
      </c>
      <c r="F83" s="13">
        <f t="shared" si="6"/>
        <v>12.898434314056704</v>
      </c>
      <c r="G83" s="14">
        <f>F83/$F$109*$D$2</f>
        <v>36.211101350145071</v>
      </c>
      <c r="H83" s="14">
        <f>F83/$F$109*$E$2</f>
        <v>36.935323377147974</v>
      </c>
      <c r="I83" s="25" t="str">
        <f t="shared" si="7"/>
        <v>选中</v>
      </c>
    </row>
    <row r="84" spans="1:9" hidden="1" x14ac:dyDescent="0.25">
      <c r="A84" s="3">
        <v>917</v>
      </c>
      <c r="B84" s="3">
        <v>113.32481420000001</v>
      </c>
      <c r="C84" s="3">
        <v>23.031652699999999</v>
      </c>
      <c r="D84" s="3">
        <v>30</v>
      </c>
      <c r="E84" s="13">
        <f t="shared" si="5"/>
        <v>6.1267994522473416E-3</v>
      </c>
      <c r="F84" s="13">
        <f t="shared" si="6"/>
        <v>12.775654770003039</v>
      </c>
      <c r="G84" s="14" t="e">
        <f>F84/$F$124*$D$2</f>
        <v>#DIV/0!</v>
      </c>
      <c r="H84" s="14" t="e">
        <f>F84/$F$124*$E$2</f>
        <v>#DIV/0!</v>
      </c>
      <c r="I84" s="25" t="str">
        <f t="shared" si="7"/>
        <v/>
      </c>
    </row>
    <row r="85" spans="1:9" hidden="1" x14ac:dyDescent="0.25">
      <c r="A85" s="3">
        <v>959</v>
      </c>
      <c r="B85" s="3">
        <v>113.33291</v>
      </c>
      <c r="C85" s="3">
        <v>23.028291790000001</v>
      </c>
      <c r="D85" s="3">
        <v>30</v>
      </c>
      <c r="E85" s="13">
        <f t="shared" si="5"/>
        <v>6.1982059043203634E-3</v>
      </c>
      <c r="F85" s="13">
        <f t="shared" si="6"/>
        <v>12.701850601962084</v>
      </c>
      <c r="G85" s="14" t="e">
        <f>F85/$F$124*$D$2</f>
        <v>#DIV/0!</v>
      </c>
      <c r="H85" s="14" t="e">
        <f>F85/$F$124*$E$2</f>
        <v>#DIV/0!</v>
      </c>
      <c r="I85" s="25" t="str">
        <f t="shared" si="7"/>
        <v/>
      </c>
    </row>
    <row r="86" spans="1:9" x14ac:dyDescent="0.25">
      <c r="A86" s="3">
        <v>945</v>
      </c>
      <c r="B86" s="3">
        <v>113.3219084</v>
      </c>
      <c r="C86" s="3">
        <v>23.029340260000001</v>
      </c>
      <c r="D86" s="3">
        <v>30</v>
      </c>
      <c r="E86" s="13">
        <f t="shared" si="5"/>
        <v>6.2245375798165815E-3</v>
      </c>
      <c r="F86" s="13">
        <f t="shared" si="6"/>
        <v>12.674955794765506</v>
      </c>
      <c r="G86" s="14">
        <f>F86/$F$109*$D$2</f>
        <v>35.583707116504264</v>
      </c>
      <c r="H86" s="14">
        <f>F86/$F$109*$E$2</f>
        <v>36.295381258834347</v>
      </c>
      <c r="I86" s="25" t="str">
        <f t="shared" si="7"/>
        <v>选中</v>
      </c>
    </row>
    <row r="87" spans="1:9" hidden="1" x14ac:dyDescent="0.25">
      <c r="A87" s="3">
        <v>1192</v>
      </c>
      <c r="B87" s="3">
        <v>113.32912519999999</v>
      </c>
      <c r="C87" s="3">
        <v>23.020050489999999</v>
      </c>
      <c r="D87" s="3">
        <v>30</v>
      </c>
      <c r="E87" s="13">
        <f t="shared" si="5"/>
        <v>6.2583945045341744E-3</v>
      </c>
      <c r="F87" s="13">
        <f t="shared" si="6"/>
        <v>12.640624546773701</v>
      </c>
      <c r="G87" s="14" t="e">
        <f>F87/$F$124*$D$2</f>
        <v>#DIV/0!</v>
      </c>
      <c r="H87" s="14" t="e">
        <f>F87/$F$124*$E$2</f>
        <v>#DIV/0!</v>
      </c>
      <c r="I87" s="25" t="str">
        <f t="shared" si="7"/>
        <v/>
      </c>
    </row>
    <row r="88" spans="1:9" hidden="1" x14ac:dyDescent="0.25">
      <c r="A88" s="3">
        <v>887</v>
      </c>
      <c r="B88" s="3">
        <v>113.3212987</v>
      </c>
      <c r="C88" s="3">
        <v>23.028362850000001</v>
      </c>
      <c r="D88" s="3">
        <v>30</v>
      </c>
      <c r="E88" s="13">
        <f t="shared" si="5"/>
        <v>6.3183407495662029E-3</v>
      </c>
      <c r="F88" s="13">
        <f t="shared" si="6"/>
        <v>12.58051668614249</v>
      </c>
      <c r="G88" s="14" t="e">
        <f>F88/$F$124*$D$2</f>
        <v>#DIV/0!</v>
      </c>
      <c r="H88" s="14" t="e">
        <f>F88/$F$124*$E$2</f>
        <v>#DIV/0!</v>
      </c>
      <c r="I88" s="25" t="str">
        <f t="shared" si="7"/>
        <v/>
      </c>
    </row>
    <row r="89" spans="1:9" x14ac:dyDescent="0.25">
      <c r="A89" s="3">
        <v>1283</v>
      </c>
      <c r="B89" s="3">
        <v>113.3323455</v>
      </c>
      <c r="C89" s="3">
        <v>23.022295440000001</v>
      </c>
      <c r="D89" s="3">
        <v>30</v>
      </c>
      <c r="E89" s="13">
        <f t="shared" si="5"/>
        <v>6.3716283490880231E-3</v>
      </c>
      <c r="F89" s="13">
        <f t="shared" si="6"/>
        <v>12.527799151261222</v>
      </c>
      <c r="G89" s="14">
        <f>F89/$F$109*$D$2</f>
        <v>35.170579135034941</v>
      </c>
      <c r="H89" s="14">
        <f>F89/$F$109*$E$2</f>
        <v>35.873990717735644</v>
      </c>
      <c r="I89" s="25" t="str">
        <f t="shared" si="7"/>
        <v>选中</v>
      </c>
    </row>
    <row r="90" spans="1:9" hidden="1" x14ac:dyDescent="0.25">
      <c r="A90" s="3">
        <v>961</v>
      </c>
      <c r="B90" s="3">
        <v>113.33203260000001</v>
      </c>
      <c r="C90" s="3">
        <v>23.030236599999999</v>
      </c>
      <c r="D90" s="3">
        <v>30</v>
      </c>
      <c r="E90" s="13">
        <f t="shared" si="5"/>
        <v>6.4669439397683007E-3</v>
      </c>
      <c r="F90" s="13">
        <f t="shared" si="6"/>
        <v>12.43513349482909</v>
      </c>
      <c r="G90" s="14" t="e">
        <f>F90/$F$124*$D$2</f>
        <v>#DIV/0!</v>
      </c>
      <c r="H90" s="14" t="e">
        <f>F90/$F$124*$E$2</f>
        <v>#DIV/0!</v>
      </c>
      <c r="I90" s="25" t="str">
        <f t="shared" si="7"/>
        <v/>
      </c>
    </row>
    <row r="91" spans="1:9" hidden="1" x14ac:dyDescent="0.25">
      <c r="A91" s="3">
        <v>890</v>
      </c>
      <c r="B91" s="3">
        <v>113.3213605</v>
      </c>
      <c r="C91" s="3">
        <v>23.028874510000001</v>
      </c>
      <c r="D91" s="3">
        <v>30</v>
      </c>
      <c r="E91" s="13">
        <f t="shared" si="5"/>
        <v>6.4723096109551483E-3</v>
      </c>
      <c r="F91" s="13">
        <f t="shared" si="6"/>
        <v>12.429977941720654</v>
      </c>
      <c r="G91" s="14" t="e">
        <f>F91/$F$124*$D$2</f>
        <v>#DIV/0!</v>
      </c>
      <c r="H91" s="14" t="e">
        <f>F91/$F$124*$E$2</f>
        <v>#DIV/0!</v>
      </c>
      <c r="I91" s="25" t="str">
        <f t="shared" si="7"/>
        <v/>
      </c>
    </row>
    <row r="92" spans="1:9" x14ac:dyDescent="0.25">
      <c r="A92" s="3">
        <v>4</v>
      </c>
      <c r="B92" s="3">
        <v>113.3213825</v>
      </c>
      <c r="C92" s="3">
        <v>23.028932439999998</v>
      </c>
      <c r="D92" s="3">
        <v>30</v>
      </c>
      <c r="E92" s="13">
        <f t="shared" si="5"/>
        <v>6.4787198611245328E-3</v>
      </c>
      <c r="F92" s="13">
        <f t="shared" si="6"/>
        <v>12.423827113395941</v>
      </c>
      <c r="G92" s="14">
        <f>F92/$F$109*$D$2</f>
        <v>34.87868773883519</v>
      </c>
      <c r="H92" s="14">
        <f>F92/$F$109*$E$2</f>
        <v>35.576261493611895</v>
      </c>
      <c r="I92" s="25" t="str">
        <f t="shared" si="7"/>
        <v>选中</v>
      </c>
    </row>
    <row r="93" spans="1:9" hidden="1" x14ac:dyDescent="0.25">
      <c r="A93" s="3">
        <v>958</v>
      </c>
      <c r="B93" s="3">
        <v>113.3333461</v>
      </c>
      <c r="C93" s="3">
        <v>23.02838294</v>
      </c>
      <c r="D93" s="3">
        <v>30</v>
      </c>
      <c r="E93" s="13">
        <f t="shared" si="5"/>
        <v>6.6374271008325528E-3</v>
      </c>
      <c r="F93" s="13">
        <f t="shared" si="6"/>
        <v>12.274395643215323</v>
      </c>
      <c r="G93" s="14" t="e">
        <f>F93/$F$124*$D$2</f>
        <v>#DIV/0!</v>
      </c>
      <c r="H93" s="14" t="e">
        <f>F93/$F$124*$E$2</f>
        <v>#DIV/0!</v>
      </c>
      <c r="I93" s="25" t="str">
        <f t="shared" si="7"/>
        <v/>
      </c>
    </row>
    <row r="94" spans="1:9" hidden="1" x14ac:dyDescent="0.25">
      <c r="A94" s="3">
        <v>1194</v>
      </c>
      <c r="B94" s="3">
        <v>113.32938969999999</v>
      </c>
      <c r="C94" s="3">
        <v>23.019672150000002</v>
      </c>
      <c r="D94" s="3">
        <v>30</v>
      </c>
      <c r="E94" s="13">
        <f t="shared" si="5"/>
        <v>6.7020679481446998E-3</v>
      </c>
      <c r="F94" s="13">
        <f t="shared" si="6"/>
        <v>12.215059498257327</v>
      </c>
      <c r="G94" s="14" t="e">
        <f>F94/$F$124*$D$2</f>
        <v>#DIV/0!</v>
      </c>
      <c r="H94" s="14" t="e">
        <f>F94/$F$124*$E$2</f>
        <v>#DIV/0!</v>
      </c>
      <c r="I94" s="25" t="str">
        <f t="shared" si="7"/>
        <v/>
      </c>
    </row>
    <row r="95" spans="1:9" x14ac:dyDescent="0.25">
      <c r="A95" s="3">
        <v>1281</v>
      </c>
      <c r="B95" s="3">
        <v>113.3317139</v>
      </c>
      <c r="C95" s="3">
        <v>23.021003189999998</v>
      </c>
      <c r="D95" s="3">
        <v>30</v>
      </c>
      <c r="E95" s="13">
        <f t="shared" si="5"/>
        <v>6.7571999427555752E-3</v>
      </c>
      <c r="F95" s="13">
        <f t="shared" si="6"/>
        <v>12.165126102534774</v>
      </c>
      <c r="G95" s="14">
        <f>F95/$F$109*$D$2</f>
        <v>34.152409781713715</v>
      </c>
      <c r="H95" s="14">
        <f>F95/$F$109*$E$2</f>
        <v>34.835457977347993</v>
      </c>
      <c r="I95" s="25" t="str">
        <f t="shared" si="7"/>
        <v>选中</v>
      </c>
    </row>
    <row r="96" spans="1:9" hidden="1" x14ac:dyDescent="0.25">
      <c r="A96" s="3">
        <v>1186</v>
      </c>
      <c r="B96" s="3">
        <v>113.3209907</v>
      </c>
      <c r="C96" s="3">
        <v>23.022566940000001</v>
      </c>
      <c r="D96" s="3">
        <v>30</v>
      </c>
      <c r="E96" s="13">
        <f t="shared" si="5"/>
        <v>7.0510740372642178E-3</v>
      </c>
      <c r="F96" s="13">
        <f t="shared" si="6"/>
        <v>11.908919581643366</v>
      </c>
      <c r="G96" s="14" t="e">
        <f>F96/$F$124*$D$2</f>
        <v>#DIV/0!</v>
      </c>
      <c r="H96" s="14" t="e">
        <f>F96/$F$124*$E$2</f>
        <v>#DIV/0!</v>
      </c>
      <c r="I96" s="25" t="str">
        <f t="shared" si="7"/>
        <v/>
      </c>
    </row>
    <row r="97" spans="1:9" hidden="1" x14ac:dyDescent="0.25">
      <c r="A97" s="3">
        <v>1277</v>
      </c>
      <c r="B97" s="3">
        <v>113.33267789999999</v>
      </c>
      <c r="C97" s="3">
        <v>23.021391210000001</v>
      </c>
      <c r="D97" s="3">
        <v>30</v>
      </c>
      <c r="E97" s="13">
        <f t="shared" si="5"/>
        <v>7.1874274931923521E-3</v>
      </c>
      <c r="F97" s="13">
        <f t="shared" si="6"/>
        <v>11.795415988051952</v>
      </c>
      <c r="G97" s="14" t="e">
        <f>F97/$F$124*$D$2</f>
        <v>#DIV/0!</v>
      </c>
      <c r="H97" s="14" t="e">
        <f>F97/$F$124*$E$2</f>
        <v>#DIV/0!</v>
      </c>
      <c r="I97" s="25" t="str">
        <f t="shared" si="7"/>
        <v/>
      </c>
    </row>
    <row r="98" spans="1:9" x14ac:dyDescent="0.25">
      <c r="A98" s="3">
        <v>868</v>
      </c>
      <c r="B98" s="3">
        <v>113.3199675</v>
      </c>
      <c r="C98" s="3">
        <v>23.027073949999998</v>
      </c>
      <c r="D98" s="3">
        <v>30</v>
      </c>
      <c r="E98" s="13">
        <f t="shared" si="5"/>
        <v>7.268487246020936E-3</v>
      </c>
      <c r="F98" s="13">
        <f t="shared" si="6"/>
        <v>11.729459056900522</v>
      </c>
      <c r="G98" s="14">
        <f>F98/$F$109*$D$2</f>
        <v>32.929316872895505</v>
      </c>
      <c r="H98" s="14">
        <f>F98/$F$109*$E$2</f>
        <v>33.587903210353417</v>
      </c>
      <c r="I98" s="25" t="str">
        <f t="shared" si="7"/>
        <v>选中</v>
      </c>
    </row>
    <row r="99" spans="1:9" hidden="1" x14ac:dyDescent="0.25">
      <c r="A99" s="3">
        <v>874</v>
      </c>
      <c r="B99" s="3">
        <v>113.31983390000001</v>
      </c>
      <c r="C99" s="3">
        <v>23.026101629999999</v>
      </c>
      <c r="D99" s="3">
        <v>30</v>
      </c>
      <c r="E99" s="13">
        <f t="shared" si="5"/>
        <v>7.3217417497713948E-3</v>
      </c>
      <c r="F99" s="13">
        <f t="shared" si="6"/>
        <v>11.686724245293098</v>
      </c>
      <c r="G99" s="14" t="e">
        <f>F99/$F$124*$D$2</f>
        <v>#DIV/0!</v>
      </c>
      <c r="H99" s="14" t="e">
        <f>F99/$F$124*$E$2</f>
        <v>#DIV/0!</v>
      </c>
      <c r="I99" s="25" t="str">
        <f t="shared" si="7"/>
        <v/>
      </c>
    </row>
    <row r="100" spans="1:9" hidden="1" x14ac:dyDescent="0.25">
      <c r="A100" s="3">
        <v>951</v>
      </c>
      <c r="B100" s="3">
        <v>113.3344888</v>
      </c>
      <c r="C100" s="3">
        <v>23.028190890000001</v>
      </c>
      <c r="D100" s="3">
        <v>30</v>
      </c>
      <c r="E100" s="13">
        <f t="shared" si="5"/>
        <v>7.6569437818495029E-3</v>
      </c>
      <c r="F100" s="13">
        <f t="shared" si="6"/>
        <v>11.42805365573258</v>
      </c>
      <c r="G100" s="14" t="e">
        <f>F100/$F$124*$D$2</f>
        <v>#DIV/0!</v>
      </c>
      <c r="H100" s="14" t="e">
        <f>F100/$F$124*$E$2</f>
        <v>#DIV/0!</v>
      </c>
      <c r="I100" s="25" t="str">
        <f t="shared" si="7"/>
        <v/>
      </c>
    </row>
    <row r="101" spans="1:9" x14ac:dyDescent="0.25">
      <c r="A101" s="3">
        <v>964</v>
      </c>
      <c r="B101" s="3">
        <v>113.33466079999999</v>
      </c>
      <c r="C101" s="3">
        <v>23.024210289999999</v>
      </c>
      <c r="D101" s="3">
        <v>30</v>
      </c>
      <c r="E101" s="13">
        <f t="shared" ref="E101:E107" si="8">SQRT((B101-$B$2)^2+(C101-$C$2)^2)</f>
        <v>7.7142449599613867E-3</v>
      </c>
      <c r="F101" s="13">
        <f t="shared" ref="F101:F107" si="9">SQRT(1/E101)</f>
        <v>11.385530925803533</v>
      </c>
      <c r="G101" s="14">
        <f>F101/$F$109*$D$2</f>
        <v>31.963772054890221</v>
      </c>
      <c r="H101" s="14">
        <f>F101/$F$109*$E$2</f>
        <v>32.603047495988022</v>
      </c>
      <c r="I101" s="25" t="str">
        <f t="shared" si="7"/>
        <v>选中</v>
      </c>
    </row>
    <row r="102" spans="1:9" hidden="1" x14ac:dyDescent="0.25">
      <c r="A102" s="3">
        <v>1271</v>
      </c>
      <c r="B102" s="3">
        <v>113.3346478</v>
      </c>
      <c r="C102" s="3">
        <v>23.02360358</v>
      </c>
      <c r="D102" s="3">
        <v>30</v>
      </c>
      <c r="E102" s="13">
        <f t="shared" si="8"/>
        <v>7.8640295790933946E-3</v>
      </c>
      <c r="F102" s="13">
        <f t="shared" si="9"/>
        <v>11.27658066304959</v>
      </c>
      <c r="G102" s="14" t="e">
        <f>F102/$F$124*$D$2</f>
        <v>#DIV/0!</v>
      </c>
      <c r="H102" s="14" t="e">
        <f>F102/$F$124*$E$2</f>
        <v>#DIV/0!</v>
      </c>
      <c r="I102" s="25" t="str">
        <f t="shared" si="7"/>
        <v/>
      </c>
    </row>
    <row r="103" spans="1:9" hidden="1" x14ac:dyDescent="0.25">
      <c r="A103" s="3">
        <v>1195</v>
      </c>
      <c r="B103" s="3">
        <v>113.33009629999999</v>
      </c>
      <c r="C103" s="3">
        <v>23.01840636</v>
      </c>
      <c r="D103" s="3">
        <v>30</v>
      </c>
      <c r="E103" s="13">
        <f t="shared" si="8"/>
        <v>8.1346954652562822E-3</v>
      </c>
      <c r="F103" s="13">
        <f t="shared" si="9"/>
        <v>11.087390671500627</v>
      </c>
      <c r="G103" s="14" t="e">
        <f>F103/$F$124*$D$2</f>
        <v>#DIV/0!</v>
      </c>
      <c r="H103" s="14" t="e">
        <f>F103/$F$124*$E$2</f>
        <v>#DIV/0!</v>
      </c>
      <c r="I103" s="25" t="str">
        <f t="shared" si="7"/>
        <v/>
      </c>
    </row>
    <row r="104" spans="1:9" x14ac:dyDescent="0.25">
      <c r="A104" s="3">
        <v>957</v>
      </c>
      <c r="B104" s="3">
        <v>113.3346514</v>
      </c>
      <c r="C104" s="3">
        <v>23.029902849999999</v>
      </c>
      <c r="D104" s="3">
        <v>30</v>
      </c>
      <c r="E104" s="13">
        <f t="shared" si="8"/>
        <v>8.4560412355621454E-3</v>
      </c>
      <c r="F104" s="13">
        <f t="shared" si="9"/>
        <v>10.874679192183031</v>
      </c>
      <c r="G104" s="14">
        <f>F104/$F$109*$D$2</f>
        <v>30.52960543818158</v>
      </c>
      <c r="H104" s="14">
        <f>F104/$F$109*$E$2</f>
        <v>31.140197546945213</v>
      </c>
      <c r="I104" s="25" t="str">
        <f t="shared" si="7"/>
        <v>选中</v>
      </c>
    </row>
    <row r="105" spans="1:9" hidden="1" x14ac:dyDescent="0.25">
      <c r="A105" s="3">
        <v>849</v>
      </c>
      <c r="B105" s="3">
        <v>113.3188517</v>
      </c>
      <c r="C105" s="3">
        <v>23.028502459999999</v>
      </c>
      <c r="D105" s="3">
        <v>30</v>
      </c>
      <c r="E105" s="13">
        <f t="shared" si="8"/>
        <v>8.6747253577615681E-3</v>
      </c>
      <c r="F105" s="13">
        <f t="shared" si="9"/>
        <v>10.736732500608536</v>
      </c>
      <c r="G105" s="14" t="e">
        <f>F105/$F$124*$D$2</f>
        <v>#DIV/0!</v>
      </c>
      <c r="H105" s="14" t="e">
        <f>F105/$F$124*$E$2</f>
        <v>#DIV/0!</v>
      </c>
      <c r="I105" s="25" t="str">
        <f t="shared" si="7"/>
        <v/>
      </c>
    </row>
    <row r="106" spans="1:9" hidden="1" x14ac:dyDescent="0.25">
      <c r="A106" s="3">
        <v>856</v>
      </c>
      <c r="B106" s="3">
        <v>113.3184796</v>
      </c>
      <c r="C106" s="3">
        <v>23.02675893</v>
      </c>
      <c r="D106" s="3">
        <v>30</v>
      </c>
      <c r="E106" s="13">
        <f t="shared" si="8"/>
        <v>8.7091567136193364E-3</v>
      </c>
      <c r="F106" s="13">
        <f t="shared" si="9"/>
        <v>10.715487828289188</v>
      </c>
      <c r="G106" s="14" t="e">
        <f>F106/$F$124*$D$2</f>
        <v>#DIV/0!</v>
      </c>
      <c r="H106" s="14" t="e">
        <f>F106/$F$124*$E$2</f>
        <v>#DIV/0!</v>
      </c>
      <c r="I106" s="25" t="str">
        <f t="shared" si="7"/>
        <v/>
      </c>
    </row>
    <row r="107" spans="1:9" x14ac:dyDescent="0.25">
      <c r="A107" s="3">
        <v>852</v>
      </c>
      <c r="B107" s="3">
        <v>113.31851829999999</v>
      </c>
      <c r="C107" s="3">
        <v>23.029604620000001</v>
      </c>
      <c r="D107" s="3">
        <v>30</v>
      </c>
      <c r="E107" s="13">
        <f t="shared" si="8"/>
        <v>9.3621685805291115E-3</v>
      </c>
      <c r="F107" s="13">
        <f t="shared" si="9"/>
        <v>10.335030711047198</v>
      </c>
      <c r="G107" s="14">
        <f>F107/$F$109*$D$2</f>
        <v>29.01459475021262</v>
      </c>
      <c r="H107" s="14">
        <f>F107/$F$109*$E$2</f>
        <v>29.594886645216874</v>
      </c>
      <c r="I107" s="25" t="str">
        <f t="shared" si="7"/>
        <v>选中</v>
      </c>
    </row>
    <row r="108" spans="1:9" x14ac:dyDescent="0.25">
      <c r="A108" s="3"/>
      <c r="B108" s="3"/>
      <c r="C108" s="3"/>
      <c r="D108" s="3"/>
      <c r="G108" s="14"/>
      <c r="H108" s="14"/>
    </row>
    <row r="109" spans="1:9" x14ac:dyDescent="0.25">
      <c r="A109" s="3"/>
      <c r="B109" s="3"/>
      <c r="C109" s="3"/>
      <c r="D109" s="3"/>
      <c r="F109" s="13">
        <f>SUBTOTAL(9,F5:F107)</f>
        <v>623.35193374362257</v>
      </c>
      <c r="G109" s="13">
        <f t="shared" ref="G109:H109" si="10">SUBTOTAL(9,G5:G107)</f>
        <v>1749.9999999999993</v>
      </c>
      <c r="H109" s="13">
        <f t="shared" si="10"/>
        <v>1785</v>
      </c>
    </row>
    <row r="110" spans="1:9" x14ac:dyDescent="0.25">
      <c r="A110" s="3"/>
      <c r="B110" s="3"/>
      <c r="C110" s="3"/>
      <c r="D110" s="3"/>
      <c r="G110" s="14"/>
      <c r="H110" s="14"/>
    </row>
    <row r="111" spans="1:9" x14ac:dyDescent="0.25">
      <c r="A111" s="3"/>
      <c r="B111" s="3"/>
      <c r="C111" s="3"/>
      <c r="D111" s="3"/>
      <c r="G111" s="14"/>
      <c r="H111" s="14"/>
    </row>
    <row r="112" spans="1:9" x14ac:dyDescent="0.25">
      <c r="A112" s="3"/>
      <c r="B112" s="3"/>
      <c r="C112" s="3"/>
      <c r="D112" s="3"/>
      <c r="G112" s="14"/>
      <c r="H112" s="14"/>
    </row>
    <row r="113" spans="1:8" x14ac:dyDescent="0.25">
      <c r="A113" s="3"/>
      <c r="B113" s="3"/>
      <c r="C113" s="3"/>
      <c r="D113" s="3"/>
      <c r="G113" s="14"/>
      <c r="H113" s="14"/>
    </row>
    <row r="114" spans="1:8" x14ac:dyDescent="0.25">
      <c r="A114" s="3"/>
      <c r="B114" s="3"/>
      <c r="C114" s="3"/>
      <c r="D114" s="3"/>
      <c r="G114" s="14"/>
      <c r="H114" s="14"/>
    </row>
    <row r="115" spans="1:8" x14ac:dyDescent="0.25">
      <c r="A115" s="3"/>
      <c r="B115" s="3"/>
      <c r="C115" s="3"/>
      <c r="D115" s="3"/>
      <c r="G115" s="14"/>
      <c r="H115" s="14"/>
    </row>
    <row r="116" spans="1:8" x14ac:dyDescent="0.25">
      <c r="A116" s="3"/>
      <c r="B116" s="3"/>
      <c r="C116" s="3"/>
      <c r="D116" s="3"/>
      <c r="G116" s="14"/>
      <c r="H116" s="14"/>
    </row>
    <row r="117" spans="1:8" x14ac:dyDescent="0.25">
      <c r="A117" s="3"/>
      <c r="B117" s="3"/>
      <c r="C117" s="3"/>
      <c r="D117" s="3"/>
      <c r="G117" s="14"/>
      <c r="H117" s="14"/>
    </row>
    <row r="118" spans="1:8" x14ac:dyDescent="0.25">
      <c r="A118" s="3"/>
      <c r="B118" s="3"/>
      <c r="C118" s="3"/>
      <c r="D118" s="3"/>
      <c r="G118" s="14"/>
      <c r="H118" s="14"/>
    </row>
    <row r="119" spans="1:8" x14ac:dyDescent="0.25">
      <c r="A119" s="3"/>
      <c r="B119" s="3"/>
      <c r="C119" s="3"/>
      <c r="D119" s="3"/>
      <c r="G119" s="14"/>
      <c r="H119" s="14"/>
    </row>
    <row r="120" spans="1:8" x14ac:dyDescent="0.25">
      <c r="A120" s="3"/>
      <c r="B120" s="3"/>
      <c r="C120" s="3"/>
      <c r="D120" s="3"/>
      <c r="G120" s="14"/>
      <c r="H120" s="14"/>
    </row>
    <row r="121" spans="1:8" x14ac:dyDescent="0.25">
      <c r="A121" s="3"/>
      <c r="B121" s="3"/>
      <c r="C121" s="3"/>
      <c r="D121" s="3"/>
      <c r="G121" s="14"/>
      <c r="H121" s="14"/>
    </row>
    <row r="122" spans="1:8" x14ac:dyDescent="0.25">
      <c r="A122" s="3"/>
      <c r="B122" s="3"/>
      <c r="C122" s="3"/>
      <c r="D122" s="3"/>
      <c r="G122" s="14"/>
      <c r="H122" s="14"/>
    </row>
    <row r="123" spans="1:8" x14ac:dyDescent="0.25">
      <c r="A123" s="3"/>
      <c r="B123" s="3"/>
      <c r="C123" s="3"/>
      <c r="D123" s="3"/>
      <c r="G123" s="14"/>
      <c r="H123" s="14"/>
    </row>
    <row r="124" spans="1:8" x14ac:dyDescent="0.25">
      <c r="A124" s="3"/>
      <c r="B124" s="3"/>
      <c r="C124" s="3"/>
      <c r="D124" s="3"/>
      <c r="G124" s="14"/>
      <c r="H124" s="14"/>
    </row>
    <row r="125" spans="1:8" x14ac:dyDescent="0.25">
      <c r="A125" s="3"/>
      <c r="B125" s="3"/>
      <c r="C125" s="3"/>
      <c r="D125" s="3"/>
      <c r="G125" s="14"/>
      <c r="H125" s="14"/>
    </row>
    <row r="126" spans="1:8" x14ac:dyDescent="0.25">
      <c r="A126" s="18"/>
      <c r="B126" s="3"/>
      <c r="C126" s="3"/>
      <c r="D126" s="3"/>
      <c r="G126" s="14"/>
      <c r="H126" s="14"/>
    </row>
    <row r="127" spans="1:8" x14ac:dyDescent="0.25">
      <c r="A127" s="3"/>
      <c r="B127" s="3"/>
      <c r="C127" s="3"/>
      <c r="D127" s="3"/>
      <c r="G127" s="14"/>
      <c r="H127" s="14"/>
    </row>
    <row r="128" spans="1:8" x14ac:dyDescent="0.25">
      <c r="A128" s="3"/>
      <c r="B128" s="3"/>
      <c r="C128" s="3"/>
      <c r="D128" s="3"/>
      <c r="G128" s="14"/>
      <c r="H128" s="14"/>
    </row>
    <row r="129" spans="1:8" x14ac:dyDescent="0.25">
      <c r="A129" s="3"/>
      <c r="B129" s="3"/>
      <c r="C129" s="3"/>
      <c r="D129" s="3"/>
      <c r="G129" s="14"/>
      <c r="H129" s="14"/>
    </row>
    <row r="130" spans="1:8" x14ac:dyDescent="0.25">
      <c r="A130" s="3"/>
      <c r="B130" s="3"/>
      <c r="C130" s="3"/>
      <c r="D130" s="3"/>
      <c r="G130" s="14"/>
      <c r="H130" s="14"/>
    </row>
    <row r="131" spans="1:8" x14ac:dyDescent="0.25">
      <c r="A131" s="3"/>
      <c r="B131" s="3"/>
      <c r="C131" s="3"/>
      <c r="D131" s="3"/>
      <c r="G131" s="14"/>
      <c r="H131" s="14"/>
    </row>
    <row r="132" spans="1:8" x14ac:dyDescent="0.25">
      <c r="A132" s="3"/>
      <c r="B132" s="3"/>
      <c r="C132" s="3"/>
      <c r="D132" s="3"/>
      <c r="G132" s="14"/>
      <c r="H132" s="14"/>
    </row>
    <row r="133" spans="1:8" x14ac:dyDescent="0.25">
      <c r="A133" s="3"/>
      <c r="B133" s="3"/>
      <c r="C133" s="3"/>
      <c r="D133" s="3"/>
      <c r="G133" s="14"/>
      <c r="H133" s="14"/>
    </row>
    <row r="134" spans="1:8" x14ac:dyDescent="0.25">
      <c r="A134" s="3"/>
      <c r="B134" s="3"/>
      <c r="C134" s="3"/>
      <c r="D134" s="3"/>
      <c r="G134" s="14"/>
      <c r="H134" s="14"/>
    </row>
    <row r="135" spans="1:8" x14ac:dyDescent="0.25">
      <c r="A135" s="3"/>
      <c r="B135" s="3"/>
      <c r="C135" s="3"/>
      <c r="D135" s="3"/>
      <c r="G135" s="14"/>
      <c r="H135" s="14"/>
    </row>
    <row r="136" spans="1:8" x14ac:dyDescent="0.25">
      <c r="A136" s="3"/>
      <c r="B136" s="3"/>
      <c r="C136" s="3"/>
      <c r="D136" s="3"/>
      <c r="G136" s="14"/>
      <c r="H136" s="14"/>
    </row>
    <row r="137" spans="1:8" x14ac:dyDescent="0.25">
      <c r="A137" s="3"/>
      <c r="B137" s="3"/>
      <c r="C137" s="3"/>
      <c r="D137" s="3"/>
      <c r="G137" s="14"/>
      <c r="H137" s="14"/>
    </row>
    <row r="138" spans="1:8" x14ac:dyDescent="0.25">
      <c r="A138" s="3"/>
      <c r="B138" s="3"/>
      <c r="C138" s="3"/>
      <c r="D138" s="3"/>
      <c r="G138" s="14"/>
      <c r="H138" s="14"/>
    </row>
    <row r="139" spans="1:8" x14ac:dyDescent="0.25">
      <c r="A139" s="3"/>
      <c r="B139" s="3"/>
      <c r="C139" s="3"/>
      <c r="D139" s="3"/>
      <c r="G139" s="14"/>
      <c r="H139" s="14"/>
    </row>
    <row r="140" spans="1:8" x14ac:dyDescent="0.25">
      <c r="A140" s="3"/>
      <c r="B140" s="3"/>
      <c r="C140" s="3"/>
      <c r="D140" s="3"/>
      <c r="G140" s="14"/>
      <c r="H140" s="14"/>
    </row>
    <row r="141" spans="1:8" x14ac:dyDescent="0.25">
      <c r="A141" s="3"/>
      <c r="B141" s="3"/>
      <c r="C141" s="3"/>
      <c r="D141" s="3"/>
      <c r="G141" s="14"/>
      <c r="H141" s="14"/>
    </row>
    <row r="142" spans="1:8" x14ac:dyDescent="0.25">
      <c r="A142" s="3"/>
      <c r="B142" s="3"/>
      <c r="C142" s="3"/>
      <c r="D142" s="3"/>
      <c r="G142" s="14"/>
      <c r="H142" s="14"/>
    </row>
    <row r="143" spans="1:8" x14ac:dyDescent="0.25">
      <c r="A143" s="3"/>
      <c r="B143" s="3"/>
      <c r="C143" s="3"/>
      <c r="D143" s="3"/>
      <c r="G143" s="14"/>
      <c r="H143" s="14"/>
    </row>
    <row r="144" spans="1:8" x14ac:dyDescent="0.25">
      <c r="A144" s="3"/>
      <c r="B144" s="3"/>
      <c r="C144" s="3"/>
      <c r="D144" s="3"/>
      <c r="G144" s="14"/>
      <c r="H144" s="14"/>
    </row>
    <row r="145" spans="1:8" x14ac:dyDescent="0.25">
      <c r="A145" s="3"/>
      <c r="B145" s="3"/>
      <c r="C145" s="3"/>
      <c r="D145" s="3"/>
      <c r="G145" s="14"/>
      <c r="H145" s="14"/>
    </row>
    <row r="146" spans="1:8" x14ac:dyDescent="0.25">
      <c r="A146" s="3"/>
      <c r="B146" s="3"/>
      <c r="C146" s="3"/>
      <c r="D146" s="3"/>
      <c r="G146" s="14"/>
      <c r="H146" s="14"/>
    </row>
    <row r="147" spans="1:8" x14ac:dyDescent="0.25">
      <c r="A147" s="3"/>
      <c r="B147" s="3"/>
      <c r="C147" s="3"/>
      <c r="D147" s="3"/>
      <c r="G147" s="14"/>
      <c r="H147" s="14"/>
    </row>
    <row r="148" spans="1:8" x14ac:dyDescent="0.25">
      <c r="A148" s="3"/>
      <c r="B148" s="3"/>
      <c r="C148" s="3"/>
      <c r="D148" s="3"/>
      <c r="G148" s="14"/>
      <c r="H148" s="14"/>
    </row>
    <row r="149" spans="1:8" x14ac:dyDescent="0.25">
      <c r="A149" s="3"/>
      <c r="B149" s="3"/>
      <c r="C149" s="3"/>
      <c r="D149" s="3"/>
      <c r="G149" s="14"/>
      <c r="H149" s="14"/>
    </row>
    <row r="150" spans="1:8" x14ac:dyDescent="0.25">
      <c r="A150" s="3"/>
      <c r="B150" s="3"/>
      <c r="C150" s="3"/>
      <c r="D150" s="3"/>
      <c r="G150" s="14"/>
      <c r="H150" s="14"/>
    </row>
    <row r="151" spans="1:8" x14ac:dyDescent="0.25">
      <c r="A151" s="3"/>
      <c r="B151" s="3"/>
      <c r="C151" s="3"/>
      <c r="D151" s="3"/>
      <c r="G151" s="14"/>
      <c r="H151" s="14"/>
    </row>
    <row r="152" spans="1:8" x14ac:dyDescent="0.25">
      <c r="A152" s="3"/>
      <c r="B152" s="3"/>
      <c r="C152" s="3"/>
      <c r="D152" s="3"/>
      <c r="G152" s="14"/>
      <c r="H152" s="14"/>
    </row>
    <row r="153" spans="1:8" x14ac:dyDescent="0.25">
      <c r="A153" s="3"/>
      <c r="B153" s="3"/>
      <c r="C153" s="3"/>
      <c r="D153" s="3"/>
      <c r="G153" s="14"/>
      <c r="H153" s="14"/>
    </row>
    <row r="154" spans="1:8" x14ac:dyDescent="0.25">
      <c r="A154" s="3"/>
      <c r="B154" s="3"/>
      <c r="C154" s="3"/>
      <c r="D154" s="3"/>
      <c r="G154" s="14"/>
      <c r="H154" s="14"/>
    </row>
    <row r="155" spans="1:8" x14ac:dyDescent="0.25">
      <c r="A155" s="3"/>
      <c r="B155" s="3"/>
      <c r="C155" s="3"/>
      <c r="D155" s="3"/>
      <c r="G155" s="14"/>
      <c r="H155" s="14"/>
    </row>
    <row r="156" spans="1:8" x14ac:dyDescent="0.25">
      <c r="A156" s="3"/>
      <c r="B156" s="3"/>
      <c r="C156" s="3"/>
      <c r="D156" s="3"/>
      <c r="G156" s="14"/>
      <c r="H156" s="14"/>
    </row>
    <row r="157" spans="1:8" x14ac:dyDescent="0.25">
      <c r="A157" s="3"/>
      <c r="B157" s="3"/>
      <c r="C157" s="3"/>
      <c r="D157" s="3"/>
      <c r="G157" s="14"/>
      <c r="H157" s="14"/>
    </row>
    <row r="158" spans="1:8" x14ac:dyDescent="0.25">
      <c r="A158" s="3"/>
      <c r="B158" s="3"/>
      <c r="C158" s="3"/>
      <c r="D158" s="3"/>
      <c r="G158" s="14"/>
      <c r="H158" s="14"/>
    </row>
    <row r="159" spans="1:8" x14ac:dyDescent="0.25">
      <c r="A159" s="3"/>
      <c r="B159" s="3"/>
      <c r="C159" s="3"/>
      <c r="D159" s="3"/>
      <c r="G159" s="14"/>
      <c r="H159" s="14"/>
    </row>
    <row r="160" spans="1:8" x14ac:dyDescent="0.25">
      <c r="A160" s="3"/>
      <c r="B160" s="3"/>
      <c r="C160" s="3"/>
      <c r="D160" s="3"/>
      <c r="G160" s="14"/>
      <c r="H160" s="14"/>
    </row>
    <row r="161" spans="1:8" x14ac:dyDescent="0.25">
      <c r="A161" s="3"/>
      <c r="B161" s="3"/>
      <c r="C161" s="3"/>
      <c r="D161" s="3"/>
      <c r="G161" s="14"/>
      <c r="H161" s="14"/>
    </row>
    <row r="162" spans="1:8" x14ac:dyDescent="0.25">
      <c r="A162" s="3"/>
      <c r="B162" s="3"/>
      <c r="C162" s="3"/>
      <c r="D162" s="3"/>
      <c r="G162" s="14"/>
      <c r="H162" s="14"/>
    </row>
    <row r="163" spans="1:8" x14ac:dyDescent="0.25">
      <c r="A163" s="3"/>
      <c r="B163" s="3"/>
      <c r="C163" s="3"/>
      <c r="D163" s="3"/>
      <c r="G163" s="14"/>
      <c r="H163" s="14"/>
    </row>
    <row r="164" spans="1:8" x14ac:dyDescent="0.25">
      <c r="A164" s="3"/>
      <c r="B164" s="3"/>
      <c r="C164" s="3"/>
      <c r="D164" s="3"/>
      <c r="G164" s="14"/>
      <c r="H164" s="14"/>
    </row>
    <row r="165" spans="1:8" x14ac:dyDescent="0.25">
      <c r="A165" s="3"/>
      <c r="B165" s="3"/>
      <c r="C165" s="3"/>
      <c r="D165" s="3"/>
      <c r="G165" s="14"/>
      <c r="H165" s="14"/>
    </row>
    <row r="166" spans="1:8" x14ac:dyDescent="0.25">
      <c r="A166" s="3"/>
      <c r="B166" s="3"/>
      <c r="C166" s="3"/>
      <c r="D166" s="3"/>
      <c r="G166" s="14"/>
      <c r="H166" s="14"/>
    </row>
    <row r="167" spans="1:8" x14ac:dyDescent="0.25">
      <c r="A167" s="3"/>
      <c r="B167" s="3"/>
      <c r="C167" s="3"/>
      <c r="D167" s="3"/>
      <c r="G167" s="14"/>
      <c r="H167" s="14"/>
    </row>
    <row r="168" spans="1:8" x14ac:dyDescent="0.25">
      <c r="A168" s="3"/>
      <c r="B168" s="3"/>
      <c r="C168" s="3"/>
      <c r="D168" s="3"/>
      <c r="G168" s="14"/>
      <c r="H168" s="14"/>
    </row>
    <row r="169" spans="1:8" x14ac:dyDescent="0.25">
      <c r="A169" s="3"/>
      <c r="B169" s="3"/>
      <c r="C169" s="3"/>
      <c r="D169" s="3"/>
      <c r="G169" s="14"/>
      <c r="H169" s="14"/>
    </row>
    <row r="170" spans="1:8" x14ac:dyDescent="0.25">
      <c r="A170" s="3"/>
      <c r="B170" s="3"/>
      <c r="C170" s="3"/>
      <c r="D170" s="3"/>
      <c r="G170" s="14"/>
      <c r="H170" s="14"/>
    </row>
    <row r="171" spans="1:8" x14ac:dyDescent="0.25">
      <c r="A171" s="3"/>
      <c r="B171" s="3"/>
      <c r="C171" s="3"/>
      <c r="D171" s="3"/>
      <c r="G171" s="14"/>
      <c r="H171" s="14"/>
    </row>
    <row r="172" spans="1:8" x14ac:dyDescent="0.25">
      <c r="A172" s="3"/>
      <c r="B172" s="3"/>
      <c r="C172" s="3"/>
      <c r="D172" s="3"/>
      <c r="G172" s="14"/>
      <c r="H172" s="14"/>
    </row>
    <row r="173" spans="1:8" x14ac:dyDescent="0.25">
      <c r="A173" s="3"/>
      <c r="B173" s="3"/>
      <c r="C173" s="3"/>
      <c r="D173" s="3"/>
      <c r="G173" s="14"/>
      <c r="H173" s="14"/>
    </row>
    <row r="174" spans="1:8" x14ac:dyDescent="0.25">
      <c r="A174" s="3"/>
      <c r="B174" s="3"/>
      <c r="C174" s="3"/>
      <c r="D174" s="3"/>
      <c r="G174" s="14"/>
      <c r="H174" s="14"/>
    </row>
    <row r="175" spans="1:8" x14ac:dyDescent="0.25">
      <c r="A175" s="3"/>
      <c r="B175" s="3"/>
      <c r="C175" s="3"/>
      <c r="D175" s="3"/>
      <c r="G175" s="14"/>
      <c r="H175" s="14"/>
    </row>
    <row r="176" spans="1:8" x14ac:dyDescent="0.25">
      <c r="A176" s="3"/>
      <c r="B176" s="3"/>
      <c r="C176" s="3"/>
      <c r="D176" s="3"/>
      <c r="G176" s="14"/>
      <c r="H176" s="14"/>
    </row>
    <row r="177" spans="1:8" x14ac:dyDescent="0.25">
      <c r="A177" s="3"/>
      <c r="B177" s="3"/>
      <c r="C177" s="3"/>
      <c r="D177" s="3"/>
      <c r="G177" s="14"/>
      <c r="H177" s="14"/>
    </row>
    <row r="178" spans="1:8" x14ac:dyDescent="0.25">
      <c r="A178" s="3"/>
      <c r="B178" s="3"/>
      <c r="C178" s="3"/>
      <c r="D178" s="3"/>
      <c r="G178" s="14"/>
      <c r="H178" s="14"/>
    </row>
    <row r="179" spans="1:8" x14ac:dyDescent="0.25">
      <c r="A179" s="3"/>
      <c r="B179" s="3"/>
      <c r="C179" s="3"/>
      <c r="D179" s="3"/>
      <c r="G179" s="14"/>
      <c r="H179" s="14"/>
    </row>
    <row r="180" spans="1:8" x14ac:dyDescent="0.25">
      <c r="A180" s="3"/>
      <c r="B180" s="3"/>
      <c r="C180" s="3"/>
      <c r="D180" s="3"/>
      <c r="G180" s="14"/>
      <c r="H180" s="14"/>
    </row>
    <row r="181" spans="1:8" x14ac:dyDescent="0.25">
      <c r="A181" s="3"/>
      <c r="B181" s="3"/>
      <c r="C181" s="3"/>
      <c r="D181" s="3"/>
      <c r="G181" s="14"/>
      <c r="H181" s="14"/>
    </row>
    <row r="182" spans="1:8" x14ac:dyDescent="0.25">
      <c r="A182" s="3"/>
      <c r="B182" s="3"/>
      <c r="C182" s="3"/>
      <c r="D182" s="3"/>
      <c r="G182" s="14"/>
      <c r="H182" s="14"/>
    </row>
    <row r="183" spans="1:8" x14ac:dyDescent="0.25">
      <c r="A183" s="3"/>
      <c r="B183" s="3"/>
      <c r="C183" s="3"/>
      <c r="D183" s="3"/>
      <c r="G183" s="14"/>
      <c r="H183" s="14"/>
    </row>
    <row r="184" spans="1:8" x14ac:dyDescent="0.25">
      <c r="A184" s="3"/>
      <c r="B184" s="3"/>
      <c r="C184" s="3"/>
      <c r="D184" s="3"/>
      <c r="G184" s="14"/>
      <c r="H184" s="14"/>
    </row>
    <row r="185" spans="1:8" x14ac:dyDescent="0.25">
      <c r="A185" s="3"/>
      <c r="B185" s="3"/>
      <c r="C185" s="3"/>
      <c r="D185" s="3"/>
      <c r="G185" s="14"/>
      <c r="H185" s="14"/>
    </row>
    <row r="186" spans="1:8" x14ac:dyDescent="0.25">
      <c r="A186" s="3"/>
      <c r="B186" s="3"/>
      <c r="C186" s="3"/>
      <c r="D186" s="3"/>
      <c r="G186" s="14"/>
      <c r="H186" s="14"/>
    </row>
    <row r="187" spans="1:8" x14ac:dyDescent="0.25">
      <c r="A187" s="3"/>
      <c r="B187" s="3"/>
      <c r="C187" s="3"/>
      <c r="D187" s="3"/>
      <c r="G187" s="14"/>
      <c r="H187" s="14"/>
    </row>
    <row r="188" spans="1:8" x14ac:dyDescent="0.25">
      <c r="A188" s="3"/>
      <c r="B188" s="3"/>
      <c r="C188" s="3"/>
      <c r="D188" s="3"/>
      <c r="G188" s="14"/>
      <c r="H188" s="14"/>
    </row>
    <row r="189" spans="1:8" x14ac:dyDescent="0.25">
      <c r="A189" s="3"/>
      <c r="B189" s="3"/>
      <c r="C189" s="3"/>
      <c r="D189" s="3"/>
      <c r="G189" s="14"/>
      <c r="H189" s="14"/>
    </row>
    <row r="190" spans="1:8" x14ac:dyDescent="0.25">
      <c r="A190" s="3"/>
      <c r="B190" s="3"/>
      <c r="C190" s="3"/>
      <c r="D190" s="3"/>
      <c r="G190" s="14"/>
      <c r="H190" s="14"/>
    </row>
    <row r="191" spans="1:8" x14ac:dyDescent="0.25">
      <c r="A191" s="3"/>
      <c r="B191" s="3"/>
      <c r="C191" s="3"/>
      <c r="D191" s="3"/>
      <c r="G191" s="14"/>
      <c r="H191" s="14"/>
    </row>
    <row r="192" spans="1:8" x14ac:dyDescent="0.25">
      <c r="A192" s="3"/>
      <c r="B192" s="3"/>
      <c r="C192" s="3"/>
      <c r="D192" s="3"/>
      <c r="G192" s="14"/>
      <c r="H192" s="14"/>
    </row>
    <row r="193" spans="1:8" x14ac:dyDescent="0.25">
      <c r="A193" s="3"/>
      <c r="B193" s="3"/>
      <c r="C193" s="3"/>
      <c r="D193" s="3"/>
      <c r="G193" s="14"/>
      <c r="H193" s="14"/>
    </row>
    <row r="194" spans="1:8" x14ac:dyDescent="0.25">
      <c r="A194" s="3"/>
      <c r="B194" s="3"/>
      <c r="C194" s="3"/>
      <c r="D194" s="3"/>
      <c r="G194" s="14"/>
      <c r="H194" s="14"/>
    </row>
    <row r="195" spans="1:8" x14ac:dyDescent="0.25">
      <c r="A195" s="3"/>
      <c r="B195" s="3"/>
      <c r="C195" s="3"/>
      <c r="D195" s="3"/>
      <c r="G195" s="14"/>
      <c r="H195" s="14"/>
    </row>
    <row r="196" spans="1:8" x14ac:dyDescent="0.25">
      <c r="A196" s="3"/>
      <c r="B196" s="3"/>
      <c r="C196" s="3"/>
      <c r="D196" s="3"/>
      <c r="G196" s="14"/>
      <c r="H196" s="14"/>
    </row>
    <row r="197" spans="1:8" x14ac:dyDescent="0.25">
      <c r="A197" s="3"/>
      <c r="B197" s="3"/>
      <c r="C197" s="3"/>
      <c r="D197" s="3"/>
      <c r="G197" s="14"/>
      <c r="H197" s="14"/>
    </row>
    <row r="198" spans="1:8" x14ac:dyDescent="0.25">
      <c r="A198" s="3"/>
      <c r="B198" s="3"/>
      <c r="C198" s="3"/>
      <c r="D198" s="3"/>
      <c r="G198" s="14"/>
      <c r="H198" s="14"/>
    </row>
    <row r="199" spans="1:8" x14ac:dyDescent="0.25">
      <c r="A199" s="3"/>
      <c r="B199" s="3"/>
      <c r="C199" s="3"/>
      <c r="D199" s="3"/>
      <c r="G199" s="14"/>
      <c r="H199" s="14"/>
    </row>
    <row r="200" spans="1:8" x14ac:dyDescent="0.25">
      <c r="A200" s="3"/>
      <c r="B200" s="3"/>
      <c r="C200" s="3"/>
      <c r="D200" s="3"/>
      <c r="G200" s="14"/>
      <c r="H200" s="14"/>
    </row>
    <row r="201" spans="1:8" x14ac:dyDescent="0.25">
      <c r="A201" s="3"/>
      <c r="B201" s="3"/>
      <c r="C201" s="3"/>
      <c r="D201" s="3"/>
      <c r="G201" s="14"/>
      <c r="H201" s="14"/>
    </row>
    <row r="202" spans="1:8" x14ac:dyDescent="0.25">
      <c r="A202" s="3"/>
      <c r="B202" s="3"/>
      <c r="C202" s="3"/>
      <c r="D202" s="3"/>
      <c r="G202" s="14"/>
      <c r="H202" s="14"/>
    </row>
    <row r="203" spans="1:8" x14ac:dyDescent="0.25">
      <c r="A203" s="3"/>
      <c r="B203" s="3"/>
      <c r="C203" s="3"/>
      <c r="D203" s="3"/>
      <c r="G203" s="14"/>
      <c r="H203" s="14"/>
    </row>
    <row r="204" spans="1:8" x14ac:dyDescent="0.25">
      <c r="A204" s="3"/>
      <c r="B204" s="3"/>
      <c r="C204" s="3"/>
      <c r="D204" s="3"/>
      <c r="G204" s="14"/>
      <c r="H204" s="14"/>
    </row>
    <row r="205" spans="1:8" x14ac:dyDescent="0.25">
      <c r="A205" s="3"/>
      <c r="B205" s="3"/>
      <c r="C205" s="3"/>
      <c r="D205" s="3"/>
      <c r="G205" s="14"/>
      <c r="H205" s="14"/>
    </row>
    <row r="206" spans="1:8" x14ac:dyDescent="0.25">
      <c r="A206" s="3"/>
      <c r="B206" s="3"/>
      <c r="C206" s="3"/>
      <c r="D206" s="3"/>
      <c r="G206" s="14"/>
      <c r="H206" s="14"/>
    </row>
    <row r="207" spans="1:8" x14ac:dyDescent="0.25">
      <c r="A207" s="3"/>
      <c r="B207" s="3"/>
      <c r="C207" s="3"/>
      <c r="D207" s="3"/>
      <c r="G207" s="14"/>
      <c r="H207" s="14"/>
    </row>
    <row r="208" spans="1:8" x14ac:dyDescent="0.25">
      <c r="A208" s="3"/>
      <c r="B208" s="3"/>
      <c r="C208" s="3"/>
      <c r="D208" s="3"/>
      <c r="G208" s="14"/>
      <c r="H208" s="14"/>
    </row>
    <row r="209" spans="1:8" x14ac:dyDescent="0.25">
      <c r="A209" s="3"/>
      <c r="B209" s="3"/>
      <c r="C209" s="3"/>
      <c r="D209" s="3"/>
      <c r="G209" s="14"/>
      <c r="H209" s="14"/>
    </row>
    <row r="210" spans="1:8" x14ac:dyDescent="0.25">
      <c r="A210" s="3"/>
      <c r="B210" s="3"/>
      <c r="C210" s="3"/>
      <c r="D210" s="3"/>
      <c r="G210" s="14"/>
      <c r="H210" s="14"/>
    </row>
    <row r="211" spans="1:8" x14ac:dyDescent="0.25">
      <c r="A211" s="3"/>
      <c r="B211" s="3"/>
      <c r="C211" s="3"/>
      <c r="D211" s="3"/>
      <c r="G211" s="14"/>
      <c r="H211" s="14"/>
    </row>
    <row r="212" spans="1:8" x14ac:dyDescent="0.25">
      <c r="A212" s="3"/>
      <c r="B212" s="3"/>
      <c r="C212" s="3"/>
      <c r="D212" s="3"/>
      <c r="G212" s="14"/>
      <c r="H212" s="14"/>
    </row>
    <row r="213" spans="1:8" x14ac:dyDescent="0.25">
      <c r="A213" s="3"/>
      <c r="B213" s="3"/>
      <c r="C213" s="3"/>
      <c r="D213" s="3"/>
      <c r="G213" s="14"/>
      <c r="H213" s="14"/>
    </row>
    <row r="214" spans="1:8" x14ac:dyDescent="0.25">
      <c r="A214" s="3"/>
      <c r="B214" s="3"/>
      <c r="C214" s="3"/>
      <c r="D214" s="3"/>
      <c r="G214" s="14"/>
      <c r="H214" s="14"/>
    </row>
    <row r="215" spans="1:8" x14ac:dyDescent="0.25">
      <c r="A215" s="3"/>
      <c r="B215" s="3"/>
      <c r="C215" s="3"/>
      <c r="D215" s="3"/>
      <c r="G215" s="14"/>
      <c r="H215" s="14"/>
    </row>
    <row r="216" spans="1:8" x14ac:dyDescent="0.25">
      <c r="A216" s="3"/>
      <c r="B216" s="3"/>
      <c r="C216" s="3"/>
      <c r="D216" s="3"/>
      <c r="G216" s="14"/>
      <c r="H216" s="14"/>
    </row>
    <row r="217" spans="1:8" x14ac:dyDescent="0.25">
      <c r="A217" s="3"/>
      <c r="B217" s="3"/>
      <c r="C217" s="3"/>
      <c r="D217" s="3"/>
      <c r="G217" s="14"/>
      <c r="H217" s="14"/>
    </row>
    <row r="218" spans="1:8" x14ac:dyDescent="0.25">
      <c r="A218" s="3"/>
      <c r="B218" s="3"/>
      <c r="C218" s="3"/>
      <c r="D218" s="3"/>
      <c r="G218" s="14"/>
      <c r="H218" s="14"/>
    </row>
    <row r="219" spans="1:8" x14ac:dyDescent="0.25">
      <c r="A219" s="3"/>
      <c r="B219" s="3"/>
      <c r="C219" s="3"/>
      <c r="D219" s="3"/>
      <c r="G219" s="14"/>
      <c r="H219" s="14"/>
    </row>
    <row r="220" spans="1:8" x14ac:dyDescent="0.25">
      <c r="A220" s="3"/>
      <c r="B220" s="3"/>
      <c r="C220" s="3"/>
      <c r="D220" s="3"/>
      <c r="G220" s="14"/>
      <c r="H220" s="14"/>
    </row>
    <row r="221" spans="1:8" x14ac:dyDescent="0.25">
      <c r="A221" s="3"/>
      <c r="B221" s="3"/>
      <c r="C221" s="3"/>
      <c r="D221" s="3"/>
      <c r="G221" s="14"/>
      <c r="H221" s="14"/>
    </row>
    <row r="222" spans="1:8" x14ac:dyDescent="0.25">
      <c r="A222" s="3"/>
      <c r="B222" s="3"/>
      <c r="C222" s="3"/>
      <c r="D222" s="3"/>
      <c r="G222" s="14"/>
      <c r="H222" s="14"/>
    </row>
    <row r="223" spans="1:8" x14ac:dyDescent="0.25">
      <c r="A223" s="3"/>
      <c r="B223" s="3"/>
      <c r="C223" s="3"/>
      <c r="D223" s="3"/>
      <c r="G223" s="14"/>
      <c r="H223" s="14"/>
    </row>
    <row r="224" spans="1:8" x14ac:dyDescent="0.25">
      <c r="A224" s="3"/>
      <c r="B224" s="3"/>
      <c r="C224" s="3"/>
      <c r="D224" s="3"/>
      <c r="G224" s="14"/>
      <c r="H224" s="14"/>
    </row>
    <row r="225" spans="1:8" x14ac:dyDescent="0.25">
      <c r="A225" s="3"/>
      <c r="B225" s="3"/>
      <c r="C225" s="3"/>
      <c r="D225" s="3"/>
      <c r="G225" s="14"/>
      <c r="H225" s="14"/>
    </row>
    <row r="226" spans="1:8" x14ac:dyDescent="0.25">
      <c r="A226" s="3"/>
      <c r="B226" s="3"/>
      <c r="C226" s="3"/>
      <c r="D226" s="3"/>
      <c r="G226" s="14"/>
      <c r="H226" s="14"/>
    </row>
    <row r="227" spans="1:8" x14ac:dyDescent="0.25">
      <c r="A227" s="3"/>
      <c r="B227" s="3"/>
      <c r="C227" s="3"/>
      <c r="D227" s="3"/>
      <c r="G227" s="14"/>
      <c r="H227" s="14"/>
    </row>
    <row r="228" spans="1:8" x14ac:dyDescent="0.25">
      <c r="A228" s="3"/>
      <c r="B228" s="3"/>
      <c r="C228" s="3"/>
      <c r="D228" s="3"/>
      <c r="G228" s="14"/>
      <c r="H228" s="14"/>
    </row>
    <row r="229" spans="1:8" x14ac:dyDescent="0.25">
      <c r="A229" s="3"/>
      <c r="B229" s="3"/>
      <c r="C229" s="3"/>
      <c r="D229" s="3"/>
      <c r="G229" s="14"/>
      <c r="H229" s="14"/>
    </row>
    <row r="230" spans="1:8" x14ac:dyDescent="0.25">
      <c r="A230" s="3"/>
      <c r="B230" s="3"/>
      <c r="C230" s="3"/>
      <c r="D230" s="3"/>
      <c r="G230" s="14"/>
      <c r="H230" s="14"/>
    </row>
    <row r="231" spans="1:8" x14ac:dyDescent="0.25">
      <c r="A231" s="3"/>
      <c r="B231" s="3"/>
      <c r="C231" s="3"/>
      <c r="D231" s="3"/>
      <c r="G231" s="14"/>
      <c r="H231" s="14"/>
    </row>
    <row r="232" spans="1:8" x14ac:dyDescent="0.25">
      <c r="A232" s="3"/>
      <c r="B232" s="3"/>
      <c r="C232" s="3"/>
      <c r="D232" s="3"/>
      <c r="G232" s="14"/>
      <c r="H232" s="14"/>
    </row>
    <row r="233" spans="1:8" x14ac:dyDescent="0.25">
      <c r="A233" s="3"/>
      <c r="B233" s="3"/>
      <c r="C233" s="3"/>
      <c r="D233" s="3"/>
      <c r="G233" s="14"/>
      <c r="H233" s="14"/>
    </row>
    <row r="234" spans="1:8" x14ac:dyDescent="0.25">
      <c r="A234" s="3"/>
      <c r="B234" s="3"/>
      <c r="C234" s="3"/>
      <c r="D234" s="3"/>
      <c r="G234" s="14"/>
      <c r="H234" s="14"/>
    </row>
    <row r="235" spans="1:8" x14ac:dyDescent="0.25">
      <c r="A235" s="3"/>
      <c r="B235" s="3"/>
      <c r="C235" s="3"/>
      <c r="D235" s="3"/>
      <c r="G235" s="14"/>
      <c r="H235" s="14"/>
    </row>
    <row r="236" spans="1:8" x14ac:dyDescent="0.25">
      <c r="A236" s="3"/>
      <c r="B236" s="3"/>
      <c r="C236" s="3"/>
      <c r="D236" s="3"/>
      <c r="G236" s="14"/>
      <c r="H236" s="14"/>
    </row>
    <row r="237" spans="1:8" x14ac:dyDescent="0.25">
      <c r="A237" s="3"/>
      <c r="B237" s="3"/>
      <c r="C237" s="3"/>
      <c r="D237" s="3"/>
      <c r="G237" s="14"/>
      <c r="H237" s="14"/>
    </row>
    <row r="238" spans="1:8" x14ac:dyDescent="0.25">
      <c r="A238" s="3"/>
      <c r="B238" s="3"/>
      <c r="C238" s="3"/>
      <c r="D238" s="3"/>
      <c r="G238" s="14"/>
      <c r="H238" s="14"/>
    </row>
    <row r="239" spans="1:8" x14ac:dyDescent="0.25">
      <c r="A239" s="3"/>
      <c r="B239" s="3"/>
      <c r="C239" s="3"/>
      <c r="D239" s="3"/>
      <c r="G239" s="14"/>
      <c r="H239" s="14"/>
    </row>
    <row r="240" spans="1:8" x14ac:dyDescent="0.25">
      <c r="A240" s="3"/>
      <c r="B240" s="3"/>
      <c r="C240" s="3"/>
      <c r="D240" s="3"/>
      <c r="G240" s="14"/>
      <c r="H240" s="14"/>
    </row>
    <row r="241" spans="1:8" x14ac:dyDescent="0.25">
      <c r="A241" s="3"/>
      <c r="B241" s="3"/>
      <c r="C241" s="3"/>
      <c r="D241" s="3"/>
      <c r="G241" s="14"/>
      <c r="H241" s="14"/>
    </row>
    <row r="242" spans="1:8" x14ac:dyDescent="0.25">
      <c r="A242" s="3"/>
      <c r="B242" s="3"/>
      <c r="C242" s="3"/>
      <c r="D242" s="3"/>
      <c r="G242" s="14"/>
      <c r="H242" s="14"/>
    </row>
    <row r="243" spans="1:8" x14ac:dyDescent="0.25">
      <c r="A243" s="3"/>
      <c r="B243" s="3"/>
      <c r="C243" s="3"/>
      <c r="D243" s="3"/>
      <c r="G243" s="14"/>
      <c r="H243" s="14"/>
    </row>
    <row r="244" spans="1:8" x14ac:dyDescent="0.25">
      <c r="A244" s="3"/>
      <c r="B244" s="3"/>
      <c r="C244" s="3"/>
      <c r="D244" s="3"/>
      <c r="G244" s="14"/>
      <c r="H244" s="14"/>
    </row>
    <row r="245" spans="1:8" x14ac:dyDescent="0.25">
      <c r="A245" s="3"/>
      <c r="B245" s="3"/>
      <c r="C245" s="3"/>
      <c r="D245" s="3"/>
      <c r="G245" s="14"/>
      <c r="H245" s="14"/>
    </row>
    <row r="247" spans="1:8" x14ac:dyDescent="0.25">
      <c r="A247" s="3"/>
      <c r="G247" s="14"/>
      <c r="H247" s="14"/>
    </row>
  </sheetData>
  <phoneticPr fontId="1" type="noConversion"/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F6F961-06B4-4BEB-88E7-DA41FA63B53B}">
  <sheetPr/>
  <dimension ref="A1:I252"/>
  <sheetViews>
    <sheetView topLeftCell="A158" zoomScale="115" zoomScaleNormal="115" workbookViewId="0">
      <selection activeCell="A5" sqref="A5:H248"/>
    </sheetView>
  </sheetViews>
  <sheetFormatPr defaultRowHeight="15" x14ac:dyDescent="0.25"/>
  <cols>
    <col min="1" max="1" width="8.875" style="4" customWidth="1"/>
    <col min="2" max="3" width="15.125" style="4" customWidth="1"/>
    <col min="4" max="4" width="10.25" style="4" customWidth="1"/>
    <col min="5" max="5" width="12" style="13" customWidth="1"/>
    <col min="6" max="6" width="15" style="13" customWidth="1"/>
    <col min="7" max="7" width="13.875" customWidth="1"/>
    <col min="8" max="8" width="11.125" customWidth="1"/>
    <col min="11" max="12" width="15.125" customWidth="1"/>
    <col min="13" max="13" width="11.125" customWidth="1"/>
  </cols>
  <sheetData>
    <row r="1" spans="1:9" ht="14.25" x14ac:dyDescent="0.2">
      <c r="A1" s="2" t="s">
        <v>12</v>
      </c>
      <c r="B1" s="2" t="s">
        <v>4</v>
      </c>
      <c r="C1" s="2" t="s">
        <v>5</v>
      </c>
      <c r="D1" s="2" t="s">
        <v>13</v>
      </c>
      <c r="E1" s="2" t="s">
        <v>14</v>
      </c>
      <c r="F1" s="2" t="s">
        <v>15</v>
      </c>
      <c r="G1" s="2" t="s">
        <v>16</v>
      </c>
    </row>
    <row r="2" spans="1:9" x14ac:dyDescent="0.25">
      <c r="A2" s="11">
        <v>31</v>
      </c>
      <c r="B2" s="3">
        <v>113.3100161</v>
      </c>
      <c r="C2" s="8">
        <v>23.02223961</v>
      </c>
      <c r="D2" s="3">
        <v>1785</v>
      </c>
      <c r="E2" s="13">
        <v>1785</v>
      </c>
      <c r="F2" s="13">
        <v>5</v>
      </c>
      <c r="G2" s="19">
        <f>SUBTOTAL(2,A5:A250)</f>
        <v>82</v>
      </c>
    </row>
    <row r="3" spans="1:9" x14ac:dyDescent="0.25">
      <c r="A3" s="3"/>
      <c r="B3" s="3"/>
      <c r="C3" s="3"/>
      <c r="D3" s="3"/>
    </row>
    <row r="4" spans="1:9" ht="14.25" x14ac:dyDescent="0.2">
      <c r="A4" s="2" t="s">
        <v>0</v>
      </c>
      <c r="B4" s="2" t="s">
        <v>1</v>
      </c>
      <c r="C4" s="2" t="s">
        <v>2</v>
      </c>
      <c r="D4" s="2" t="s">
        <v>3</v>
      </c>
      <c r="E4" s="2" t="s">
        <v>7</v>
      </c>
      <c r="F4" s="2" t="s">
        <v>8</v>
      </c>
      <c r="G4" s="2" t="s">
        <v>13</v>
      </c>
      <c r="H4" s="2" t="s">
        <v>14</v>
      </c>
      <c r="I4" s="24" t="s">
        <v>20</v>
      </c>
    </row>
    <row r="5" spans="1:9" x14ac:dyDescent="0.25">
      <c r="A5" s="3">
        <v>1077</v>
      </c>
      <c r="B5" s="3">
        <v>113.3098964</v>
      </c>
      <c r="C5" s="3">
        <v>23.02213609</v>
      </c>
      <c r="D5" s="3">
        <v>31</v>
      </c>
      <c r="E5" s="13">
        <f t="shared" ref="E5:E68" si="0">SQRT((B5-$B$2)^2+(C5-$C$2)^2)</f>
        <v>1.582544798724829E-4</v>
      </c>
      <c r="F5" s="13">
        <f t="shared" ref="F5:F68" si="1">SQRT(1/E5)</f>
        <v>79.49173820059373</v>
      </c>
      <c r="G5" s="14">
        <f>F5/$F$252*$D$2</f>
        <v>99.091220219232071</v>
      </c>
      <c r="H5" s="14">
        <f>F5/$F$252*$E$2</f>
        <v>99.091220219232071</v>
      </c>
      <c r="I5" s="25" t="str">
        <f>IF(MOD(ROW()-1,3)=1,"选中","")</f>
        <v>选中</v>
      </c>
    </row>
    <row r="6" spans="1:9" hidden="1" x14ac:dyDescent="0.25">
      <c r="A6" s="3">
        <v>1078</v>
      </c>
      <c r="B6" s="3">
        <v>113.3096709</v>
      </c>
      <c r="C6" s="3">
        <v>23.022340419999999</v>
      </c>
      <c r="D6" s="3">
        <v>31</v>
      </c>
      <c r="E6" s="13">
        <f t="shared" si="0"/>
        <v>3.5961882055668914E-4</v>
      </c>
      <c r="F6" s="13">
        <f t="shared" si="1"/>
        <v>52.732552514764663</v>
      </c>
      <c r="G6" s="14">
        <f>F6/$F$124*$D$2</f>
        <v>6181.4734797758438</v>
      </c>
      <c r="H6" s="14">
        <f>F6/$F$124*$E$2</f>
        <v>6181.4734797758438</v>
      </c>
      <c r="I6" s="25" t="str">
        <f t="shared" ref="I6:I69" si="2">IF(MOD(ROW()-1,3)=1,"选中","")</f>
        <v/>
      </c>
    </row>
    <row r="7" spans="1:9" hidden="1" x14ac:dyDescent="0.25">
      <c r="A7" s="3">
        <v>1091</v>
      </c>
      <c r="B7" s="3">
        <v>113.3096998</v>
      </c>
      <c r="C7" s="3">
        <v>23.022741190000001</v>
      </c>
      <c r="D7" s="3">
        <v>31</v>
      </c>
      <c r="E7" s="13">
        <f t="shared" si="0"/>
        <v>5.9298245032894529E-4</v>
      </c>
      <c r="F7" s="13">
        <f t="shared" si="1"/>
        <v>41.065685785963822</v>
      </c>
      <c r="G7" s="14">
        <f>F7/$F$124*$D$2</f>
        <v>4813.8471496077937</v>
      </c>
      <c r="H7" s="14">
        <f>F7/$F$124*$E$2</f>
        <v>4813.8471496077937</v>
      </c>
      <c r="I7" s="25" t="str">
        <f t="shared" si="2"/>
        <v/>
      </c>
    </row>
    <row r="8" spans="1:9" x14ac:dyDescent="0.25">
      <c r="A8" s="3">
        <v>1135</v>
      </c>
      <c r="B8" s="3">
        <v>113.3095062</v>
      </c>
      <c r="C8" s="3">
        <v>23.021865930000001</v>
      </c>
      <c r="D8" s="3">
        <v>31</v>
      </c>
      <c r="E8" s="13">
        <f t="shared" si="0"/>
        <v>6.3216671250280337E-4</v>
      </c>
      <c r="F8" s="13">
        <f t="shared" si="1"/>
        <v>39.77261883250285</v>
      </c>
      <c r="G8" s="14">
        <f>F8/$F$252*$D$2</f>
        <v>49.578955255474341</v>
      </c>
      <c r="H8" s="14">
        <f>F8/$F$252*$E$2</f>
        <v>49.578955255474341</v>
      </c>
      <c r="I8" s="25" t="str">
        <f t="shared" si="2"/>
        <v>选中</v>
      </c>
    </row>
    <row r="9" spans="1:9" hidden="1" x14ac:dyDescent="0.25">
      <c r="A9" s="3">
        <v>1141</v>
      </c>
      <c r="B9" s="3">
        <v>113.3103864</v>
      </c>
      <c r="C9" s="3">
        <v>23.022766910000001</v>
      </c>
      <c r="D9" s="3">
        <v>31</v>
      </c>
      <c r="E9" s="13">
        <f t="shared" si="0"/>
        <v>6.4433483531614296E-4</v>
      </c>
      <c r="F9" s="13">
        <f t="shared" si="1"/>
        <v>39.395280236670914</v>
      </c>
      <c r="G9" s="14">
        <f>F9/$F$124*$D$2</f>
        <v>4618.0370264294506</v>
      </c>
      <c r="H9" s="14">
        <f>F9/$F$124*$E$2</f>
        <v>4618.0370264294506</v>
      </c>
      <c r="I9" s="25" t="str">
        <f t="shared" si="2"/>
        <v/>
      </c>
    </row>
    <row r="10" spans="1:9" hidden="1" x14ac:dyDescent="0.25">
      <c r="A10" s="3">
        <v>1073</v>
      </c>
      <c r="B10" s="3">
        <v>113.3095871</v>
      </c>
      <c r="C10" s="3">
        <v>23.021692850000001</v>
      </c>
      <c r="D10" s="3">
        <v>31</v>
      </c>
      <c r="E10" s="13">
        <f t="shared" si="0"/>
        <v>6.9497301932960475E-4</v>
      </c>
      <c r="F10" s="13">
        <f t="shared" si="1"/>
        <v>37.932898396272044</v>
      </c>
      <c r="G10" s="14">
        <f>F10/$F$124*$D$2</f>
        <v>4446.6120880823009</v>
      </c>
      <c r="H10" s="14">
        <f>F10/$F$124*$E$2</f>
        <v>4446.6120880823009</v>
      </c>
      <c r="I10" s="25" t="str">
        <f t="shared" si="2"/>
        <v/>
      </c>
    </row>
    <row r="11" spans="1:9" x14ac:dyDescent="0.25">
      <c r="A11" s="3">
        <v>1106</v>
      </c>
      <c r="B11" s="3">
        <v>113.3097676</v>
      </c>
      <c r="C11" s="3">
        <v>23.022991959999999</v>
      </c>
      <c r="D11" s="3">
        <v>31</v>
      </c>
      <c r="E11" s="13">
        <f t="shared" si="0"/>
        <v>7.9232744020230885E-4</v>
      </c>
      <c r="F11" s="13">
        <f t="shared" si="1"/>
        <v>35.52610962338894</v>
      </c>
      <c r="G11" s="14">
        <f>F11/$F$252*$D$2</f>
        <v>44.285426786623219</v>
      </c>
      <c r="H11" s="14">
        <f>F11/$F$252*$E$2</f>
        <v>44.285426786623219</v>
      </c>
      <c r="I11" s="25" t="str">
        <f t="shared" si="2"/>
        <v>选中</v>
      </c>
    </row>
    <row r="12" spans="1:9" hidden="1" x14ac:dyDescent="0.25">
      <c r="A12" s="3">
        <v>1107</v>
      </c>
      <c r="B12" s="3">
        <v>113.31027659999999</v>
      </c>
      <c r="C12" s="3">
        <v>23.023108959999998</v>
      </c>
      <c r="D12" s="3">
        <v>31</v>
      </c>
      <c r="E12" s="13">
        <f t="shared" si="0"/>
        <v>9.0754045226391466E-4</v>
      </c>
      <c r="F12" s="13">
        <f t="shared" si="1"/>
        <v>33.194566691547955</v>
      </c>
      <c r="G12" s="14">
        <f>F12/$F$124*$D$2</f>
        <v>3891.1701385781098</v>
      </c>
      <c r="H12" s="14">
        <f>F12/$F$124*$E$2</f>
        <v>3891.1701385781098</v>
      </c>
      <c r="I12" s="25" t="str">
        <f t="shared" si="2"/>
        <v/>
      </c>
    </row>
    <row r="13" spans="1:9" hidden="1" x14ac:dyDescent="0.25">
      <c r="A13" s="3">
        <v>1069</v>
      </c>
      <c r="B13" s="3">
        <v>113.3098406</v>
      </c>
      <c r="C13" s="3">
        <v>23.02130155</v>
      </c>
      <c r="D13" s="3">
        <v>31</v>
      </c>
      <c r="E13" s="13">
        <f t="shared" si="0"/>
        <v>9.5433579708495821E-4</v>
      </c>
      <c r="F13" s="13">
        <f t="shared" si="1"/>
        <v>32.370498890518562</v>
      </c>
      <c r="G13" s="14">
        <f>F13/$F$124*$D$2</f>
        <v>3794.5703531576305</v>
      </c>
      <c r="H13" s="14">
        <f>F13/$F$124*$E$2</f>
        <v>3794.5703531576305</v>
      </c>
      <c r="I13" s="25" t="str">
        <f t="shared" si="2"/>
        <v/>
      </c>
    </row>
    <row r="14" spans="1:9" x14ac:dyDescent="0.25">
      <c r="A14" s="3">
        <v>1100</v>
      </c>
      <c r="B14" s="3">
        <v>113.30947020000001</v>
      </c>
      <c r="C14" s="3">
        <v>23.02303349</v>
      </c>
      <c r="D14" s="3">
        <v>31</v>
      </c>
      <c r="E14" s="13">
        <f t="shared" si="0"/>
        <v>9.6345849126497514E-4</v>
      </c>
      <c r="F14" s="13">
        <f t="shared" si="1"/>
        <v>32.216881202420041</v>
      </c>
      <c r="G14" s="14">
        <f>F14/$F$252*$D$2</f>
        <v>40.160275045815993</v>
      </c>
      <c r="H14" s="14">
        <f>F14/$F$252*$E$2</f>
        <v>40.160275045815993</v>
      </c>
      <c r="I14" s="25" t="str">
        <f t="shared" si="2"/>
        <v>选中</v>
      </c>
    </row>
    <row r="15" spans="1:9" hidden="1" x14ac:dyDescent="0.25">
      <c r="A15" s="3">
        <v>1115</v>
      </c>
      <c r="B15" s="3">
        <v>113.30948619999999</v>
      </c>
      <c r="C15" s="3">
        <v>23.023167399999998</v>
      </c>
      <c r="D15" s="3">
        <v>31</v>
      </c>
      <c r="E15" s="13">
        <f t="shared" si="0"/>
        <v>1.0684513531749357E-3</v>
      </c>
      <c r="F15" s="13">
        <f t="shared" si="1"/>
        <v>30.593039207248882</v>
      </c>
      <c r="G15" s="14">
        <f>F15/$F$124*$D$2</f>
        <v>3586.2110121144306</v>
      </c>
      <c r="H15" s="14">
        <f>F15/$F$124*$E$2</f>
        <v>3586.2110121144306</v>
      </c>
      <c r="I15" s="25" t="str">
        <f t="shared" si="2"/>
        <v/>
      </c>
    </row>
    <row r="16" spans="1:9" hidden="1" x14ac:dyDescent="0.25">
      <c r="A16" s="3">
        <v>1111</v>
      </c>
      <c r="B16" s="3">
        <v>113.3097906</v>
      </c>
      <c r="C16" s="3">
        <v>23.023338760000001</v>
      </c>
      <c r="D16" s="3">
        <v>31</v>
      </c>
      <c r="E16" s="13">
        <f t="shared" si="0"/>
        <v>1.1220432132958884E-3</v>
      </c>
      <c r="F16" s="13">
        <f t="shared" si="1"/>
        <v>29.853496810252803</v>
      </c>
      <c r="G16" s="14">
        <f>F16/$F$124*$D$2</f>
        <v>3499.519556909012</v>
      </c>
      <c r="H16" s="14">
        <f>F16/$F$124*$E$2</f>
        <v>3499.519556909012</v>
      </c>
      <c r="I16" s="25" t="str">
        <f t="shared" si="2"/>
        <v/>
      </c>
    </row>
    <row r="17" spans="1:9" x14ac:dyDescent="0.25">
      <c r="A17" s="3">
        <v>1057</v>
      </c>
      <c r="B17" s="3">
        <v>113.3095392</v>
      </c>
      <c r="C17" s="3">
        <v>23.021199150000001</v>
      </c>
      <c r="D17" s="3">
        <v>31</v>
      </c>
      <c r="E17" s="13">
        <f t="shared" si="0"/>
        <v>1.1445482172424304E-3</v>
      </c>
      <c r="F17" s="13">
        <f t="shared" si="1"/>
        <v>29.558538261229629</v>
      </c>
      <c r="G17" s="14">
        <f>F17/$F$252*$D$2</f>
        <v>36.846491100885565</v>
      </c>
      <c r="H17" s="14">
        <f>F17/$F$252*$E$2</f>
        <v>36.846491100885565</v>
      </c>
      <c r="I17" s="25" t="str">
        <f t="shared" si="2"/>
        <v>选中</v>
      </c>
    </row>
    <row r="18" spans="1:9" hidden="1" x14ac:dyDescent="0.25">
      <c r="A18" s="3">
        <v>1071</v>
      </c>
      <c r="B18" s="3">
        <v>113.31053420000001</v>
      </c>
      <c r="C18" s="3">
        <v>23.02118432</v>
      </c>
      <c r="D18" s="3">
        <v>31</v>
      </c>
      <c r="E18" s="13">
        <f t="shared" si="0"/>
        <v>1.1756124336311782E-3</v>
      </c>
      <c r="F18" s="13">
        <f t="shared" si="1"/>
        <v>29.165398493613385</v>
      </c>
      <c r="G18" s="14">
        <f>F18/$F$124*$D$2</f>
        <v>3418.85853647777</v>
      </c>
      <c r="H18" s="14">
        <f>F18/$F$124*$E$2</f>
        <v>3418.85853647777</v>
      </c>
      <c r="I18" s="25" t="str">
        <f t="shared" si="2"/>
        <v/>
      </c>
    </row>
    <row r="19" spans="1:9" hidden="1" x14ac:dyDescent="0.25">
      <c r="A19" s="3">
        <v>1060</v>
      </c>
      <c r="B19" s="3">
        <v>113.30982160000001</v>
      </c>
      <c r="C19" s="3">
        <v>23.02105469</v>
      </c>
      <c r="D19" s="3">
        <v>31</v>
      </c>
      <c r="E19" s="13">
        <f t="shared" si="0"/>
        <v>1.2007771052102085E-3</v>
      </c>
      <c r="F19" s="13">
        <f t="shared" si="1"/>
        <v>28.858170873879324</v>
      </c>
      <c r="G19" s="14">
        <f>F19/$F$124*$D$2</f>
        <v>3382.8443613037348</v>
      </c>
      <c r="H19" s="14">
        <f>F19/$F$124*$E$2</f>
        <v>3382.8443613037348</v>
      </c>
      <c r="I19" s="25" t="str">
        <f t="shared" si="2"/>
        <v/>
      </c>
    </row>
    <row r="20" spans="1:9" x14ac:dyDescent="0.25">
      <c r="A20" s="3">
        <v>1065</v>
      </c>
      <c r="B20" s="3">
        <v>113.30889639999999</v>
      </c>
      <c r="C20" s="3">
        <v>23.0229116</v>
      </c>
      <c r="D20" s="3">
        <v>31</v>
      </c>
      <c r="E20" s="13">
        <f t="shared" si="0"/>
        <v>1.3058708397500746E-3</v>
      </c>
      <c r="F20" s="13">
        <f t="shared" si="1"/>
        <v>27.67259505591057</v>
      </c>
      <c r="G20" s="14">
        <f>F20/$F$252*$D$2</f>
        <v>34.495549761451642</v>
      </c>
      <c r="H20" s="14">
        <f>F20/$F$252*$E$2</f>
        <v>34.495549761451642</v>
      </c>
      <c r="I20" s="25" t="str">
        <f t="shared" si="2"/>
        <v>选中</v>
      </c>
    </row>
    <row r="21" spans="1:9" hidden="1" x14ac:dyDescent="0.25">
      <c r="A21" s="3">
        <v>1047</v>
      </c>
      <c r="B21" s="3">
        <v>113.30880759999999</v>
      </c>
      <c r="C21" s="3">
        <v>23.02162032</v>
      </c>
      <c r="D21" s="3">
        <v>31</v>
      </c>
      <c r="E21" s="13">
        <f t="shared" si="0"/>
        <v>1.3579368004842643E-3</v>
      </c>
      <c r="F21" s="13">
        <f t="shared" si="1"/>
        <v>27.136899171426251</v>
      </c>
      <c r="G21" s="14">
        <f>F21/$F$124*$D$2</f>
        <v>3181.071549770988</v>
      </c>
      <c r="H21" s="14">
        <f>F21/$F$124*$E$2</f>
        <v>3181.071549770988</v>
      </c>
      <c r="I21" s="25" t="str">
        <f t="shared" si="2"/>
        <v/>
      </c>
    </row>
    <row r="22" spans="1:9" hidden="1" x14ac:dyDescent="0.25">
      <c r="A22" s="3">
        <v>1083</v>
      </c>
      <c r="B22" s="3">
        <v>113.3086429</v>
      </c>
      <c r="C22" s="3">
        <v>23.022154390000001</v>
      </c>
      <c r="D22" s="3">
        <v>31</v>
      </c>
      <c r="E22" s="13">
        <f t="shared" si="0"/>
        <v>1.3758418108230596E-3</v>
      </c>
      <c r="F22" s="13">
        <f t="shared" si="1"/>
        <v>26.959743032741798</v>
      </c>
      <c r="G22" s="14">
        <f>F22/$F$124*$D$2</f>
        <v>3160.3047573281069</v>
      </c>
      <c r="H22" s="14">
        <f>F22/$F$124*$E$2</f>
        <v>3160.3047573281069</v>
      </c>
      <c r="I22" s="25" t="str">
        <f t="shared" si="2"/>
        <v/>
      </c>
    </row>
    <row r="23" spans="1:9" x14ac:dyDescent="0.25">
      <c r="A23" s="3">
        <v>1103</v>
      </c>
      <c r="B23" s="3">
        <v>113.3094153</v>
      </c>
      <c r="C23" s="3">
        <v>23.0234804</v>
      </c>
      <c r="D23" s="3">
        <v>31</v>
      </c>
      <c r="E23" s="13">
        <f t="shared" si="0"/>
        <v>1.3785936544546576E-3</v>
      </c>
      <c r="F23" s="13">
        <f t="shared" si="1"/>
        <v>26.932822099028865</v>
      </c>
      <c r="G23" s="14">
        <f>F23/$F$252*$D$2</f>
        <v>33.573378393181699</v>
      </c>
      <c r="H23" s="14">
        <f>F23/$F$252*$E$2</f>
        <v>33.573378393181699</v>
      </c>
      <c r="I23" s="25" t="str">
        <f t="shared" si="2"/>
        <v>选中</v>
      </c>
    </row>
    <row r="24" spans="1:9" hidden="1" x14ac:dyDescent="0.25">
      <c r="A24" s="3">
        <v>1070</v>
      </c>
      <c r="B24" s="3">
        <v>113.3100831</v>
      </c>
      <c r="C24" s="3">
        <v>23.020859290000001</v>
      </c>
      <c r="D24" s="3">
        <v>31</v>
      </c>
      <c r="E24" s="13">
        <f t="shared" si="0"/>
        <v>1.3819451155518824E-3</v>
      </c>
      <c r="F24" s="13">
        <f t="shared" si="1"/>
        <v>26.90014384803634</v>
      </c>
      <c r="G24" s="14">
        <f>F24/$F$124*$D$2</f>
        <v>3153.3183559099334</v>
      </c>
      <c r="H24" s="14">
        <f>F24/$F$124*$E$2</f>
        <v>3153.3183559099334</v>
      </c>
      <c r="I24" s="25" t="str">
        <f t="shared" si="2"/>
        <v/>
      </c>
    </row>
    <row r="25" spans="1:9" hidden="1" x14ac:dyDescent="0.25">
      <c r="A25" s="3">
        <v>1053</v>
      </c>
      <c r="B25" s="3">
        <v>113.3093097</v>
      </c>
      <c r="C25" s="3">
        <v>23.020994659999999</v>
      </c>
      <c r="D25" s="3">
        <v>31</v>
      </c>
      <c r="E25" s="13">
        <f t="shared" si="0"/>
        <v>1.4313984289842448E-3</v>
      </c>
      <c r="F25" s="13">
        <f t="shared" si="1"/>
        <v>26.431373509832127</v>
      </c>
      <c r="G25" s="14">
        <f>F25/$F$124*$D$2</f>
        <v>3098.3676418722703</v>
      </c>
      <c r="H25" s="14">
        <f>F25/$F$124*$E$2</f>
        <v>3098.3676418722703</v>
      </c>
      <c r="I25" s="25" t="str">
        <f t="shared" si="2"/>
        <v/>
      </c>
    </row>
    <row r="26" spans="1:9" x14ac:dyDescent="0.25">
      <c r="A26" s="3">
        <v>1094</v>
      </c>
      <c r="B26" s="3">
        <v>113.309051</v>
      </c>
      <c r="C26" s="3">
        <v>23.023320139999999</v>
      </c>
      <c r="D26" s="3">
        <v>31</v>
      </c>
      <c r="E26" s="13">
        <f t="shared" si="0"/>
        <v>1.4487798628164583E-3</v>
      </c>
      <c r="F26" s="13">
        <f t="shared" si="1"/>
        <v>26.272342643854945</v>
      </c>
      <c r="G26" s="14">
        <f>F26/$F$252*$D$2</f>
        <v>32.750051131450888</v>
      </c>
      <c r="H26" s="14">
        <f>F26/$F$252*$E$2</f>
        <v>32.750051131450888</v>
      </c>
      <c r="I26" s="25" t="str">
        <f t="shared" si="2"/>
        <v>选中</v>
      </c>
    </row>
    <row r="27" spans="1:9" hidden="1" x14ac:dyDescent="0.25">
      <c r="A27" s="3">
        <v>1117</v>
      </c>
      <c r="B27" s="3">
        <v>113.30894739999999</v>
      </c>
      <c r="C27" s="3">
        <v>23.02125822</v>
      </c>
      <c r="D27" s="3">
        <v>31</v>
      </c>
      <c r="E27" s="13">
        <f t="shared" si="0"/>
        <v>1.4509465951955452E-3</v>
      </c>
      <c r="F27" s="13">
        <f t="shared" si="1"/>
        <v>26.252718764016681</v>
      </c>
      <c r="G27" s="14">
        <f>F27/$F$124*$D$2</f>
        <v>3077.4251780500408</v>
      </c>
      <c r="H27" s="14">
        <f>F27/$F$124*$E$2</f>
        <v>3077.4251780500408</v>
      </c>
      <c r="I27" s="25" t="str">
        <f t="shared" si="2"/>
        <v/>
      </c>
    </row>
    <row r="28" spans="1:9" hidden="1" x14ac:dyDescent="0.25">
      <c r="A28" s="3">
        <v>1108</v>
      </c>
      <c r="B28" s="3">
        <v>113.3093724</v>
      </c>
      <c r="C28" s="3">
        <v>23.023608419999999</v>
      </c>
      <c r="D28" s="3">
        <v>31</v>
      </c>
      <c r="E28" s="13">
        <f t="shared" si="0"/>
        <v>1.5126104938463128E-3</v>
      </c>
      <c r="F28" s="13">
        <f t="shared" si="1"/>
        <v>25.712034697783434</v>
      </c>
      <c r="G28" s="14">
        <f>F28/$F$124*$D$2</f>
        <v>3014.0445136033045</v>
      </c>
      <c r="H28" s="14">
        <f>F28/$F$124*$E$2</f>
        <v>3014.0445136033045</v>
      </c>
      <c r="I28" s="25" t="str">
        <f t="shared" si="2"/>
        <v/>
      </c>
    </row>
    <row r="29" spans="1:9" x14ac:dyDescent="0.25">
      <c r="A29" s="3">
        <v>1061</v>
      </c>
      <c r="B29" s="3">
        <v>113.30975979999999</v>
      </c>
      <c r="C29" s="3">
        <v>23.020695960000001</v>
      </c>
      <c r="D29" s="3">
        <v>31</v>
      </c>
      <c r="E29" s="13">
        <f t="shared" si="0"/>
        <v>1.5647827365156785E-3</v>
      </c>
      <c r="F29" s="13">
        <f t="shared" si="1"/>
        <v>25.27976176970277</v>
      </c>
      <c r="G29" s="14">
        <f>F29/$F$252*$D$2</f>
        <v>31.512739528856237</v>
      </c>
      <c r="H29" s="14">
        <f>F29/$F$252*$E$2</f>
        <v>31.512739528856237</v>
      </c>
      <c r="I29" s="25" t="str">
        <f t="shared" si="2"/>
        <v>选中</v>
      </c>
    </row>
    <row r="30" spans="1:9" hidden="1" x14ac:dyDescent="0.25">
      <c r="A30" s="3">
        <v>1082</v>
      </c>
      <c r="B30" s="3">
        <v>113.3085191</v>
      </c>
      <c r="C30" s="3">
        <v>23.022778349999999</v>
      </c>
      <c r="D30" s="3">
        <v>31</v>
      </c>
      <c r="E30" s="13">
        <f t="shared" si="0"/>
        <v>1.5909901909192262E-3</v>
      </c>
      <c r="F30" s="13">
        <f t="shared" si="1"/>
        <v>25.070687813166998</v>
      </c>
      <c r="G30" s="14">
        <f>F30/$F$124*$D$2</f>
        <v>2938.8638411432844</v>
      </c>
      <c r="H30" s="14">
        <f>F30/$F$124*$E$2</f>
        <v>2938.8638411432844</v>
      </c>
      <c r="I30" s="25" t="str">
        <f t="shared" si="2"/>
        <v/>
      </c>
    </row>
    <row r="31" spans="1:9" hidden="1" x14ac:dyDescent="0.25">
      <c r="A31" s="3">
        <v>1075</v>
      </c>
      <c r="B31" s="3">
        <v>113.3108656</v>
      </c>
      <c r="C31" s="3">
        <v>23.020849850000001</v>
      </c>
      <c r="D31" s="3">
        <v>31</v>
      </c>
      <c r="E31" s="13">
        <f t="shared" si="0"/>
        <v>1.6288287533064471E-3</v>
      </c>
      <c r="F31" s="13">
        <f t="shared" si="1"/>
        <v>24.777773942855269</v>
      </c>
      <c r="G31" s="14">
        <f>F31/$F$124*$D$2</f>
        <v>2904.5275681042831</v>
      </c>
      <c r="H31" s="14">
        <f>F31/$F$124*$E$2</f>
        <v>2904.5275681042831</v>
      </c>
      <c r="I31" s="25" t="str">
        <f t="shared" si="2"/>
        <v/>
      </c>
    </row>
    <row r="32" spans="1:9" x14ac:dyDescent="0.25">
      <c r="A32" s="3">
        <v>1055</v>
      </c>
      <c r="B32" s="3">
        <v>113.30927079999999</v>
      </c>
      <c r="C32" s="3">
        <v>23.020731850000001</v>
      </c>
      <c r="D32" s="3">
        <v>31</v>
      </c>
      <c r="E32" s="13">
        <f t="shared" si="0"/>
        <v>1.6819073421581305E-3</v>
      </c>
      <c r="F32" s="13">
        <f t="shared" si="1"/>
        <v>24.383664086339781</v>
      </c>
      <c r="G32" s="14">
        <f>F32/$F$252*$D$2</f>
        <v>30.395700011416139</v>
      </c>
      <c r="H32" s="14">
        <f>F32/$F$252*$E$2</f>
        <v>30.395700011416139</v>
      </c>
      <c r="I32" s="25" t="str">
        <f t="shared" si="2"/>
        <v>选中</v>
      </c>
    </row>
    <row r="33" spans="1:9" hidden="1" x14ac:dyDescent="0.25">
      <c r="A33" s="3">
        <v>1068</v>
      </c>
      <c r="B33" s="3">
        <v>113.30853209999999</v>
      </c>
      <c r="C33" s="3">
        <v>23.023079190000001</v>
      </c>
      <c r="D33" s="3">
        <v>31</v>
      </c>
      <c r="E33" s="13">
        <f t="shared" si="0"/>
        <v>1.7050368255308198E-3</v>
      </c>
      <c r="F33" s="13">
        <f t="shared" si="1"/>
        <v>24.217712452477866</v>
      </c>
      <c r="G33" s="14">
        <f>F33/$F$124*$D$2</f>
        <v>2838.8754218547278</v>
      </c>
      <c r="H33" s="14">
        <f>F33/$F$124*$E$2</f>
        <v>2838.8754218547278</v>
      </c>
      <c r="I33" s="25" t="str">
        <f t="shared" si="2"/>
        <v/>
      </c>
    </row>
    <row r="34" spans="1:9" hidden="1" x14ac:dyDescent="0.25">
      <c r="A34" s="3">
        <v>1051</v>
      </c>
      <c r="B34" s="3">
        <v>113.3096001</v>
      </c>
      <c r="C34" s="3">
        <v>23.02052333</v>
      </c>
      <c r="D34" s="3">
        <v>31</v>
      </c>
      <c r="E34" s="13">
        <f t="shared" si="0"/>
        <v>1.7659765112825016E-3</v>
      </c>
      <c r="F34" s="13">
        <f t="shared" si="1"/>
        <v>23.796196065058961</v>
      </c>
      <c r="G34" s="14">
        <f>F34/$F$124*$D$2</f>
        <v>2789.4639625973491</v>
      </c>
      <c r="H34" s="14">
        <f>F34/$F$124*$E$2</f>
        <v>2789.4639625973491</v>
      </c>
      <c r="I34" s="25" t="str">
        <f t="shared" si="2"/>
        <v/>
      </c>
    </row>
    <row r="35" spans="1:9" x14ac:dyDescent="0.25">
      <c r="A35" s="3">
        <v>1072</v>
      </c>
      <c r="B35" s="3">
        <v>113.3082647</v>
      </c>
      <c r="C35" s="3">
        <v>23.021987159999998</v>
      </c>
      <c r="D35" s="3">
        <v>31</v>
      </c>
      <c r="E35" s="13">
        <f t="shared" si="0"/>
        <v>1.7695007664628515E-3</v>
      </c>
      <c r="F35" s="13">
        <f t="shared" si="1"/>
        <v>23.772487212344295</v>
      </c>
      <c r="G35" s="14">
        <f>F35/$F$252*$D$2</f>
        <v>29.633831374688601</v>
      </c>
      <c r="H35" s="14">
        <f>F35/$F$252*$E$2</f>
        <v>29.633831374688601</v>
      </c>
      <c r="I35" s="25" t="str">
        <f t="shared" si="2"/>
        <v>选中</v>
      </c>
    </row>
    <row r="36" spans="1:9" hidden="1" x14ac:dyDescent="0.25">
      <c r="A36" s="3">
        <v>1059</v>
      </c>
      <c r="B36" s="3">
        <v>113.3090323</v>
      </c>
      <c r="C36" s="3">
        <v>23.020768270000001</v>
      </c>
      <c r="D36" s="3">
        <v>31</v>
      </c>
      <c r="E36" s="13">
        <f t="shared" si="0"/>
        <v>1.7699445854589973E-3</v>
      </c>
      <c r="F36" s="13">
        <f t="shared" si="1"/>
        <v>23.769506513687407</v>
      </c>
      <c r="G36" s="14">
        <f>F36/$F$124*$D$2</f>
        <v>2786.3353305451806</v>
      </c>
      <c r="H36" s="14">
        <f>F36/$F$124*$E$2</f>
        <v>2786.3353305451806</v>
      </c>
      <c r="I36" s="25" t="str">
        <f t="shared" si="2"/>
        <v/>
      </c>
    </row>
    <row r="37" spans="1:9" hidden="1" x14ac:dyDescent="0.25">
      <c r="A37" s="3">
        <v>1104</v>
      </c>
      <c r="B37" s="3">
        <v>113.3114693</v>
      </c>
      <c r="C37" s="3">
        <v>23.021076619999999</v>
      </c>
      <c r="D37" s="3">
        <v>31</v>
      </c>
      <c r="E37" s="13">
        <f t="shared" si="0"/>
        <v>1.861272677525525E-3</v>
      </c>
      <c r="F37" s="13">
        <f t="shared" si="1"/>
        <v>23.179016194308005</v>
      </c>
      <c r="G37" s="14">
        <f>F37/$F$124*$D$2</f>
        <v>2717.1162225134549</v>
      </c>
      <c r="H37" s="14">
        <f>F37/$F$124*$E$2</f>
        <v>2717.1162225134549</v>
      </c>
      <c r="I37" s="25" t="str">
        <f t="shared" si="2"/>
        <v/>
      </c>
    </row>
    <row r="38" spans="1:9" x14ac:dyDescent="0.25">
      <c r="A38" s="3">
        <v>1080</v>
      </c>
      <c r="B38" s="3">
        <v>113.30876859999999</v>
      </c>
      <c r="C38" s="3">
        <v>23.023634520000002</v>
      </c>
      <c r="D38" s="3">
        <v>31</v>
      </c>
      <c r="E38" s="13">
        <f t="shared" si="0"/>
        <v>1.8713711973091423E-3</v>
      </c>
      <c r="F38" s="13">
        <f t="shared" si="1"/>
        <v>23.116390886955248</v>
      </c>
      <c r="G38" s="14">
        <f>F38/$F$252*$D$2</f>
        <v>28.815967947169927</v>
      </c>
      <c r="H38" s="14">
        <f>F38/$F$252*$E$2</f>
        <v>28.815967947169927</v>
      </c>
      <c r="I38" s="25" t="str">
        <f t="shared" si="2"/>
        <v>选中</v>
      </c>
    </row>
    <row r="39" spans="1:9" hidden="1" x14ac:dyDescent="0.25">
      <c r="A39" s="3">
        <v>1049</v>
      </c>
      <c r="B39" s="3">
        <v>113.3097449</v>
      </c>
      <c r="C39" s="3">
        <v>23.020362129999999</v>
      </c>
      <c r="D39" s="3">
        <v>31</v>
      </c>
      <c r="E39" s="13">
        <f t="shared" si="0"/>
        <v>1.8969661542589098E-3</v>
      </c>
      <c r="F39" s="13">
        <f t="shared" si="1"/>
        <v>22.959911454985512</v>
      </c>
      <c r="G39" s="14">
        <f>F39/$F$124*$D$2</f>
        <v>2691.4320849015694</v>
      </c>
      <c r="H39" s="14">
        <f>F39/$F$124*$E$2</f>
        <v>2691.4320849015694</v>
      </c>
      <c r="I39" s="25" t="str">
        <f t="shared" si="2"/>
        <v/>
      </c>
    </row>
    <row r="40" spans="1:9" hidden="1" x14ac:dyDescent="0.25">
      <c r="A40" s="3">
        <v>802</v>
      </c>
      <c r="B40" s="3">
        <v>113.30987829999999</v>
      </c>
      <c r="C40" s="3">
        <v>23.024246210000001</v>
      </c>
      <c r="D40" s="3">
        <v>31</v>
      </c>
      <c r="E40" s="13">
        <f t="shared" si="0"/>
        <v>2.0113260302613584E-3</v>
      </c>
      <c r="F40" s="13">
        <f t="shared" si="1"/>
        <v>22.297632991204953</v>
      </c>
      <c r="G40" s="14">
        <f>F40/$F$124*$D$2</f>
        <v>2613.7977477634236</v>
      </c>
      <c r="H40" s="14">
        <f>F40/$F$124*$E$2</f>
        <v>2613.7977477634236</v>
      </c>
      <c r="I40" s="25" t="str">
        <f t="shared" si="2"/>
        <v/>
      </c>
    </row>
    <row r="41" spans="1:9" x14ac:dyDescent="0.25">
      <c r="A41" s="3">
        <v>1084</v>
      </c>
      <c r="B41" s="3">
        <v>113.3114923</v>
      </c>
      <c r="C41" s="3">
        <v>23.020847679999999</v>
      </c>
      <c r="D41" s="3">
        <v>31</v>
      </c>
      <c r="E41" s="13">
        <f t="shared" si="0"/>
        <v>2.0289493746514513E-3</v>
      </c>
      <c r="F41" s="13">
        <f t="shared" si="1"/>
        <v>22.200583774209946</v>
      </c>
      <c r="G41" s="14">
        <f>F41/$F$252*$D$2</f>
        <v>27.67435944367508</v>
      </c>
      <c r="H41" s="14">
        <f>F41/$F$252*$E$2</f>
        <v>27.67435944367508</v>
      </c>
      <c r="I41" s="25" t="str">
        <f t="shared" si="2"/>
        <v>选中</v>
      </c>
    </row>
    <row r="42" spans="1:9" hidden="1" x14ac:dyDescent="0.25">
      <c r="A42" s="3">
        <v>1092</v>
      </c>
      <c r="B42" s="3">
        <v>113.30829369999999</v>
      </c>
      <c r="C42" s="3">
        <v>23.021157460000001</v>
      </c>
      <c r="D42" s="3">
        <v>31</v>
      </c>
      <c r="E42" s="13">
        <f t="shared" si="0"/>
        <v>2.0341362743227925E-3</v>
      </c>
      <c r="F42" s="13">
        <f t="shared" si="1"/>
        <v>22.172260769671464</v>
      </c>
      <c r="G42" s="14">
        <f>F42/$F$124*$D$2</f>
        <v>2599.1012268185509</v>
      </c>
      <c r="H42" s="14">
        <f>F42/$F$124*$E$2</f>
        <v>2599.1012268185509</v>
      </c>
      <c r="I42" s="25" t="str">
        <f t="shared" si="2"/>
        <v/>
      </c>
    </row>
    <row r="43" spans="1:9" hidden="1" x14ac:dyDescent="0.25">
      <c r="A43" s="3">
        <v>1118</v>
      </c>
      <c r="B43" s="3">
        <v>113.308656</v>
      </c>
      <c r="C43" s="3">
        <v>23.020725980000002</v>
      </c>
      <c r="D43" s="3">
        <v>31</v>
      </c>
      <c r="E43" s="13">
        <f t="shared" si="0"/>
        <v>2.0349318875314978E-3</v>
      </c>
      <c r="F43" s="13">
        <f t="shared" si="1"/>
        <v>22.167925914965583</v>
      </c>
      <c r="G43" s="14">
        <f>F43/$F$124*$D$2</f>
        <v>2598.5930816951832</v>
      </c>
      <c r="H43" s="14">
        <f>F43/$F$124*$E$2</f>
        <v>2598.5930816951832</v>
      </c>
      <c r="I43" s="25" t="str">
        <f t="shared" si="2"/>
        <v/>
      </c>
    </row>
    <row r="44" spans="1:9" x14ac:dyDescent="0.25">
      <c r="A44" s="3">
        <v>1110</v>
      </c>
      <c r="B44" s="3">
        <v>113.3078685</v>
      </c>
      <c r="C44" s="3">
        <v>23.022391710000001</v>
      </c>
      <c r="D44" s="3">
        <v>31</v>
      </c>
      <c r="E44" s="13">
        <f t="shared" si="0"/>
        <v>2.1529793705475473E-3</v>
      </c>
      <c r="F44" s="13">
        <f t="shared" si="1"/>
        <v>21.551627186320196</v>
      </c>
      <c r="G44" s="14">
        <f>F44/$F$252*$D$2</f>
        <v>26.865396127248012</v>
      </c>
      <c r="H44" s="14">
        <f>F44/$F$252*$E$2</f>
        <v>26.865396127248012</v>
      </c>
      <c r="I44" s="25" t="str">
        <f t="shared" si="2"/>
        <v>选中</v>
      </c>
    </row>
    <row r="45" spans="1:9" hidden="1" x14ac:dyDescent="0.25">
      <c r="A45" s="3">
        <v>1130</v>
      </c>
      <c r="B45" s="3">
        <v>113.3100503</v>
      </c>
      <c r="C45" s="3">
        <v>23.020084690000001</v>
      </c>
      <c r="D45" s="3">
        <v>31</v>
      </c>
      <c r="E45" s="13">
        <f t="shared" si="0"/>
        <v>2.1551913711768417E-3</v>
      </c>
      <c r="F45" s="13">
        <f t="shared" si="1"/>
        <v>21.540564490909048</v>
      </c>
      <c r="G45" s="14">
        <f>F45/$F$124*$D$2</f>
        <v>2525.0518283307829</v>
      </c>
      <c r="H45" s="14">
        <f>F45/$F$124*$E$2</f>
        <v>2525.0518283307829</v>
      </c>
      <c r="I45" s="25" t="str">
        <f t="shared" si="2"/>
        <v/>
      </c>
    </row>
    <row r="46" spans="1:9" hidden="1" x14ac:dyDescent="0.25">
      <c r="A46" s="3">
        <v>1058</v>
      </c>
      <c r="B46" s="3">
        <v>113.3086191</v>
      </c>
      <c r="C46" s="3">
        <v>23.020594110000001</v>
      </c>
      <c r="D46" s="3">
        <v>31</v>
      </c>
      <c r="E46" s="13">
        <f t="shared" si="0"/>
        <v>2.1585363675388236E-3</v>
      </c>
      <c r="F46" s="13">
        <f t="shared" si="1"/>
        <v>21.523867749765984</v>
      </c>
      <c r="G46" s="14">
        <f>F46/$F$124*$D$2</f>
        <v>2523.0945845097931</v>
      </c>
      <c r="H46" s="14">
        <f>F46/$F$124*$E$2</f>
        <v>2523.0945845097931</v>
      </c>
      <c r="I46" s="25" t="str">
        <f t="shared" si="2"/>
        <v/>
      </c>
    </row>
    <row r="47" spans="1:9" x14ac:dyDescent="0.25">
      <c r="A47" s="3">
        <v>1179</v>
      </c>
      <c r="B47" s="3">
        <v>113.3118047</v>
      </c>
      <c r="C47" s="3">
        <v>23.020920069999999</v>
      </c>
      <c r="D47" s="3">
        <v>31</v>
      </c>
      <c r="E47" s="13">
        <f t="shared" si="0"/>
        <v>2.2226731139763757E-3</v>
      </c>
      <c r="F47" s="13">
        <f t="shared" si="1"/>
        <v>21.211051669873555</v>
      </c>
      <c r="G47" s="14">
        <f>F47/$F$252*$D$2</f>
        <v>26.440848315545477</v>
      </c>
      <c r="H47" s="14">
        <f>F47/$F$252*$E$2</f>
        <v>26.440848315545477</v>
      </c>
      <c r="I47" s="25" t="str">
        <f t="shared" si="2"/>
        <v>选中</v>
      </c>
    </row>
    <row r="48" spans="1:9" hidden="1" x14ac:dyDescent="0.25">
      <c r="A48" s="3">
        <v>1101</v>
      </c>
      <c r="B48" s="3">
        <v>113.3081119</v>
      </c>
      <c r="C48" s="3">
        <v>23.02344081</v>
      </c>
      <c r="D48" s="3">
        <v>31</v>
      </c>
      <c r="E48" s="13">
        <f t="shared" si="0"/>
        <v>2.2514126854034405E-3</v>
      </c>
      <c r="F48" s="13">
        <f t="shared" si="1"/>
        <v>21.075235955254797</v>
      </c>
      <c r="G48" s="14">
        <f>F48/$F$124*$D$2</f>
        <v>2470.5045730708689</v>
      </c>
      <c r="H48" s="14">
        <f>F48/$F$124*$E$2</f>
        <v>2470.5045730708689</v>
      </c>
      <c r="I48" s="25" t="str">
        <f t="shared" si="2"/>
        <v/>
      </c>
    </row>
    <row r="49" spans="1:9" hidden="1" x14ac:dyDescent="0.25">
      <c r="A49" s="3">
        <v>799</v>
      </c>
      <c r="B49" s="3">
        <v>113.30872960000001</v>
      </c>
      <c r="C49" s="3">
        <v>23.024113379999999</v>
      </c>
      <c r="D49" s="3">
        <v>31</v>
      </c>
      <c r="E49" s="13">
        <f t="shared" si="0"/>
        <v>2.2729048072626522E-3</v>
      </c>
      <c r="F49" s="13">
        <f t="shared" si="1"/>
        <v>20.975357732315643</v>
      </c>
      <c r="G49" s="14">
        <f>F49/$F$124*$D$2</f>
        <v>2458.7965377708015</v>
      </c>
      <c r="H49" s="14">
        <f>F49/$F$124*$E$2</f>
        <v>2458.7965377708015</v>
      </c>
      <c r="I49" s="25" t="str">
        <f t="shared" si="2"/>
        <v/>
      </c>
    </row>
    <row r="50" spans="1:9" x14ac:dyDescent="0.25">
      <c r="A50" s="3">
        <v>1041</v>
      </c>
      <c r="B50" s="3">
        <v>113.30928780000001</v>
      </c>
      <c r="C50" s="3">
        <v>23.020073100000001</v>
      </c>
      <c r="D50" s="3">
        <v>31</v>
      </c>
      <c r="E50" s="13">
        <f t="shared" si="0"/>
        <v>2.2856479322243667E-3</v>
      </c>
      <c r="F50" s="13">
        <f t="shared" si="1"/>
        <v>20.916804269328065</v>
      </c>
      <c r="G50" s="14">
        <f>F50/$F$252*$D$2</f>
        <v>26.074051279445793</v>
      </c>
      <c r="H50" s="14">
        <f>F50/$F$252*$E$2</f>
        <v>26.074051279445793</v>
      </c>
      <c r="I50" s="25" t="str">
        <f t="shared" si="2"/>
        <v>选中</v>
      </c>
    </row>
    <row r="51" spans="1:9" hidden="1" x14ac:dyDescent="0.25">
      <c r="A51" s="3">
        <v>1046</v>
      </c>
      <c r="B51" s="3">
        <v>113.3097369</v>
      </c>
      <c r="C51" s="3">
        <v>23.01995732</v>
      </c>
      <c r="D51" s="3">
        <v>31</v>
      </c>
      <c r="E51" s="13">
        <f t="shared" si="0"/>
        <v>2.2993043043706492E-3</v>
      </c>
      <c r="F51" s="13">
        <f t="shared" si="1"/>
        <v>20.854595655344678</v>
      </c>
      <c r="G51" s="14">
        <f>F51/$F$124*$D$2</f>
        <v>2444.6404322807507</v>
      </c>
      <c r="H51" s="14">
        <f>F51/$F$124*$E$2</f>
        <v>2444.6404322807507</v>
      </c>
      <c r="I51" s="25" t="str">
        <f t="shared" si="2"/>
        <v/>
      </c>
    </row>
    <row r="52" spans="1:9" hidden="1" x14ac:dyDescent="0.25">
      <c r="A52" s="3">
        <v>1119</v>
      </c>
      <c r="B52" s="3">
        <v>113.3079793</v>
      </c>
      <c r="C52" s="3">
        <v>23.020885159999999</v>
      </c>
      <c r="D52" s="3">
        <v>31</v>
      </c>
      <c r="E52" s="13">
        <f t="shared" si="0"/>
        <v>2.4460353722909655E-3</v>
      </c>
      <c r="F52" s="13">
        <f t="shared" si="1"/>
        <v>20.219417200838759</v>
      </c>
      <c r="G52" s="14">
        <f>F52/$F$124*$D$2</f>
        <v>2370.1828423441739</v>
      </c>
      <c r="H52" s="14">
        <f>F52/$F$124*$E$2</f>
        <v>2370.1828423441739</v>
      </c>
      <c r="I52" s="25" t="str">
        <f t="shared" si="2"/>
        <v/>
      </c>
    </row>
    <row r="53" spans="1:9" x14ac:dyDescent="0.25">
      <c r="A53" s="3">
        <v>1038</v>
      </c>
      <c r="B53" s="3">
        <v>113.3079644</v>
      </c>
      <c r="C53" s="3">
        <v>23.020875190000002</v>
      </c>
      <c r="D53" s="3">
        <v>31</v>
      </c>
      <c r="E53" s="13">
        <f t="shared" si="0"/>
        <v>2.4639632355975545E-3</v>
      </c>
      <c r="F53" s="13">
        <f t="shared" si="1"/>
        <v>20.145724394522887</v>
      </c>
      <c r="G53" s="14">
        <f>F53/$F$252*$D$2</f>
        <v>25.11285395994414</v>
      </c>
      <c r="H53" s="14">
        <f>F53/$F$252*$E$2</f>
        <v>25.11285395994414</v>
      </c>
      <c r="I53" s="25" t="str">
        <f t="shared" si="2"/>
        <v>选中</v>
      </c>
    </row>
    <row r="54" spans="1:9" hidden="1" x14ac:dyDescent="0.25">
      <c r="A54" s="3">
        <v>1096</v>
      </c>
      <c r="B54" s="3">
        <v>113.307597</v>
      </c>
      <c r="C54" s="3">
        <v>23.022880990000001</v>
      </c>
      <c r="D54" s="3">
        <v>31</v>
      </c>
      <c r="E54" s="13">
        <f t="shared" si="0"/>
        <v>2.5026811851269828E-3</v>
      </c>
      <c r="F54" s="13">
        <f t="shared" si="1"/>
        <v>19.989283878293968</v>
      </c>
      <c r="G54" s="14">
        <f>F54/$F$124*$D$2</f>
        <v>2343.2058999758897</v>
      </c>
      <c r="H54" s="14">
        <f>F54/$F$124*$E$2</f>
        <v>2343.2058999758897</v>
      </c>
      <c r="I54" s="25" t="str">
        <f t="shared" si="2"/>
        <v/>
      </c>
    </row>
    <row r="55" spans="1:9" hidden="1" x14ac:dyDescent="0.25">
      <c r="A55" s="3">
        <v>1176</v>
      </c>
      <c r="B55" s="3">
        <v>113.3123605</v>
      </c>
      <c r="C55" s="3">
        <v>23.021274869999999</v>
      </c>
      <c r="D55" s="3">
        <v>31</v>
      </c>
      <c r="E55" s="13">
        <f t="shared" si="0"/>
        <v>2.5351399621309696E-3</v>
      </c>
      <c r="F55" s="13">
        <f t="shared" si="1"/>
        <v>19.860904786036308</v>
      </c>
      <c r="G55" s="14">
        <f>F55/$F$124*$D$2</f>
        <v>2328.1569043118502</v>
      </c>
      <c r="H55" s="14">
        <f>F55/$F$124*$E$2</f>
        <v>2328.1569043118502</v>
      </c>
      <c r="I55" s="25" t="str">
        <f t="shared" si="2"/>
        <v/>
      </c>
    </row>
    <row r="56" spans="1:9" x14ac:dyDescent="0.25">
      <c r="A56" s="3">
        <v>1043</v>
      </c>
      <c r="B56" s="3">
        <v>113.3095922</v>
      </c>
      <c r="C56" s="3">
        <v>23.019728690000001</v>
      </c>
      <c r="D56" s="3">
        <v>31</v>
      </c>
      <c r="E56" s="13">
        <f t="shared" si="0"/>
        <v>2.5464505603673806E-3</v>
      </c>
      <c r="F56" s="13">
        <f t="shared" si="1"/>
        <v>19.816747495345044</v>
      </c>
      <c r="G56" s="14">
        <f>F56/$F$252*$D$2</f>
        <v>24.702764520445282</v>
      </c>
      <c r="H56" s="14">
        <f>F56/$F$252*$E$2</f>
        <v>24.702764520445282</v>
      </c>
      <c r="I56" s="25" t="str">
        <f t="shared" si="2"/>
        <v>选中</v>
      </c>
    </row>
    <row r="57" spans="1:9" hidden="1" x14ac:dyDescent="0.25">
      <c r="A57" s="3">
        <v>766</v>
      </c>
      <c r="B57" s="3">
        <v>113.3093294</v>
      </c>
      <c r="C57" s="3">
        <v>23.024726019999999</v>
      </c>
      <c r="D57" s="3">
        <v>31</v>
      </c>
      <c r="E57" s="13">
        <f t="shared" si="0"/>
        <v>2.5794944423474446E-3</v>
      </c>
      <c r="F57" s="13">
        <f t="shared" si="1"/>
        <v>19.689409963791878</v>
      </c>
      <c r="G57" s="14">
        <f>F57/$F$124*$D$2</f>
        <v>2308.053748953952</v>
      </c>
      <c r="H57" s="14">
        <f>F57/$F$124*$E$2</f>
        <v>2308.053748953952</v>
      </c>
      <c r="I57" s="25" t="str">
        <f t="shared" si="2"/>
        <v/>
      </c>
    </row>
    <row r="58" spans="1:9" hidden="1" x14ac:dyDescent="0.25">
      <c r="A58" s="3">
        <v>883</v>
      </c>
      <c r="B58" s="3">
        <v>113.3117226</v>
      </c>
      <c r="C58" s="3">
        <v>23.024252780000001</v>
      </c>
      <c r="D58" s="3">
        <v>31</v>
      </c>
      <c r="E58" s="13">
        <f t="shared" si="0"/>
        <v>2.6391278292073957E-3</v>
      </c>
      <c r="F58" s="13">
        <f t="shared" si="1"/>
        <v>19.465689287387082</v>
      </c>
      <c r="G58" s="14">
        <f>F58/$F$124*$D$2</f>
        <v>2281.8285168700977</v>
      </c>
      <c r="H58" s="14">
        <f>F58/$F$124*$E$2</f>
        <v>2281.8285168700977</v>
      </c>
      <c r="I58" s="25" t="str">
        <f t="shared" si="2"/>
        <v/>
      </c>
    </row>
    <row r="59" spans="1:9" x14ac:dyDescent="0.25">
      <c r="A59" s="3">
        <v>1048</v>
      </c>
      <c r="B59" s="3">
        <v>113.30969899999999</v>
      </c>
      <c r="C59" s="3">
        <v>23.019617539999999</v>
      </c>
      <c r="D59" s="3">
        <v>31</v>
      </c>
      <c r="E59" s="13">
        <f t="shared" si="0"/>
        <v>2.6411746430154474E-3</v>
      </c>
      <c r="F59" s="13">
        <f t="shared" si="1"/>
        <v>19.458145226667305</v>
      </c>
      <c r="G59" s="14">
        <f>F59/$F$252*$D$2</f>
        <v>24.255745280697461</v>
      </c>
      <c r="H59" s="14">
        <f>F59/$F$252*$E$2</f>
        <v>24.255745280697461</v>
      </c>
      <c r="I59" s="25" t="str">
        <f t="shared" si="2"/>
        <v>选中</v>
      </c>
    </row>
    <row r="60" spans="1:9" hidden="1" x14ac:dyDescent="0.25">
      <c r="A60" s="3">
        <v>779</v>
      </c>
      <c r="B60" s="3">
        <v>113.3089222</v>
      </c>
      <c r="C60" s="3">
        <v>23.024653799999999</v>
      </c>
      <c r="D60" s="3">
        <v>31</v>
      </c>
      <c r="E60" s="13">
        <f t="shared" si="0"/>
        <v>2.6504585577027924E-3</v>
      </c>
      <c r="F60" s="13">
        <f t="shared" si="1"/>
        <v>19.424036745941049</v>
      </c>
      <c r="G60" s="14">
        <f>F60/$F$124*$D$2</f>
        <v>2276.9458766785042</v>
      </c>
      <c r="H60" s="14">
        <f>F60/$F$124*$E$2</f>
        <v>2276.9458766785042</v>
      </c>
      <c r="I60" s="25" t="str">
        <f t="shared" si="2"/>
        <v/>
      </c>
    </row>
    <row r="61" spans="1:9" hidden="1" x14ac:dyDescent="0.25">
      <c r="A61" s="3">
        <v>1144</v>
      </c>
      <c r="B61" s="3">
        <v>113.30731950000001</v>
      </c>
      <c r="C61" s="3">
        <v>23.022535649999998</v>
      </c>
      <c r="D61" s="3">
        <v>31</v>
      </c>
      <c r="E61" s="13">
        <f t="shared" si="0"/>
        <v>2.7128013641919404E-3</v>
      </c>
      <c r="F61" s="13">
        <f t="shared" si="1"/>
        <v>19.199547904969581</v>
      </c>
      <c r="G61" s="14">
        <f>F61/$F$124*$D$2</f>
        <v>2250.6305979598751</v>
      </c>
      <c r="H61" s="14">
        <f>F61/$F$124*$E$2</f>
        <v>2250.6305979598751</v>
      </c>
      <c r="I61" s="25" t="str">
        <f t="shared" si="2"/>
        <v/>
      </c>
    </row>
    <row r="62" spans="1:9" x14ac:dyDescent="0.25">
      <c r="A62" s="3">
        <v>833</v>
      </c>
      <c r="B62" s="3">
        <v>113.30879950000001</v>
      </c>
      <c r="C62" s="3">
        <v>23.024682009999999</v>
      </c>
      <c r="D62" s="3">
        <v>31</v>
      </c>
      <c r="E62" s="13">
        <f t="shared" si="0"/>
        <v>2.7286321335019265E-3</v>
      </c>
      <c r="F62" s="13">
        <f t="shared" si="1"/>
        <v>19.143771653069123</v>
      </c>
      <c r="G62" s="14">
        <f>F62/$F$252*$D$2</f>
        <v>23.86385976255827</v>
      </c>
      <c r="H62" s="14">
        <f>F62/$F$252*$E$2</f>
        <v>23.86385976255827</v>
      </c>
      <c r="I62" s="25" t="str">
        <f t="shared" si="2"/>
        <v>选中</v>
      </c>
    </row>
    <row r="63" spans="1:9" hidden="1" x14ac:dyDescent="0.25">
      <c r="A63" s="3">
        <v>1086</v>
      </c>
      <c r="B63" s="3">
        <v>113.3072966</v>
      </c>
      <c r="C63" s="3">
        <v>23.022463720000001</v>
      </c>
      <c r="D63" s="3">
        <v>31</v>
      </c>
      <c r="E63" s="13">
        <f t="shared" si="0"/>
        <v>2.7287186630520271E-3</v>
      </c>
      <c r="F63" s="13">
        <f t="shared" si="1"/>
        <v>19.143468119563963</v>
      </c>
      <c r="G63" s="14">
        <f>F63/$F$124*$D$2</f>
        <v>2244.0567514513209</v>
      </c>
      <c r="H63" s="14">
        <f>F63/$F$124*$E$2</f>
        <v>2244.0567514513209</v>
      </c>
      <c r="I63" s="25" t="str">
        <f t="shared" si="2"/>
        <v/>
      </c>
    </row>
    <row r="64" spans="1:9" hidden="1" x14ac:dyDescent="0.25">
      <c r="A64" s="3">
        <v>1042</v>
      </c>
      <c r="B64" s="3">
        <v>113.3077847</v>
      </c>
      <c r="C64" s="3">
        <v>23.020611630000001</v>
      </c>
      <c r="D64" s="3">
        <v>31</v>
      </c>
      <c r="E64" s="13">
        <f t="shared" si="0"/>
        <v>2.7621485912949564E-3</v>
      </c>
      <c r="F64" s="13">
        <f t="shared" si="1"/>
        <v>19.02727000345816</v>
      </c>
      <c r="G64" s="14">
        <f>F64/$F$124*$D$2</f>
        <v>2230.435647619739</v>
      </c>
      <c r="H64" s="14">
        <f>F64/$F$124*$E$2</f>
        <v>2230.435647619739</v>
      </c>
      <c r="I64" s="25" t="str">
        <f t="shared" si="2"/>
        <v/>
      </c>
    </row>
    <row r="65" spans="1:9" x14ac:dyDescent="0.25">
      <c r="A65" s="3">
        <v>1095</v>
      </c>
      <c r="B65" s="3">
        <v>113.3109066</v>
      </c>
      <c r="C65" s="3">
        <v>23.0196173</v>
      </c>
      <c r="D65" s="3">
        <v>31</v>
      </c>
      <c r="E65" s="13">
        <f t="shared" si="0"/>
        <v>2.7693862110750186E-3</v>
      </c>
      <c r="F65" s="13">
        <f t="shared" si="1"/>
        <v>19.002390440163943</v>
      </c>
      <c r="G65" s="14">
        <f>F65/$F$252*$D$2</f>
        <v>23.687619599492564</v>
      </c>
      <c r="H65" s="14">
        <f>F65/$F$252*$E$2</f>
        <v>23.687619599492564</v>
      </c>
      <c r="I65" s="25" t="str">
        <f t="shared" si="2"/>
        <v>选中</v>
      </c>
    </row>
    <row r="66" spans="1:9" hidden="1" x14ac:dyDescent="0.25">
      <c r="A66" s="3">
        <v>1134</v>
      </c>
      <c r="B66" s="3">
        <v>113.3072726</v>
      </c>
      <c r="C66" s="3">
        <v>23.02265268</v>
      </c>
      <c r="D66" s="3">
        <v>31</v>
      </c>
      <c r="E66" s="13">
        <f t="shared" si="0"/>
        <v>2.7744222956982484E-3</v>
      </c>
      <c r="F66" s="13">
        <f t="shared" si="1"/>
        <v>18.985136197164124</v>
      </c>
      <c r="G66" s="14">
        <f>F66/$F$124*$D$2</f>
        <v>2225.4965920688883</v>
      </c>
      <c r="H66" s="14">
        <f>F66/$F$124*$E$2</f>
        <v>2225.4965920688883</v>
      </c>
      <c r="I66" s="25" t="str">
        <f t="shared" si="2"/>
        <v/>
      </c>
    </row>
    <row r="67" spans="1:9" hidden="1" x14ac:dyDescent="0.25">
      <c r="A67" s="3">
        <v>783</v>
      </c>
      <c r="B67" s="3">
        <v>113.30844020000001</v>
      </c>
      <c r="C67" s="3">
        <v>23.024525740000001</v>
      </c>
      <c r="D67" s="3">
        <v>31</v>
      </c>
      <c r="E67" s="13">
        <f t="shared" si="0"/>
        <v>2.7766618783859141E-3</v>
      </c>
      <c r="F67" s="13">
        <f t="shared" si="1"/>
        <v>18.977478196063164</v>
      </c>
      <c r="G67" s="14">
        <f>F67/$F$124*$D$2</f>
        <v>2224.598897410538</v>
      </c>
      <c r="H67" s="14">
        <f>F67/$F$124*$E$2</f>
        <v>2224.598897410538</v>
      </c>
      <c r="I67" s="25" t="str">
        <f t="shared" si="2"/>
        <v/>
      </c>
    </row>
    <row r="68" spans="1:9" x14ac:dyDescent="0.25">
      <c r="A68" s="3">
        <v>1128</v>
      </c>
      <c r="B68" s="3">
        <v>113.31089660000001</v>
      </c>
      <c r="C68" s="3">
        <v>23.019595330000001</v>
      </c>
      <c r="D68" s="3">
        <v>31</v>
      </c>
      <c r="E68" s="13">
        <f t="shared" si="0"/>
        <v>2.7870229579975954E-3</v>
      </c>
      <c r="F68" s="13">
        <f t="shared" si="1"/>
        <v>18.942169866725763</v>
      </c>
      <c r="G68" s="14">
        <f>F68/$F$252*$D$2</f>
        <v>23.612551042188748</v>
      </c>
      <c r="H68" s="14">
        <f>F68/$F$252*$E$2</f>
        <v>23.612551042188748</v>
      </c>
      <c r="I68" s="25" t="str">
        <f t="shared" si="2"/>
        <v>选中</v>
      </c>
    </row>
    <row r="69" spans="1:9" hidden="1" x14ac:dyDescent="0.25">
      <c r="A69" s="3">
        <v>817</v>
      </c>
      <c r="B69" s="3">
        <v>113.3077885</v>
      </c>
      <c r="C69" s="3">
        <v>23.02393219</v>
      </c>
      <c r="D69" s="3">
        <v>31</v>
      </c>
      <c r="E69" s="13">
        <f t="shared" ref="E69:E132" si="3">SQRT((B69-$B$2)^2+(C69-$C$2)^2)</f>
        <v>2.7976827583538724E-3</v>
      </c>
      <c r="F69" s="13">
        <f t="shared" ref="F69:F132" si="4">SQRT(1/E69)</f>
        <v>18.906048463091672</v>
      </c>
      <c r="G69" s="14">
        <f>F69/$F$124*$D$2</f>
        <v>2216.2256824043593</v>
      </c>
      <c r="H69" s="14">
        <f>F69/$F$124*$E$2</f>
        <v>2216.2256824043593</v>
      </c>
      <c r="I69" s="25" t="str">
        <f t="shared" si="2"/>
        <v/>
      </c>
    </row>
    <row r="70" spans="1:9" hidden="1" x14ac:dyDescent="0.25">
      <c r="A70" s="3">
        <v>1133</v>
      </c>
      <c r="B70" s="3">
        <v>113.30721870000001</v>
      </c>
      <c r="C70" s="3">
        <v>23.022460859999999</v>
      </c>
      <c r="D70" s="3">
        <v>31</v>
      </c>
      <c r="E70" s="13">
        <f t="shared" si="3"/>
        <v>2.8061358346402523E-3</v>
      </c>
      <c r="F70" s="13">
        <f t="shared" si="4"/>
        <v>18.877551124529276</v>
      </c>
      <c r="G70" s="14">
        <f>F70/$F$124*$D$2</f>
        <v>2212.8851359265773</v>
      </c>
      <c r="H70" s="14">
        <f>F70/$F$124*$E$2</f>
        <v>2212.8851359265773</v>
      </c>
      <c r="I70" s="25" t="str">
        <f t="shared" ref="I70:I133" si="5">IF(MOD(ROW()-1,3)=1,"选中","")</f>
        <v/>
      </c>
    </row>
    <row r="71" spans="1:9" x14ac:dyDescent="0.25">
      <c r="A71" s="3">
        <v>782</v>
      </c>
      <c r="B71" s="3">
        <v>113.3091148</v>
      </c>
      <c r="C71" s="3">
        <v>23.02492033</v>
      </c>
      <c r="D71" s="3">
        <v>31</v>
      </c>
      <c r="E71" s="13">
        <f t="shared" si="3"/>
        <v>2.8281798755375493E-3</v>
      </c>
      <c r="F71" s="13">
        <f t="shared" si="4"/>
        <v>18.803837359599658</v>
      </c>
      <c r="G71" s="14">
        <f>F71/$F$252*$D$2</f>
        <v>23.440111273762486</v>
      </c>
      <c r="H71" s="14">
        <f>F71/$F$252*$E$2</f>
        <v>23.440111273762486</v>
      </c>
      <c r="I71" s="25" t="str">
        <f t="shared" si="5"/>
        <v>选中</v>
      </c>
    </row>
    <row r="72" spans="1:9" hidden="1" x14ac:dyDescent="0.25">
      <c r="A72" s="3">
        <v>1067</v>
      </c>
      <c r="B72" s="3">
        <v>113.3072038</v>
      </c>
      <c r="C72" s="3">
        <v>23.022644809999999</v>
      </c>
      <c r="D72" s="3">
        <v>31</v>
      </c>
      <c r="E72" s="13">
        <f t="shared" si="3"/>
        <v>2.8413409387139689E-3</v>
      </c>
      <c r="F72" s="13">
        <f t="shared" si="4"/>
        <v>18.76023721763859</v>
      </c>
      <c r="G72" s="14">
        <f>F72/$F$124*$D$2</f>
        <v>2199.133235635943</v>
      </c>
      <c r="H72" s="14">
        <f>F72/$F$124*$E$2</f>
        <v>2199.133235635943</v>
      </c>
      <c r="I72" s="25" t="str">
        <f t="shared" si="5"/>
        <v/>
      </c>
    </row>
    <row r="73" spans="1:9" hidden="1" x14ac:dyDescent="0.25">
      <c r="A73" s="3">
        <v>1171</v>
      </c>
      <c r="B73" s="3">
        <v>113.312636</v>
      </c>
      <c r="C73" s="3">
        <v>23.021027459999999</v>
      </c>
      <c r="D73" s="3">
        <v>31</v>
      </c>
      <c r="E73" s="13">
        <f t="shared" si="3"/>
        <v>2.886725416886221E-3</v>
      </c>
      <c r="F73" s="13">
        <f t="shared" si="4"/>
        <v>18.61218077037595</v>
      </c>
      <c r="G73" s="14">
        <f>F73/$F$124*$D$2</f>
        <v>2181.7775993426385</v>
      </c>
      <c r="H73" s="14">
        <f>F73/$F$124*$E$2</f>
        <v>2181.7775993426385</v>
      </c>
      <c r="I73" s="25" t="str">
        <f t="shared" si="5"/>
        <v/>
      </c>
    </row>
    <row r="74" spans="1:9" x14ac:dyDescent="0.25">
      <c r="A74" s="3">
        <v>786</v>
      </c>
      <c r="B74" s="3">
        <v>113.3086318</v>
      </c>
      <c r="C74" s="3">
        <v>23.02480327</v>
      </c>
      <c r="D74" s="3">
        <v>31</v>
      </c>
      <c r="E74" s="13">
        <f t="shared" si="3"/>
        <v>2.913526915199814E-3</v>
      </c>
      <c r="F74" s="13">
        <f t="shared" si="4"/>
        <v>18.526376374905514</v>
      </c>
      <c r="G74" s="14">
        <f>F74/$F$252*$D$2</f>
        <v>23.094239512005402</v>
      </c>
      <c r="H74" s="14">
        <f>F74/$F$252*$E$2</f>
        <v>23.094239512005402</v>
      </c>
      <c r="I74" s="25" t="str">
        <f t="shared" si="5"/>
        <v>选中</v>
      </c>
    </row>
    <row r="75" spans="1:9" hidden="1" x14ac:dyDescent="0.25">
      <c r="A75" s="3">
        <v>840</v>
      </c>
      <c r="B75" s="3">
        <v>113.3086986</v>
      </c>
      <c r="C75" s="3">
        <v>23.024854120000001</v>
      </c>
      <c r="D75" s="3">
        <v>31</v>
      </c>
      <c r="E75" s="13">
        <f t="shared" si="3"/>
        <v>2.9277070874835533E-3</v>
      </c>
      <c r="F75" s="13">
        <f t="shared" si="4"/>
        <v>18.481456224896675</v>
      </c>
      <c r="G75" s="14">
        <f>F75/$F$124*$D$2</f>
        <v>2166.4536623720237</v>
      </c>
      <c r="H75" s="14">
        <f>F75/$F$124*$E$2</f>
        <v>2166.4536623720237</v>
      </c>
      <c r="I75" s="25" t="str">
        <f t="shared" si="5"/>
        <v/>
      </c>
    </row>
    <row r="76" spans="1:9" hidden="1" x14ac:dyDescent="0.25">
      <c r="A76" s="3">
        <v>842</v>
      </c>
      <c r="B76" s="3">
        <v>113.309009</v>
      </c>
      <c r="C76" s="3">
        <v>23.025113439999998</v>
      </c>
      <c r="D76" s="3">
        <v>31</v>
      </c>
      <c r="E76" s="13">
        <f t="shared" si="3"/>
        <v>3.0451846050580963E-3</v>
      </c>
      <c r="F76" s="13">
        <f t="shared" si="4"/>
        <v>18.121460103132581</v>
      </c>
      <c r="G76" s="14">
        <f>F76/$F$124*$D$2</f>
        <v>2124.2537996044507</v>
      </c>
      <c r="H76" s="14">
        <f>F76/$F$124*$E$2</f>
        <v>2124.2537996044507</v>
      </c>
      <c r="I76" s="25" t="str">
        <f t="shared" si="5"/>
        <v/>
      </c>
    </row>
    <row r="77" spans="1:9" x14ac:dyDescent="0.25">
      <c r="A77" s="3">
        <v>814</v>
      </c>
      <c r="B77" s="3">
        <v>113.3115</v>
      </c>
      <c r="C77" s="3">
        <v>23.024935899999999</v>
      </c>
      <c r="D77" s="3">
        <v>31</v>
      </c>
      <c r="E77" s="13">
        <f t="shared" si="3"/>
        <v>3.0776515355196918E-3</v>
      </c>
      <c r="F77" s="13">
        <f t="shared" si="4"/>
        <v>18.025622729123857</v>
      </c>
      <c r="G77" s="14">
        <f>F77/$F$252*$D$2</f>
        <v>22.470020053317516</v>
      </c>
      <c r="H77" s="14">
        <f>F77/$F$252*$E$2</f>
        <v>22.470020053317516</v>
      </c>
      <c r="I77" s="25" t="str">
        <f t="shared" si="5"/>
        <v>选中</v>
      </c>
    </row>
    <row r="78" spans="1:9" hidden="1" x14ac:dyDescent="0.25">
      <c r="A78" s="3">
        <v>1093</v>
      </c>
      <c r="B78" s="3">
        <v>113.3069253</v>
      </c>
      <c r="C78" s="3">
        <v>23.02218452</v>
      </c>
      <c r="D78" s="3">
        <v>31</v>
      </c>
      <c r="E78" s="13">
        <f t="shared" si="3"/>
        <v>3.0912909193525529E-3</v>
      </c>
      <c r="F78" s="13">
        <f t="shared" si="4"/>
        <v>17.985812470645865</v>
      </c>
      <c r="G78" s="14">
        <f>F78/$F$124*$D$2</f>
        <v>2108.352763094294</v>
      </c>
      <c r="H78" s="14">
        <f>F78/$F$124*$E$2</f>
        <v>2108.352763094294</v>
      </c>
      <c r="I78" s="25" t="str">
        <f t="shared" si="5"/>
        <v/>
      </c>
    </row>
    <row r="79" spans="1:9" hidden="1" x14ac:dyDescent="0.25">
      <c r="A79" s="3">
        <v>1036</v>
      </c>
      <c r="B79" s="3">
        <v>113.30819200000001</v>
      </c>
      <c r="C79" s="3">
        <v>23.019693279999998</v>
      </c>
      <c r="D79" s="3">
        <v>31</v>
      </c>
      <c r="E79" s="13">
        <f t="shared" si="3"/>
        <v>3.1322735000126833E-3</v>
      </c>
      <c r="F79" s="13">
        <f t="shared" si="4"/>
        <v>17.867762118547258</v>
      </c>
      <c r="G79" s="14">
        <f>F79/$F$124*$D$2</f>
        <v>2094.5145344105713</v>
      </c>
      <c r="H79" s="14">
        <f>F79/$F$124*$E$2</f>
        <v>2094.5145344105713</v>
      </c>
      <c r="I79" s="25" t="str">
        <f t="shared" si="5"/>
        <v/>
      </c>
    </row>
    <row r="80" spans="1:9" x14ac:dyDescent="0.25">
      <c r="A80" s="3">
        <v>879</v>
      </c>
      <c r="B80" s="3">
        <v>113.3119172</v>
      </c>
      <c r="C80" s="3">
        <v>23.024759199999998</v>
      </c>
      <c r="D80" s="3">
        <v>31</v>
      </c>
      <c r="E80" s="13">
        <f t="shared" si="3"/>
        <v>3.15634519311249E-3</v>
      </c>
      <c r="F80" s="13">
        <f t="shared" si="4"/>
        <v>17.799497963466905</v>
      </c>
      <c r="G80" s="14">
        <f>F80/$F$252*$D$2</f>
        <v>22.188141968148564</v>
      </c>
      <c r="H80" s="14">
        <f>F80/$F$252*$E$2</f>
        <v>22.188141968148564</v>
      </c>
      <c r="I80" s="25" t="str">
        <f t="shared" si="5"/>
        <v>选中</v>
      </c>
    </row>
    <row r="81" spans="1:9" hidden="1" x14ac:dyDescent="0.25">
      <c r="A81" s="3">
        <v>1173</v>
      </c>
      <c r="B81" s="3">
        <v>113.3129294</v>
      </c>
      <c r="C81" s="3">
        <v>23.020893969999999</v>
      </c>
      <c r="D81" s="3">
        <v>31</v>
      </c>
      <c r="E81" s="13">
        <f t="shared" si="3"/>
        <v>3.2090596597162549E-3</v>
      </c>
      <c r="F81" s="13">
        <f t="shared" si="4"/>
        <v>17.652698528522574</v>
      </c>
      <c r="G81" s="14">
        <f>F81/$F$124*$D$2</f>
        <v>2069.3041128625014</v>
      </c>
      <c r="H81" s="14">
        <f>F81/$F$124*$E$2</f>
        <v>2069.3041128625014</v>
      </c>
      <c r="I81" s="25" t="str">
        <f t="shared" si="5"/>
        <v/>
      </c>
    </row>
    <row r="82" spans="1:9" hidden="1" x14ac:dyDescent="0.25">
      <c r="A82" s="3">
        <v>3</v>
      </c>
      <c r="B82" s="3">
        <v>113.3119501</v>
      </c>
      <c r="C82" s="3">
        <v>23.024824110000001</v>
      </c>
      <c r="D82" s="3">
        <v>31</v>
      </c>
      <c r="E82" s="13">
        <f t="shared" si="3"/>
        <v>3.2280018974634372E-3</v>
      </c>
      <c r="F82" s="13">
        <f t="shared" si="4"/>
        <v>17.600828422213574</v>
      </c>
      <c r="G82" s="14">
        <f>F82/$F$124*$D$2</f>
        <v>2063.2237380038696</v>
      </c>
      <c r="H82" s="14">
        <f>F82/$F$124*$E$2</f>
        <v>2063.2237380038696</v>
      </c>
      <c r="I82" s="25" t="str">
        <f t="shared" si="5"/>
        <v/>
      </c>
    </row>
    <row r="83" spans="1:9" x14ac:dyDescent="0.25">
      <c r="A83" s="3">
        <v>1124</v>
      </c>
      <c r="B83" s="3">
        <v>113.3110104</v>
      </c>
      <c r="C83" s="3">
        <v>23.019162309999999</v>
      </c>
      <c r="D83" s="3">
        <v>31</v>
      </c>
      <c r="E83" s="13">
        <f t="shared" si="3"/>
        <v>3.2339461622004043E-3</v>
      </c>
      <c r="F83" s="13">
        <f t="shared" si="4"/>
        <v>17.584645081546299</v>
      </c>
      <c r="G83" s="14">
        <f>F83/$F$252*$D$2</f>
        <v>21.920314962234979</v>
      </c>
      <c r="H83" s="14">
        <f>F83/$F$252*$E$2</f>
        <v>21.920314962234979</v>
      </c>
      <c r="I83" s="25" t="str">
        <f t="shared" si="5"/>
        <v>选中</v>
      </c>
    </row>
    <row r="84" spans="1:9" hidden="1" x14ac:dyDescent="0.25">
      <c r="A84" s="3">
        <v>1137</v>
      </c>
      <c r="B84" s="3">
        <v>113.31097250000001</v>
      </c>
      <c r="C84" s="3">
        <v>23.01913639</v>
      </c>
      <c r="D84" s="3">
        <v>31</v>
      </c>
      <c r="E84" s="13">
        <f t="shared" si="3"/>
        <v>3.247256584936303E-3</v>
      </c>
      <c r="F84" s="13">
        <f t="shared" si="4"/>
        <v>17.54856856634877</v>
      </c>
      <c r="G84" s="14">
        <f>F84/$F$124*$D$2</f>
        <v>2057.0976754925823</v>
      </c>
      <c r="H84" s="14">
        <f>F84/$F$124*$E$2</f>
        <v>2057.0976754925823</v>
      </c>
      <c r="I84" s="25" t="str">
        <f t="shared" si="5"/>
        <v/>
      </c>
    </row>
    <row r="85" spans="1:9" hidden="1" x14ac:dyDescent="0.25">
      <c r="A85" s="3">
        <v>882</v>
      </c>
      <c r="B85" s="3">
        <v>113.3121637</v>
      </c>
      <c r="C85" s="3">
        <v>23.024676769999999</v>
      </c>
      <c r="D85" s="3">
        <v>31</v>
      </c>
      <c r="E85" s="13">
        <f t="shared" si="3"/>
        <v>3.2483741511101383E-3</v>
      </c>
      <c r="F85" s="13">
        <f t="shared" si="4"/>
        <v>17.545549613974256</v>
      </c>
      <c r="G85" s="14">
        <f>F85/$F$124*$D$2</f>
        <v>2056.7437845248628</v>
      </c>
      <c r="H85" s="14">
        <f>F85/$F$124*$E$2</f>
        <v>2056.7437845248628</v>
      </c>
      <c r="I85" s="25" t="str">
        <f t="shared" si="5"/>
        <v/>
      </c>
    </row>
    <row r="86" spans="1:9" x14ac:dyDescent="0.25">
      <c r="A86" s="3">
        <v>838</v>
      </c>
      <c r="B86" s="3">
        <v>113.30974449999999</v>
      </c>
      <c r="C86" s="3">
        <v>23.025504909999999</v>
      </c>
      <c r="D86" s="3">
        <v>31</v>
      </c>
      <c r="E86" s="13">
        <f t="shared" si="3"/>
        <v>3.2765760558844956E-3</v>
      </c>
      <c r="F86" s="13">
        <f t="shared" si="4"/>
        <v>17.469878050418551</v>
      </c>
      <c r="G86" s="14">
        <f>F86/$F$252*$D$2</f>
        <v>21.777250973286975</v>
      </c>
      <c r="H86" s="14">
        <f>F86/$F$252*$E$2</f>
        <v>21.777250973286975</v>
      </c>
      <c r="I86" s="25" t="str">
        <f t="shared" si="5"/>
        <v>选中</v>
      </c>
    </row>
    <row r="87" spans="1:9" hidden="1" x14ac:dyDescent="0.25">
      <c r="A87" s="3">
        <v>844</v>
      </c>
      <c r="B87" s="3">
        <v>113.30974449999999</v>
      </c>
      <c r="C87" s="3">
        <v>23.025504909999999</v>
      </c>
      <c r="D87" s="3">
        <v>31</v>
      </c>
      <c r="E87" s="13">
        <f t="shared" si="3"/>
        <v>3.2765760558844956E-3</v>
      </c>
      <c r="F87" s="13">
        <f t="shared" si="4"/>
        <v>17.469878050418551</v>
      </c>
      <c r="G87" s="14">
        <f>F87/$F$124*$D$2</f>
        <v>2047.8733289715915</v>
      </c>
      <c r="H87" s="14">
        <f>F87/$F$124*$E$2</f>
        <v>2047.8733289715915</v>
      </c>
      <c r="I87" s="25" t="str">
        <f t="shared" si="5"/>
        <v/>
      </c>
    </row>
    <row r="88" spans="1:9" hidden="1" x14ac:dyDescent="0.25">
      <c r="A88" s="3">
        <v>1187</v>
      </c>
      <c r="B88" s="3">
        <v>113.3117139</v>
      </c>
      <c r="C88" s="3">
        <v>23.019404890000001</v>
      </c>
      <c r="D88" s="3">
        <v>31</v>
      </c>
      <c r="E88" s="13">
        <f t="shared" si="3"/>
        <v>3.3042642627978728E-3</v>
      </c>
      <c r="F88" s="13">
        <f t="shared" si="4"/>
        <v>17.396529319311387</v>
      </c>
      <c r="G88" s="14">
        <f>F88/$F$124*$D$2</f>
        <v>2039.2751630476648</v>
      </c>
      <c r="H88" s="14">
        <f>F88/$F$124*$E$2</f>
        <v>2039.2751630476648</v>
      </c>
      <c r="I88" s="25" t="str">
        <f t="shared" si="5"/>
        <v/>
      </c>
    </row>
    <row r="89" spans="1:9" x14ac:dyDescent="0.25">
      <c r="A89" s="3">
        <v>1032</v>
      </c>
      <c r="B89" s="3">
        <v>113.3079525</v>
      </c>
      <c r="C89" s="3">
        <v>23.019650739999999</v>
      </c>
      <c r="D89" s="3">
        <v>31</v>
      </c>
      <c r="E89" s="13">
        <f t="shared" si="3"/>
        <v>3.3106937093153052E-3</v>
      </c>
      <c r="F89" s="13">
        <f t="shared" si="4"/>
        <v>17.379628871650208</v>
      </c>
      <c r="G89" s="14">
        <f>F89/$F$252*$D$2</f>
        <v>21.66474995808246</v>
      </c>
      <c r="H89" s="14">
        <f>F89/$F$252*$E$2</f>
        <v>21.66474995808246</v>
      </c>
      <c r="I89" s="25" t="str">
        <f t="shared" si="5"/>
        <v>选中</v>
      </c>
    </row>
    <row r="90" spans="1:9" hidden="1" x14ac:dyDescent="0.25">
      <c r="A90" s="3">
        <v>888</v>
      </c>
      <c r="B90" s="3">
        <v>113.3123014</v>
      </c>
      <c r="C90" s="3">
        <v>23.02465252</v>
      </c>
      <c r="D90" s="3">
        <v>31</v>
      </c>
      <c r="E90" s="13">
        <f t="shared" si="3"/>
        <v>3.3233613643550049E-3</v>
      </c>
      <c r="F90" s="13">
        <f t="shared" si="4"/>
        <v>17.346474285822147</v>
      </c>
      <c r="G90" s="14">
        <f>F90/$F$124*$D$2</f>
        <v>2033.4075566586814</v>
      </c>
      <c r="H90" s="14">
        <f>F90/$F$124*$E$2</f>
        <v>2033.4075566586814</v>
      </c>
      <c r="I90" s="25" t="str">
        <f t="shared" si="5"/>
        <v/>
      </c>
    </row>
    <row r="91" spans="1:9" hidden="1" x14ac:dyDescent="0.25">
      <c r="A91" s="3">
        <v>784</v>
      </c>
      <c r="B91" s="3">
        <v>113.3071897</v>
      </c>
      <c r="C91" s="3">
        <v>23.02406822</v>
      </c>
      <c r="D91" s="3">
        <v>31</v>
      </c>
      <c r="E91" s="13">
        <f t="shared" si="3"/>
        <v>3.3663558178127538E-3</v>
      </c>
      <c r="F91" s="13">
        <f t="shared" si="4"/>
        <v>17.235345388301411</v>
      </c>
      <c r="G91" s="14">
        <f>F91/$F$124*$D$2</f>
        <v>2020.3806823637412</v>
      </c>
      <c r="H91" s="14">
        <f>F91/$F$124*$E$2</f>
        <v>2020.3806823637412</v>
      </c>
      <c r="I91" s="25" t="str">
        <f t="shared" si="5"/>
        <v/>
      </c>
    </row>
    <row r="92" spans="1:9" x14ac:dyDescent="0.25">
      <c r="A92" s="3">
        <v>792</v>
      </c>
      <c r="B92" s="3">
        <v>113.3103393</v>
      </c>
      <c r="C92" s="3">
        <v>23.025590780000002</v>
      </c>
      <c r="D92" s="3">
        <v>31</v>
      </c>
      <c r="E92" s="13">
        <f t="shared" si="3"/>
        <v>3.3667192649389538E-3</v>
      </c>
      <c r="F92" s="13">
        <f t="shared" si="4"/>
        <v>17.23441506038801</v>
      </c>
      <c r="G92" s="14">
        <f>F92/$F$252*$D$2</f>
        <v>21.483732231254727</v>
      </c>
      <c r="H92" s="14">
        <f>F92/$F$252*$E$2</f>
        <v>21.483732231254727</v>
      </c>
      <c r="I92" s="25" t="str">
        <f t="shared" si="5"/>
        <v>选中</v>
      </c>
    </row>
    <row r="93" spans="1:9" hidden="1" x14ac:dyDescent="0.25">
      <c r="A93" s="3">
        <v>828</v>
      </c>
      <c r="B93" s="3">
        <v>113.31101889999999</v>
      </c>
      <c r="C93" s="3">
        <v>23.02548256</v>
      </c>
      <c r="D93" s="3">
        <v>31</v>
      </c>
      <c r="E93" s="13">
        <f t="shared" si="3"/>
        <v>3.3944561482649621E-3</v>
      </c>
      <c r="F93" s="13">
        <f t="shared" si="4"/>
        <v>17.163857440820109</v>
      </c>
      <c r="G93" s="14">
        <f>F93/$F$124*$D$2</f>
        <v>2012.0006432720334</v>
      </c>
      <c r="H93" s="14">
        <f>F93/$F$124*$E$2</f>
        <v>2012.0006432720334</v>
      </c>
      <c r="I93" s="25" t="str">
        <f t="shared" si="5"/>
        <v/>
      </c>
    </row>
    <row r="94" spans="1:9" hidden="1" x14ac:dyDescent="0.25">
      <c r="A94" s="3">
        <v>1035</v>
      </c>
      <c r="B94" s="3">
        <v>113.30723089999999</v>
      </c>
      <c r="C94" s="3">
        <v>23.020181829999999</v>
      </c>
      <c r="D94" s="3">
        <v>31</v>
      </c>
      <c r="E94" s="13">
        <f t="shared" si="3"/>
        <v>3.4629174937376678E-3</v>
      </c>
      <c r="F94" s="13">
        <f t="shared" si="4"/>
        <v>16.993347084080209</v>
      </c>
      <c r="G94" s="14">
        <f>F94/$F$124*$D$2</f>
        <v>1992.012890016211</v>
      </c>
      <c r="H94" s="14">
        <f>F94/$F$124*$E$2</f>
        <v>1992.012890016211</v>
      </c>
      <c r="I94" s="25" t="str">
        <f t="shared" si="5"/>
        <v/>
      </c>
    </row>
    <row r="95" spans="1:9" x14ac:dyDescent="0.25">
      <c r="A95" s="3">
        <v>764</v>
      </c>
      <c r="B95" s="3">
        <v>113.3073394</v>
      </c>
      <c r="C95" s="3">
        <v>23.024461779999999</v>
      </c>
      <c r="D95" s="3">
        <v>31</v>
      </c>
      <c r="E95" s="13">
        <f t="shared" si="3"/>
        <v>3.4789024704454216E-3</v>
      </c>
      <c r="F95" s="13">
        <f t="shared" si="4"/>
        <v>16.954261336248099</v>
      </c>
      <c r="G95" s="14">
        <f>F95/$F$252*$D$2</f>
        <v>21.134503808246375</v>
      </c>
      <c r="H95" s="14">
        <f>F95/$F$252*$E$2</f>
        <v>21.134503808246375</v>
      </c>
      <c r="I95" s="25" t="str">
        <f t="shared" si="5"/>
        <v>选中</v>
      </c>
    </row>
    <row r="96" spans="1:9" hidden="1" x14ac:dyDescent="0.25">
      <c r="A96" s="3">
        <v>1044</v>
      </c>
      <c r="B96" s="3">
        <v>113.306557</v>
      </c>
      <c r="C96" s="3">
        <v>23.023137770000002</v>
      </c>
      <c r="D96" s="3">
        <v>31</v>
      </c>
      <c r="E96" s="13">
        <f t="shared" si="3"/>
        <v>3.5738024841347527E-3</v>
      </c>
      <c r="F96" s="13">
        <f t="shared" si="4"/>
        <v>16.727642059516707</v>
      </c>
      <c r="G96" s="14">
        <f>F96/$F$124*$D$2</f>
        <v>1960.8661223280246</v>
      </c>
      <c r="H96" s="14">
        <f>F96/$F$124*$E$2</f>
        <v>1960.8661223280246</v>
      </c>
      <c r="I96" s="25" t="str">
        <f t="shared" si="5"/>
        <v/>
      </c>
    </row>
    <row r="97" spans="1:9" hidden="1" x14ac:dyDescent="0.25">
      <c r="A97" s="3">
        <v>1066</v>
      </c>
      <c r="B97" s="3">
        <v>113.30640440000001</v>
      </c>
      <c r="C97" s="3">
        <v>23.022206449999999</v>
      </c>
      <c r="D97" s="3">
        <v>31</v>
      </c>
      <c r="E97" s="13">
        <f t="shared" si="3"/>
        <v>3.6118522222748695E-3</v>
      </c>
      <c r="F97" s="13">
        <f t="shared" si="4"/>
        <v>16.639298526213825</v>
      </c>
      <c r="G97" s="14">
        <f>F97/$F$124*$D$2</f>
        <v>1950.510219149081</v>
      </c>
      <c r="H97" s="14">
        <f>F97/$F$124*$E$2</f>
        <v>1950.510219149081</v>
      </c>
      <c r="I97" s="25" t="str">
        <f t="shared" si="5"/>
        <v/>
      </c>
    </row>
    <row r="98" spans="1:9" x14ac:dyDescent="0.25">
      <c r="A98" s="3">
        <v>1033</v>
      </c>
      <c r="B98" s="3">
        <v>113.3083338</v>
      </c>
      <c r="C98" s="3">
        <v>23.019003319999999</v>
      </c>
      <c r="D98" s="3">
        <v>31</v>
      </c>
      <c r="E98" s="13">
        <f t="shared" si="3"/>
        <v>3.6474246056769442E-3</v>
      </c>
      <c r="F98" s="13">
        <f t="shared" si="4"/>
        <v>16.557960347646855</v>
      </c>
      <c r="G98" s="14">
        <f>F98/$F$252*$D$2</f>
        <v>20.640490852642245</v>
      </c>
      <c r="H98" s="14">
        <f>F98/$F$252*$E$2</f>
        <v>20.640490852642245</v>
      </c>
      <c r="I98" s="25" t="str">
        <f t="shared" si="5"/>
        <v>选中</v>
      </c>
    </row>
    <row r="99" spans="1:9" hidden="1" x14ac:dyDescent="0.25">
      <c r="A99" s="3">
        <v>835</v>
      </c>
      <c r="B99" s="3">
        <v>113.3067715</v>
      </c>
      <c r="C99" s="3">
        <v>23.023950030000002</v>
      </c>
      <c r="D99" s="3">
        <v>31</v>
      </c>
      <c r="E99" s="13">
        <f t="shared" si="3"/>
        <v>3.6678284769630061E-3</v>
      </c>
      <c r="F99" s="13">
        <f t="shared" si="4"/>
        <v>16.511840735004519</v>
      </c>
      <c r="G99" s="14">
        <f>F99/$F$124*$D$2</f>
        <v>1935.5692212535112</v>
      </c>
      <c r="H99" s="14">
        <f>F99/$F$124*$E$2</f>
        <v>1935.5692212535112</v>
      </c>
      <c r="I99" s="25" t="str">
        <f t="shared" si="5"/>
        <v/>
      </c>
    </row>
    <row r="100" spans="1:9" hidden="1" x14ac:dyDescent="0.25">
      <c r="A100" s="3">
        <v>818</v>
      </c>
      <c r="B100" s="3">
        <v>113.3104051</v>
      </c>
      <c r="C100" s="3">
        <v>23.02589652</v>
      </c>
      <c r="D100" s="3">
        <v>31</v>
      </c>
      <c r="E100" s="13">
        <f t="shared" si="3"/>
        <v>3.6775415358768792E-3</v>
      </c>
      <c r="F100" s="13">
        <f t="shared" si="4"/>
        <v>16.49002092428497</v>
      </c>
      <c r="G100" s="14">
        <f>F100/$F$124*$D$2</f>
        <v>1933.0114353155202</v>
      </c>
      <c r="H100" s="14">
        <f>F100/$F$124*$E$2</f>
        <v>1933.0114353155202</v>
      </c>
      <c r="I100" s="25" t="str">
        <f t="shared" si="5"/>
        <v/>
      </c>
    </row>
    <row r="101" spans="1:9" x14ac:dyDescent="0.25">
      <c r="A101" s="3">
        <v>1142</v>
      </c>
      <c r="B101" s="3">
        <v>113.3064243</v>
      </c>
      <c r="C101" s="3">
        <v>23.023112019999999</v>
      </c>
      <c r="D101" s="3">
        <v>31</v>
      </c>
      <c r="E101" s="13">
        <f t="shared" si="3"/>
        <v>3.6962313845408895E-3</v>
      </c>
      <c r="F101" s="13">
        <f t="shared" si="4"/>
        <v>16.448277517720157</v>
      </c>
      <c r="G101" s="14">
        <f>F101/$F$252*$D$2</f>
        <v>20.503764625482528</v>
      </c>
      <c r="H101" s="14">
        <f>F101/$F$252*$E$2</f>
        <v>20.503764625482528</v>
      </c>
      <c r="I101" s="25" t="str">
        <f t="shared" si="5"/>
        <v>选中</v>
      </c>
    </row>
    <row r="102" spans="1:9" hidden="1" x14ac:dyDescent="0.25">
      <c r="A102" s="3">
        <v>1164</v>
      </c>
      <c r="B102" s="3">
        <v>113.31322179999999</v>
      </c>
      <c r="C102" s="3">
        <v>23.020337659999999</v>
      </c>
      <c r="D102" s="3">
        <v>31</v>
      </c>
      <c r="E102" s="13">
        <f t="shared" si="3"/>
        <v>3.7274557398407184E-3</v>
      </c>
      <c r="F102" s="13">
        <f t="shared" si="4"/>
        <v>16.37924021902754</v>
      </c>
      <c r="G102" s="14">
        <f>F102/$F$124*$D$2</f>
        <v>1920.0253771984221</v>
      </c>
      <c r="H102" s="14">
        <f>F102/$F$124*$E$2</f>
        <v>1920.0253771984221</v>
      </c>
      <c r="I102" s="25" t="str">
        <f t="shared" si="5"/>
        <v/>
      </c>
    </row>
    <row r="103" spans="1:9" hidden="1" x14ac:dyDescent="0.25">
      <c r="A103" s="3">
        <v>1022</v>
      </c>
      <c r="B103" s="3">
        <v>113.3064933</v>
      </c>
      <c r="C103" s="3">
        <v>23.02097582</v>
      </c>
      <c r="D103" s="3">
        <v>31</v>
      </c>
      <c r="E103" s="13">
        <f t="shared" si="3"/>
        <v>3.7426307597852983E-3</v>
      </c>
      <c r="F103" s="13">
        <f t="shared" si="4"/>
        <v>16.346000530743058</v>
      </c>
      <c r="G103" s="14">
        <f>F103/$F$124*$D$2</f>
        <v>1916.1289177666697</v>
      </c>
      <c r="H103" s="14">
        <f>F103/$F$124*$E$2</f>
        <v>1916.1289177666697</v>
      </c>
      <c r="I103" s="25" t="str">
        <f t="shared" si="5"/>
        <v/>
      </c>
    </row>
    <row r="104" spans="1:9" x14ac:dyDescent="0.25">
      <c r="A104" s="3">
        <v>794</v>
      </c>
      <c r="B104" s="3">
        <v>113.3066747</v>
      </c>
      <c r="C104" s="3">
        <v>23.023932219999999</v>
      </c>
      <c r="D104" s="3">
        <v>31</v>
      </c>
      <c r="E104" s="13">
        <f t="shared" si="3"/>
        <v>3.7456484848519761E-3</v>
      </c>
      <c r="F104" s="13">
        <f t="shared" si="4"/>
        <v>16.339414531668307</v>
      </c>
      <c r="G104" s="14">
        <f>F104/$F$252*$D$2</f>
        <v>20.368060382893624</v>
      </c>
      <c r="H104" s="14">
        <f>F104/$F$252*$E$2</f>
        <v>20.368060382893624</v>
      </c>
      <c r="I104" s="25" t="str">
        <f t="shared" si="5"/>
        <v>选中</v>
      </c>
    </row>
    <row r="105" spans="1:9" hidden="1" x14ac:dyDescent="0.25">
      <c r="A105" s="3">
        <v>1148</v>
      </c>
      <c r="B105" s="3">
        <v>113.3064404</v>
      </c>
      <c r="C105" s="3">
        <v>23.020986910000001</v>
      </c>
      <c r="D105" s="3">
        <v>31</v>
      </c>
      <c r="E105" s="13">
        <f t="shared" si="3"/>
        <v>3.7887844726229359E-3</v>
      </c>
      <c r="F105" s="13">
        <f t="shared" si="4"/>
        <v>16.246134693677984</v>
      </c>
      <c r="G105" s="14">
        <f>F105/$F$124*$D$2</f>
        <v>1904.4223343772055</v>
      </c>
      <c r="H105" s="14">
        <f>F105/$F$124*$E$2</f>
        <v>1904.4223343772055</v>
      </c>
      <c r="I105" s="25" t="str">
        <f t="shared" si="5"/>
        <v/>
      </c>
    </row>
    <row r="106" spans="1:9" hidden="1" x14ac:dyDescent="0.25">
      <c r="A106" s="3">
        <v>1125</v>
      </c>
      <c r="B106" s="3">
        <v>113.3063185</v>
      </c>
      <c r="C106" s="3">
        <v>23.02310722</v>
      </c>
      <c r="D106" s="3">
        <v>31</v>
      </c>
      <c r="E106" s="13">
        <f t="shared" si="3"/>
        <v>3.7980248645928709E-3</v>
      </c>
      <c r="F106" s="13">
        <f t="shared" si="4"/>
        <v>16.226359668757006</v>
      </c>
      <c r="G106" s="14">
        <f>F106/$F$124*$D$2</f>
        <v>1902.1042445772343</v>
      </c>
      <c r="H106" s="14">
        <f>F106/$F$124*$E$2</f>
        <v>1902.1042445772343</v>
      </c>
      <c r="I106" s="25" t="str">
        <f t="shared" si="5"/>
        <v/>
      </c>
    </row>
    <row r="107" spans="1:9" x14ac:dyDescent="0.25">
      <c r="A107" s="3">
        <v>1098</v>
      </c>
      <c r="B107" s="3">
        <v>113.30642039999999</v>
      </c>
      <c r="C107" s="3">
        <v>23.020948969999999</v>
      </c>
      <c r="D107" s="3">
        <v>31</v>
      </c>
      <c r="E107" s="13">
        <f t="shared" si="3"/>
        <v>3.8203154450437249E-3</v>
      </c>
      <c r="F107" s="13">
        <f t="shared" si="4"/>
        <v>16.178952049478823</v>
      </c>
      <c r="G107" s="14">
        <f>F107/$F$252*$D$2</f>
        <v>20.168034273017419</v>
      </c>
      <c r="H107" s="14">
        <f>F107/$F$252*$E$2</f>
        <v>20.168034273017419</v>
      </c>
      <c r="I107" s="25" t="str">
        <f t="shared" si="5"/>
        <v>选中</v>
      </c>
    </row>
    <row r="108" spans="1:9" hidden="1" x14ac:dyDescent="0.25">
      <c r="A108" s="3">
        <v>1037</v>
      </c>
      <c r="B108" s="3">
        <v>113.3087599</v>
      </c>
      <c r="C108" s="3">
        <v>23.018608709999999</v>
      </c>
      <c r="D108" s="3">
        <v>31</v>
      </c>
      <c r="E108" s="13">
        <f t="shared" si="3"/>
        <v>3.8420662735054248E-3</v>
      </c>
      <c r="F108" s="13">
        <f t="shared" si="4"/>
        <v>16.133090648963304</v>
      </c>
      <c r="G108" s="14">
        <f>F108/$F$124*$D$2</f>
        <v>1891.1709605838598</v>
      </c>
      <c r="H108" s="14">
        <f>F108/$F$124*$E$2</f>
        <v>1891.1709605838598</v>
      </c>
      <c r="I108" s="25" t="str">
        <f t="shared" si="5"/>
        <v/>
      </c>
    </row>
    <row r="109" spans="1:9" hidden="1" x14ac:dyDescent="0.25">
      <c r="A109" s="3">
        <v>787</v>
      </c>
      <c r="B109" s="3">
        <v>113.3100019</v>
      </c>
      <c r="C109" s="3">
        <v>23.026111180000001</v>
      </c>
      <c r="D109" s="3">
        <v>31</v>
      </c>
      <c r="E109" s="13">
        <f t="shared" si="3"/>
        <v>3.8715960410286641E-3</v>
      </c>
      <c r="F109" s="13">
        <f t="shared" si="4"/>
        <v>16.071447038143685</v>
      </c>
      <c r="G109" s="14">
        <f>F109/$F$124*$D$2</f>
        <v>1883.9449051909899</v>
      </c>
      <c r="H109" s="14">
        <f>F109/$F$124*$E$2</f>
        <v>1883.9449051909899</v>
      </c>
      <c r="I109" s="25" t="str">
        <f t="shared" si="5"/>
        <v/>
      </c>
    </row>
    <row r="110" spans="1:9" x14ac:dyDescent="0.25">
      <c r="A110" s="3">
        <v>816</v>
      </c>
      <c r="B110" s="3">
        <v>113.3102315</v>
      </c>
      <c r="C110" s="3">
        <v>23.026107750000001</v>
      </c>
      <c r="D110" s="3">
        <v>31</v>
      </c>
      <c r="E110" s="13">
        <f t="shared" si="3"/>
        <v>3.8741327054726692E-3</v>
      </c>
      <c r="F110" s="13">
        <f t="shared" si="4"/>
        <v>16.06618462885864</v>
      </c>
      <c r="G110" s="14">
        <f>F110/$F$252*$D$2</f>
        <v>20.027462918519777</v>
      </c>
      <c r="H110" s="14">
        <f>F110/$F$252*$E$2</f>
        <v>20.027462918519777</v>
      </c>
      <c r="I110" s="25" t="str">
        <f t="shared" si="5"/>
        <v>选中</v>
      </c>
    </row>
    <row r="111" spans="1:9" hidden="1" x14ac:dyDescent="0.25">
      <c r="A111" s="3">
        <v>815</v>
      </c>
      <c r="B111" s="3">
        <v>113.31147900000001</v>
      </c>
      <c r="C111" s="3">
        <v>23.025851540000001</v>
      </c>
      <c r="D111" s="3">
        <v>31</v>
      </c>
      <c r="E111" s="13">
        <f t="shared" si="3"/>
        <v>3.8969365833860987E-3</v>
      </c>
      <c r="F111" s="13">
        <f t="shared" si="4"/>
        <v>16.019108052583039</v>
      </c>
      <c r="G111" s="14">
        <f>F111/$F$124*$D$2</f>
        <v>1877.8095668511494</v>
      </c>
      <c r="H111" s="14">
        <f>F111/$F$124*$E$2</f>
        <v>1877.8095668511494</v>
      </c>
      <c r="I111" s="25" t="str">
        <f t="shared" si="5"/>
        <v/>
      </c>
    </row>
    <row r="112" spans="1:9" hidden="1" x14ac:dyDescent="0.25">
      <c r="A112" s="3">
        <v>1112</v>
      </c>
      <c r="B112" s="3">
        <v>113.3081392</v>
      </c>
      <c r="C112" s="3">
        <v>23.018822749999998</v>
      </c>
      <c r="D112" s="3">
        <v>31</v>
      </c>
      <c r="E112" s="13">
        <f t="shared" si="3"/>
        <v>3.8984209456659909E-3</v>
      </c>
      <c r="F112" s="13">
        <f t="shared" si="4"/>
        <v>16.016058045419175</v>
      </c>
      <c r="G112" s="14">
        <f>F112/$F$124*$D$2</f>
        <v>1877.4520355446327</v>
      </c>
      <c r="H112" s="14">
        <f>F112/$F$124*$E$2</f>
        <v>1877.4520355446327</v>
      </c>
      <c r="I112" s="25" t="str">
        <f t="shared" si="5"/>
        <v/>
      </c>
    </row>
    <row r="113" spans="1:9" x14ac:dyDescent="0.25">
      <c r="A113" s="3">
        <v>1175</v>
      </c>
      <c r="B113" s="3">
        <v>113.3137886</v>
      </c>
      <c r="C113" s="3">
        <v>23.0210233</v>
      </c>
      <c r="D113" s="3">
        <v>31</v>
      </c>
      <c r="E113" s="13">
        <f t="shared" si="3"/>
        <v>3.9637313564462309E-3</v>
      </c>
      <c r="F113" s="13">
        <f t="shared" si="4"/>
        <v>15.883561679910571</v>
      </c>
      <c r="G113" s="14">
        <f>F113/$F$252*$D$2</f>
        <v>19.799812457466409</v>
      </c>
      <c r="H113" s="14">
        <f>F113/$F$252*$E$2</f>
        <v>19.799812457466409</v>
      </c>
      <c r="I113" s="25" t="str">
        <f t="shared" si="5"/>
        <v>选中</v>
      </c>
    </row>
    <row r="114" spans="1:9" hidden="1" x14ac:dyDescent="0.25">
      <c r="A114" s="3">
        <v>761</v>
      </c>
      <c r="B114" s="3">
        <v>113.30884229999999</v>
      </c>
      <c r="C114" s="3">
        <v>23.02617729</v>
      </c>
      <c r="D114" s="3">
        <v>31</v>
      </c>
      <c r="E114" s="13">
        <f t="shared" si="3"/>
        <v>4.1089086412827627E-3</v>
      </c>
      <c r="F114" s="13">
        <f t="shared" si="4"/>
        <v>15.600436764189837</v>
      </c>
      <c r="G114" s="14">
        <f>F114/$F$124*$D$2</f>
        <v>1828.7316189323274</v>
      </c>
      <c r="H114" s="14">
        <f>F114/$F$124*$E$2</f>
        <v>1828.7316189323274</v>
      </c>
      <c r="I114" s="25" t="str">
        <f t="shared" si="5"/>
        <v/>
      </c>
    </row>
    <row r="115" spans="1:9" hidden="1" x14ac:dyDescent="0.25">
      <c r="A115" s="3">
        <v>800</v>
      </c>
      <c r="B115" s="3">
        <v>113.3112185</v>
      </c>
      <c r="C115" s="3">
        <v>23.026173889999999</v>
      </c>
      <c r="D115" s="3">
        <v>31</v>
      </c>
      <c r="E115" s="13">
        <f t="shared" si="3"/>
        <v>4.1139184336088618E-3</v>
      </c>
      <c r="F115" s="13">
        <f t="shared" si="4"/>
        <v>15.590935025425924</v>
      </c>
      <c r="G115" s="14">
        <f>F115/$F$124*$D$2</f>
        <v>1827.6177956224385</v>
      </c>
      <c r="H115" s="14">
        <f>F115/$F$124*$E$2</f>
        <v>1827.6177956224385</v>
      </c>
      <c r="I115" s="25" t="str">
        <f t="shared" si="5"/>
        <v/>
      </c>
    </row>
    <row r="116" spans="1:9" x14ac:dyDescent="0.25">
      <c r="A116" s="3">
        <v>830</v>
      </c>
      <c r="B116" s="3">
        <v>113.3111995</v>
      </c>
      <c r="C116" s="3">
        <v>23.026196909999999</v>
      </c>
      <c r="D116" s="3">
        <v>31</v>
      </c>
      <c r="E116" s="13">
        <f t="shared" si="3"/>
        <v>4.1304550415181742E-3</v>
      </c>
      <c r="F116" s="13">
        <f t="shared" si="4"/>
        <v>15.559693945851947</v>
      </c>
      <c r="G116" s="14">
        <f>F116/$F$252*$D$2</f>
        <v>19.396091898777367</v>
      </c>
      <c r="H116" s="14">
        <f>F116/$F$252*$E$2</f>
        <v>19.396091898777367</v>
      </c>
      <c r="I116" s="25" t="str">
        <f t="shared" si="5"/>
        <v>选中</v>
      </c>
    </row>
    <row r="117" spans="1:9" hidden="1" x14ac:dyDescent="0.25">
      <c r="A117" s="3">
        <v>1158</v>
      </c>
      <c r="B117" s="3">
        <v>113.3130941</v>
      </c>
      <c r="C117" s="3">
        <v>23.01946628</v>
      </c>
      <c r="D117" s="3">
        <v>31</v>
      </c>
      <c r="E117" s="13">
        <f t="shared" si="3"/>
        <v>4.143119994510642E-3</v>
      </c>
      <c r="F117" s="13">
        <f t="shared" si="4"/>
        <v>15.535893811918379</v>
      </c>
      <c r="G117" s="14">
        <f>F117/$F$124*$D$2</f>
        <v>1821.1656937353489</v>
      </c>
      <c r="H117" s="14">
        <f>F117/$F$124*$E$2</f>
        <v>1821.1656937353489</v>
      </c>
      <c r="I117" s="25" t="str">
        <f t="shared" si="5"/>
        <v/>
      </c>
    </row>
    <row r="118" spans="1:9" hidden="1" x14ac:dyDescent="0.25">
      <c r="A118" s="3">
        <v>1025</v>
      </c>
      <c r="B118" s="3">
        <v>113.306702</v>
      </c>
      <c r="C118" s="3">
        <v>23.019682</v>
      </c>
      <c r="D118" s="3">
        <v>31</v>
      </c>
      <c r="E118" s="13">
        <f t="shared" si="3"/>
        <v>4.1862426735776543E-3</v>
      </c>
      <c r="F118" s="13">
        <f t="shared" si="4"/>
        <v>15.455668696716975</v>
      </c>
      <c r="G118" s="14">
        <f>F118/$F$124*$D$2</f>
        <v>1811.7614567246221</v>
      </c>
      <c r="H118" s="14">
        <f>F118/$F$124*$E$2</f>
        <v>1811.7614567246221</v>
      </c>
      <c r="I118" s="25" t="str">
        <f t="shared" si="5"/>
        <v/>
      </c>
    </row>
    <row r="119" spans="1:9" x14ac:dyDescent="0.25">
      <c r="A119" s="3">
        <v>1183</v>
      </c>
      <c r="B119" s="3">
        <v>113.3127339</v>
      </c>
      <c r="C119" s="3">
        <v>23.01895618</v>
      </c>
      <c r="D119" s="3">
        <v>31</v>
      </c>
      <c r="E119" s="13">
        <f t="shared" si="3"/>
        <v>4.262317374960964E-3</v>
      </c>
      <c r="F119" s="13">
        <f t="shared" si="4"/>
        <v>15.317119752675838</v>
      </c>
      <c r="G119" s="14">
        <f>F119/$F$252*$D$2</f>
        <v>19.093708615437151</v>
      </c>
      <c r="H119" s="14">
        <f>F119/$F$252*$E$2</f>
        <v>19.093708615437151</v>
      </c>
      <c r="I119" s="25" t="str">
        <f t="shared" si="5"/>
        <v>选中</v>
      </c>
    </row>
    <row r="120" spans="1:9" hidden="1" x14ac:dyDescent="0.25">
      <c r="A120" s="3">
        <v>866</v>
      </c>
      <c r="B120" s="3">
        <v>113.3126676</v>
      </c>
      <c r="C120" s="3">
        <v>23.025591429999999</v>
      </c>
      <c r="D120" s="3">
        <v>31</v>
      </c>
      <c r="E120" s="13">
        <f t="shared" si="3"/>
        <v>4.2737746269997509E-3</v>
      </c>
      <c r="F120" s="13">
        <f t="shared" si="4"/>
        <v>15.296574696985287</v>
      </c>
      <c r="G120" s="14">
        <f>F120/$F$124*$D$2</f>
        <v>1793.1119642719752</v>
      </c>
      <c r="H120" s="14">
        <f>F120/$F$124*$E$2</f>
        <v>1793.1119642719752</v>
      </c>
      <c r="I120" s="25" t="str">
        <f t="shared" si="5"/>
        <v/>
      </c>
    </row>
    <row r="121" spans="1:9" hidden="1" x14ac:dyDescent="0.25">
      <c r="A121" s="3">
        <v>1122</v>
      </c>
      <c r="B121" s="3">
        <v>113.30825400000001</v>
      </c>
      <c r="C121" s="3">
        <v>23.018326760000001</v>
      </c>
      <c r="D121" s="3">
        <v>31</v>
      </c>
      <c r="E121" s="13">
        <f t="shared" si="3"/>
        <v>4.2913158276301228E-3</v>
      </c>
      <c r="F121" s="13">
        <f t="shared" si="4"/>
        <v>15.265279512113336</v>
      </c>
      <c r="G121" s="14">
        <f>F121/$F$124*$D$2</f>
        <v>1789.4434455656888</v>
      </c>
      <c r="H121" s="14">
        <f>F121/$F$124*$E$2</f>
        <v>1789.4434455656888</v>
      </c>
      <c r="I121" s="25" t="str">
        <f t="shared" si="5"/>
        <v/>
      </c>
    </row>
    <row r="122" spans="1:9" x14ac:dyDescent="0.25">
      <c r="A122" s="3">
        <v>769</v>
      </c>
      <c r="B122" s="3">
        <v>113.30678140000001</v>
      </c>
      <c r="C122" s="3">
        <v>23.025068529999999</v>
      </c>
      <c r="D122" s="3">
        <v>31</v>
      </c>
      <c r="E122" s="13">
        <f t="shared" si="3"/>
        <v>4.2972168267785566E-3</v>
      </c>
      <c r="F122" s="13">
        <f t="shared" si="4"/>
        <v>15.254794662127056</v>
      </c>
      <c r="G122" s="14">
        <f>F122/$F$252*$D$2</f>
        <v>19.016016651309151</v>
      </c>
      <c r="H122" s="14">
        <f>F122/$F$252*$E$2</f>
        <v>19.016016651309151</v>
      </c>
      <c r="I122" s="25" t="str">
        <f t="shared" si="5"/>
        <v>选中</v>
      </c>
    </row>
    <row r="123" spans="1:9" hidden="1" x14ac:dyDescent="0.25">
      <c r="A123" s="3">
        <v>770</v>
      </c>
      <c r="B123" s="3">
        <v>113.30678140000001</v>
      </c>
      <c r="C123" s="3">
        <v>23.025068529999999</v>
      </c>
      <c r="D123" s="3">
        <v>31</v>
      </c>
      <c r="E123" s="13">
        <f t="shared" si="3"/>
        <v>4.2972168267785566E-3</v>
      </c>
      <c r="F123" s="13">
        <f t="shared" si="4"/>
        <v>15.254794662127056</v>
      </c>
      <c r="G123" s="14">
        <f>F123/$F$124*$D$2</f>
        <v>1788.2143789068832</v>
      </c>
      <c r="H123" s="14">
        <f>F123/$F$124*$E$2</f>
        <v>1788.2143789068832</v>
      </c>
      <c r="I123" s="25" t="str">
        <f t="shared" si="5"/>
        <v/>
      </c>
    </row>
    <row r="124" spans="1:9" hidden="1" x14ac:dyDescent="0.25">
      <c r="A124" s="3">
        <v>1026</v>
      </c>
      <c r="B124" s="3">
        <v>113.30711719999999</v>
      </c>
      <c r="C124" s="3">
        <v>23.01904652</v>
      </c>
      <c r="D124" s="3">
        <v>31</v>
      </c>
      <c r="E124" s="13">
        <f t="shared" si="3"/>
        <v>4.3127073814635073E-3</v>
      </c>
      <c r="F124" s="13">
        <f t="shared" si="4"/>
        <v>15.227373626501143</v>
      </c>
      <c r="G124" s="14">
        <f>F124/$F$124*$D$2</f>
        <v>1785</v>
      </c>
      <c r="H124" s="14">
        <f>F124/$F$124*$E$2</f>
        <v>1785</v>
      </c>
      <c r="I124" s="25" t="str">
        <f t="shared" si="5"/>
        <v/>
      </c>
    </row>
    <row r="125" spans="1:9" x14ac:dyDescent="0.25">
      <c r="A125" s="3">
        <v>1174</v>
      </c>
      <c r="B125" s="3">
        <v>113.3126391</v>
      </c>
      <c r="C125" s="3">
        <v>23.018764440000002</v>
      </c>
      <c r="D125" s="3">
        <v>31</v>
      </c>
      <c r="E125" s="13">
        <f t="shared" si="3"/>
        <v>4.3539563076453779E-3</v>
      </c>
      <c r="F125" s="13">
        <f t="shared" si="4"/>
        <v>15.155070699698381</v>
      </c>
      <c r="G125" s="14">
        <f>F125/$F$252*$D$2</f>
        <v>18.891704749898491</v>
      </c>
      <c r="H125" s="14">
        <f>F125/$F$252*$E$2</f>
        <v>18.891704749898491</v>
      </c>
      <c r="I125" s="25" t="str">
        <f t="shared" si="5"/>
        <v>选中</v>
      </c>
    </row>
    <row r="126" spans="1:9" hidden="1" x14ac:dyDescent="0.25">
      <c r="A126" s="3">
        <v>875</v>
      </c>
      <c r="B126" s="3">
        <v>113.31242709999999</v>
      </c>
      <c r="C126" s="3">
        <v>23.025936730000002</v>
      </c>
      <c r="D126" s="3">
        <v>31</v>
      </c>
      <c r="E126" s="13">
        <f t="shared" si="3"/>
        <v>4.4137985108508616E-3</v>
      </c>
      <c r="F126" s="13">
        <f t="shared" si="4"/>
        <v>15.05198400329015</v>
      </c>
      <c r="G126" s="14">
        <f>F126/$F$124*$D$2</f>
        <v>1764.440283983919</v>
      </c>
      <c r="H126" s="14">
        <f>F126/$F$124*$E$2</f>
        <v>1764.440283983919</v>
      </c>
      <c r="I126" s="25" t="str">
        <f t="shared" si="5"/>
        <v/>
      </c>
    </row>
    <row r="127" spans="1:9" hidden="1" x14ac:dyDescent="0.25">
      <c r="A127" s="3">
        <v>1121</v>
      </c>
      <c r="B127" s="3">
        <v>113.30590549999999</v>
      </c>
      <c r="C127" s="3">
        <v>23.020428119999998</v>
      </c>
      <c r="D127" s="3">
        <v>31</v>
      </c>
      <c r="E127" s="13">
        <f t="shared" si="3"/>
        <v>4.4920516893886828E-3</v>
      </c>
      <c r="F127" s="13">
        <f t="shared" si="4"/>
        <v>14.920302473489881</v>
      </c>
      <c r="G127" s="14">
        <f>F127/$F$124*$D$2</f>
        <v>1749.0041663408606</v>
      </c>
      <c r="H127" s="14">
        <f>F127/$F$124*$E$2</f>
        <v>1749.0041663408606</v>
      </c>
      <c r="I127" s="25" t="str">
        <f t="shared" si="5"/>
        <v/>
      </c>
    </row>
    <row r="128" spans="1:9" x14ac:dyDescent="0.25">
      <c r="A128" s="3">
        <v>877</v>
      </c>
      <c r="B128" s="3">
        <v>113.313445</v>
      </c>
      <c r="C128" s="3">
        <v>23.025171159999999</v>
      </c>
      <c r="D128" s="3">
        <v>31</v>
      </c>
      <c r="E128" s="13">
        <f t="shared" si="3"/>
        <v>4.5112460155169645E-3</v>
      </c>
      <c r="F128" s="13">
        <f t="shared" si="4"/>
        <v>14.888527391136224</v>
      </c>
      <c r="G128" s="14">
        <f>F128/$F$252*$D$2</f>
        <v>18.559442526369729</v>
      </c>
      <c r="H128" s="14">
        <f>F128/$F$252*$E$2</f>
        <v>18.559442526369729</v>
      </c>
      <c r="I128" s="25" t="str">
        <f t="shared" si="5"/>
        <v>选中</v>
      </c>
    </row>
    <row r="129" spans="1:9" hidden="1" x14ac:dyDescent="0.25">
      <c r="A129" s="3">
        <v>807</v>
      </c>
      <c r="B129" s="3">
        <v>113.3108951</v>
      </c>
      <c r="C129" s="3">
        <v>23.026735250000002</v>
      </c>
      <c r="D129" s="3">
        <v>31</v>
      </c>
      <c r="E129" s="13">
        <f t="shared" si="3"/>
        <v>4.580766312486593E-3</v>
      </c>
      <c r="F129" s="13">
        <f t="shared" si="4"/>
        <v>14.775117100693272</v>
      </c>
      <c r="G129" s="14">
        <f>F129/$F$124*$D$2</f>
        <v>1731.985086307852</v>
      </c>
      <c r="H129" s="14">
        <f>F129/$F$124*$E$2</f>
        <v>1731.985086307852</v>
      </c>
      <c r="I129" s="25" t="str">
        <f t="shared" si="5"/>
        <v/>
      </c>
    </row>
    <row r="130" spans="1:9" hidden="1" x14ac:dyDescent="0.25">
      <c r="A130" s="3">
        <v>775</v>
      </c>
      <c r="B130" s="3">
        <v>113.3103143</v>
      </c>
      <c r="C130" s="3">
        <v>23.026825290000001</v>
      </c>
      <c r="D130" s="3">
        <v>31</v>
      </c>
      <c r="E130" s="13">
        <f t="shared" si="3"/>
        <v>4.5953655243535828E-3</v>
      </c>
      <c r="F130" s="13">
        <f t="shared" si="4"/>
        <v>14.751628581978812</v>
      </c>
      <c r="G130" s="14">
        <f>F130/$F$124*$D$2</f>
        <v>1729.2316892392766</v>
      </c>
      <c r="H130" s="14">
        <f>F130/$F$124*$E$2</f>
        <v>1729.2316892392766</v>
      </c>
      <c r="I130" s="25" t="str">
        <f t="shared" si="5"/>
        <v/>
      </c>
    </row>
    <row r="131" spans="1:9" x14ac:dyDescent="0.25">
      <c r="A131" s="3">
        <v>767</v>
      </c>
      <c r="B131" s="3">
        <v>113.30640320000001</v>
      </c>
      <c r="C131" s="3">
        <v>23.025108199999998</v>
      </c>
      <c r="D131" s="3">
        <v>31</v>
      </c>
      <c r="E131" s="13">
        <f t="shared" si="3"/>
        <v>4.6132260943987889E-3</v>
      </c>
      <c r="F131" s="13">
        <f t="shared" si="4"/>
        <v>14.723044679942262</v>
      </c>
      <c r="G131" s="14">
        <f>F131/$F$252*$D$2</f>
        <v>18.353158399885828</v>
      </c>
      <c r="H131" s="14">
        <f>F131/$F$252*$E$2</f>
        <v>18.353158399885828</v>
      </c>
      <c r="I131" s="25" t="str">
        <f t="shared" si="5"/>
        <v>选中</v>
      </c>
    </row>
    <row r="132" spans="1:9" hidden="1" x14ac:dyDescent="0.25">
      <c r="A132" s="3">
        <v>1034</v>
      </c>
      <c r="B132" s="3">
        <v>113.30581669999999</v>
      </c>
      <c r="C132" s="3">
        <v>23.02021337</v>
      </c>
      <c r="D132" s="3">
        <v>31</v>
      </c>
      <c r="E132" s="13">
        <f t="shared" si="3"/>
        <v>4.6626825859836371E-3</v>
      </c>
      <c r="F132" s="13">
        <f t="shared" si="4"/>
        <v>14.644753773392106</v>
      </c>
      <c r="G132" s="14">
        <f>F132/$F$124*$D$2</f>
        <v>1716.7034924532427</v>
      </c>
      <c r="H132" s="14">
        <f>F132/$F$124*$E$2</f>
        <v>1716.7034924532427</v>
      </c>
      <c r="I132" s="25" t="str">
        <f t="shared" si="5"/>
        <v/>
      </c>
    </row>
    <row r="133" spans="1:9" hidden="1" x14ac:dyDescent="0.25">
      <c r="A133" s="3">
        <v>1163</v>
      </c>
      <c r="B133" s="3">
        <v>113.31452710000001</v>
      </c>
      <c r="C133" s="3">
        <v>23.020945940000001</v>
      </c>
      <c r="D133" s="3">
        <v>31</v>
      </c>
      <c r="E133" s="13">
        <f t="shared" ref="E133:E196" si="6">SQRT((B133-$B$2)^2+(C133-$C$2)^2)</f>
        <v>4.6928352910547561E-3</v>
      </c>
      <c r="F133" s="13">
        <f t="shared" ref="F133:F196" si="7">SQRT(1/E133)</f>
        <v>14.597629751643694</v>
      </c>
      <c r="G133" s="14">
        <f>F133/$F$124*$D$2</f>
        <v>1711.1794683579435</v>
      </c>
      <c r="H133" s="14">
        <f>F133/$F$124*$E$2</f>
        <v>1711.1794683579435</v>
      </c>
      <c r="I133" s="25" t="str">
        <f t="shared" si="5"/>
        <v/>
      </c>
    </row>
    <row r="134" spans="1:9" x14ac:dyDescent="0.25">
      <c r="A134" s="3">
        <v>1139</v>
      </c>
      <c r="B134" s="3">
        <v>113.30862430000001</v>
      </c>
      <c r="C134" s="3">
        <v>23.017690349999999</v>
      </c>
      <c r="D134" s="3">
        <v>31</v>
      </c>
      <c r="E134" s="13">
        <f t="shared" si="6"/>
        <v>4.7574019997883707E-3</v>
      </c>
      <c r="F134" s="13">
        <f t="shared" si="7"/>
        <v>14.498232987250153</v>
      </c>
      <c r="G134" s="14">
        <f>F134/$F$252*$D$2</f>
        <v>18.072917138936198</v>
      </c>
      <c r="H134" s="14">
        <f>F134/$F$252*$E$2</f>
        <v>18.072917138936198</v>
      </c>
      <c r="I134" s="25" t="str">
        <f t="shared" ref="I134:I197" si="8">IF(MOD(ROW()-1,3)=1,"选中","")</f>
        <v>选中</v>
      </c>
    </row>
    <row r="135" spans="1:9" hidden="1" x14ac:dyDescent="0.25">
      <c r="A135" s="3">
        <v>810</v>
      </c>
      <c r="B135" s="3">
        <v>113.3100159</v>
      </c>
      <c r="C135" s="3">
        <v>23.02703975</v>
      </c>
      <c r="D135" s="3">
        <v>31</v>
      </c>
      <c r="E135" s="13">
        <f t="shared" si="6"/>
        <v>4.8001400041669424E-3</v>
      </c>
      <c r="F135" s="13">
        <f t="shared" si="7"/>
        <v>14.433546235794617</v>
      </c>
      <c r="G135" s="14">
        <f>F135/$F$124*$D$2</f>
        <v>1691.9450893393009</v>
      </c>
      <c r="H135" s="14">
        <f>F135/$F$124*$E$2</f>
        <v>1691.9450893393009</v>
      </c>
      <c r="I135" s="25" t="str">
        <f t="shared" si="8"/>
        <v/>
      </c>
    </row>
    <row r="136" spans="1:9" hidden="1" x14ac:dyDescent="0.25">
      <c r="A136" s="3">
        <v>829</v>
      </c>
      <c r="B136" s="3">
        <v>113.31040110000001</v>
      </c>
      <c r="C136" s="3">
        <v>23.027028040000001</v>
      </c>
      <c r="D136" s="3">
        <v>31</v>
      </c>
      <c r="E136" s="13">
        <f t="shared" si="6"/>
        <v>4.8038824782585957E-3</v>
      </c>
      <c r="F136" s="13">
        <f t="shared" si="7"/>
        <v>14.427922899073865</v>
      </c>
      <c r="G136" s="14">
        <f>F136/$F$124*$D$2</f>
        <v>1691.285904354894</v>
      </c>
      <c r="H136" s="14">
        <f>F136/$F$124*$E$2</f>
        <v>1691.285904354894</v>
      </c>
      <c r="I136" s="25" t="str">
        <f t="shared" si="8"/>
        <v/>
      </c>
    </row>
    <row r="137" spans="1:9" x14ac:dyDescent="0.25">
      <c r="A137" s="3">
        <v>1029</v>
      </c>
      <c r="B137" s="3">
        <v>113.30859529999999</v>
      </c>
      <c r="C137" s="3">
        <v>23.017641430000001</v>
      </c>
      <c r="D137" s="3">
        <v>31</v>
      </c>
      <c r="E137" s="13">
        <f t="shared" si="6"/>
        <v>4.8126844850251652E-3</v>
      </c>
      <c r="F137" s="13">
        <f t="shared" si="7"/>
        <v>14.414723114809847</v>
      </c>
      <c r="G137" s="14">
        <f>F137/$F$252*$D$2</f>
        <v>17.968817073347239</v>
      </c>
      <c r="H137" s="14">
        <f>F137/$F$252*$E$2</f>
        <v>17.968817073347239</v>
      </c>
      <c r="I137" s="25" t="str">
        <f t="shared" si="8"/>
        <v>选中</v>
      </c>
    </row>
    <row r="138" spans="1:9" hidden="1" x14ac:dyDescent="0.25">
      <c r="A138" s="3">
        <v>785</v>
      </c>
      <c r="B138" s="3">
        <v>113.3104021</v>
      </c>
      <c r="C138" s="3">
        <v>23.027079019999999</v>
      </c>
      <c r="D138" s="3">
        <v>31</v>
      </c>
      <c r="E138" s="13">
        <f t="shared" si="6"/>
        <v>4.8547796189007146E-3</v>
      </c>
      <c r="F138" s="13">
        <f t="shared" si="7"/>
        <v>14.352093002995472</v>
      </c>
      <c r="G138" s="14">
        <f>F138/$F$124*$D$2</f>
        <v>1682.3968885718728</v>
      </c>
      <c r="H138" s="14">
        <f>F138/$F$124*$E$2</f>
        <v>1682.3968885718728</v>
      </c>
      <c r="I138" s="25" t="str">
        <f t="shared" si="8"/>
        <v/>
      </c>
    </row>
    <row r="139" spans="1:9" hidden="1" x14ac:dyDescent="0.25">
      <c r="A139" s="3">
        <v>1113</v>
      </c>
      <c r="B139" s="3">
        <v>113.3084806</v>
      </c>
      <c r="C139" s="3">
        <v>23.017625649999999</v>
      </c>
      <c r="D139" s="3">
        <v>31</v>
      </c>
      <c r="E139" s="13">
        <f t="shared" si="6"/>
        <v>4.8627550968161999E-3</v>
      </c>
      <c r="F139" s="13">
        <f t="shared" si="7"/>
        <v>14.340318631173774</v>
      </c>
      <c r="G139" s="14">
        <f>F139/$F$124*$D$2</f>
        <v>1681.0166601610356</v>
      </c>
      <c r="H139" s="14">
        <f>F139/$F$124*$E$2</f>
        <v>1681.0166601610356</v>
      </c>
      <c r="I139" s="25" t="str">
        <f t="shared" si="8"/>
        <v/>
      </c>
    </row>
    <row r="140" spans="1:9" x14ac:dyDescent="0.25">
      <c r="A140" s="3">
        <v>1023</v>
      </c>
      <c r="B140" s="3">
        <v>113.3067929</v>
      </c>
      <c r="C140" s="3">
        <v>23.018548330000002</v>
      </c>
      <c r="D140" s="3">
        <v>31</v>
      </c>
      <c r="E140" s="13">
        <f t="shared" si="6"/>
        <v>4.9004659246183625E-3</v>
      </c>
      <c r="F140" s="13">
        <f t="shared" si="7"/>
        <v>14.28503514374113</v>
      </c>
      <c r="G140" s="14">
        <f>F140/$F$252*$D$2</f>
        <v>17.807153237685135</v>
      </c>
      <c r="H140" s="14">
        <f>F140/$F$252*$E$2</f>
        <v>17.807153237685135</v>
      </c>
      <c r="I140" s="25" t="str">
        <f t="shared" si="8"/>
        <v>选中</v>
      </c>
    </row>
    <row r="141" spans="1:9" hidden="1" x14ac:dyDescent="0.25">
      <c r="A141" s="3">
        <v>1166</v>
      </c>
      <c r="B141" s="3">
        <v>113.31259230000001</v>
      </c>
      <c r="C141" s="3">
        <v>23.017987860000002</v>
      </c>
      <c r="D141" s="3">
        <v>31</v>
      </c>
      <c r="E141" s="13">
        <f t="shared" si="6"/>
        <v>4.9713362894216575E-3</v>
      </c>
      <c r="F141" s="13">
        <f t="shared" si="7"/>
        <v>14.182847358248386</v>
      </c>
      <c r="G141" s="14">
        <f>F141/$F$124*$D$2</f>
        <v>1662.5573887813259</v>
      </c>
      <c r="H141" s="14">
        <f>F141/$F$124*$E$2</f>
        <v>1662.5573887813259</v>
      </c>
      <c r="I141" s="25" t="str">
        <f t="shared" si="8"/>
        <v/>
      </c>
    </row>
    <row r="142" spans="1:9" hidden="1" x14ac:dyDescent="0.25">
      <c r="A142" s="3">
        <v>860</v>
      </c>
      <c r="B142" s="3">
        <v>113.3124789</v>
      </c>
      <c r="C142" s="3">
        <v>23.026627340000001</v>
      </c>
      <c r="D142" s="3">
        <v>31</v>
      </c>
      <c r="E142" s="13">
        <f t="shared" si="6"/>
        <v>5.0316556313929565E-3</v>
      </c>
      <c r="F142" s="13">
        <f t="shared" si="7"/>
        <v>14.09757925820152</v>
      </c>
      <c r="G142" s="14">
        <f>F142/$F$124*$D$2</f>
        <v>1652.5619974343397</v>
      </c>
      <c r="H142" s="14">
        <f>F142/$F$124*$E$2</f>
        <v>1652.5619974343397</v>
      </c>
      <c r="I142" s="25" t="str">
        <f t="shared" si="8"/>
        <v/>
      </c>
    </row>
    <row r="143" spans="1:9" x14ac:dyDescent="0.25">
      <c r="A143" s="3">
        <v>759</v>
      </c>
      <c r="B143" s="3">
        <v>113.3096805</v>
      </c>
      <c r="C143" s="3">
        <v>23.027316249999998</v>
      </c>
      <c r="D143" s="3">
        <v>31</v>
      </c>
      <c r="E143" s="13">
        <f t="shared" si="6"/>
        <v>5.0877206143405606E-3</v>
      </c>
      <c r="F143" s="13">
        <f t="shared" si="7"/>
        <v>14.01968877307198</v>
      </c>
      <c r="G143" s="14">
        <f>F143/$F$252*$D$2</f>
        <v>17.476383069041947</v>
      </c>
      <c r="H143" s="14">
        <f>F143/$F$252*$E$2</f>
        <v>17.476383069041947</v>
      </c>
      <c r="I143" s="25" t="str">
        <f t="shared" si="8"/>
        <v>选中</v>
      </c>
    </row>
    <row r="144" spans="1:9" hidden="1" x14ac:dyDescent="0.25">
      <c r="A144" s="3">
        <v>765</v>
      </c>
      <c r="B144" s="3">
        <v>113.3105767</v>
      </c>
      <c r="C144" s="3">
        <v>23.027298600000002</v>
      </c>
      <c r="D144" s="3">
        <v>31</v>
      </c>
      <c r="E144" s="13">
        <f t="shared" si="6"/>
        <v>5.089956009644887E-3</v>
      </c>
      <c r="F144" s="13">
        <f t="shared" si="7"/>
        <v>14.016609867472843</v>
      </c>
      <c r="G144" s="14">
        <f>F144/$F$124*$D$2</f>
        <v>1643.0705141361857</v>
      </c>
      <c r="H144" s="14">
        <f>F144/$F$124*$E$2</f>
        <v>1643.0705141361857</v>
      </c>
      <c r="I144" s="25" t="str">
        <f t="shared" si="8"/>
        <v/>
      </c>
    </row>
    <row r="145" spans="1:9" hidden="1" x14ac:dyDescent="0.25">
      <c r="A145" s="3">
        <v>848</v>
      </c>
      <c r="B145" s="3">
        <v>113.31394</v>
      </c>
      <c r="C145" s="3">
        <v>23.025499079999999</v>
      </c>
      <c r="D145" s="3">
        <v>31</v>
      </c>
      <c r="E145" s="13">
        <f t="shared" si="6"/>
        <v>5.1010916371819447E-3</v>
      </c>
      <c r="F145" s="13">
        <f t="shared" si="7"/>
        <v>14.001302455519941</v>
      </c>
      <c r="G145" s="14">
        <f>F145/$F$124*$D$2</f>
        <v>1641.2761317951379</v>
      </c>
      <c r="H145" s="14">
        <f>F145/$F$124*$E$2</f>
        <v>1641.2761317951379</v>
      </c>
      <c r="I145" s="25" t="str">
        <f t="shared" si="8"/>
        <v/>
      </c>
    </row>
    <row r="146" spans="1:9" x14ac:dyDescent="0.25">
      <c r="A146" s="3">
        <v>1028</v>
      </c>
      <c r="B146" s="3">
        <v>113.30558910000001</v>
      </c>
      <c r="C146" s="3">
        <v>23.019638029999999</v>
      </c>
      <c r="D146" s="3">
        <v>31</v>
      </c>
      <c r="E146" s="13">
        <f t="shared" si="6"/>
        <v>5.134836657220602E-3</v>
      </c>
      <c r="F146" s="13">
        <f t="shared" si="7"/>
        <v>13.955219875491951</v>
      </c>
      <c r="G146" s="14">
        <f>F146/$F$252*$D$2</f>
        <v>17.396018720846747</v>
      </c>
      <c r="H146" s="14">
        <f>F146/$F$252*$E$2</f>
        <v>17.396018720846747</v>
      </c>
      <c r="I146" s="25" t="str">
        <f t="shared" si="8"/>
        <v>选中</v>
      </c>
    </row>
    <row r="147" spans="1:9" hidden="1" x14ac:dyDescent="0.25">
      <c r="A147" s="3">
        <v>754</v>
      </c>
      <c r="B147" s="3">
        <v>113.3092893</v>
      </c>
      <c r="C147" s="3">
        <v>23.027348960000001</v>
      </c>
      <c r="D147" s="3">
        <v>31</v>
      </c>
      <c r="E147" s="13">
        <f t="shared" si="6"/>
        <v>5.1607844038002726E-3</v>
      </c>
      <c r="F147" s="13">
        <f t="shared" si="7"/>
        <v>13.920093159835547</v>
      </c>
      <c r="G147" s="14">
        <f>F147/$F$124*$D$2</f>
        <v>1631.7565260934452</v>
      </c>
      <c r="H147" s="14">
        <f>F147/$F$124*$E$2</f>
        <v>1631.7565260934452</v>
      </c>
      <c r="I147" s="25" t="str">
        <f t="shared" si="8"/>
        <v/>
      </c>
    </row>
    <row r="148" spans="1:9" hidden="1" x14ac:dyDescent="0.25">
      <c r="A148" s="3">
        <v>846</v>
      </c>
      <c r="B148" s="3">
        <v>113.3093142</v>
      </c>
      <c r="C148" s="3">
        <v>23.027400889999999</v>
      </c>
      <c r="D148" s="3">
        <v>31</v>
      </c>
      <c r="E148" s="13">
        <f t="shared" si="6"/>
        <v>5.2087882322463027E-3</v>
      </c>
      <c r="F148" s="13">
        <f t="shared" si="7"/>
        <v>13.855801386819643</v>
      </c>
      <c r="G148" s="14">
        <f>F148/$F$124*$D$2</f>
        <v>1624.2200449084257</v>
      </c>
      <c r="H148" s="14">
        <f>F148/$F$124*$E$2</f>
        <v>1624.2200449084257</v>
      </c>
      <c r="I148" s="25" t="str">
        <f t="shared" si="8"/>
        <v/>
      </c>
    </row>
    <row r="149" spans="1:9" x14ac:dyDescent="0.25">
      <c r="A149" s="3">
        <v>776</v>
      </c>
      <c r="B149" s="3">
        <v>113.3103322</v>
      </c>
      <c r="C149" s="3">
        <v>23.027453980000001</v>
      </c>
      <c r="D149" s="3">
        <v>31</v>
      </c>
      <c r="E149" s="13">
        <f t="shared" si="6"/>
        <v>5.2239423529470029E-3</v>
      </c>
      <c r="F149" s="13">
        <f t="shared" si="7"/>
        <v>13.835689661722508</v>
      </c>
      <c r="G149" s="14">
        <f>F149/$F$252*$D$2</f>
        <v>17.247017139001969</v>
      </c>
      <c r="H149" s="14">
        <f>F149/$F$252*$E$2</f>
        <v>17.247017139001969</v>
      </c>
      <c r="I149" s="25" t="str">
        <f t="shared" si="8"/>
        <v>选中</v>
      </c>
    </row>
    <row r="150" spans="1:9" hidden="1" x14ac:dyDescent="0.25">
      <c r="A150" s="3">
        <v>820</v>
      </c>
      <c r="B150" s="3">
        <v>113.3092733</v>
      </c>
      <c r="C150" s="3">
        <v>23.027430949999999</v>
      </c>
      <c r="D150" s="3">
        <v>31</v>
      </c>
      <c r="E150" s="13">
        <f t="shared" si="6"/>
        <v>5.244212317936113E-3</v>
      </c>
      <c r="F150" s="13">
        <f t="shared" si="7"/>
        <v>13.808924873102606</v>
      </c>
      <c r="G150" s="14">
        <f>F150/$F$124*$D$2</f>
        <v>1618.7250344727925</v>
      </c>
      <c r="H150" s="14">
        <f>F150/$F$124*$E$2</f>
        <v>1618.7250344727925</v>
      </c>
      <c r="I150" s="25" t="str">
        <f t="shared" si="8"/>
        <v/>
      </c>
    </row>
    <row r="151" spans="1:9" hidden="1" x14ac:dyDescent="0.25">
      <c r="A151" s="3">
        <v>1172</v>
      </c>
      <c r="B151" s="3">
        <v>113.3130893</v>
      </c>
      <c r="C151" s="3">
        <v>23.017916960000001</v>
      </c>
      <c r="D151" s="3">
        <v>31</v>
      </c>
      <c r="E151" s="13">
        <f t="shared" si="6"/>
        <v>5.3037591633206711E-3</v>
      </c>
      <c r="F151" s="13">
        <f t="shared" si="7"/>
        <v>13.731187656433248</v>
      </c>
      <c r="G151" s="14">
        <f>F151/$F$124*$D$2</f>
        <v>1609.612436650059</v>
      </c>
      <c r="H151" s="14">
        <f>F151/$F$124*$E$2</f>
        <v>1609.612436650059</v>
      </c>
      <c r="I151" s="25" t="str">
        <f t="shared" si="8"/>
        <v/>
      </c>
    </row>
    <row r="152" spans="1:9" x14ac:dyDescent="0.25">
      <c r="A152" s="3">
        <v>1040</v>
      </c>
      <c r="B152" s="3">
        <v>113.309262</v>
      </c>
      <c r="C152" s="3">
        <v>23.016981489999999</v>
      </c>
      <c r="D152" s="3">
        <v>31</v>
      </c>
      <c r="E152" s="13">
        <f t="shared" si="6"/>
        <v>5.3119198736801473E-3</v>
      </c>
      <c r="F152" s="13">
        <f t="shared" si="7"/>
        <v>13.720635980282543</v>
      </c>
      <c r="G152" s="14">
        <f>F152/$F$252*$D$2</f>
        <v>17.103595823244206</v>
      </c>
      <c r="H152" s="14">
        <f>F152/$F$252*$E$2</f>
        <v>17.103595823244206</v>
      </c>
      <c r="I152" s="25" t="str">
        <f t="shared" si="8"/>
        <v>选中</v>
      </c>
    </row>
    <row r="153" spans="1:9" hidden="1" x14ac:dyDescent="0.25">
      <c r="A153" s="3">
        <v>1024</v>
      </c>
      <c r="B153" s="3">
        <v>113.3058846</v>
      </c>
      <c r="C153" s="3">
        <v>23.018849840000001</v>
      </c>
      <c r="D153" s="3">
        <v>31</v>
      </c>
      <c r="E153" s="13">
        <f t="shared" si="6"/>
        <v>5.3441400527012971E-3</v>
      </c>
      <c r="F153" s="13">
        <f t="shared" si="7"/>
        <v>13.679212131541716</v>
      </c>
      <c r="G153" s="14">
        <f>F153/$F$124*$D$2</f>
        <v>1603.5197042979794</v>
      </c>
      <c r="H153" s="14">
        <f>F153/$F$124*$E$2</f>
        <v>1603.5197042979794</v>
      </c>
      <c r="I153" s="25" t="str">
        <f t="shared" si="8"/>
        <v/>
      </c>
    </row>
    <row r="154" spans="1:9" hidden="1" x14ac:dyDescent="0.25">
      <c r="A154" s="3">
        <v>1045</v>
      </c>
      <c r="B154" s="3">
        <v>113.3083219</v>
      </c>
      <c r="C154" s="3">
        <v>23.01715914</v>
      </c>
      <c r="D154" s="3">
        <v>31</v>
      </c>
      <c r="E154" s="13">
        <f t="shared" si="6"/>
        <v>5.355510158790008E-3</v>
      </c>
      <c r="F154" s="13">
        <f t="shared" si="7"/>
        <v>13.664683475204649</v>
      </c>
      <c r="G154" s="14">
        <f>F154/$F$124*$D$2</f>
        <v>1601.8166101073614</v>
      </c>
      <c r="H154" s="14">
        <f>F154/$F$124*$E$2</f>
        <v>1601.8166101073614</v>
      </c>
      <c r="I154" s="25" t="str">
        <f t="shared" si="8"/>
        <v/>
      </c>
    </row>
    <row r="155" spans="1:9" x14ac:dyDescent="0.25">
      <c r="A155" s="3">
        <v>1114</v>
      </c>
      <c r="B155" s="3">
        <v>113.30926599999999</v>
      </c>
      <c r="C155" s="3">
        <v>23.016931499999998</v>
      </c>
      <c r="D155" s="3">
        <v>31</v>
      </c>
      <c r="E155" s="13">
        <f t="shared" si="6"/>
        <v>5.3608471142275833E-3</v>
      </c>
      <c r="F155" s="13">
        <f t="shared" si="7"/>
        <v>13.657879889413136</v>
      </c>
      <c r="G155" s="14">
        <f>F155/$F$252*$D$2</f>
        <v>17.025366591361689</v>
      </c>
      <c r="H155" s="14">
        <f>F155/$F$252*$E$2</f>
        <v>17.025366591361689</v>
      </c>
      <c r="I155" s="25" t="str">
        <f t="shared" si="8"/>
        <v>选中</v>
      </c>
    </row>
    <row r="156" spans="1:9" hidden="1" x14ac:dyDescent="0.25">
      <c r="A156" s="3">
        <v>826</v>
      </c>
      <c r="B156" s="3">
        <v>113.3088362</v>
      </c>
      <c r="C156" s="3">
        <v>23.027470739999998</v>
      </c>
      <c r="D156" s="3">
        <v>31</v>
      </c>
      <c r="E156" s="13">
        <f t="shared" si="6"/>
        <v>5.3625446466092049E-3</v>
      </c>
      <c r="F156" s="13">
        <f t="shared" si="7"/>
        <v>13.655717993336358</v>
      </c>
      <c r="G156" s="14">
        <f>F156/$F$124*$D$2</f>
        <v>1600.765648495239</v>
      </c>
      <c r="H156" s="14">
        <f>F156/$F$124*$E$2</f>
        <v>1600.765648495239</v>
      </c>
      <c r="I156" s="25" t="str">
        <f t="shared" si="8"/>
        <v/>
      </c>
    </row>
    <row r="157" spans="1:9" hidden="1" x14ac:dyDescent="0.25">
      <c r="A157" s="3">
        <v>762</v>
      </c>
      <c r="B157" s="3">
        <v>113.3094909</v>
      </c>
      <c r="C157" s="3">
        <v>23.027634460000002</v>
      </c>
      <c r="D157" s="3">
        <v>31</v>
      </c>
      <c r="E157" s="13">
        <f t="shared" si="6"/>
        <v>5.4203543761010874E-3</v>
      </c>
      <c r="F157" s="13">
        <f t="shared" si="7"/>
        <v>13.582701591170798</v>
      </c>
      <c r="G157" s="14">
        <f>F157/$F$124*$D$2</f>
        <v>1592.2064392013463</v>
      </c>
      <c r="H157" s="14">
        <f>F157/$F$124*$E$2</f>
        <v>1592.2064392013463</v>
      </c>
      <c r="I157" s="25" t="str">
        <f t="shared" si="8"/>
        <v/>
      </c>
    </row>
    <row r="158" spans="1:9" x14ac:dyDescent="0.25">
      <c r="A158" s="3">
        <v>1102</v>
      </c>
      <c r="B158" s="3">
        <v>113.3098988</v>
      </c>
      <c r="C158" s="3">
        <v>23.01680039</v>
      </c>
      <c r="D158" s="3">
        <v>31</v>
      </c>
      <c r="E158" s="13">
        <f t="shared" si="6"/>
        <v>5.4404846749526534E-3</v>
      </c>
      <c r="F158" s="13">
        <f t="shared" si="7"/>
        <v>13.557549674475501</v>
      </c>
      <c r="G158" s="14">
        <f>F158/$F$252*$D$2</f>
        <v>16.900298959830717</v>
      </c>
      <c r="H158" s="14">
        <f>F158/$F$252*$E$2</f>
        <v>16.900298959830717</v>
      </c>
      <c r="I158" s="25" t="str">
        <f t="shared" si="8"/>
        <v>选中</v>
      </c>
    </row>
    <row r="159" spans="1:9" hidden="1" x14ac:dyDescent="0.25">
      <c r="A159" s="3">
        <v>753</v>
      </c>
      <c r="B159" s="3">
        <v>113.3105467</v>
      </c>
      <c r="C159" s="3">
        <v>23.027681489999999</v>
      </c>
      <c r="D159" s="3">
        <v>31</v>
      </c>
      <c r="E159" s="13">
        <f t="shared" si="6"/>
        <v>5.4676863749119576E-3</v>
      </c>
      <c r="F159" s="13">
        <f t="shared" si="7"/>
        <v>13.523783269680637</v>
      </c>
      <c r="G159" s="14">
        <f>F159/$F$124*$D$2</f>
        <v>1585.2998506825681</v>
      </c>
      <c r="H159" s="14">
        <f>F159/$F$124*$E$2</f>
        <v>1585.2998506825681</v>
      </c>
      <c r="I159" s="25" t="str">
        <f t="shared" si="8"/>
        <v/>
      </c>
    </row>
    <row r="160" spans="1:9" hidden="1" x14ac:dyDescent="0.25">
      <c r="A160" s="3">
        <v>884</v>
      </c>
      <c r="B160" s="3">
        <v>113.314455</v>
      </c>
      <c r="C160" s="3">
        <v>23.025488119999999</v>
      </c>
      <c r="D160" s="3">
        <v>31</v>
      </c>
      <c r="E160" s="13">
        <f t="shared" si="6"/>
        <v>5.5006045513255131E-3</v>
      </c>
      <c r="F160" s="13">
        <f t="shared" si="7"/>
        <v>13.48325624049669</v>
      </c>
      <c r="G160" s="14">
        <f>F160/$F$124*$D$2</f>
        <v>1580.5491465317587</v>
      </c>
      <c r="H160" s="14">
        <f>F160/$F$124*$E$2</f>
        <v>1580.5491465317587</v>
      </c>
      <c r="I160" s="25" t="str">
        <f t="shared" si="8"/>
        <v/>
      </c>
    </row>
    <row r="161" spans="1:9" x14ac:dyDescent="0.25">
      <c r="A161" s="3">
        <v>1031</v>
      </c>
      <c r="B161" s="3">
        <v>113.3055153</v>
      </c>
      <c r="C161" s="3">
        <v>23.019037430000001</v>
      </c>
      <c r="D161" s="3">
        <v>31</v>
      </c>
      <c r="E161" s="13">
        <f t="shared" si="6"/>
        <v>5.5236905590749976E-3</v>
      </c>
      <c r="F161" s="13">
        <f t="shared" si="7"/>
        <v>13.455050417274887</v>
      </c>
      <c r="G161" s="14">
        <f>F161/$F$252*$D$2</f>
        <v>16.772527487002392</v>
      </c>
      <c r="H161" s="14">
        <f>F161/$F$252*$E$2</f>
        <v>16.772527487002392</v>
      </c>
      <c r="I161" s="25" t="str">
        <f t="shared" si="8"/>
        <v>选中</v>
      </c>
    </row>
    <row r="162" spans="1:9" hidden="1" x14ac:dyDescent="0.25">
      <c r="A162" s="3">
        <v>881</v>
      </c>
      <c r="B162" s="3">
        <v>113.31218149999999</v>
      </c>
      <c r="C162" s="3">
        <v>23.02732859</v>
      </c>
      <c r="D162" s="3">
        <v>31</v>
      </c>
      <c r="E162" s="13">
        <f t="shared" si="6"/>
        <v>5.5305220911213175E-3</v>
      </c>
      <c r="F162" s="13">
        <f t="shared" si="7"/>
        <v>13.446737729108454</v>
      </c>
      <c r="G162" s="14">
        <f>F162/$F$124*$D$2</f>
        <v>1576.2683332788051</v>
      </c>
      <c r="H162" s="14">
        <f>F162/$F$124*$E$2</f>
        <v>1576.2683332788051</v>
      </c>
      <c r="I162" s="25" t="str">
        <f t="shared" si="8"/>
        <v/>
      </c>
    </row>
    <row r="163" spans="1:9" hidden="1" x14ac:dyDescent="0.25">
      <c r="A163" s="3">
        <v>773</v>
      </c>
      <c r="B163" s="3">
        <v>113.3101066</v>
      </c>
      <c r="C163" s="3">
        <v>23.02780525</v>
      </c>
      <c r="D163" s="3">
        <v>31</v>
      </c>
      <c r="E163" s="13">
        <f t="shared" si="6"/>
        <v>5.5663757382702732E-3</v>
      </c>
      <c r="F163" s="13">
        <f t="shared" si="7"/>
        <v>13.403361800015011</v>
      </c>
      <c r="G163" s="14">
        <f>F163/$F$124*$D$2</f>
        <v>1571.1836722380433</v>
      </c>
      <c r="H163" s="14">
        <f>F163/$F$124*$E$2</f>
        <v>1571.1836722380433</v>
      </c>
      <c r="I163" s="25" t="str">
        <f t="shared" si="8"/>
        <v/>
      </c>
    </row>
    <row r="164" spans="1:9" x14ac:dyDescent="0.25">
      <c r="A164" s="3">
        <v>1030</v>
      </c>
      <c r="B164" s="3">
        <v>113.3075175</v>
      </c>
      <c r="C164" s="3">
        <v>23.017222579999999</v>
      </c>
      <c r="D164" s="3">
        <v>31</v>
      </c>
      <c r="E164" s="13">
        <f t="shared" si="6"/>
        <v>5.6047829557343189E-3</v>
      </c>
      <c r="F164" s="13">
        <f t="shared" si="7"/>
        <v>13.357359058002956</v>
      </c>
      <c r="G164" s="14">
        <f>F164/$F$252*$D$2</f>
        <v>16.650749347358456</v>
      </c>
      <c r="H164" s="14">
        <f>F164/$F$252*$E$2</f>
        <v>16.650749347358456</v>
      </c>
      <c r="I164" s="25" t="str">
        <f t="shared" si="8"/>
        <v>选中</v>
      </c>
    </row>
    <row r="165" spans="1:9" hidden="1" x14ac:dyDescent="0.25">
      <c r="A165" s="3">
        <v>1050</v>
      </c>
      <c r="B165" s="3">
        <v>113.30867019999999</v>
      </c>
      <c r="C165" s="3">
        <v>23.016781659999999</v>
      </c>
      <c r="D165" s="3">
        <v>31</v>
      </c>
      <c r="E165" s="13">
        <f t="shared" si="6"/>
        <v>5.6214468789194923E-3</v>
      </c>
      <c r="F165" s="13">
        <f t="shared" si="7"/>
        <v>13.337546435859338</v>
      </c>
      <c r="G165" s="14">
        <f>F165/$F$124*$D$2</f>
        <v>1563.4685909706197</v>
      </c>
      <c r="H165" s="14">
        <f>F165/$F$124*$E$2</f>
        <v>1563.4685909706197</v>
      </c>
      <c r="I165" s="25" t="str">
        <f t="shared" si="8"/>
        <v/>
      </c>
    </row>
    <row r="166" spans="1:9" hidden="1" x14ac:dyDescent="0.25">
      <c r="A166" s="3">
        <v>806</v>
      </c>
      <c r="B166" s="3">
        <v>113.3110507</v>
      </c>
      <c r="C166" s="3">
        <v>23.027765509999998</v>
      </c>
      <c r="D166" s="3">
        <v>31</v>
      </c>
      <c r="E166" s="13">
        <f t="shared" si="6"/>
        <v>5.6219185310690456E-3</v>
      </c>
      <c r="F166" s="13">
        <f t="shared" si="7"/>
        <v>13.336986945859922</v>
      </c>
      <c r="G166" s="14">
        <f>F166/$F$124*$D$2</f>
        <v>1563.4030058163144</v>
      </c>
      <c r="H166" s="14">
        <f>F166/$F$124*$E$2</f>
        <v>1563.4030058163144</v>
      </c>
      <c r="I166" s="25" t="str">
        <f t="shared" si="8"/>
        <v/>
      </c>
    </row>
    <row r="167" spans="1:9" x14ac:dyDescent="0.25">
      <c r="A167" s="3">
        <v>1127</v>
      </c>
      <c r="B167" s="3">
        <v>113.30745159999999</v>
      </c>
      <c r="C167" s="3">
        <v>23.01719172</v>
      </c>
      <c r="D167" s="3">
        <v>31</v>
      </c>
      <c r="E167" s="13">
        <f t="shared" si="6"/>
        <v>5.6619655334635716E-3</v>
      </c>
      <c r="F167" s="13">
        <f t="shared" si="7"/>
        <v>13.289737087884266</v>
      </c>
      <c r="G167" s="14">
        <f>F167/$F$252*$D$2</f>
        <v>16.566454505097234</v>
      </c>
      <c r="H167" s="14">
        <f>F167/$F$252*$E$2</f>
        <v>16.566454505097234</v>
      </c>
      <c r="I167" s="25" t="str">
        <f t="shared" si="8"/>
        <v>选中</v>
      </c>
    </row>
    <row r="168" spans="1:9" hidden="1" x14ac:dyDescent="0.25">
      <c r="A168" s="3">
        <v>1123</v>
      </c>
      <c r="B168" s="3">
        <v>113.30796960000001</v>
      </c>
      <c r="C168" s="3">
        <v>23.016935879999998</v>
      </c>
      <c r="D168" s="3">
        <v>31</v>
      </c>
      <c r="E168" s="13">
        <f t="shared" si="6"/>
        <v>5.6848671191928931E-3</v>
      </c>
      <c r="F168" s="13">
        <f t="shared" si="7"/>
        <v>13.262941105520826</v>
      </c>
      <c r="G168" s="14">
        <f>F168/$F$124*$D$2</f>
        <v>1554.7231225844971</v>
      </c>
      <c r="H168" s="14">
        <f>F168/$F$124*$E$2</f>
        <v>1554.7231225844971</v>
      </c>
      <c r="I168" s="25" t="str">
        <f t="shared" si="8"/>
        <v/>
      </c>
    </row>
    <row r="169" spans="1:9" hidden="1" x14ac:dyDescent="0.25">
      <c r="A169" s="3">
        <v>873</v>
      </c>
      <c r="B169" s="3">
        <v>113.3123152</v>
      </c>
      <c r="C169" s="3">
        <v>23.027441289999999</v>
      </c>
      <c r="D169" s="3">
        <v>31</v>
      </c>
      <c r="E169" s="13">
        <f t="shared" si="6"/>
        <v>5.6871201528012521E-3</v>
      </c>
      <c r="F169" s="13">
        <f t="shared" si="7"/>
        <v>13.260313693810669</v>
      </c>
      <c r="G169" s="14">
        <f>F169/$F$124*$D$2</f>
        <v>1554.4151292287377</v>
      </c>
      <c r="H169" s="14">
        <f>F169/$F$124*$E$2</f>
        <v>1554.4151292287377</v>
      </c>
      <c r="I169" s="25" t="str">
        <f t="shared" si="8"/>
        <v/>
      </c>
    </row>
    <row r="170" spans="1:9" x14ac:dyDescent="0.25">
      <c r="A170" s="3">
        <v>1149</v>
      </c>
      <c r="B170" s="3">
        <v>113.3156697</v>
      </c>
      <c r="C170" s="3">
        <v>23.021458559999999</v>
      </c>
      <c r="D170" s="3">
        <v>31</v>
      </c>
      <c r="E170" s="13">
        <f t="shared" si="6"/>
        <v>5.7072963881794597E-3</v>
      </c>
      <c r="F170" s="13">
        <f t="shared" si="7"/>
        <v>13.236854242671606</v>
      </c>
      <c r="G170" s="14">
        <f>F170/$F$252*$D$2</f>
        <v>16.500532866202338</v>
      </c>
      <c r="H170" s="14">
        <f>F170/$F$252*$E$2</f>
        <v>16.500532866202338</v>
      </c>
      <c r="I170" s="25" t="str">
        <f t="shared" si="8"/>
        <v>选中</v>
      </c>
    </row>
    <row r="171" spans="1:9" hidden="1" x14ac:dyDescent="0.25">
      <c r="A171" s="3">
        <v>1129</v>
      </c>
      <c r="B171" s="3">
        <v>113.3089078</v>
      </c>
      <c r="C171" s="3">
        <v>23.016605299999998</v>
      </c>
      <c r="D171" s="3">
        <v>31</v>
      </c>
      <c r="E171" s="13">
        <f t="shared" si="6"/>
        <v>5.7422798665784361E-3</v>
      </c>
      <c r="F171" s="13">
        <f t="shared" si="7"/>
        <v>13.196471445269214</v>
      </c>
      <c r="G171" s="14">
        <f>F171/$F$124*$D$2</f>
        <v>1546.9313426978702</v>
      </c>
      <c r="H171" s="14">
        <f>F171/$F$124*$E$2</f>
        <v>1546.9313426978702</v>
      </c>
      <c r="I171" s="25" t="str">
        <f t="shared" si="8"/>
        <v/>
      </c>
    </row>
    <row r="172" spans="1:9" hidden="1" x14ac:dyDescent="0.25">
      <c r="A172" s="3">
        <v>1063</v>
      </c>
      <c r="B172" s="3">
        <v>113.3101463</v>
      </c>
      <c r="C172" s="3">
        <v>23.016485070000002</v>
      </c>
      <c r="D172" s="3">
        <v>31</v>
      </c>
      <c r="E172" s="13">
        <f t="shared" si="6"/>
        <v>5.7560127390041665E-3</v>
      </c>
      <c r="F172" s="13">
        <f t="shared" si="7"/>
        <v>13.180719770498097</v>
      </c>
      <c r="G172" s="14">
        <f>F172/$F$124*$D$2</f>
        <v>1545.0848824903455</v>
      </c>
      <c r="H172" s="14">
        <f>F172/$F$124*$E$2</f>
        <v>1545.0848824903455</v>
      </c>
      <c r="I172" s="25" t="str">
        <f t="shared" si="8"/>
        <v/>
      </c>
    </row>
    <row r="173" spans="1:9" x14ac:dyDescent="0.25">
      <c r="A173" s="3">
        <v>1056</v>
      </c>
      <c r="B173" s="3">
        <v>113.3085844</v>
      </c>
      <c r="C173" s="3">
        <v>23.016613889999999</v>
      </c>
      <c r="D173" s="3">
        <v>31</v>
      </c>
      <c r="E173" s="13">
        <f t="shared" si="6"/>
        <v>5.8050400867183122E-3</v>
      </c>
      <c r="F173" s="13">
        <f t="shared" si="7"/>
        <v>13.124941865242414</v>
      </c>
      <c r="G173" s="14">
        <f>F173/$F$252*$D$2</f>
        <v>16.361027374334618</v>
      </c>
      <c r="H173" s="14">
        <f>F173/$F$252*$E$2</f>
        <v>16.361027374334618</v>
      </c>
      <c r="I173" s="25" t="str">
        <f t="shared" si="8"/>
        <v>选中</v>
      </c>
    </row>
    <row r="174" spans="1:9" hidden="1" x14ac:dyDescent="0.25">
      <c r="A174" s="3">
        <v>1120</v>
      </c>
      <c r="B174" s="3">
        <v>113.3044443</v>
      </c>
      <c r="C174" s="3">
        <v>23.020599669999999</v>
      </c>
      <c r="D174" s="3">
        <v>31</v>
      </c>
      <c r="E174" s="13">
        <f t="shared" si="6"/>
        <v>5.8081286524649511E-3</v>
      </c>
      <c r="F174" s="13">
        <f t="shared" si="7"/>
        <v>13.121451701816822</v>
      </c>
      <c r="G174" s="14">
        <f>F174/$F$124*$D$2</f>
        <v>1538.1372955202617</v>
      </c>
      <c r="H174" s="14">
        <f>F174/$F$124*$E$2</f>
        <v>1538.1372955202617</v>
      </c>
      <c r="I174" s="25" t="str">
        <f t="shared" si="8"/>
        <v/>
      </c>
    </row>
    <row r="175" spans="1:9" hidden="1" x14ac:dyDescent="0.25">
      <c r="A175" s="3">
        <v>1147</v>
      </c>
      <c r="B175" s="3">
        <v>113.3044443</v>
      </c>
      <c r="C175" s="3">
        <v>23.020599669999999</v>
      </c>
      <c r="D175" s="3">
        <v>31</v>
      </c>
      <c r="E175" s="13">
        <f t="shared" si="6"/>
        <v>5.8081286524649511E-3</v>
      </c>
      <c r="F175" s="13">
        <f t="shared" si="7"/>
        <v>13.121451701816822</v>
      </c>
      <c r="G175" s="14">
        <f>F175/$F$124*$D$2</f>
        <v>1538.1372955202617</v>
      </c>
      <c r="H175" s="14">
        <f>F175/$F$124*$E$2</f>
        <v>1538.1372955202617</v>
      </c>
      <c r="I175" s="25" t="str">
        <f t="shared" si="8"/>
        <v/>
      </c>
    </row>
    <row r="176" spans="1:9" x14ac:dyDescent="0.25">
      <c r="A176" s="3">
        <v>1105</v>
      </c>
      <c r="B176" s="3">
        <v>113.31080799999999</v>
      </c>
      <c r="C176" s="3">
        <v>23.016443859999999</v>
      </c>
      <c r="D176" s="3">
        <v>31</v>
      </c>
      <c r="E176" s="13">
        <f t="shared" si="6"/>
        <v>5.8496003002343928E-3</v>
      </c>
      <c r="F176" s="13">
        <f t="shared" si="7"/>
        <v>13.074855684940665</v>
      </c>
      <c r="G176" s="14">
        <f>F176/$F$252*$D$2</f>
        <v>16.298591946017567</v>
      </c>
      <c r="H176" s="14">
        <f>F176/$F$252*$E$2</f>
        <v>16.298591946017567</v>
      </c>
      <c r="I176" s="25" t="str">
        <f t="shared" si="8"/>
        <v>选中</v>
      </c>
    </row>
    <row r="177" spans="1:9" hidden="1" x14ac:dyDescent="0.25">
      <c r="A177" s="3">
        <v>1169</v>
      </c>
      <c r="B177" s="3">
        <v>113.31316510000001</v>
      </c>
      <c r="C177" s="3">
        <v>23.01730508</v>
      </c>
      <c r="D177" s="3">
        <v>31</v>
      </c>
      <c r="E177" s="13">
        <f t="shared" si="6"/>
        <v>5.8536986018197772E-3</v>
      </c>
      <c r="F177" s="13">
        <f t="shared" si="7"/>
        <v>13.070277888263213</v>
      </c>
      <c r="G177" s="14">
        <f>F177/$F$124*$D$2</f>
        <v>1532.1385422596063</v>
      </c>
      <c r="H177" s="14">
        <f>F177/$F$124*$E$2</f>
        <v>1532.1385422596063</v>
      </c>
      <c r="I177" s="25" t="str">
        <f t="shared" si="8"/>
        <v/>
      </c>
    </row>
    <row r="178" spans="1:9" hidden="1" x14ac:dyDescent="0.25">
      <c r="A178" s="3">
        <v>1039</v>
      </c>
      <c r="B178" s="3">
        <v>113.3074307</v>
      </c>
      <c r="C178" s="3">
        <v>23.016979849999998</v>
      </c>
      <c r="D178" s="3">
        <v>31</v>
      </c>
      <c r="E178" s="13">
        <f t="shared" si="6"/>
        <v>5.8608334234661894E-3</v>
      </c>
      <c r="F178" s="13">
        <f t="shared" si="7"/>
        <v>13.062319762395123</v>
      </c>
      <c r="G178" s="14">
        <f>F178/$F$124*$D$2</f>
        <v>1531.2056660445105</v>
      </c>
      <c r="H178" s="14">
        <f>F178/$F$124*$E$2</f>
        <v>1531.2056660445105</v>
      </c>
      <c r="I178" s="25" t="str">
        <f t="shared" si="8"/>
        <v/>
      </c>
    </row>
    <row r="179" spans="1:9" x14ac:dyDescent="0.25">
      <c r="A179" s="3">
        <v>869</v>
      </c>
      <c r="B179" s="3">
        <v>113.3147603</v>
      </c>
      <c r="C179" s="3">
        <v>23.02571244</v>
      </c>
      <c r="D179" s="3">
        <v>31</v>
      </c>
      <c r="E179" s="13">
        <f t="shared" si="6"/>
        <v>5.8794542135254656E-3</v>
      </c>
      <c r="F179" s="13">
        <f t="shared" si="7"/>
        <v>13.041618554901422</v>
      </c>
      <c r="G179" s="14">
        <f>F179/$F$252*$D$2</f>
        <v>16.257159869593941</v>
      </c>
      <c r="H179" s="14">
        <f>F179/$F$252*$E$2</f>
        <v>16.257159869593941</v>
      </c>
      <c r="I179" s="25" t="str">
        <f t="shared" si="8"/>
        <v>选中</v>
      </c>
    </row>
    <row r="180" spans="1:9" hidden="1" x14ac:dyDescent="0.25">
      <c r="A180" s="3">
        <v>1170</v>
      </c>
      <c r="B180" s="3">
        <v>113.3119157</v>
      </c>
      <c r="C180" s="3">
        <v>23.016666699999998</v>
      </c>
      <c r="D180" s="3">
        <v>31</v>
      </c>
      <c r="E180" s="13">
        <f t="shared" si="6"/>
        <v>5.8877674910039089E-3</v>
      </c>
      <c r="F180" s="13">
        <f t="shared" si="7"/>
        <v>13.032408197016668</v>
      </c>
      <c r="G180" s="14">
        <f>F180/$F$124*$D$2</f>
        <v>1527.6993395098007</v>
      </c>
      <c r="H180" s="14">
        <f>F180/$F$124*$E$2</f>
        <v>1527.6993395098007</v>
      </c>
      <c r="I180" s="25" t="str">
        <f t="shared" si="8"/>
        <v/>
      </c>
    </row>
    <row r="181" spans="1:9" hidden="1" x14ac:dyDescent="0.25">
      <c r="A181" s="3">
        <v>1054</v>
      </c>
      <c r="B181" s="3">
        <v>113.30602039999999</v>
      </c>
      <c r="C181" s="3">
        <v>23.01777006</v>
      </c>
      <c r="D181" s="3">
        <v>31</v>
      </c>
      <c r="E181" s="13">
        <f t="shared" si="6"/>
        <v>5.9952060592219341E-3</v>
      </c>
      <c r="F181" s="13">
        <f t="shared" si="7"/>
        <v>12.91510503909651</v>
      </c>
      <c r="G181" s="14">
        <f>F181/$F$124*$D$2</f>
        <v>1513.9486992468549</v>
      </c>
      <c r="H181" s="14">
        <f>F181/$F$124*$E$2</f>
        <v>1513.9486992468549</v>
      </c>
      <c r="I181" s="25" t="str">
        <f t="shared" si="8"/>
        <v/>
      </c>
    </row>
    <row r="182" spans="1:9" x14ac:dyDescent="0.25">
      <c r="A182" s="3">
        <v>1116</v>
      </c>
      <c r="B182" s="3">
        <v>113.3115225</v>
      </c>
      <c r="C182" s="3">
        <v>23.016431529999998</v>
      </c>
      <c r="D182" s="3">
        <v>31</v>
      </c>
      <c r="E182" s="13">
        <f t="shared" si="6"/>
        <v>6.0002528485394195E-3</v>
      </c>
      <c r="F182" s="13">
        <f t="shared" si="7"/>
        <v>12.90967247423799</v>
      </c>
      <c r="G182" s="14">
        <f>F182/$F$252*$D$2</f>
        <v>16.092681164862494</v>
      </c>
      <c r="H182" s="14">
        <f>F182/$F$252*$E$2</f>
        <v>16.092681164862494</v>
      </c>
      <c r="I182" s="25" t="str">
        <f t="shared" si="8"/>
        <v>选中</v>
      </c>
    </row>
    <row r="183" spans="1:9" hidden="1" x14ac:dyDescent="0.25">
      <c r="A183" s="3">
        <v>1027</v>
      </c>
      <c r="B183" s="3">
        <v>113.3057939</v>
      </c>
      <c r="C183" s="3">
        <v>23.017967389999999</v>
      </c>
      <c r="D183" s="3">
        <v>31</v>
      </c>
      <c r="E183" s="13">
        <f t="shared" si="6"/>
        <v>6.0065661212055392E-3</v>
      </c>
      <c r="F183" s="13">
        <f t="shared" si="7"/>
        <v>12.90288625829008</v>
      </c>
      <c r="G183" s="14">
        <f>F183/$F$124*$D$2</f>
        <v>1512.5163758354479</v>
      </c>
      <c r="H183" s="14">
        <f>F183/$F$124*$E$2</f>
        <v>1512.5163758354479</v>
      </c>
      <c r="I183" s="25" t="str">
        <f t="shared" si="8"/>
        <v/>
      </c>
    </row>
    <row r="184" spans="1:9" hidden="1" x14ac:dyDescent="0.25">
      <c r="A184" s="3">
        <v>1162</v>
      </c>
      <c r="B184" s="3">
        <v>113.313733</v>
      </c>
      <c r="C184" s="3">
        <v>23.017465940000001</v>
      </c>
      <c r="D184" s="3">
        <v>31</v>
      </c>
      <c r="E184" s="13">
        <f t="shared" si="6"/>
        <v>6.0500637086639162E-3</v>
      </c>
      <c r="F184" s="13">
        <f t="shared" si="7"/>
        <v>12.856419239496216</v>
      </c>
      <c r="G184" s="14">
        <f>F184/$F$124*$D$2</f>
        <v>1507.0693676657204</v>
      </c>
      <c r="H184" s="14">
        <f>F184/$F$124*$E$2</f>
        <v>1507.0693676657204</v>
      </c>
      <c r="I184" s="25" t="str">
        <f t="shared" si="8"/>
        <v/>
      </c>
    </row>
    <row r="185" spans="1:9" x14ac:dyDescent="0.25">
      <c r="A185" s="3">
        <v>1185</v>
      </c>
      <c r="B185" s="3">
        <v>113.3123449</v>
      </c>
      <c r="C185" s="3">
        <v>23.016596929999999</v>
      </c>
      <c r="D185" s="3">
        <v>31</v>
      </c>
      <c r="E185" s="13">
        <f t="shared" si="6"/>
        <v>6.1043547588927336E-3</v>
      </c>
      <c r="F185" s="13">
        <f t="shared" si="7"/>
        <v>12.79912019505738</v>
      </c>
      <c r="G185" s="14">
        <f>F185/$F$252*$D$2</f>
        <v>15.954871117051239</v>
      </c>
      <c r="H185" s="14">
        <f>F185/$F$252*$E$2</f>
        <v>15.954871117051239</v>
      </c>
      <c r="I185" s="25" t="str">
        <f t="shared" si="8"/>
        <v>选中</v>
      </c>
    </row>
    <row r="186" spans="1:9" hidden="1" x14ac:dyDescent="0.25">
      <c r="A186" s="3">
        <v>1180</v>
      </c>
      <c r="B186" s="3">
        <v>113.3130823</v>
      </c>
      <c r="C186" s="3">
        <v>23.016804449999999</v>
      </c>
      <c r="D186" s="3">
        <v>31</v>
      </c>
      <c r="E186" s="13">
        <f t="shared" si="6"/>
        <v>6.240396354852064E-3</v>
      </c>
      <c r="F186" s="13">
        <f t="shared" si="7"/>
        <v>12.658840060259958</v>
      </c>
      <c r="G186" s="14">
        <f>F186/$F$124*$D$2</f>
        <v>1483.9085230192786</v>
      </c>
      <c r="H186" s="14">
        <f>F186/$F$124*$E$2</f>
        <v>1483.9085230192786</v>
      </c>
      <c r="I186" s="25" t="str">
        <f t="shared" si="8"/>
        <v/>
      </c>
    </row>
    <row r="187" spans="1:9" hidden="1" x14ac:dyDescent="0.25">
      <c r="A187" s="3">
        <v>1076</v>
      </c>
      <c r="B187" s="3">
        <v>113.30381149999999</v>
      </c>
      <c r="C187" s="3">
        <v>23.02115555</v>
      </c>
      <c r="D187" s="3">
        <v>31</v>
      </c>
      <c r="E187" s="13">
        <f t="shared" si="6"/>
        <v>6.2985908934973106E-3</v>
      </c>
      <c r="F187" s="13">
        <f t="shared" si="7"/>
        <v>12.600224977440146</v>
      </c>
      <c r="G187" s="14">
        <f>F187/$F$124*$D$2</f>
        <v>1477.0374810786464</v>
      </c>
      <c r="H187" s="14">
        <f>F187/$F$124*$E$2</f>
        <v>1477.0374810786464</v>
      </c>
      <c r="I187" s="25" t="str">
        <f t="shared" si="8"/>
        <v/>
      </c>
    </row>
    <row r="188" spans="1:9" x14ac:dyDescent="0.25">
      <c r="A188" s="3">
        <v>1178</v>
      </c>
      <c r="B188" s="3">
        <v>113.313748</v>
      </c>
      <c r="C188" s="3">
        <v>23.017132060000002</v>
      </c>
      <c r="D188" s="3">
        <v>31</v>
      </c>
      <c r="E188" s="13">
        <f t="shared" si="6"/>
        <v>6.3256734513031342E-3</v>
      </c>
      <c r="F188" s="13">
        <f t="shared" si="7"/>
        <v>12.573222923153081</v>
      </c>
      <c r="G188" s="14">
        <f>F188/$F$252*$D$2</f>
        <v>15.673276616491865</v>
      </c>
      <c r="H188" s="14">
        <f>F188/$F$252*$E$2</f>
        <v>15.673276616491865</v>
      </c>
      <c r="I188" s="25" t="str">
        <f t="shared" si="8"/>
        <v>选中</v>
      </c>
    </row>
    <row r="189" spans="1:9" hidden="1" x14ac:dyDescent="0.25">
      <c r="A189" s="3">
        <v>1097</v>
      </c>
      <c r="B189" s="3">
        <v>113.3109078</v>
      </c>
      <c r="C189" s="3">
        <v>23.015971879999999</v>
      </c>
      <c r="D189" s="3">
        <v>31</v>
      </c>
      <c r="E189" s="13">
        <f t="shared" si="6"/>
        <v>6.3308426171330935E-3</v>
      </c>
      <c r="F189" s="13">
        <f t="shared" si="7"/>
        <v>12.568088824072381</v>
      </c>
      <c r="G189" s="14">
        <f>F189/$F$124*$D$2</f>
        <v>1473.2703814350396</v>
      </c>
      <c r="H189" s="14">
        <f>F189/$F$124*$E$2</f>
        <v>1473.2703814350396</v>
      </c>
      <c r="I189" s="25" t="str">
        <f t="shared" si="8"/>
        <v/>
      </c>
    </row>
    <row r="190" spans="1:9" hidden="1" x14ac:dyDescent="0.25">
      <c r="A190" s="3">
        <v>1131</v>
      </c>
      <c r="B190" s="3">
        <v>113.3109777</v>
      </c>
      <c r="C190" s="3">
        <v>23.015970750000001</v>
      </c>
      <c r="D190" s="3">
        <v>31</v>
      </c>
      <c r="E190" s="13">
        <f t="shared" si="6"/>
        <v>6.3421826100781131E-3</v>
      </c>
      <c r="F190" s="13">
        <f t="shared" si="7"/>
        <v>12.556847756707073</v>
      </c>
      <c r="G190" s="14">
        <f>F190/$F$124*$D$2</f>
        <v>1471.9526686278782</v>
      </c>
      <c r="H190" s="14">
        <f>F190/$F$124*$E$2</f>
        <v>1471.9526686278782</v>
      </c>
      <c r="I190" s="25" t="str">
        <f t="shared" si="8"/>
        <v/>
      </c>
    </row>
    <row r="191" spans="1:9" x14ac:dyDescent="0.25">
      <c r="A191" s="3">
        <v>1079</v>
      </c>
      <c r="B191" s="3">
        <v>113.309315</v>
      </c>
      <c r="C191" s="3">
        <v>23.015911849999998</v>
      </c>
      <c r="D191" s="3">
        <v>31</v>
      </c>
      <c r="E191" s="13">
        <f t="shared" si="6"/>
        <v>6.3664815893567026E-3</v>
      </c>
      <c r="F191" s="13">
        <f t="shared" si="7"/>
        <v>12.532861959139733</v>
      </c>
      <c r="G191" s="14">
        <f>F191/$F$252*$D$2</f>
        <v>15.622964253674802</v>
      </c>
      <c r="H191" s="14">
        <f>F191/$F$252*$E$2</f>
        <v>15.622964253674802</v>
      </c>
      <c r="I191" s="25" t="str">
        <f t="shared" si="8"/>
        <v>选中</v>
      </c>
    </row>
    <row r="192" spans="1:9" hidden="1" x14ac:dyDescent="0.25">
      <c r="A192" s="3">
        <v>862</v>
      </c>
      <c r="B192" s="3">
        <v>113.31230119999999</v>
      </c>
      <c r="C192" s="3">
        <v>23.02820299</v>
      </c>
      <c r="D192" s="3">
        <v>31</v>
      </c>
      <c r="E192" s="13">
        <f t="shared" si="6"/>
        <v>6.3862025519383697E-3</v>
      </c>
      <c r="F192" s="13">
        <f t="shared" si="7"/>
        <v>12.513495895654954</v>
      </c>
      <c r="G192" s="14">
        <f>F192/$F$124*$D$2</f>
        <v>1466.8708289176236</v>
      </c>
      <c r="H192" s="14">
        <f>F192/$F$124*$E$2</f>
        <v>1466.8708289176236</v>
      </c>
      <c r="I192" s="25" t="str">
        <f t="shared" si="8"/>
        <v/>
      </c>
    </row>
    <row r="193" spans="1:9" hidden="1" x14ac:dyDescent="0.25">
      <c r="A193" s="3">
        <v>1177</v>
      </c>
      <c r="B193" s="3">
        <v>113.3132071</v>
      </c>
      <c r="C193" s="3">
        <v>23.01670026</v>
      </c>
      <c r="D193" s="3">
        <v>31</v>
      </c>
      <c r="E193" s="13">
        <f t="shared" si="6"/>
        <v>6.392720815310172E-3</v>
      </c>
      <c r="F193" s="13">
        <f t="shared" si="7"/>
        <v>12.507114648378849</v>
      </c>
      <c r="G193" s="14">
        <f>F193/$F$124*$D$2</f>
        <v>1466.122799305477</v>
      </c>
      <c r="H193" s="14">
        <f>F193/$F$124*$E$2</f>
        <v>1466.122799305477</v>
      </c>
      <c r="I193" s="25" t="str">
        <f t="shared" si="8"/>
        <v/>
      </c>
    </row>
    <row r="194" spans="1:9" x14ac:dyDescent="0.25">
      <c r="A194" s="3">
        <v>743</v>
      </c>
      <c r="B194" s="3">
        <v>113.3084738</v>
      </c>
      <c r="C194" s="3">
        <v>23.028465969999999</v>
      </c>
      <c r="D194" s="3">
        <v>31</v>
      </c>
      <c r="E194" s="13">
        <f t="shared" si="6"/>
        <v>6.4145341327008039E-3</v>
      </c>
      <c r="F194" s="13">
        <f t="shared" si="7"/>
        <v>12.485830639990958</v>
      </c>
      <c r="G194" s="14">
        <f>F194/$F$252*$D$2</f>
        <v>15.564336893040016</v>
      </c>
      <c r="H194" s="14">
        <f>F194/$F$252*$E$2</f>
        <v>15.564336893040016</v>
      </c>
      <c r="I194" s="25" t="str">
        <f t="shared" si="8"/>
        <v>选中</v>
      </c>
    </row>
    <row r="195" spans="1:9" hidden="1" x14ac:dyDescent="0.25">
      <c r="A195" s="3">
        <v>788</v>
      </c>
      <c r="B195" s="3">
        <v>113.3104369</v>
      </c>
      <c r="C195" s="3">
        <v>23.028646269999999</v>
      </c>
      <c r="D195" s="3">
        <v>31</v>
      </c>
      <c r="E195" s="13">
        <f t="shared" si="6"/>
        <v>6.4204645467128242E-3</v>
      </c>
      <c r="F195" s="13">
        <f t="shared" si="7"/>
        <v>12.480062891336628</v>
      </c>
      <c r="G195" s="14">
        <f>F195/$F$124*$D$2</f>
        <v>1462.9517083803596</v>
      </c>
      <c r="H195" s="14">
        <f>F195/$F$124*$E$2</f>
        <v>1462.9517083803596</v>
      </c>
      <c r="I195" s="25" t="str">
        <f t="shared" si="8"/>
        <v/>
      </c>
    </row>
    <row r="196" spans="1:9" hidden="1" x14ac:dyDescent="0.25">
      <c r="A196" s="3">
        <v>1150</v>
      </c>
      <c r="B196" s="3">
        <v>113.3149504</v>
      </c>
      <c r="C196" s="3">
        <v>23.0180294</v>
      </c>
      <c r="D196" s="3">
        <v>31</v>
      </c>
      <c r="E196" s="13">
        <f t="shared" si="6"/>
        <v>6.4863845656977712E-3</v>
      </c>
      <c r="F196" s="13">
        <f t="shared" si="7"/>
        <v>12.416484570639142</v>
      </c>
      <c r="G196" s="14">
        <f>F196/$F$124*$D$2</f>
        <v>1455.4988602905551</v>
      </c>
      <c r="H196" s="14">
        <f>F196/$F$124*$E$2</f>
        <v>1455.4988602905551</v>
      </c>
      <c r="I196" s="25" t="str">
        <f t="shared" si="8"/>
        <v/>
      </c>
    </row>
    <row r="197" spans="1:9" x14ac:dyDescent="0.25">
      <c r="A197" s="3">
        <v>864</v>
      </c>
      <c r="B197" s="3">
        <v>113.31584410000001</v>
      </c>
      <c r="C197" s="3">
        <v>23.025128639999998</v>
      </c>
      <c r="D197" s="3">
        <v>31</v>
      </c>
      <c r="E197" s="13">
        <f t="shared" ref="E197:E250" si="9">SQRT((B197-$B$2)^2+(C197-$C$2)^2)</f>
        <v>6.5047735042034456E-3</v>
      </c>
      <c r="F197" s="13">
        <f t="shared" ref="F197:F250" si="10">SQRT(1/E197)</f>
        <v>12.398921501881743</v>
      </c>
      <c r="G197" s="14">
        <f>F197/$F$252*$D$2</f>
        <v>15.455999438879534</v>
      </c>
      <c r="H197" s="14">
        <f>F197/$F$252*$E$2</f>
        <v>15.455999438879534</v>
      </c>
      <c r="I197" s="25" t="str">
        <f t="shared" si="8"/>
        <v>选中</v>
      </c>
    </row>
    <row r="198" spans="1:9" hidden="1" x14ac:dyDescent="0.25">
      <c r="A198" s="3">
        <v>1090</v>
      </c>
      <c r="B198" s="3">
        <v>113.3078869</v>
      </c>
      <c r="C198" s="3">
        <v>23.016063410000001</v>
      </c>
      <c r="D198" s="3">
        <v>31</v>
      </c>
      <c r="E198" s="13">
        <f t="shared" si="9"/>
        <v>6.5329119908337594E-3</v>
      </c>
      <c r="F198" s="13">
        <f t="shared" si="10"/>
        <v>12.372190437764479</v>
      </c>
      <c r="G198" s="14">
        <f>F198/$F$124*$D$2</f>
        <v>1450.3065645525905</v>
      </c>
      <c r="H198" s="14">
        <f>F198/$F$124*$E$2</f>
        <v>1450.3065645525905</v>
      </c>
      <c r="I198" s="25" t="str">
        <f t="shared" ref="I198:I250" si="11">IF(MOD(ROW()-1,3)=1,"选中","")</f>
        <v/>
      </c>
    </row>
    <row r="199" spans="1:9" hidden="1" x14ac:dyDescent="0.25">
      <c r="A199" s="3">
        <v>1151</v>
      </c>
      <c r="B199" s="3">
        <v>113.31571580000001</v>
      </c>
      <c r="C199" s="3">
        <v>23.018949559999999</v>
      </c>
      <c r="D199" s="3">
        <v>31</v>
      </c>
      <c r="E199" s="13">
        <f t="shared" si="9"/>
        <v>6.5811100197910822E-3</v>
      </c>
      <c r="F199" s="13">
        <f t="shared" si="10"/>
        <v>12.326802120675476</v>
      </c>
      <c r="G199" s="14">
        <f>F199/$F$124*$D$2</f>
        <v>1444.9860051448363</v>
      </c>
      <c r="H199" s="14">
        <f>F199/$F$124*$E$2</f>
        <v>1444.9860051448363</v>
      </c>
      <c r="I199" s="25" t="str">
        <f t="shared" si="11"/>
        <v/>
      </c>
    </row>
    <row r="200" spans="1:9" x14ac:dyDescent="0.25">
      <c r="A200" s="3">
        <v>1157</v>
      </c>
      <c r="B200" s="3">
        <v>113.31465110000001</v>
      </c>
      <c r="C200" s="3">
        <v>23.017475210000001</v>
      </c>
      <c r="D200" s="3">
        <v>31</v>
      </c>
      <c r="E200" s="13">
        <f t="shared" si="9"/>
        <v>6.6470092793722672E-3</v>
      </c>
      <c r="F200" s="13">
        <f t="shared" si="10"/>
        <v>12.265545206567786</v>
      </c>
      <c r="G200" s="14">
        <f>F200/$F$252*$D$2</f>
        <v>15.289737885790462</v>
      </c>
      <c r="H200" s="14">
        <f>F200/$F$252*$E$2</f>
        <v>15.289737885790462</v>
      </c>
      <c r="I200" s="25" t="str">
        <f t="shared" si="11"/>
        <v>选中</v>
      </c>
    </row>
    <row r="201" spans="1:9" hidden="1" x14ac:dyDescent="0.25">
      <c r="A201" s="3">
        <v>1168</v>
      </c>
      <c r="B201" s="3">
        <v>113.31400549999999</v>
      </c>
      <c r="C201" s="3">
        <v>23.016901669999999</v>
      </c>
      <c r="D201" s="3">
        <v>31</v>
      </c>
      <c r="E201" s="13">
        <f t="shared" si="9"/>
        <v>6.664001485861353E-3</v>
      </c>
      <c r="F201" s="13">
        <f t="shared" si="10"/>
        <v>12.249897573080736</v>
      </c>
      <c r="G201" s="14">
        <f>F201/$F$124*$D$2</f>
        <v>1435.9710153755104</v>
      </c>
      <c r="H201" s="14">
        <f>F201/$F$124*$E$2</f>
        <v>1435.9710153755104</v>
      </c>
      <c r="I201" s="25" t="str">
        <f t="shared" si="11"/>
        <v/>
      </c>
    </row>
    <row r="202" spans="1:9" hidden="1" x14ac:dyDescent="0.25">
      <c r="A202" s="3">
        <v>870</v>
      </c>
      <c r="B202" s="3">
        <v>113.3119598</v>
      </c>
      <c r="C202" s="3">
        <v>23.028624449999999</v>
      </c>
      <c r="D202" s="3">
        <v>31</v>
      </c>
      <c r="E202" s="13">
        <f t="shared" si="9"/>
        <v>6.6741405076295064E-3</v>
      </c>
      <c r="F202" s="13">
        <f t="shared" si="10"/>
        <v>12.240589319513328</v>
      </c>
      <c r="G202" s="14">
        <f>F202/$F$124*$D$2</f>
        <v>1434.879873000905</v>
      </c>
      <c r="H202" s="14">
        <f>F202/$F$124*$E$2</f>
        <v>1434.879873000905</v>
      </c>
      <c r="I202" s="25" t="str">
        <f t="shared" si="11"/>
        <v/>
      </c>
    </row>
    <row r="203" spans="1:9" x14ac:dyDescent="0.25">
      <c r="A203" s="3">
        <v>1087</v>
      </c>
      <c r="B203" s="3">
        <v>113.3090266</v>
      </c>
      <c r="C203" s="3">
        <v>23.0156375</v>
      </c>
      <c r="D203" s="3">
        <v>31</v>
      </c>
      <c r="E203" s="13">
        <f t="shared" si="9"/>
        <v>6.6758495116424543E-3</v>
      </c>
      <c r="F203" s="13">
        <f t="shared" si="10"/>
        <v>12.239022436136008</v>
      </c>
      <c r="G203" s="14">
        <f>F203/$F$252*$D$2</f>
        <v>15.256675661398695</v>
      </c>
      <c r="H203" s="14">
        <f>F203/$F$252*$E$2</f>
        <v>15.256675661398695</v>
      </c>
      <c r="I203" s="25" t="str">
        <f t="shared" si="11"/>
        <v>选中</v>
      </c>
    </row>
    <row r="204" spans="1:9" hidden="1" x14ac:dyDescent="0.25">
      <c r="A204" s="3">
        <v>745</v>
      </c>
      <c r="B204" s="3">
        <v>113.308412</v>
      </c>
      <c r="C204" s="3">
        <v>23.02872897</v>
      </c>
      <c r="D204" s="3">
        <v>31</v>
      </c>
      <c r="E204" s="13">
        <f t="shared" si="9"/>
        <v>6.6846787521599943E-3</v>
      </c>
      <c r="F204" s="13">
        <f t="shared" si="10"/>
        <v>12.230937008048528</v>
      </c>
      <c r="G204" s="14">
        <f>F204/$F$124*$D$2</f>
        <v>1433.7483990916628</v>
      </c>
      <c r="H204" s="14">
        <f>F204/$F$124*$E$2</f>
        <v>1433.7483990916628</v>
      </c>
      <c r="I204" s="25" t="str">
        <f t="shared" si="11"/>
        <v/>
      </c>
    </row>
    <row r="205" spans="1:9" hidden="1" x14ac:dyDescent="0.25">
      <c r="A205" s="3">
        <v>867</v>
      </c>
      <c r="B205" s="3">
        <v>113.31252670000001</v>
      </c>
      <c r="C205" s="3">
        <v>23.028439469999999</v>
      </c>
      <c r="D205" s="3">
        <v>31</v>
      </c>
      <c r="E205" s="13">
        <f t="shared" si="9"/>
        <v>6.6888994894246465E-3</v>
      </c>
      <c r="F205" s="13">
        <f t="shared" si="10"/>
        <v>12.227077500369997</v>
      </c>
      <c r="G205" s="14">
        <f>F205/$F$124*$D$2</f>
        <v>1433.2959756222481</v>
      </c>
      <c r="H205" s="14">
        <f>F205/$F$124*$E$2</f>
        <v>1433.2959756222481</v>
      </c>
      <c r="I205" s="25" t="str">
        <f t="shared" si="11"/>
        <v/>
      </c>
    </row>
    <row r="206" spans="1:9" x14ac:dyDescent="0.25">
      <c r="A206" s="3">
        <v>1132</v>
      </c>
      <c r="B206" s="3">
        <v>113.3092432</v>
      </c>
      <c r="C206" s="3">
        <v>23.015586129999999</v>
      </c>
      <c r="D206" s="3">
        <v>31</v>
      </c>
      <c r="E206" s="13">
        <f t="shared" si="9"/>
        <v>6.6982214445635169E-3</v>
      </c>
      <c r="F206" s="13">
        <f t="shared" si="10"/>
        <v>12.218566289352468</v>
      </c>
      <c r="G206" s="14">
        <f>F206/$F$252*$D$2</f>
        <v>15.231175847309217</v>
      </c>
      <c r="H206" s="14">
        <f>F206/$F$252*$E$2</f>
        <v>15.231175847309217</v>
      </c>
      <c r="I206" s="25" t="str">
        <f t="shared" si="11"/>
        <v>选中</v>
      </c>
    </row>
    <row r="207" spans="1:9" hidden="1" x14ac:dyDescent="0.25">
      <c r="A207" s="3">
        <v>755</v>
      </c>
      <c r="B207" s="3">
        <v>113.3090497</v>
      </c>
      <c r="C207" s="3">
        <v>23.028912720000001</v>
      </c>
      <c r="D207" s="3">
        <v>31</v>
      </c>
      <c r="E207" s="13">
        <f t="shared" si="9"/>
        <v>6.7427239326631715E-3</v>
      </c>
      <c r="F207" s="13">
        <f t="shared" si="10"/>
        <v>12.178177806293155</v>
      </c>
      <c r="G207" s="14">
        <f>F207/$F$124*$D$2</f>
        <v>1427.5638017051876</v>
      </c>
      <c r="H207" s="14">
        <f>F207/$F$124*$E$2</f>
        <v>1427.5638017051876</v>
      </c>
      <c r="I207" s="25" t="str">
        <f t="shared" si="11"/>
        <v/>
      </c>
    </row>
    <row r="208" spans="1:9" hidden="1" x14ac:dyDescent="0.25">
      <c r="A208" s="3">
        <v>859</v>
      </c>
      <c r="B208" s="3">
        <v>113.3121963</v>
      </c>
      <c r="C208" s="3">
        <v>23.028631000000001</v>
      </c>
      <c r="D208" s="3">
        <v>31</v>
      </c>
      <c r="E208" s="13">
        <f t="shared" si="9"/>
        <v>6.7530095640465264E-3</v>
      </c>
      <c r="F208" s="13">
        <f t="shared" si="10"/>
        <v>12.168899870319171</v>
      </c>
      <c r="G208" s="14">
        <f>F208/$F$124*$D$2</f>
        <v>1426.4762132529847</v>
      </c>
      <c r="H208" s="14">
        <f>F208/$F$124*$E$2</f>
        <v>1426.4762132529847</v>
      </c>
      <c r="I208" s="25" t="str">
        <f t="shared" si="11"/>
        <v/>
      </c>
    </row>
    <row r="209" spans="1:9" x14ac:dyDescent="0.25">
      <c r="A209" s="3">
        <v>1160</v>
      </c>
      <c r="B209" s="3">
        <v>113.31397149999999</v>
      </c>
      <c r="C209" s="3">
        <v>23.01667883</v>
      </c>
      <c r="D209" s="3">
        <v>31</v>
      </c>
      <c r="E209" s="13">
        <f t="shared" si="9"/>
        <v>6.8240357097804983E-3</v>
      </c>
      <c r="F209" s="13">
        <f t="shared" si="10"/>
        <v>12.105405857538583</v>
      </c>
      <c r="G209" s="14">
        <f>F209/$F$252*$D$2</f>
        <v>15.090114580782663</v>
      </c>
      <c r="H209" s="14">
        <f>F209/$F$252*$E$2</f>
        <v>15.090114580782663</v>
      </c>
      <c r="I209" s="25" t="str">
        <f t="shared" si="11"/>
        <v>选中</v>
      </c>
    </row>
    <row r="210" spans="1:9" hidden="1" x14ac:dyDescent="0.25">
      <c r="A210" s="3">
        <v>871</v>
      </c>
      <c r="B210" s="3">
        <v>113.3117742</v>
      </c>
      <c r="C210" s="3">
        <v>23.028834700000001</v>
      </c>
      <c r="D210" s="3">
        <v>31</v>
      </c>
      <c r="E210" s="13">
        <f t="shared" si="9"/>
        <v>6.8254031176281024E-3</v>
      </c>
      <c r="F210" s="13">
        <f t="shared" si="10"/>
        <v>12.104193192452861</v>
      </c>
      <c r="G210" s="14">
        <f>F210/$F$124*$D$2</f>
        <v>1418.8910956335976</v>
      </c>
      <c r="H210" s="14">
        <f>F210/$F$124*$E$2</f>
        <v>1418.8910956335976</v>
      </c>
      <c r="I210" s="25" t="str">
        <f t="shared" si="11"/>
        <v/>
      </c>
    </row>
    <row r="211" spans="1:9" hidden="1" x14ac:dyDescent="0.25">
      <c r="A211" s="3">
        <v>1153</v>
      </c>
      <c r="B211" s="3">
        <v>113.3155831</v>
      </c>
      <c r="C211" s="3">
        <v>23.018279100000001</v>
      </c>
      <c r="D211" s="3">
        <v>31</v>
      </c>
      <c r="E211" s="13">
        <f t="shared" si="9"/>
        <v>6.83206619260105E-3</v>
      </c>
      <c r="F211" s="13">
        <f t="shared" si="10"/>
        <v>12.098289354718505</v>
      </c>
      <c r="G211" s="14">
        <f>F211/$F$124*$D$2</f>
        <v>1418.199029449743</v>
      </c>
      <c r="H211" s="14">
        <f>F211/$F$124*$E$2</f>
        <v>1418.199029449743</v>
      </c>
      <c r="I211" s="25" t="str">
        <f t="shared" si="11"/>
        <v/>
      </c>
    </row>
    <row r="212" spans="1:9" x14ac:dyDescent="0.25">
      <c r="A212" s="3">
        <v>734</v>
      </c>
      <c r="B212" s="3">
        <v>113.3098061</v>
      </c>
      <c r="C212" s="3">
        <v>23.02907626</v>
      </c>
      <c r="D212" s="3">
        <v>31</v>
      </c>
      <c r="E212" s="13">
        <f t="shared" si="9"/>
        <v>6.8398745034176393E-3</v>
      </c>
      <c r="F212" s="13">
        <f t="shared" si="10"/>
        <v>12.091381758708311</v>
      </c>
      <c r="G212" s="14">
        <f>F212/$F$252*$D$2</f>
        <v>15.07263270031277</v>
      </c>
      <c r="H212" s="14">
        <f>F212/$F$252*$E$2</f>
        <v>15.07263270031277</v>
      </c>
      <c r="I212" s="25" t="str">
        <f t="shared" si="11"/>
        <v>选中</v>
      </c>
    </row>
    <row r="213" spans="1:9" hidden="1" x14ac:dyDescent="0.25">
      <c r="A213" s="3">
        <v>1062</v>
      </c>
      <c r="B213" s="3">
        <v>113.3091434</v>
      </c>
      <c r="C213" s="3">
        <v>23.015439369999999</v>
      </c>
      <c r="D213" s="3">
        <v>31</v>
      </c>
      <c r="E213" s="13">
        <f t="shared" si="9"/>
        <v>6.8560097248771459E-3</v>
      </c>
      <c r="F213" s="13">
        <f t="shared" si="10"/>
        <v>12.077145194513125</v>
      </c>
      <c r="G213" s="14">
        <f>F213/$F$124*$D$2</f>
        <v>1415.7204453621416</v>
      </c>
      <c r="H213" s="14">
        <f>F213/$F$124*$E$2</f>
        <v>1415.7204453621416</v>
      </c>
      <c r="I213" s="25" t="str">
        <f t="shared" si="11"/>
        <v/>
      </c>
    </row>
    <row r="214" spans="1:9" hidden="1" x14ac:dyDescent="0.25">
      <c r="A214" s="3">
        <v>1181</v>
      </c>
      <c r="B214" s="3">
        <v>113.3142929</v>
      </c>
      <c r="C214" s="3">
        <v>23.016752199999999</v>
      </c>
      <c r="D214" s="3">
        <v>31</v>
      </c>
      <c r="E214" s="13">
        <f t="shared" si="9"/>
        <v>6.9572039461340308E-3</v>
      </c>
      <c r="F214" s="13">
        <f t="shared" si="10"/>
        <v>11.988990958966264</v>
      </c>
      <c r="G214" s="14">
        <f>F214/$F$124*$D$2</f>
        <v>1405.386732253711</v>
      </c>
      <c r="H214" s="14">
        <f>F214/$F$124*$E$2</f>
        <v>1405.386732253711</v>
      </c>
      <c r="I214" s="25" t="str">
        <f t="shared" si="11"/>
        <v/>
      </c>
    </row>
    <row r="215" spans="1:9" x14ac:dyDescent="0.25">
      <c r="A215" s="3">
        <v>1155</v>
      </c>
      <c r="B215" s="3">
        <v>113.3155283</v>
      </c>
      <c r="C215" s="3">
        <v>23.01785838</v>
      </c>
      <c r="D215" s="3">
        <v>31</v>
      </c>
      <c r="E215" s="13">
        <f t="shared" si="9"/>
        <v>7.0412729781539098E-3</v>
      </c>
      <c r="F215" s="13">
        <f t="shared" si="10"/>
        <v>11.917204975238016</v>
      </c>
      <c r="G215" s="14">
        <f>F215/$F$252*$D$2</f>
        <v>14.855510891196216</v>
      </c>
      <c r="H215" s="14">
        <f>F215/$F$252*$E$2</f>
        <v>14.855510891196216</v>
      </c>
      <c r="I215" s="25" t="str">
        <f t="shared" si="11"/>
        <v>选中</v>
      </c>
    </row>
    <row r="216" spans="1:9" hidden="1" x14ac:dyDescent="0.25">
      <c r="A216" s="3">
        <v>1074</v>
      </c>
      <c r="B216" s="3">
        <v>113.3069567</v>
      </c>
      <c r="C216" s="3">
        <v>23.015675269999999</v>
      </c>
      <c r="D216" s="3">
        <v>31</v>
      </c>
      <c r="E216" s="13">
        <f t="shared" si="9"/>
        <v>7.2422709142640753E-3</v>
      </c>
      <c r="F216" s="13">
        <f t="shared" si="10"/>
        <v>11.750669642149903</v>
      </c>
      <c r="G216" s="14">
        <f>F216/$F$124*$D$2</f>
        <v>1377.4499677825977</v>
      </c>
      <c r="H216" s="14">
        <f>F216/$F$124*$E$2</f>
        <v>1377.4499677825977</v>
      </c>
      <c r="I216" s="25" t="str">
        <f t="shared" si="11"/>
        <v/>
      </c>
    </row>
    <row r="217" spans="1:9" hidden="1" x14ac:dyDescent="0.25">
      <c r="A217" s="3">
        <v>878</v>
      </c>
      <c r="B217" s="3">
        <v>113.31207449999999</v>
      </c>
      <c r="C217" s="3">
        <v>23.029252960000001</v>
      </c>
      <c r="D217" s="3">
        <v>31</v>
      </c>
      <c r="E217" s="13">
        <f t="shared" si="9"/>
        <v>7.3091783931231438E-3</v>
      </c>
      <c r="F217" s="13">
        <f t="shared" si="10"/>
        <v>11.696763776333515</v>
      </c>
      <c r="G217" s="14">
        <f>F217/$F$124*$D$2</f>
        <v>1371.1309548758159</v>
      </c>
      <c r="H217" s="14">
        <f>F217/$F$124*$E$2</f>
        <v>1371.1309548758159</v>
      </c>
      <c r="I217" s="25" t="str">
        <f t="shared" si="11"/>
        <v/>
      </c>
    </row>
    <row r="218" spans="1:9" x14ac:dyDescent="0.25">
      <c r="A218" s="3">
        <v>1081</v>
      </c>
      <c r="B218" s="3">
        <v>113.3070525</v>
      </c>
      <c r="C218" s="3">
        <v>23.015552150000001</v>
      </c>
      <c r="D218" s="3">
        <v>31</v>
      </c>
      <c r="E218" s="13">
        <f t="shared" si="9"/>
        <v>7.3147143629526123E-3</v>
      </c>
      <c r="F218" s="13">
        <f t="shared" si="10"/>
        <v>11.692336728025342</v>
      </c>
      <c r="G218" s="14">
        <f>F218/$F$252*$D$2</f>
        <v>14.57519913164411</v>
      </c>
      <c r="H218" s="14">
        <f>F218/$F$252*$E$2</f>
        <v>14.57519913164411</v>
      </c>
      <c r="I218" s="25" t="str">
        <f t="shared" si="11"/>
        <v>选中</v>
      </c>
    </row>
    <row r="219" spans="1:9" hidden="1" x14ac:dyDescent="0.25">
      <c r="A219" s="3">
        <v>772</v>
      </c>
      <c r="B219" s="3">
        <v>113.3105576</v>
      </c>
      <c r="C219" s="3">
        <v>23.029539660000001</v>
      </c>
      <c r="D219" s="3">
        <v>31</v>
      </c>
      <c r="E219" s="13">
        <f t="shared" si="9"/>
        <v>7.3201060274094617E-3</v>
      </c>
      <c r="F219" s="13">
        <f t="shared" si="10"/>
        <v>11.688029907282392</v>
      </c>
      <c r="G219" s="14">
        <f>F219/$F$124*$D$2</f>
        <v>1370.1071436370132</v>
      </c>
      <c r="H219" s="14">
        <f>F219/$F$124*$E$2</f>
        <v>1370.1071436370132</v>
      </c>
      <c r="I219" s="25" t="str">
        <f t="shared" si="11"/>
        <v/>
      </c>
    </row>
    <row r="220" spans="1:9" hidden="1" x14ac:dyDescent="0.25">
      <c r="A220" s="3">
        <v>774</v>
      </c>
      <c r="B220" s="3">
        <v>113.31056959999999</v>
      </c>
      <c r="C220" s="3">
        <v>23.029584620000001</v>
      </c>
      <c r="D220" s="3">
        <v>31</v>
      </c>
      <c r="E220" s="13">
        <f t="shared" si="9"/>
        <v>7.3658356043370217E-3</v>
      </c>
      <c r="F220" s="13">
        <f t="shared" si="10"/>
        <v>11.651691815591308</v>
      </c>
      <c r="G220" s="14">
        <f>F220/$F$124*$D$2</f>
        <v>1365.8474797409558</v>
      </c>
      <c r="H220" s="14">
        <f>F220/$F$124*$E$2</f>
        <v>1365.8474797409558</v>
      </c>
      <c r="I220" s="25" t="str">
        <f t="shared" si="11"/>
        <v/>
      </c>
    </row>
    <row r="221" spans="1:9" x14ac:dyDescent="0.25">
      <c r="A221" s="3">
        <v>1159</v>
      </c>
      <c r="B221" s="3">
        <v>113.315201</v>
      </c>
      <c r="C221" s="3">
        <v>23.016938400000001</v>
      </c>
      <c r="D221" s="3">
        <v>31</v>
      </c>
      <c r="E221" s="13">
        <f t="shared" si="9"/>
        <v>7.4152555906133611E-3</v>
      </c>
      <c r="F221" s="13">
        <f t="shared" si="10"/>
        <v>11.612799759100611</v>
      </c>
      <c r="G221" s="14">
        <f>F221/$F$252*$D$2</f>
        <v>14.476051528613938</v>
      </c>
      <c r="H221" s="14">
        <f>F221/$F$252*$E$2</f>
        <v>14.476051528613938</v>
      </c>
      <c r="I221" s="25" t="str">
        <f t="shared" si="11"/>
        <v>选中</v>
      </c>
    </row>
    <row r="222" spans="1:9" hidden="1" x14ac:dyDescent="0.25">
      <c r="A222" s="3">
        <v>1161</v>
      </c>
      <c r="B222" s="3">
        <v>113.31475500000001</v>
      </c>
      <c r="C222" s="3">
        <v>23.016458449999998</v>
      </c>
      <c r="D222" s="3">
        <v>31</v>
      </c>
      <c r="E222" s="13">
        <f t="shared" si="9"/>
        <v>7.4752246893107143E-3</v>
      </c>
      <c r="F222" s="13">
        <f t="shared" si="10"/>
        <v>11.566124808884526</v>
      </c>
      <c r="G222" s="14">
        <f>F222/$F$124*$D$2</f>
        <v>1355.8170496275325</v>
      </c>
      <c r="H222" s="14">
        <f>F222/$F$124*$E$2</f>
        <v>1355.8170496275325</v>
      </c>
      <c r="I222" s="25" t="str">
        <f t="shared" si="11"/>
        <v/>
      </c>
    </row>
    <row r="223" spans="1:9" hidden="1" x14ac:dyDescent="0.25">
      <c r="A223" s="3">
        <v>863</v>
      </c>
      <c r="B223" s="3">
        <v>113.3128729</v>
      </c>
      <c r="C223" s="3">
        <v>23.029204490000001</v>
      </c>
      <c r="D223" s="3">
        <v>31</v>
      </c>
      <c r="E223" s="13">
        <f t="shared" si="9"/>
        <v>7.5280050248684293E-3</v>
      </c>
      <c r="F223" s="13">
        <f t="shared" si="10"/>
        <v>11.525507292356723</v>
      </c>
      <c r="G223" s="14">
        <f>F223/$F$124*$D$2</f>
        <v>1351.0557382694169</v>
      </c>
      <c r="H223" s="14">
        <f>F223/$F$124*$E$2</f>
        <v>1351.0557382694169</v>
      </c>
      <c r="I223" s="25" t="str">
        <f t="shared" si="11"/>
        <v/>
      </c>
    </row>
    <row r="224" spans="1:9" x14ac:dyDescent="0.25">
      <c r="A224" s="3">
        <v>1099</v>
      </c>
      <c r="B224" s="3">
        <v>113.3085875</v>
      </c>
      <c r="C224" s="3">
        <v>23.014781679999999</v>
      </c>
      <c r="D224" s="3">
        <v>31</v>
      </c>
      <c r="E224" s="13">
        <f t="shared" si="9"/>
        <v>7.593524731302796E-3</v>
      </c>
      <c r="F224" s="13">
        <f t="shared" si="10"/>
        <v>11.475676425296049</v>
      </c>
      <c r="G224" s="14">
        <f>F224/$F$252*$D$2</f>
        <v>14.305119067268897</v>
      </c>
      <c r="H224" s="14">
        <f>F224/$F$252*$E$2</f>
        <v>14.305119067268897</v>
      </c>
      <c r="I224" s="25" t="str">
        <f t="shared" si="11"/>
        <v>选中</v>
      </c>
    </row>
    <row r="225" spans="1:9" hidden="1" x14ac:dyDescent="0.25">
      <c r="A225" s="3">
        <v>1156</v>
      </c>
      <c r="B225" s="3">
        <v>113.3157169</v>
      </c>
      <c r="C225" s="3">
        <v>23.017163329999999</v>
      </c>
      <c r="D225" s="3">
        <v>31</v>
      </c>
      <c r="E225" s="13">
        <f t="shared" si="9"/>
        <v>7.6333308115398724E-3</v>
      </c>
      <c r="F225" s="13">
        <f t="shared" si="10"/>
        <v>11.44571579638531</v>
      </c>
      <c r="G225" s="14">
        <f>F225/$F$124*$D$2</f>
        <v>1341.7023314507194</v>
      </c>
      <c r="H225" s="14">
        <f>F225/$F$124*$E$2</f>
        <v>1341.7023314507194</v>
      </c>
      <c r="I225" s="25" t="str">
        <f t="shared" si="11"/>
        <v/>
      </c>
    </row>
    <row r="226" spans="1:9" hidden="1" x14ac:dyDescent="0.25">
      <c r="A226" s="3">
        <v>1089</v>
      </c>
      <c r="B226" s="3">
        <v>113.3076234</v>
      </c>
      <c r="C226" s="3">
        <v>23.01498436</v>
      </c>
      <c r="D226" s="3">
        <v>31</v>
      </c>
      <c r="E226" s="13">
        <f t="shared" si="9"/>
        <v>7.6396116296908508E-3</v>
      </c>
      <c r="F226" s="13">
        <f t="shared" si="10"/>
        <v>11.441009847663501</v>
      </c>
      <c r="G226" s="14">
        <f>F226/$F$124*$D$2</f>
        <v>1341.1506855349846</v>
      </c>
      <c r="H226" s="14">
        <f>F226/$F$124*$E$2</f>
        <v>1341.1506855349846</v>
      </c>
      <c r="I226" s="25" t="str">
        <f t="shared" si="11"/>
        <v/>
      </c>
    </row>
    <row r="227" spans="1:9" x14ac:dyDescent="0.25">
      <c r="A227" s="3">
        <v>857</v>
      </c>
      <c r="B227" s="3">
        <v>113.31288790000001</v>
      </c>
      <c r="C227" s="3">
        <v>23.029422369999999</v>
      </c>
      <c r="D227" s="3">
        <v>31</v>
      </c>
      <c r="E227" s="13">
        <f t="shared" si="9"/>
        <v>7.7355850753279094E-3</v>
      </c>
      <c r="F227" s="13">
        <f t="shared" si="10"/>
        <v>11.369815479484711</v>
      </c>
      <c r="G227" s="14">
        <f>F227/$F$252*$D$2</f>
        <v>14.173157047926249</v>
      </c>
      <c r="H227" s="14">
        <f>F227/$F$252*$E$2</f>
        <v>14.173157047926249</v>
      </c>
      <c r="I227" s="25" t="str">
        <f t="shared" si="11"/>
        <v>选中</v>
      </c>
    </row>
    <row r="228" spans="1:9" hidden="1" x14ac:dyDescent="0.25">
      <c r="A228" s="3">
        <v>1052</v>
      </c>
      <c r="B228" s="3">
        <v>113.3038267</v>
      </c>
      <c r="C228" s="3">
        <v>23.01743913</v>
      </c>
      <c r="D228" s="3">
        <v>31</v>
      </c>
      <c r="E228" s="13">
        <f t="shared" si="9"/>
        <v>7.8328334969128468E-3</v>
      </c>
      <c r="F228" s="13">
        <f t="shared" si="10"/>
        <v>11.29901415193028</v>
      </c>
      <c r="G228" s="14">
        <f>F228/$F$124*$D$2</f>
        <v>1324.505509347629</v>
      </c>
      <c r="H228" s="14">
        <f>F228/$F$124*$E$2</f>
        <v>1324.505509347629</v>
      </c>
      <c r="I228" s="25" t="str">
        <f t="shared" si="11"/>
        <v/>
      </c>
    </row>
    <row r="229" spans="1:9" hidden="1" x14ac:dyDescent="0.25">
      <c r="A229" s="3">
        <v>876</v>
      </c>
      <c r="B229" s="3">
        <v>113.3132621</v>
      </c>
      <c r="C229" s="3">
        <v>23.029450650000001</v>
      </c>
      <c r="D229" s="3">
        <v>31</v>
      </c>
      <c r="E229" s="13">
        <f t="shared" si="9"/>
        <v>7.9079462492892532E-3</v>
      </c>
      <c r="F229" s="13">
        <f t="shared" si="10"/>
        <v>11.245224901567004</v>
      </c>
      <c r="G229" s="14">
        <f>F229/$F$124*$D$2</f>
        <v>1318.200166466218</v>
      </c>
      <c r="H229" s="14">
        <f>F229/$F$124*$E$2</f>
        <v>1318.200166466218</v>
      </c>
      <c r="I229" s="25" t="str">
        <f t="shared" si="11"/>
        <v/>
      </c>
    </row>
    <row r="230" spans="1:9" x14ac:dyDescent="0.25">
      <c r="A230" s="3">
        <v>1085</v>
      </c>
      <c r="B230" s="3">
        <v>113.30307209999999</v>
      </c>
      <c r="C230" s="3">
        <v>23.01825212</v>
      </c>
      <c r="D230" s="3">
        <v>31</v>
      </c>
      <c r="E230" s="13">
        <f t="shared" si="9"/>
        <v>8.0074473148538539E-3</v>
      </c>
      <c r="F230" s="13">
        <f t="shared" si="10"/>
        <v>11.175139548562841</v>
      </c>
      <c r="G230" s="14">
        <f>F230/$F$252*$D$2</f>
        <v>13.930481821807982</v>
      </c>
      <c r="H230" s="14">
        <f>F230/$F$252*$E$2</f>
        <v>13.930481821807982</v>
      </c>
      <c r="I230" s="25" t="str">
        <f t="shared" si="11"/>
        <v>选中</v>
      </c>
    </row>
    <row r="231" spans="1:9" hidden="1" x14ac:dyDescent="0.25">
      <c r="A231" s="3">
        <v>781</v>
      </c>
      <c r="B231" s="3">
        <v>113.31064139999999</v>
      </c>
      <c r="C231" s="3">
        <v>23.0302592</v>
      </c>
      <c r="D231" s="3">
        <v>31</v>
      </c>
      <c r="E231" s="13">
        <f t="shared" si="9"/>
        <v>8.043930871041485E-3</v>
      </c>
      <c r="F231" s="13">
        <f t="shared" si="10"/>
        <v>11.14976811112273</v>
      </c>
      <c r="G231" s="14">
        <f>F231/$F$124*$D$2</f>
        <v>1307.010425206669</v>
      </c>
      <c r="H231" s="14">
        <f>F231/$F$124*$E$2</f>
        <v>1307.010425206669</v>
      </c>
      <c r="I231" s="25" t="str">
        <f t="shared" si="11"/>
        <v/>
      </c>
    </row>
    <row r="232" spans="1:9" hidden="1" x14ac:dyDescent="0.25">
      <c r="A232" s="3">
        <v>1152</v>
      </c>
      <c r="B232" s="3">
        <v>113.3168057</v>
      </c>
      <c r="C232" s="3">
        <v>23.01792493</v>
      </c>
      <c r="D232" s="3">
        <v>31</v>
      </c>
      <c r="E232" s="13">
        <f t="shared" si="9"/>
        <v>8.0445715648794006E-3</v>
      </c>
      <c r="F232" s="13">
        <f t="shared" si="10"/>
        <v>11.14932410177399</v>
      </c>
      <c r="G232" s="14">
        <f>F232/$F$124*$D$2</f>
        <v>1306.9583770526706</v>
      </c>
      <c r="H232" s="14">
        <f>F232/$F$124*$E$2</f>
        <v>1306.9583770526706</v>
      </c>
      <c r="I232" s="25" t="str">
        <f t="shared" si="11"/>
        <v/>
      </c>
    </row>
    <row r="233" spans="1:9" x14ac:dyDescent="0.25">
      <c r="A233" s="3">
        <v>1064</v>
      </c>
      <c r="B233" s="3">
        <v>113.3030392</v>
      </c>
      <c r="C233" s="3">
        <v>23.018175209999999</v>
      </c>
      <c r="D233" s="3">
        <v>31</v>
      </c>
      <c r="E233" s="13">
        <f t="shared" si="9"/>
        <v>8.0744337863392929E-3</v>
      </c>
      <c r="F233" s="13">
        <f t="shared" si="10"/>
        <v>11.12868785645</v>
      </c>
      <c r="G233" s="14">
        <f>F233/$F$252*$D$2</f>
        <v>13.872577001044167</v>
      </c>
      <c r="H233" s="14">
        <f>F233/$F$252*$E$2</f>
        <v>13.872577001044167</v>
      </c>
      <c r="I233" s="25" t="str">
        <f t="shared" si="11"/>
        <v>选中</v>
      </c>
    </row>
    <row r="234" spans="1:9" hidden="1" x14ac:dyDescent="0.25">
      <c r="A234" s="3">
        <v>771</v>
      </c>
      <c r="B234" s="3">
        <v>113.31064739999999</v>
      </c>
      <c r="C234" s="3">
        <v>23.030402129999999</v>
      </c>
      <c r="D234" s="3">
        <v>31</v>
      </c>
      <c r="E234" s="13">
        <f t="shared" si="9"/>
        <v>8.1868963863223673E-3</v>
      </c>
      <c r="F234" s="13">
        <f t="shared" si="10"/>
        <v>11.051986684691682</v>
      </c>
      <c r="G234" s="14">
        <f>F234/$F$124*$D$2</f>
        <v>1295.5481829014261</v>
      </c>
      <c r="H234" s="14">
        <f>F234/$F$124*$E$2</f>
        <v>1295.5481829014261</v>
      </c>
      <c r="I234" s="25" t="str">
        <f t="shared" si="11"/>
        <v/>
      </c>
    </row>
    <row r="235" spans="1:9" hidden="1" x14ac:dyDescent="0.25">
      <c r="A235" s="3">
        <v>854</v>
      </c>
      <c r="B235" s="3">
        <v>113.3141373</v>
      </c>
      <c r="C235" s="3">
        <v>23.02956395</v>
      </c>
      <c r="D235" s="3">
        <v>31</v>
      </c>
      <c r="E235" s="13">
        <f t="shared" si="9"/>
        <v>8.4041802619651811E-3</v>
      </c>
      <c r="F235" s="13">
        <f t="shared" si="10"/>
        <v>10.908180620081058</v>
      </c>
      <c r="G235" s="14">
        <f>F235/$F$124*$D$2</f>
        <v>1278.6907896551459</v>
      </c>
      <c r="H235" s="14">
        <f>F235/$F$124*$E$2</f>
        <v>1278.6907896551459</v>
      </c>
      <c r="I235" s="25" t="str">
        <f t="shared" si="11"/>
        <v/>
      </c>
    </row>
    <row r="236" spans="1:9" x14ac:dyDescent="0.25">
      <c r="A236" s="3">
        <v>1126</v>
      </c>
      <c r="B236" s="3">
        <v>113.31005070000001</v>
      </c>
      <c r="C236" s="3">
        <v>23.013729439999999</v>
      </c>
      <c r="D236" s="3">
        <v>31</v>
      </c>
      <c r="E236" s="13">
        <f t="shared" si="9"/>
        <v>8.5102403367306369E-3</v>
      </c>
      <c r="F236" s="13">
        <f t="shared" si="10"/>
        <v>10.839995138741664</v>
      </c>
      <c r="G236" s="14">
        <f>F236/$F$252*$D$2</f>
        <v>13.512704210315437</v>
      </c>
      <c r="H236" s="14">
        <f>F236/$F$252*$E$2</f>
        <v>13.512704210315437</v>
      </c>
      <c r="I236" s="25" t="str">
        <f t="shared" si="11"/>
        <v>选中</v>
      </c>
    </row>
    <row r="237" spans="1:9" hidden="1" x14ac:dyDescent="0.25">
      <c r="A237" s="3">
        <v>853</v>
      </c>
      <c r="B237" s="3">
        <v>113.3144896</v>
      </c>
      <c r="C237" s="3">
        <v>23.029570289999999</v>
      </c>
      <c r="D237" s="3">
        <v>31</v>
      </c>
      <c r="E237" s="13">
        <f t="shared" si="9"/>
        <v>8.5878444042969144E-3</v>
      </c>
      <c r="F237" s="13">
        <f t="shared" si="10"/>
        <v>10.790906173584515</v>
      </c>
      <c r="G237" s="14">
        <f>F237/$F$124*$D$2</f>
        <v>1264.9435150343925</v>
      </c>
      <c r="H237" s="14">
        <f>F237/$F$124*$E$2</f>
        <v>1264.9435150343925</v>
      </c>
      <c r="I237" s="25" t="str">
        <f t="shared" si="11"/>
        <v/>
      </c>
    </row>
    <row r="238" spans="1:9" hidden="1" x14ac:dyDescent="0.25">
      <c r="A238" s="3">
        <v>851</v>
      </c>
      <c r="B238" s="3">
        <v>113.3145605</v>
      </c>
      <c r="C238" s="3">
        <v>23.02979406</v>
      </c>
      <c r="D238" s="3">
        <v>31</v>
      </c>
      <c r="E238" s="13">
        <f t="shared" si="9"/>
        <v>8.8159676815714894E-3</v>
      </c>
      <c r="F238" s="13">
        <f t="shared" si="10"/>
        <v>10.650377592597001</v>
      </c>
      <c r="G238" s="14">
        <f>F238/$F$124*$D$2</f>
        <v>1248.4703185912349</v>
      </c>
      <c r="H238" s="14">
        <f>F238/$F$124*$E$2</f>
        <v>1248.4703185912349</v>
      </c>
      <c r="I238" s="25" t="str">
        <f t="shared" si="11"/>
        <v/>
      </c>
    </row>
    <row r="239" spans="1:9" x14ac:dyDescent="0.25">
      <c r="A239" s="3">
        <v>1088</v>
      </c>
      <c r="B239" s="3">
        <v>113.3019662</v>
      </c>
      <c r="C239" s="3">
        <v>23.018638889999998</v>
      </c>
      <c r="D239" s="3">
        <v>31</v>
      </c>
      <c r="E239" s="13">
        <f t="shared" si="9"/>
        <v>8.8185075000513161E-3</v>
      </c>
      <c r="F239" s="13">
        <f t="shared" si="10"/>
        <v>10.648843774443716</v>
      </c>
      <c r="G239" s="14">
        <f>F239/$F$252*$D$2</f>
        <v>13.274422567925672</v>
      </c>
      <c r="H239" s="14">
        <f>F239/$F$252*$E$2</f>
        <v>13.274422567925672</v>
      </c>
      <c r="I239" s="25" t="str">
        <f t="shared" si="11"/>
        <v>选中</v>
      </c>
    </row>
    <row r="240" spans="1:9" hidden="1" x14ac:dyDescent="0.25">
      <c r="A240" s="3">
        <v>1388</v>
      </c>
      <c r="B240" s="3">
        <v>113.3081734</v>
      </c>
      <c r="C240" s="3">
        <v>23.01361494</v>
      </c>
      <c r="D240" s="3">
        <v>31</v>
      </c>
      <c r="E240" s="13">
        <f t="shared" si="9"/>
        <v>8.8193240046437107E-3</v>
      </c>
      <c r="F240" s="13">
        <f t="shared" si="10"/>
        <v>10.648350821066849</v>
      </c>
      <c r="G240" s="14">
        <f>F240/$F$124*$D$2</f>
        <v>1248.2327341416731</v>
      </c>
      <c r="H240" s="14">
        <f>F240/$F$124*$E$2</f>
        <v>1248.2327341416731</v>
      </c>
      <c r="I240" s="25" t="str">
        <f t="shared" si="11"/>
        <v/>
      </c>
    </row>
    <row r="241" spans="1:9" hidden="1" x14ac:dyDescent="0.25">
      <c r="A241" s="3">
        <v>847</v>
      </c>
      <c r="B241" s="3">
        <v>113.3138089</v>
      </c>
      <c r="C241" s="3">
        <v>23.030431199999999</v>
      </c>
      <c r="D241" s="3">
        <v>31</v>
      </c>
      <c r="E241" s="13">
        <f t="shared" si="9"/>
        <v>9.0270415180213458E-3</v>
      </c>
      <c r="F241" s="13">
        <f t="shared" si="10"/>
        <v>10.525125428352588</v>
      </c>
      <c r="G241" s="14">
        <f>F241/$F$124*$D$2</f>
        <v>1233.7878711344274</v>
      </c>
      <c r="H241" s="14">
        <f>F241/$F$124*$E$2</f>
        <v>1233.7878711344274</v>
      </c>
      <c r="I241" s="25" t="str">
        <f t="shared" si="11"/>
        <v/>
      </c>
    </row>
    <row r="242" spans="1:9" x14ac:dyDescent="0.25">
      <c r="A242" s="3">
        <v>872</v>
      </c>
      <c r="B242" s="3">
        <v>113.315765</v>
      </c>
      <c r="C242" s="3">
        <v>23.029449929999998</v>
      </c>
      <c r="D242" s="3">
        <v>31</v>
      </c>
      <c r="E242" s="13">
        <f t="shared" si="9"/>
        <v>9.2216357395195972E-3</v>
      </c>
      <c r="F242" s="13">
        <f t="shared" si="10"/>
        <v>10.413483142952408</v>
      </c>
      <c r="G242" s="14">
        <f>F242/$F$252*$D$2</f>
        <v>12.981031421952864</v>
      </c>
      <c r="H242" s="14">
        <f>F242/$F$252*$E$2</f>
        <v>12.981031421952864</v>
      </c>
      <c r="I242" s="25" t="str">
        <f t="shared" si="11"/>
        <v>选中</v>
      </c>
    </row>
    <row r="243" spans="1:9" hidden="1" x14ac:dyDescent="0.25">
      <c r="A243" s="3">
        <v>861</v>
      </c>
      <c r="B243" s="3">
        <v>113.3156103</v>
      </c>
      <c r="C243" s="3">
        <v>23.02960315</v>
      </c>
      <c r="D243" s="3">
        <v>31</v>
      </c>
      <c r="E243" s="13">
        <f t="shared" si="9"/>
        <v>9.2475291279157622E-3</v>
      </c>
      <c r="F243" s="13">
        <f t="shared" si="10"/>
        <v>10.398893874021574</v>
      </c>
      <c r="G243" s="14">
        <f>F243/$F$124*$D$2</f>
        <v>1218.9906165317877</v>
      </c>
      <c r="H243" s="14">
        <f>F243/$F$124*$E$2</f>
        <v>1218.9906165317877</v>
      </c>
      <c r="I243" s="25" t="str">
        <f t="shared" si="11"/>
        <v/>
      </c>
    </row>
    <row r="244" spans="1:9" hidden="1" x14ac:dyDescent="0.25">
      <c r="A244" s="3">
        <v>1013</v>
      </c>
      <c r="B244" s="3">
        <v>113.3017098</v>
      </c>
      <c r="C244" s="3">
        <v>23.018003620000002</v>
      </c>
      <c r="D244" s="3">
        <v>31</v>
      </c>
      <c r="E244" s="13">
        <f t="shared" si="9"/>
        <v>9.3240672975960018E-3</v>
      </c>
      <c r="F244" s="13">
        <f t="shared" si="10"/>
        <v>10.356125393183596</v>
      </c>
      <c r="G244" s="14">
        <f>F244/$F$124*$D$2</f>
        <v>1213.9771624609602</v>
      </c>
      <c r="H244" s="14">
        <f>F244/$F$124*$E$2</f>
        <v>1213.9771624609602</v>
      </c>
      <c r="I244" s="25" t="str">
        <f t="shared" si="11"/>
        <v/>
      </c>
    </row>
    <row r="245" spans="1:9" x14ac:dyDescent="0.25">
      <c r="A245" s="3">
        <v>1109</v>
      </c>
      <c r="B245" s="3">
        <v>113.3017098</v>
      </c>
      <c r="C245" s="3">
        <v>23.018003620000002</v>
      </c>
      <c r="D245" s="3">
        <v>31</v>
      </c>
      <c r="E245" s="13">
        <f t="shared" si="9"/>
        <v>9.3240672975960018E-3</v>
      </c>
      <c r="F245" s="13">
        <f t="shared" si="10"/>
        <v>10.356125393183596</v>
      </c>
      <c r="G245" s="14">
        <f>F245/$F$252*$D$2</f>
        <v>12.909531546088047</v>
      </c>
      <c r="H245" s="14">
        <f>F245/$F$252*$E$2</f>
        <v>12.909531546088047</v>
      </c>
      <c r="I245" s="25" t="str">
        <f t="shared" si="11"/>
        <v>选中</v>
      </c>
    </row>
    <row r="246" spans="1:9" hidden="1" x14ac:dyDescent="0.25">
      <c r="A246" s="3">
        <v>865</v>
      </c>
      <c r="B246" s="3">
        <v>113.31693660000001</v>
      </c>
      <c r="C246" s="3">
        <v>23.0296956</v>
      </c>
      <c r="D246" s="3">
        <v>31</v>
      </c>
      <c r="E246" s="13">
        <f t="shared" si="9"/>
        <v>1.0172763003736979E-2</v>
      </c>
      <c r="F246" s="13">
        <f t="shared" si="10"/>
        <v>9.9147218886144568</v>
      </c>
      <c r="G246" s="14">
        <f>F246/$F$124*$D$2</f>
        <v>1162.2344736045791</v>
      </c>
      <c r="H246" s="14">
        <f>F246/$F$124*$E$2</f>
        <v>1162.2344736045791</v>
      </c>
      <c r="I246" s="25" t="str">
        <f t="shared" si="11"/>
        <v/>
      </c>
    </row>
    <row r="247" spans="1:9" hidden="1" x14ac:dyDescent="0.25">
      <c r="A247" s="3">
        <v>850</v>
      </c>
      <c r="B247" s="3">
        <v>113.31694659999999</v>
      </c>
      <c r="C247" s="3">
        <v>23.029824519999998</v>
      </c>
      <c r="D247" s="3">
        <v>31</v>
      </c>
      <c r="E247" s="13">
        <f t="shared" si="9"/>
        <v>1.0274370538286913E-2</v>
      </c>
      <c r="F247" s="13">
        <f t="shared" si="10"/>
        <v>9.8655746678236156</v>
      </c>
      <c r="G247" s="14">
        <f>F247/$F$124*$D$2</f>
        <v>1156.4732838378175</v>
      </c>
      <c r="H247" s="14">
        <f>F247/$F$124*$E$2</f>
        <v>1156.4732838378175</v>
      </c>
      <c r="I247" s="25" t="str">
        <f t="shared" si="11"/>
        <v/>
      </c>
    </row>
    <row r="248" spans="1:9" x14ac:dyDescent="0.25">
      <c r="A248" s="3">
        <v>858</v>
      </c>
      <c r="B248" s="3">
        <v>113.3160932</v>
      </c>
      <c r="C248" s="3">
        <v>23.031146570000001</v>
      </c>
      <c r="D248" s="3">
        <v>31</v>
      </c>
      <c r="E248" s="13">
        <f t="shared" si="9"/>
        <v>1.078262866149076E-2</v>
      </c>
      <c r="F248" s="13">
        <f t="shared" si="10"/>
        <v>9.6302525281885316</v>
      </c>
      <c r="G248" s="14">
        <f>F248/$F$252*$D$2</f>
        <v>12.00468747619383</v>
      </c>
      <c r="H248" s="14">
        <f>F248/$F$252*$E$2</f>
        <v>12.00468747619383</v>
      </c>
      <c r="I248" s="25" t="str">
        <f t="shared" si="11"/>
        <v>选中</v>
      </c>
    </row>
    <row r="249" spans="1:9" hidden="1" x14ac:dyDescent="0.25">
      <c r="A249" s="3">
        <v>885</v>
      </c>
      <c r="B249" s="3">
        <v>113.3160932</v>
      </c>
      <c r="C249" s="3">
        <v>23.031146570000001</v>
      </c>
      <c r="D249" s="3">
        <v>31</v>
      </c>
      <c r="E249" s="13">
        <f t="shared" si="9"/>
        <v>1.078262866149076E-2</v>
      </c>
      <c r="F249" s="13">
        <f t="shared" si="10"/>
        <v>9.6302525281885316</v>
      </c>
      <c r="G249" s="14">
        <f>F249/$F$124*$D$2</f>
        <v>1128.8880922248934</v>
      </c>
      <c r="H249" s="14">
        <f>F249/$F$124*$E$2</f>
        <v>1128.8880922248934</v>
      </c>
      <c r="I249" s="25" t="str">
        <f t="shared" si="11"/>
        <v/>
      </c>
    </row>
    <row r="250" spans="1:9" hidden="1" x14ac:dyDescent="0.25">
      <c r="A250" s="3">
        <v>855</v>
      </c>
      <c r="B250" s="3">
        <v>113.3169135</v>
      </c>
      <c r="C250" s="3">
        <v>23.031218979999998</v>
      </c>
      <c r="D250" s="3">
        <v>31</v>
      </c>
      <c r="E250" s="13">
        <f t="shared" si="9"/>
        <v>1.1322685739561659E-2</v>
      </c>
      <c r="F250" s="13">
        <f t="shared" si="10"/>
        <v>9.3977799805542723</v>
      </c>
      <c r="G250" s="14">
        <f>F250/$F$124*$D$2</f>
        <v>1101.636938631015</v>
      </c>
      <c r="H250" s="14">
        <f>F250/$F$124*$E$2</f>
        <v>1101.636938631015</v>
      </c>
      <c r="I250" s="25" t="str">
        <f t="shared" si="11"/>
        <v/>
      </c>
    </row>
    <row r="252" spans="1:9" x14ac:dyDescent="0.25">
      <c r="F252" s="13">
        <f>SUBTOTAL(9,F5:F250)</f>
        <v>1431.9407145671682</v>
      </c>
      <c r="G252" s="13">
        <f t="shared" ref="G252:H252" si="12">SUBTOTAL(9,G5:G250)</f>
        <v>1785.0000000000002</v>
      </c>
      <c r="H252" s="13">
        <f t="shared" si="12"/>
        <v>1785.0000000000002</v>
      </c>
    </row>
  </sheetData>
  <phoneticPr fontId="1" type="noConversion"/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871CDD-FB8C-4C83-A382-17380C94BEF2}">
  <sheetPr/>
  <dimension ref="A1:I247"/>
  <sheetViews>
    <sheetView topLeftCell="A32" zoomScale="115" zoomScaleNormal="115" workbookViewId="0">
      <selection activeCell="A5" sqref="A5:H122"/>
    </sheetView>
  </sheetViews>
  <sheetFormatPr defaultRowHeight="15" x14ac:dyDescent="0.25"/>
  <cols>
    <col min="1" max="1" width="8.875" style="4" customWidth="1"/>
    <col min="2" max="3" width="15.125" style="4" customWidth="1"/>
    <col min="4" max="4" width="10.25" style="4" customWidth="1"/>
    <col min="5" max="5" width="12" style="13" customWidth="1"/>
    <col min="6" max="6" width="15" style="13" customWidth="1"/>
    <col min="7" max="7" width="13.875" customWidth="1"/>
    <col min="8" max="8" width="11.125" customWidth="1"/>
    <col min="11" max="12" width="15.125" customWidth="1"/>
    <col min="13" max="13" width="11.125" customWidth="1"/>
  </cols>
  <sheetData>
    <row r="1" spans="1:9" ht="14.25" x14ac:dyDescent="0.2">
      <c r="A1" s="2" t="s">
        <v>12</v>
      </c>
      <c r="B1" s="2" t="s">
        <v>4</v>
      </c>
      <c r="C1" s="2" t="s">
        <v>5</v>
      </c>
      <c r="D1" s="2" t="s">
        <v>13</v>
      </c>
      <c r="E1" s="2" t="s">
        <v>14</v>
      </c>
      <c r="F1" s="2" t="s">
        <v>15</v>
      </c>
      <c r="G1" s="2" t="s">
        <v>16</v>
      </c>
    </row>
    <row r="2" spans="1:9" x14ac:dyDescent="0.25">
      <c r="A2" s="11">
        <v>32</v>
      </c>
      <c r="B2" s="3">
        <v>113.3478784</v>
      </c>
      <c r="C2" s="8">
        <v>22.946068189999998</v>
      </c>
      <c r="D2" s="3">
        <v>280</v>
      </c>
      <c r="E2" s="13">
        <v>1505</v>
      </c>
      <c r="F2" s="13">
        <v>30</v>
      </c>
      <c r="G2" s="19">
        <f>SUBTOTAL(2,A5:A250)</f>
        <v>40</v>
      </c>
    </row>
    <row r="3" spans="1:9" x14ac:dyDescent="0.25">
      <c r="A3" s="3"/>
      <c r="B3" s="3"/>
      <c r="C3" s="3"/>
      <c r="D3" s="3"/>
    </row>
    <row r="4" spans="1:9" ht="14.25" x14ac:dyDescent="0.2">
      <c r="A4" s="2" t="s">
        <v>0</v>
      </c>
      <c r="B4" s="2" t="s">
        <v>1</v>
      </c>
      <c r="C4" s="2" t="s">
        <v>2</v>
      </c>
      <c r="D4" s="2" t="s">
        <v>3</v>
      </c>
      <c r="E4" s="2" t="s">
        <v>7</v>
      </c>
      <c r="F4" s="2" t="s">
        <v>8</v>
      </c>
      <c r="G4" s="2" t="s">
        <v>13</v>
      </c>
      <c r="H4" s="2" t="s">
        <v>14</v>
      </c>
      <c r="I4" s="24" t="s">
        <v>20</v>
      </c>
    </row>
    <row r="5" spans="1:9" x14ac:dyDescent="0.25">
      <c r="A5" s="3">
        <v>2932</v>
      </c>
      <c r="B5" s="3">
        <v>113.3482885</v>
      </c>
      <c r="C5" s="3">
        <v>22.945981870000001</v>
      </c>
      <c r="D5" s="3">
        <v>32</v>
      </c>
      <c r="E5" s="13">
        <f t="shared" ref="E5:E36" si="0">SQRT((B5-$B$2)^2+(C5-$C$2)^2)</f>
        <v>4.190860918672466E-4</v>
      </c>
      <c r="F5" s="13">
        <f t="shared" ref="F5:F36" si="1">SQRT(1/E5)</f>
        <v>48.848178718377213</v>
      </c>
      <c r="G5" s="14">
        <f t="shared" ref="G5:G36" si="2">F5/$F$124*$D$2</f>
        <v>19.800806941621058</v>
      </c>
      <c r="H5" s="14">
        <f t="shared" ref="H5:H36" si="3">F5/$F$124*$E$2</f>
        <v>106.42933731121319</v>
      </c>
      <c r="I5" s="25" t="str">
        <f>IF(MOD(ROW()-1,3)=1,"选中","")</f>
        <v>选中</v>
      </c>
    </row>
    <row r="6" spans="1:9" hidden="1" x14ac:dyDescent="0.25">
      <c r="A6" s="3">
        <v>2882</v>
      </c>
      <c r="B6" s="3">
        <v>113.3485111</v>
      </c>
      <c r="C6" s="3">
        <v>22.94650828</v>
      </c>
      <c r="D6" s="3">
        <v>32</v>
      </c>
      <c r="E6" s="13">
        <f t="shared" si="0"/>
        <v>7.7070649283468042E-4</v>
      </c>
      <c r="F6" s="13">
        <f t="shared" si="1"/>
        <v>36.020977256137456</v>
      </c>
      <c r="G6" s="14">
        <f t="shared" si="2"/>
        <v>14.601248914710723</v>
      </c>
      <c r="H6" s="14">
        <f t="shared" si="3"/>
        <v>78.481712916570146</v>
      </c>
      <c r="I6" s="25" t="str">
        <f t="shared" ref="I6:I69" si="4">IF(MOD(ROW()-1,3)=1,"选中","")</f>
        <v/>
      </c>
    </row>
    <row r="7" spans="1:9" hidden="1" x14ac:dyDescent="0.25">
      <c r="A7" s="3">
        <v>2905</v>
      </c>
      <c r="B7" s="3">
        <v>113.3479901</v>
      </c>
      <c r="C7" s="3">
        <v>22.94514672</v>
      </c>
      <c r="D7" s="3">
        <v>32</v>
      </c>
      <c r="E7" s="13">
        <f t="shared" si="0"/>
        <v>9.2821541190469712E-4</v>
      </c>
      <c r="F7" s="13">
        <f t="shared" si="1"/>
        <v>32.822798941557856</v>
      </c>
      <c r="G7" s="14">
        <f t="shared" si="2"/>
        <v>13.304854391243147</v>
      </c>
      <c r="H7" s="14">
        <f t="shared" si="3"/>
        <v>71.513592352931909</v>
      </c>
      <c r="I7" s="25" t="str">
        <f t="shared" si="4"/>
        <v/>
      </c>
    </row>
    <row r="8" spans="1:9" x14ac:dyDescent="0.25">
      <c r="A8" s="3">
        <v>2891</v>
      </c>
      <c r="B8" s="3">
        <v>113.34872470000001</v>
      </c>
      <c r="C8" s="3">
        <v>22.946676849999999</v>
      </c>
      <c r="D8" s="3">
        <v>32</v>
      </c>
      <c r="E8" s="13">
        <f t="shared" si="0"/>
        <v>1.042444571961463E-3</v>
      </c>
      <c r="F8" s="13">
        <f t="shared" si="1"/>
        <v>30.97230403872096</v>
      </c>
      <c r="G8" s="14">
        <f t="shared" si="2"/>
        <v>12.554748793063652</v>
      </c>
      <c r="H8" s="14">
        <f t="shared" si="3"/>
        <v>67.481774762717137</v>
      </c>
      <c r="I8" s="25" t="str">
        <f t="shared" si="4"/>
        <v>选中</v>
      </c>
    </row>
    <row r="9" spans="1:9" hidden="1" x14ac:dyDescent="0.25">
      <c r="A9" s="3">
        <v>2874</v>
      </c>
      <c r="B9" s="3">
        <v>113.3476537</v>
      </c>
      <c r="C9" s="3">
        <v>22.94498535</v>
      </c>
      <c r="D9" s="3">
        <v>32</v>
      </c>
      <c r="E9" s="13">
        <f t="shared" si="0"/>
        <v>1.1059080231189931E-3</v>
      </c>
      <c r="F9" s="13">
        <f t="shared" si="1"/>
        <v>30.070489349271529</v>
      </c>
      <c r="G9" s="14">
        <f t="shared" si="2"/>
        <v>12.189194558875013</v>
      </c>
      <c r="H9" s="14">
        <f t="shared" si="3"/>
        <v>65.516920753953201</v>
      </c>
      <c r="I9" s="25" t="str">
        <f t="shared" si="4"/>
        <v/>
      </c>
    </row>
    <row r="10" spans="1:9" hidden="1" x14ac:dyDescent="0.25">
      <c r="A10" s="3">
        <v>2876</v>
      </c>
      <c r="B10" s="3">
        <v>113.3480588</v>
      </c>
      <c r="C10" s="3">
        <v>22.947202730000001</v>
      </c>
      <c r="D10" s="3">
        <v>32</v>
      </c>
      <c r="E10" s="13">
        <f t="shared" si="0"/>
        <v>1.1487929193755386E-3</v>
      </c>
      <c r="F10" s="13">
        <f t="shared" si="1"/>
        <v>29.503879453351328</v>
      </c>
      <c r="G10" s="14">
        <f t="shared" si="2"/>
        <v>11.959516944382765</v>
      </c>
      <c r="H10" s="14">
        <f t="shared" si="3"/>
        <v>64.282403576057362</v>
      </c>
      <c r="I10" s="25" t="str">
        <f t="shared" si="4"/>
        <v/>
      </c>
    </row>
    <row r="11" spans="1:9" x14ac:dyDescent="0.25">
      <c r="A11" s="3">
        <v>2900</v>
      </c>
      <c r="B11" s="3">
        <v>113.3469619</v>
      </c>
      <c r="C11" s="3">
        <v>22.945178420000001</v>
      </c>
      <c r="D11" s="3">
        <v>32</v>
      </c>
      <c r="E11" s="13">
        <f t="shared" si="0"/>
        <v>1.2773656105043456E-3</v>
      </c>
      <c r="F11" s="13">
        <f t="shared" si="1"/>
        <v>27.979657249928618</v>
      </c>
      <c r="G11" s="14">
        <f t="shared" si="2"/>
        <v>11.341667305400197</v>
      </c>
      <c r="H11" s="14">
        <f t="shared" si="3"/>
        <v>60.961461766526057</v>
      </c>
      <c r="I11" s="25" t="str">
        <f t="shared" si="4"/>
        <v>选中</v>
      </c>
    </row>
    <row r="12" spans="1:9" hidden="1" x14ac:dyDescent="0.25">
      <c r="A12" s="3">
        <v>2878</v>
      </c>
      <c r="B12" s="3">
        <v>113.34761760000001</v>
      </c>
      <c r="C12" s="3">
        <v>22.947479349999998</v>
      </c>
      <c r="D12" s="3">
        <v>32</v>
      </c>
      <c r="E12" s="13">
        <f t="shared" si="0"/>
        <v>1.4350572063844501E-3</v>
      </c>
      <c r="F12" s="13">
        <f t="shared" si="1"/>
        <v>26.397657700347793</v>
      </c>
      <c r="G12" s="14">
        <f t="shared" si="2"/>
        <v>10.700397385316222</v>
      </c>
      <c r="H12" s="14">
        <f t="shared" si="3"/>
        <v>57.514635946074698</v>
      </c>
      <c r="I12" s="25" t="str">
        <f t="shared" si="4"/>
        <v/>
      </c>
    </row>
    <row r="13" spans="1:9" hidden="1" x14ac:dyDescent="0.25">
      <c r="A13" s="3">
        <v>2879</v>
      </c>
      <c r="B13" s="3">
        <v>113.34711950000001</v>
      </c>
      <c r="C13" s="3">
        <v>22.947296260000002</v>
      </c>
      <c r="D13" s="3">
        <v>32</v>
      </c>
      <c r="E13" s="13">
        <f t="shared" si="0"/>
        <v>1.4436360811849313E-3</v>
      </c>
      <c r="F13" s="13">
        <f t="shared" si="1"/>
        <v>26.319106170870381</v>
      </c>
      <c r="G13" s="14">
        <f t="shared" si="2"/>
        <v>10.668556204929162</v>
      </c>
      <c r="H13" s="14">
        <f t="shared" si="3"/>
        <v>57.343489601494248</v>
      </c>
      <c r="I13" s="25" t="str">
        <f t="shared" si="4"/>
        <v/>
      </c>
    </row>
    <row r="14" spans="1:9" x14ac:dyDescent="0.25">
      <c r="A14" s="3">
        <v>2916</v>
      </c>
      <c r="B14" s="3">
        <v>113.3488885</v>
      </c>
      <c r="C14" s="3">
        <v>22.94492133</v>
      </c>
      <c r="D14" s="3">
        <v>32</v>
      </c>
      <c r="E14" s="13">
        <f t="shared" si="0"/>
        <v>1.5282636780349602E-3</v>
      </c>
      <c r="F14" s="13">
        <f t="shared" si="1"/>
        <v>25.580018502850653</v>
      </c>
      <c r="G14" s="14">
        <f t="shared" si="2"/>
        <v>10.368964027465115</v>
      </c>
      <c r="H14" s="14">
        <f t="shared" si="3"/>
        <v>55.733181647624995</v>
      </c>
      <c r="I14" s="25" t="str">
        <f t="shared" si="4"/>
        <v>选中</v>
      </c>
    </row>
    <row r="15" spans="1:9" hidden="1" x14ac:dyDescent="0.25">
      <c r="A15" s="3">
        <v>2911</v>
      </c>
      <c r="B15" s="3">
        <v>113.3490982</v>
      </c>
      <c r="C15" s="3">
        <v>22.945115900000001</v>
      </c>
      <c r="D15" s="3">
        <v>32</v>
      </c>
      <c r="E15" s="13">
        <f t="shared" si="0"/>
        <v>1.5475038882334393E-3</v>
      </c>
      <c r="F15" s="13">
        <f t="shared" si="1"/>
        <v>25.420502168109625</v>
      </c>
      <c r="G15" s="14">
        <f t="shared" si="2"/>
        <v>10.304303435584055</v>
      </c>
      <c r="H15" s="14">
        <f t="shared" si="3"/>
        <v>55.385630966264294</v>
      </c>
      <c r="I15" s="25" t="str">
        <f t="shared" si="4"/>
        <v/>
      </c>
    </row>
    <row r="16" spans="1:9" hidden="1" x14ac:dyDescent="0.25">
      <c r="A16" s="3">
        <v>2913</v>
      </c>
      <c r="B16" s="3">
        <v>113.34749100000001</v>
      </c>
      <c r="C16" s="3">
        <v>22.944333889999999</v>
      </c>
      <c r="D16" s="3">
        <v>32</v>
      </c>
      <c r="E16" s="13">
        <f t="shared" si="0"/>
        <v>1.7770411503371878E-3</v>
      </c>
      <c r="F16" s="13">
        <f t="shared" si="1"/>
        <v>23.721997600135964</v>
      </c>
      <c r="G16" s="14">
        <f t="shared" si="2"/>
        <v>9.615807734775963</v>
      </c>
      <c r="H16" s="14">
        <f t="shared" si="3"/>
        <v>51.684966574420805</v>
      </c>
      <c r="I16" s="25" t="str">
        <f t="shared" si="4"/>
        <v/>
      </c>
    </row>
    <row r="17" spans="1:9" x14ac:dyDescent="0.25">
      <c r="A17" s="3">
        <v>2883</v>
      </c>
      <c r="B17" s="3">
        <v>113.3493366</v>
      </c>
      <c r="C17" s="3">
        <v>22.947137649999998</v>
      </c>
      <c r="D17" s="3">
        <v>32</v>
      </c>
      <c r="E17" s="13">
        <f t="shared" si="0"/>
        <v>1.8083395509708813E-3</v>
      </c>
      <c r="F17" s="13">
        <f t="shared" si="1"/>
        <v>23.515813622619472</v>
      </c>
      <c r="G17" s="14">
        <f t="shared" si="2"/>
        <v>9.532230225022797</v>
      </c>
      <c r="H17" s="14">
        <f t="shared" si="3"/>
        <v>51.235737459497535</v>
      </c>
      <c r="I17" s="25" t="str">
        <f t="shared" si="4"/>
        <v>选中</v>
      </c>
    </row>
    <row r="18" spans="1:9" hidden="1" x14ac:dyDescent="0.25">
      <c r="A18" s="3">
        <v>2935</v>
      </c>
      <c r="B18" s="3">
        <v>113.34927690000001</v>
      </c>
      <c r="C18" s="3">
        <v>22.944893700000002</v>
      </c>
      <c r="D18" s="3">
        <v>32</v>
      </c>
      <c r="E18" s="13">
        <f t="shared" si="0"/>
        <v>1.8262609370278508E-3</v>
      </c>
      <c r="F18" s="13">
        <f t="shared" si="1"/>
        <v>23.400146968840644</v>
      </c>
      <c r="G18" s="14">
        <f t="shared" si="2"/>
        <v>9.4853442787879949</v>
      </c>
      <c r="H18" s="14">
        <f t="shared" si="3"/>
        <v>50.98372549848547</v>
      </c>
      <c r="I18" s="25" t="str">
        <f t="shared" si="4"/>
        <v/>
      </c>
    </row>
    <row r="19" spans="1:9" hidden="1" x14ac:dyDescent="0.25">
      <c r="A19" s="3">
        <v>2899</v>
      </c>
      <c r="B19" s="3">
        <v>113.3464858</v>
      </c>
      <c r="C19" s="3">
        <v>22.944877349999999</v>
      </c>
      <c r="D19" s="3">
        <v>32</v>
      </c>
      <c r="E19" s="13">
        <f t="shared" si="0"/>
        <v>1.8323303920435123E-3</v>
      </c>
      <c r="F19" s="13">
        <f t="shared" si="1"/>
        <v>23.361359218581331</v>
      </c>
      <c r="G19" s="14">
        <f t="shared" si="2"/>
        <v>9.4696215072387755</v>
      </c>
      <c r="H19" s="14">
        <f t="shared" si="3"/>
        <v>50.899215601408414</v>
      </c>
      <c r="I19" s="25" t="str">
        <f t="shared" si="4"/>
        <v/>
      </c>
    </row>
    <row r="20" spans="1:9" x14ac:dyDescent="0.25">
      <c r="A20" s="3">
        <v>2918</v>
      </c>
      <c r="B20" s="3">
        <v>113.3497799</v>
      </c>
      <c r="C20" s="3">
        <v>22.946018410000001</v>
      </c>
      <c r="D20" s="3">
        <v>32</v>
      </c>
      <c r="E20" s="13">
        <f t="shared" si="0"/>
        <v>1.9021514919714093E-3</v>
      </c>
      <c r="F20" s="13">
        <f t="shared" si="1"/>
        <v>22.92859529981196</v>
      </c>
      <c r="G20" s="14">
        <f t="shared" si="2"/>
        <v>9.294198901285446</v>
      </c>
      <c r="H20" s="14">
        <f t="shared" si="3"/>
        <v>49.956319094409267</v>
      </c>
      <c r="I20" s="25" t="str">
        <f t="shared" si="4"/>
        <v>选中</v>
      </c>
    </row>
    <row r="21" spans="1:9" hidden="1" x14ac:dyDescent="0.25">
      <c r="A21" s="3">
        <v>2889</v>
      </c>
      <c r="B21" s="3">
        <v>113.3492438</v>
      </c>
      <c r="C21" s="3">
        <v>22.9473947</v>
      </c>
      <c r="D21" s="3">
        <v>32</v>
      </c>
      <c r="E21" s="13">
        <f t="shared" si="0"/>
        <v>1.9036664466492239E-3</v>
      </c>
      <c r="F21" s="13">
        <f t="shared" si="1"/>
        <v>22.919470094007483</v>
      </c>
      <c r="G21" s="14">
        <f t="shared" si="2"/>
        <v>9.2904999621811104</v>
      </c>
      <c r="H21" s="14">
        <f t="shared" si="3"/>
        <v>49.936437296723469</v>
      </c>
      <c r="I21" s="25" t="str">
        <f t="shared" si="4"/>
        <v/>
      </c>
    </row>
    <row r="22" spans="1:9" hidden="1" x14ac:dyDescent="0.25">
      <c r="A22" s="3">
        <v>2897</v>
      </c>
      <c r="B22" s="3">
        <v>113.3471267</v>
      </c>
      <c r="C22" s="3">
        <v>22.944296520000002</v>
      </c>
      <c r="D22" s="3">
        <v>32</v>
      </c>
      <c r="E22" s="13">
        <f t="shared" si="0"/>
        <v>1.9245434468674219E-3</v>
      </c>
      <c r="F22" s="13">
        <f t="shared" si="1"/>
        <v>22.79481858100911</v>
      </c>
      <c r="G22" s="14">
        <f t="shared" si="2"/>
        <v>9.2399719668981835</v>
      </c>
      <c r="H22" s="14">
        <f t="shared" si="3"/>
        <v>49.664849322077735</v>
      </c>
      <c r="I22" s="25" t="str">
        <f t="shared" si="4"/>
        <v/>
      </c>
    </row>
    <row r="23" spans="1:9" x14ac:dyDescent="0.25">
      <c r="A23" s="3">
        <v>2888</v>
      </c>
      <c r="B23" s="3">
        <v>113.3487576</v>
      </c>
      <c r="C23" s="3">
        <v>22.947877290000001</v>
      </c>
      <c r="D23" s="3">
        <v>32</v>
      </c>
      <c r="E23" s="13">
        <f t="shared" si="0"/>
        <v>2.011426222860191E-3</v>
      </c>
      <c r="F23" s="13">
        <f t="shared" si="1"/>
        <v>22.297077642568976</v>
      </c>
      <c r="G23" s="14">
        <f t="shared" si="2"/>
        <v>9.0382106630466108</v>
      </c>
      <c r="H23" s="14">
        <f t="shared" si="3"/>
        <v>48.580382313875532</v>
      </c>
      <c r="I23" s="25" t="str">
        <f t="shared" si="4"/>
        <v>选中</v>
      </c>
    </row>
    <row r="24" spans="1:9" hidden="1" x14ac:dyDescent="0.25">
      <c r="A24" s="3">
        <v>2923</v>
      </c>
      <c r="B24" s="3">
        <v>113.3487938</v>
      </c>
      <c r="C24" s="3">
        <v>22.944209789999999</v>
      </c>
      <c r="D24" s="3">
        <v>32</v>
      </c>
      <c r="E24" s="13">
        <f t="shared" si="0"/>
        <v>2.0716195886293469E-3</v>
      </c>
      <c r="F24" s="13">
        <f t="shared" si="1"/>
        <v>21.970755724634152</v>
      </c>
      <c r="G24" s="14">
        <f t="shared" si="2"/>
        <v>8.9059347529231463</v>
      </c>
      <c r="H24" s="14">
        <f t="shared" si="3"/>
        <v>47.869399296961916</v>
      </c>
      <c r="I24" s="25" t="str">
        <f t="shared" si="4"/>
        <v/>
      </c>
    </row>
    <row r="25" spans="1:9" hidden="1" x14ac:dyDescent="0.25">
      <c r="A25" s="3">
        <v>2920</v>
      </c>
      <c r="B25" s="3">
        <v>113.3496462</v>
      </c>
      <c r="C25" s="3">
        <v>22.944862109999999</v>
      </c>
      <c r="D25" s="3">
        <v>32</v>
      </c>
      <c r="E25" s="13">
        <f t="shared" si="0"/>
        <v>2.1400340666411369E-3</v>
      </c>
      <c r="F25" s="13">
        <f t="shared" si="1"/>
        <v>21.616713000908728</v>
      </c>
      <c r="G25" s="14">
        <f t="shared" si="2"/>
        <v>8.7624221019809454</v>
      </c>
      <c r="H25" s="14">
        <f t="shared" si="3"/>
        <v>47.098018798147578</v>
      </c>
      <c r="I25" s="25" t="str">
        <f t="shared" si="4"/>
        <v/>
      </c>
    </row>
    <row r="26" spans="1:9" x14ac:dyDescent="0.25">
      <c r="A26" s="3">
        <v>2933</v>
      </c>
      <c r="B26" s="3">
        <v>113.34649880000001</v>
      </c>
      <c r="C26" s="3">
        <v>22.944420520000001</v>
      </c>
      <c r="D26" s="3">
        <v>32</v>
      </c>
      <c r="E26" s="13">
        <f t="shared" si="0"/>
        <v>2.1489794296061277E-3</v>
      </c>
      <c r="F26" s="13">
        <f t="shared" si="1"/>
        <v>21.571675111891459</v>
      </c>
      <c r="G26" s="14">
        <f t="shared" si="2"/>
        <v>8.7441658113906549</v>
      </c>
      <c r="H26" s="14">
        <f t="shared" si="3"/>
        <v>46.999891236224769</v>
      </c>
      <c r="I26" s="25" t="str">
        <f t="shared" si="4"/>
        <v>选中</v>
      </c>
    </row>
    <row r="27" spans="1:9" hidden="1" x14ac:dyDescent="0.25">
      <c r="A27" s="3">
        <v>2921</v>
      </c>
      <c r="B27" s="3">
        <v>113.3499048</v>
      </c>
      <c r="C27" s="3">
        <v>22.945044620000001</v>
      </c>
      <c r="D27" s="3">
        <v>32</v>
      </c>
      <c r="E27" s="13">
        <f t="shared" si="0"/>
        <v>2.2702406270958815E-3</v>
      </c>
      <c r="F27" s="13">
        <f t="shared" si="1"/>
        <v>20.987661658662038</v>
      </c>
      <c r="G27" s="14">
        <f t="shared" si="2"/>
        <v>8.5074335945075159</v>
      </c>
      <c r="H27" s="14">
        <f t="shared" si="3"/>
        <v>45.727455570477893</v>
      </c>
      <c r="I27" s="25" t="str">
        <f t="shared" si="4"/>
        <v/>
      </c>
    </row>
    <row r="28" spans="1:9" hidden="1" x14ac:dyDescent="0.25">
      <c r="A28" s="3">
        <v>2925</v>
      </c>
      <c r="B28" s="3">
        <v>113.3495272</v>
      </c>
      <c r="C28" s="3">
        <v>22.947736089999999</v>
      </c>
      <c r="D28" s="3">
        <v>32</v>
      </c>
      <c r="E28" s="13">
        <f t="shared" si="0"/>
        <v>2.3452999488332649E-3</v>
      </c>
      <c r="F28" s="13">
        <f t="shared" si="1"/>
        <v>20.649084569647474</v>
      </c>
      <c r="G28" s="14">
        <f t="shared" si="2"/>
        <v>8.3701900011878063</v>
      </c>
      <c r="H28" s="14">
        <f t="shared" si="3"/>
        <v>44.989771256384465</v>
      </c>
      <c r="I28" s="25" t="str">
        <f t="shared" si="4"/>
        <v/>
      </c>
    </row>
    <row r="29" spans="1:9" x14ac:dyDescent="0.25">
      <c r="A29" s="3">
        <v>2904</v>
      </c>
      <c r="B29" s="3">
        <v>113.3465178</v>
      </c>
      <c r="C29" s="3">
        <v>22.944119619999999</v>
      </c>
      <c r="D29" s="3">
        <v>32</v>
      </c>
      <c r="E29" s="13">
        <f t="shared" si="0"/>
        <v>2.376585240401412E-3</v>
      </c>
      <c r="F29" s="13">
        <f t="shared" si="1"/>
        <v>20.512722373927684</v>
      </c>
      <c r="G29" s="14">
        <f t="shared" si="2"/>
        <v>8.3149150332683313</v>
      </c>
      <c r="H29" s="14">
        <f t="shared" si="3"/>
        <v>44.692668303817278</v>
      </c>
      <c r="I29" s="25" t="str">
        <f t="shared" si="4"/>
        <v>选中</v>
      </c>
    </row>
    <row r="30" spans="1:9" hidden="1" x14ac:dyDescent="0.25">
      <c r="A30" s="3">
        <v>2875</v>
      </c>
      <c r="B30" s="3">
        <v>113.3477393</v>
      </c>
      <c r="C30" s="3">
        <v>22.94859567</v>
      </c>
      <c r="D30" s="3">
        <v>32</v>
      </c>
      <c r="E30" s="13">
        <f t="shared" si="0"/>
        <v>2.5313047940550069E-3</v>
      </c>
      <c r="F30" s="13">
        <f t="shared" si="1"/>
        <v>19.875944673536509</v>
      </c>
      <c r="G30" s="14">
        <f t="shared" si="2"/>
        <v>8.0567946152509542</v>
      </c>
      <c r="H30" s="14">
        <f t="shared" si="3"/>
        <v>43.305271056973879</v>
      </c>
      <c r="I30" s="25" t="str">
        <f t="shared" si="4"/>
        <v/>
      </c>
    </row>
    <row r="31" spans="1:9" hidden="1" x14ac:dyDescent="0.25">
      <c r="A31" s="3">
        <v>2914</v>
      </c>
      <c r="B31" s="3">
        <v>113.34683819999999</v>
      </c>
      <c r="C31" s="3">
        <v>22.943746239999999</v>
      </c>
      <c r="D31" s="3">
        <v>32</v>
      </c>
      <c r="E31" s="13">
        <f t="shared" si="0"/>
        <v>2.5443010518620963E-3</v>
      </c>
      <c r="F31" s="13">
        <f t="shared" si="1"/>
        <v>19.825116645366922</v>
      </c>
      <c r="G31" s="14">
        <f t="shared" si="2"/>
        <v>8.0361912683214474</v>
      </c>
      <c r="H31" s="14">
        <f t="shared" si="3"/>
        <v>43.194528067227779</v>
      </c>
      <c r="I31" s="25" t="str">
        <f t="shared" si="4"/>
        <v/>
      </c>
    </row>
    <row r="32" spans="1:9" x14ac:dyDescent="0.25">
      <c r="A32" s="3">
        <v>2903</v>
      </c>
      <c r="B32" s="3">
        <v>113.3501103</v>
      </c>
      <c r="C32" s="3">
        <v>22.9473603</v>
      </c>
      <c r="D32" s="3">
        <v>32</v>
      </c>
      <c r="E32" s="13">
        <f t="shared" si="0"/>
        <v>2.5789389023579993E-3</v>
      </c>
      <c r="F32" s="13">
        <f t="shared" si="1"/>
        <v>19.691530538574231</v>
      </c>
      <c r="G32" s="14">
        <f t="shared" si="2"/>
        <v>7.9820415992839457</v>
      </c>
      <c r="H32" s="14">
        <f t="shared" si="3"/>
        <v>42.903473596151208</v>
      </c>
      <c r="I32" s="25" t="str">
        <f t="shared" si="4"/>
        <v>选中</v>
      </c>
    </row>
    <row r="33" spans="1:9" hidden="1" x14ac:dyDescent="0.25">
      <c r="A33" s="3">
        <v>2926</v>
      </c>
      <c r="B33" s="3">
        <v>113.3491449</v>
      </c>
      <c r="C33" s="3">
        <v>22.94835445</v>
      </c>
      <c r="D33" s="3">
        <v>32</v>
      </c>
      <c r="E33" s="13">
        <f t="shared" si="0"/>
        <v>2.6136195280888988E-3</v>
      </c>
      <c r="F33" s="13">
        <f t="shared" si="1"/>
        <v>19.560448875574831</v>
      </c>
      <c r="G33" s="14">
        <f t="shared" si="2"/>
        <v>7.9289071166740293</v>
      </c>
      <c r="H33" s="14">
        <f t="shared" si="3"/>
        <v>42.617875752122906</v>
      </c>
      <c r="I33" s="25" t="str">
        <f t="shared" si="4"/>
        <v/>
      </c>
    </row>
    <row r="34" spans="1:9" hidden="1" x14ac:dyDescent="0.25">
      <c r="A34" s="3">
        <v>2892</v>
      </c>
      <c r="B34" s="3">
        <v>113.35033489999999</v>
      </c>
      <c r="C34" s="3">
        <v>22.947067059999998</v>
      </c>
      <c r="D34" s="3">
        <v>32</v>
      </c>
      <c r="E34" s="13">
        <f t="shared" si="0"/>
        <v>2.6518170236405937E-3</v>
      </c>
      <c r="F34" s="13">
        <f t="shared" si="1"/>
        <v>19.419060861052174</v>
      </c>
      <c r="G34" s="14">
        <f t="shared" si="2"/>
        <v>7.8715949127623395</v>
      </c>
      <c r="H34" s="14">
        <f t="shared" si="3"/>
        <v>42.309822656097573</v>
      </c>
      <c r="I34" s="25" t="str">
        <f t="shared" si="4"/>
        <v/>
      </c>
    </row>
    <row r="35" spans="1:9" x14ac:dyDescent="0.25">
      <c r="A35" s="3">
        <v>3446</v>
      </c>
      <c r="B35" s="3">
        <v>113.3485752</v>
      </c>
      <c r="C35" s="3">
        <v>22.94349545</v>
      </c>
      <c r="D35" s="3">
        <v>32</v>
      </c>
      <c r="E35" s="13">
        <f t="shared" si="0"/>
        <v>2.6654307996250054E-3</v>
      </c>
      <c r="F35" s="13">
        <f t="shared" si="1"/>
        <v>19.369405628073405</v>
      </c>
      <c r="G35" s="14">
        <f t="shared" si="2"/>
        <v>7.8514669631099636</v>
      </c>
      <c r="H35" s="14">
        <f t="shared" si="3"/>
        <v>42.201634926716054</v>
      </c>
      <c r="I35" s="25" t="str">
        <f t="shared" si="4"/>
        <v>选中</v>
      </c>
    </row>
    <row r="36" spans="1:9" hidden="1" x14ac:dyDescent="0.25">
      <c r="A36" s="3">
        <v>2895</v>
      </c>
      <c r="B36" s="3">
        <v>113.345201</v>
      </c>
      <c r="C36" s="3">
        <v>22.945891110000002</v>
      </c>
      <c r="D36" s="3">
        <v>32</v>
      </c>
      <c r="E36" s="13">
        <f t="shared" si="0"/>
        <v>2.6832495385963853E-3</v>
      </c>
      <c r="F36" s="13">
        <f t="shared" si="1"/>
        <v>19.304984991596651</v>
      </c>
      <c r="G36" s="14">
        <f t="shared" si="2"/>
        <v>7.8253537973912035</v>
      </c>
      <c r="H36" s="14">
        <f t="shared" si="3"/>
        <v>42.061276660977718</v>
      </c>
      <c r="I36" s="25" t="str">
        <f t="shared" si="4"/>
        <v/>
      </c>
    </row>
    <row r="37" spans="1:9" hidden="1" x14ac:dyDescent="0.25">
      <c r="A37" s="3">
        <v>2894</v>
      </c>
      <c r="B37" s="3">
        <v>113.3496241</v>
      </c>
      <c r="C37" s="3">
        <v>22.948131759999999</v>
      </c>
      <c r="D37" s="3">
        <v>32</v>
      </c>
      <c r="E37" s="13">
        <f t="shared" ref="E37:E68" si="5">SQRT((B37-$B$2)^2+(C37-$C$2)^2)</f>
        <v>2.7029224248774487E-3</v>
      </c>
      <c r="F37" s="13">
        <f t="shared" ref="F37:F68" si="6">SQRT(1/E37)</f>
        <v>19.23460221786496</v>
      </c>
      <c r="G37" s="14">
        <f t="shared" ref="G37:G68" si="7">F37/$F$124*$D$2</f>
        <v>7.7968238552062203</v>
      </c>
      <c r="H37" s="14">
        <f t="shared" ref="H37:H68" si="8">F37/$F$124*$E$2</f>
        <v>41.907928221733435</v>
      </c>
      <c r="I37" s="25" t="str">
        <f t="shared" si="4"/>
        <v/>
      </c>
    </row>
    <row r="38" spans="1:9" x14ac:dyDescent="0.25">
      <c r="A38" s="3">
        <v>2928</v>
      </c>
      <c r="B38" s="3">
        <v>113.34631709999999</v>
      </c>
      <c r="C38" s="3">
        <v>22.943734119999998</v>
      </c>
      <c r="D38" s="3">
        <v>32</v>
      </c>
      <c r="E38" s="13">
        <f t="shared" si="5"/>
        <v>2.8081204487909097E-3</v>
      </c>
      <c r="F38" s="13">
        <f t="shared" si="6"/>
        <v>18.870879174809183</v>
      </c>
      <c r="G38" s="14">
        <f t="shared" si="7"/>
        <v>7.6493872476453149</v>
      </c>
      <c r="H38" s="14">
        <f t="shared" si="8"/>
        <v>41.115456456093568</v>
      </c>
      <c r="I38" s="25" t="str">
        <f t="shared" si="4"/>
        <v>选中</v>
      </c>
    </row>
    <row r="39" spans="1:9" hidden="1" x14ac:dyDescent="0.25">
      <c r="A39" s="3">
        <v>3426</v>
      </c>
      <c r="B39" s="3">
        <v>113.34713170000001</v>
      </c>
      <c r="C39" s="3">
        <v>22.943352910000002</v>
      </c>
      <c r="D39" s="3">
        <v>32</v>
      </c>
      <c r="E39" s="13">
        <f t="shared" si="5"/>
        <v>2.8160799648398916E-3</v>
      </c>
      <c r="F39" s="13">
        <f t="shared" si="6"/>
        <v>18.844191482477871</v>
      </c>
      <c r="G39" s="14">
        <f t="shared" si="7"/>
        <v>7.6385692835485104</v>
      </c>
      <c r="H39" s="14">
        <f t="shared" si="8"/>
        <v>41.057309899073246</v>
      </c>
      <c r="I39" s="25" t="str">
        <f t="shared" si="4"/>
        <v/>
      </c>
    </row>
    <row r="40" spans="1:9" hidden="1" x14ac:dyDescent="0.25">
      <c r="A40" s="3">
        <v>2901</v>
      </c>
      <c r="B40" s="3">
        <v>113.345215</v>
      </c>
      <c r="C40" s="3">
        <v>22.945121409999999</v>
      </c>
      <c r="D40" s="3">
        <v>32</v>
      </c>
      <c r="E40" s="13">
        <f t="shared" si="5"/>
        <v>2.8266750659414501E-3</v>
      </c>
      <c r="F40" s="13">
        <f t="shared" si="6"/>
        <v>18.808841901915553</v>
      </c>
      <c r="G40" s="14">
        <f t="shared" si="7"/>
        <v>7.624240188000913</v>
      </c>
      <c r="H40" s="14">
        <f t="shared" si="8"/>
        <v>40.980291010504907</v>
      </c>
      <c r="I40" s="25" t="str">
        <f t="shared" si="4"/>
        <v/>
      </c>
    </row>
    <row r="41" spans="1:9" x14ac:dyDescent="0.25">
      <c r="A41" s="3">
        <v>3447</v>
      </c>
      <c r="B41" s="3">
        <v>113.34642700000001</v>
      </c>
      <c r="C41" s="3">
        <v>22.943604990000001</v>
      </c>
      <c r="D41" s="3">
        <v>32</v>
      </c>
      <c r="E41" s="13">
        <f t="shared" si="5"/>
        <v>2.8590061559865382E-3</v>
      </c>
      <c r="F41" s="13">
        <f t="shared" si="6"/>
        <v>18.702189568379428</v>
      </c>
      <c r="G41" s="14">
        <f t="shared" si="7"/>
        <v>7.5810082329592055</v>
      </c>
      <c r="H41" s="14">
        <f t="shared" si="8"/>
        <v>40.747919252155732</v>
      </c>
      <c r="I41" s="25" t="str">
        <f t="shared" si="4"/>
        <v>选中</v>
      </c>
    </row>
    <row r="42" spans="1:9" hidden="1" x14ac:dyDescent="0.25">
      <c r="A42" s="3">
        <v>2877</v>
      </c>
      <c r="B42" s="3">
        <v>113.3458756</v>
      </c>
      <c r="C42" s="3">
        <v>22.948352910000001</v>
      </c>
      <c r="D42" s="3">
        <v>32</v>
      </c>
      <c r="E42" s="13">
        <f t="shared" si="5"/>
        <v>3.0382813099528454E-3</v>
      </c>
      <c r="F42" s="13">
        <f t="shared" si="6"/>
        <v>18.142035355364165</v>
      </c>
      <c r="G42" s="14">
        <f t="shared" si="7"/>
        <v>7.3539474556598838</v>
      </c>
      <c r="H42" s="14">
        <f t="shared" si="8"/>
        <v>39.52746757417188</v>
      </c>
      <c r="I42" s="25" t="str">
        <f t="shared" si="4"/>
        <v/>
      </c>
    </row>
    <row r="43" spans="1:9" hidden="1" x14ac:dyDescent="0.25">
      <c r="A43" s="3">
        <v>2927</v>
      </c>
      <c r="B43" s="3">
        <v>113.35064749999999</v>
      </c>
      <c r="C43" s="3">
        <v>22.944793520000001</v>
      </c>
      <c r="D43" s="3">
        <v>32</v>
      </c>
      <c r="E43" s="13">
        <f t="shared" si="5"/>
        <v>3.0483927599415299E-3</v>
      </c>
      <c r="F43" s="13">
        <f t="shared" si="6"/>
        <v>18.111922002371948</v>
      </c>
      <c r="G43" s="14">
        <f t="shared" si="7"/>
        <v>7.3417408861498634</v>
      </c>
      <c r="H43" s="14">
        <f t="shared" si="8"/>
        <v>39.461857263055514</v>
      </c>
      <c r="I43" s="25" t="str">
        <f t="shared" si="4"/>
        <v/>
      </c>
    </row>
    <row r="44" spans="1:9" x14ac:dyDescent="0.25">
      <c r="A44" s="3">
        <v>2880</v>
      </c>
      <c r="B44" s="3">
        <v>113.3486656</v>
      </c>
      <c r="C44" s="3">
        <v>22.949028949999999</v>
      </c>
      <c r="D44" s="3">
        <v>32</v>
      </c>
      <c r="E44" s="13">
        <f t="shared" si="5"/>
        <v>3.0636226297654544E-3</v>
      </c>
      <c r="F44" s="13">
        <f t="shared" si="6"/>
        <v>18.066846952512496</v>
      </c>
      <c r="G44" s="14">
        <f t="shared" si="7"/>
        <v>7.3234695322617975</v>
      </c>
      <c r="H44" s="14">
        <f t="shared" si="8"/>
        <v>39.363648735907162</v>
      </c>
      <c r="I44" s="25" t="str">
        <f t="shared" si="4"/>
        <v>选中</v>
      </c>
    </row>
    <row r="45" spans="1:9" hidden="1" x14ac:dyDescent="0.25">
      <c r="A45" s="3">
        <v>2885</v>
      </c>
      <c r="B45" s="3">
        <v>113.3489052</v>
      </c>
      <c r="C45" s="3">
        <v>22.94905954</v>
      </c>
      <c r="D45" s="3">
        <v>32</v>
      </c>
      <c r="E45" s="13">
        <f t="shared" si="5"/>
        <v>3.1626718233992036E-3</v>
      </c>
      <c r="F45" s="13">
        <f t="shared" si="6"/>
        <v>17.781685932616313</v>
      </c>
      <c r="G45" s="14">
        <f t="shared" si="7"/>
        <v>7.2078783587444963</v>
      </c>
      <c r="H45" s="14">
        <f t="shared" si="8"/>
        <v>38.742346178251672</v>
      </c>
      <c r="I45" s="25" t="str">
        <f t="shared" si="4"/>
        <v/>
      </c>
    </row>
    <row r="46" spans="1:9" hidden="1" x14ac:dyDescent="0.25">
      <c r="A46" s="3">
        <v>2890</v>
      </c>
      <c r="B46" s="3">
        <v>113.3447178</v>
      </c>
      <c r="C46" s="3">
        <v>22.946688600000002</v>
      </c>
      <c r="D46" s="3">
        <v>32</v>
      </c>
      <c r="E46" s="13">
        <f t="shared" si="5"/>
        <v>3.2209161628503941E-3</v>
      </c>
      <c r="F46" s="13">
        <f t="shared" si="6"/>
        <v>17.620177929898698</v>
      </c>
      <c r="G46" s="14">
        <f t="shared" si="7"/>
        <v>7.1424104361884568</v>
      </c>
      <c r="H46" s="14">
        <f t="shared" si="8"/>
        <v>38.390456094512956</v>
      </c>
      <c r="I46" s="25" t="str">
        <f t="shared" si="4"/>
        <v/>
      </c>
    </row>
    <row r="47" spans="1:9" x14ac:dyDescent="0.25">
      <c r="A47" s="3">
        <v>2872</v>
      </c>
      <c r="B47" s="3">
        <v>113.3459245</v>
      </c>
      <c r="C47" s="3">
        <v>22.948675690000002</v>
      </c>
      <c r="D47" s="3">
        <v>32</v>
      </c>
      <c r="E47" s="13">
        <f t="shared" si="5"/>
        <v>3.2583402922396606E-3</v>
      </c>
      <c r="F47" s="13">
        <f t="shared" si="6"/>
        <v>17.518696166658447</v>
      </c>
      <c r="G47" s="14">
        <f t="shared" si="7"/>
        <v>7.1012743927424911</v>
      </c>
      <c r="H47" s="14">
        <f t="shared" si="8"/>
        <v>38.169349860990891</v>
      </c>
      <c r="I47" s="25" t="str">
        <f t="shared" si="4"/>
        <v>选中</v>
      </c>
    </row>
    <row r="48" spans="1:9" hidden="1" x14ac:dyDescent="0.25">
      <c r="A48" s="3">
        <v>2924</v>
      </c>
      <c r="B48" s="3">
        <v>113.3448987</v>
      </c>
      <c r="C48" s="3">
        <v>22.94438027</v>
      </c>
      <c r="D48" s="3">
        <v>32</v>
      </c>
      <c r="E48" s="13">
        <f t="shared" si="5"/>
        <v>3.4245709244194221E-3</v>
      </c>
      <c r="F48" s="13">
        <f t="shared" si="6"/>
        <v>17.0882235731824</v>
      </c>
      <c r="G48" s="14">
        <f t="shared" si="7"/>
        <v>6.9267805847702508</v>
      </c>
      <c r="H48" s="14">
        <f t="shared" si="8"/>
        <v>37.231445643140098</v>
      </c>
      <c r="I48" s="25" t="str">
        <f t="shared" si="4"/>
        <v/>
      </c>
    </row>
    <row r="49" spans="1:9" hidden="1" x14ac:dyDescent="0.25">
      <c r="A49" s="3">
        <v>2881</v>
      </c>
      <c r="B49" s="3">
        <v>113.34474969999999</v>
      </c>
      <c r="C49" s="3">
        <v>22.947834060000002</v>
      </c>
      <c r="D49" s="3">
        <v>32</v>
      </c>
      <c r="E49" s="13">
        <f t="shared" si="5"/>
        <v>3.5926397741691883E-3</v>
      </c>
      <c r="F49" s="13">
        <f t="shared" si="6"/>
        <v>16.683730396110647</v>
      </c>
      <c r="G49" s="14">
        <f t="shared" si="7"/>
        <v>6.7628176383812688</v>
      </c>
      <c r="H49" s="14">
        <f t="shared" si="8"/>
        <v>36.350144806299319</v>
      </c>
      <c r="I49" s="25" t="str">
        <f t="shared" si="4"/>
        <v/>
      </c>
    </row>
    <row r="50" spans="1:9" x14ac:dyDescent="0.25">
      <c r="A50" s="3">
        <v>3421</v>
      </c>
      <c r="B50" s="3">
        <v>113.34765489999999</v>
      </c>
      <c r="C50" s="3">
        <v>22.942262499999998</v>
      </c>
      <c r="D50" s="3">
        <v>32</v>
      </c>
      <c r="E50" s="13">
        <f t="shared" si="5"/>
        <v>3.812247188483781E-3</v>
      </c>
      <c r="F50" s="13">
        <f t="shared" si="6"/>
        <v>16.196063602827781</v>
      </c>
      <c r="G50" s="14">
        <f t="shared" si="7"/>
        <v>6.5651399300412301</v>
      </c>
      <c r="H50" s="14">
        <f t="shared" si="8"/>
        <v>35.28762712397161</v>
      </c>
      <c r="I50" s="25" t="str">
        <f t="shared" si="4"/>
        <v>选中</v>
      </c>
    </row>
    <row r="51" spans="1:9" hidden="1" x14ac:dyDescent="0.25">
      <c r="A51" s="3">
        <v>2887</v>
      </c>
      <c r="B51" s="3">
        <v>113.34439329999999</v>
      </c>
      <c r="C51" s="3">
        <v>22.947846670000001</v>
      </c>
      <c r="D51" s="3">
        <v>32</v>
      </c>
      <c r="E51" s="13">
        <f t="shared" si="5"/>
        <v>3.9126606191247811E-3</v>
      </c>
      <c r="F51" s="13">
        <f t="shared" si="6"/>
        <v>15.986887189583767</v>
      </c>
      <c r="G51" s="14">
        <f t="shared" si="7"/>
        <v>6.4803494243549391</v>
      </c>
      <c r="H51" s="14">
        <f t="shared" si="8"/>
        <v>34.831878155907802</v>
      </c>
      <c r="I51" s="25" t="str">
        <f t="shared" si="4"/>
        <v/>
      </c>
    </row>
    <row r="52" spans="1:9" hidden="1" x14ac:dyDescent="0.25">
      <c r="A52" s="3">
        <v>3417</v>
      </c>
      <c r="B52" s="3">
        <v>113.3462633</v>
      </c>
      <c r="C52" s="3">
        <v>22.942381789999999</v>
      </c>
      <c r="D52" s="3">
        <v>32</v>
      </c>
      <c r="E52" s="13">
        <f t="shared" si="5"/>
        <v>4.0246854498183961E-3</v>
      </c>
      <c r="F52" s="13">
        <f t="shared" si="6"/>
        <v>15.762824062178888</v>
      </c>
      <c r="G52" s="14">
        <f t="shared" si="7"/>
        <v>6.3895245288341016</v>
      </c>
      <c r="H52" s="14">
        <f t="shared" si="8"/>
        <v>34.343694342483296</v>
      </c>
      <c r="I52" s="25" t="str">
        <f t="shared" si="4"/>
        <v/>
      </c>
    </row>
    <row r="53" spans="1:9" x14ac:dyDescent="0.25">
      <c r="A53" s="3">
        <v>3400</v>
      </c>
      <c r="B53" s="3">
        <v>113.34961749999999</v>
      </c>
      <c r="C53" s="3">
        <v>22.942403200000001</v>
      </c>
      <c r="D53" s="3">
        <v>32</v>
      </c>
      <c r="E53" s="13">
        <f t="shared" si="5"/>
        <v>4.0566760420399535E-3</v>
      </c>
      <c r="F53" s="13">
        <f t="shared" si="6"/>
        <v>15.700548919607439</v>
      </c>
      <c r="G53" s="14">
        <f t="shared" si="7"/>
        <v>6.3642810477530904</v>
      </c>
      <c r="H53" s="14">
        <f t="shared" si="8"/>
        <v>34.208010631672863</v>
      </c>
      <c r="I53" s="25" t="str">
        <f t="shared" si="4"/>
        <v>选中</v>
      </c>
    </row>
    <row r="54" spans="1:9" hidden="1" x14ac:dyDescent="0.25">
      <c r="A54" s="3">
        <v>2912</v>
      </c>
      <c r="B54" s="3">
        <v>113.3504076</v>
      </c>
      <c r="C54" s="3">
        <v>22.949268010000001</v>
      </c>
      <c r="D54" s="3">
        <v>32</v>
      </c>
      <c r="E54" s="13">
        <f t="shared" si="5"/>
        <v>4.0786885971357866E-3</v>
      </c>
      <c r="F54" s="13">
        <f t="shared" si="6"/>
        <v>15.658123914242037</v>
      </c>
      <c r="G54" s="14">
        <f t="shared" si="7"/>
        <v>6.3470839001259369</v>
      </c>
      <c r="H54" s="14">
        <f t="shared" si="8"/>
        <v>34.115575963176909</v>
      </c>
      <c r="I54" s="25" t="str">
        <f t="shared" si="4"/>
        <v/>
      </c>
    </row>
    <row r="55" spans="1:9" hidden="1" x14ac:dyDescent="0.25">
      <c r="A55" s="3">
        <v>3424</v>
      </c>
      <c r="B55" s="3">
        <v>113.34982309999999</v>
      </c>
      <c r="C55" s="3">
        <v>22.94242886</v>
      </c>
      <c r="D55" s="3">
        <v>32</v>
      </c>
      <c r="E55" s="13">
        <f t="shared" si="5"/>
        <v>4.1263277788940993E-3</v>
      </c>
      <c r="F55" s="13">
        <f t="shared" si="6"/>
        <v>15.567473610526918</v>
      </c>
      <c r="G55" s="14">
        <f t="shared" si="7"/>
        <v>6.3103384326355156</v>
      </c>
      <c r="H55" s="14">
        <f t="shared" si="8"/>
        <v>33.918069075415893</v>
      </c>
      <c r="I55" s="25" t="str">
        <f t="shared" si="4"/>
        <v/>
      </c>
    </row>
    <row r="56" spans="1:9" x14ac:dyDescent="0.25">
      <c r="A56" s="3">
        <v>3418</v>
      </c>
      <c r="B56" s="3">
        <v>113.3484126</v>
      </c>
      <c r="C56" s="3">
        <v>22.941868410000001</v>
      </c>
      <c r="D56" s="3">
        <v>32</v>
      </c>
      <c r="E56" s="13">
        <f t="shared" si="5"/>
        <v>4.2336180376101717E-3</v>
      </c>
      <c r="F56" s="13">
        <f t="shared" si="6"/>
        <v>15.368948792252151</v>
      </c>
      <c r="G56" s="14">
        <f t="shared" si="7"/>
        <v>6.2298655940790963</v>
      </c>
      <c r="H56" s="14">
        <f t="shared" si="8"/>
        <v>33.485527568175144</v>
      </c>
      <c r="I56" s="25" t="str">
        <f t="shared" si="4"/>
        <v>选中</v>
      </c>
    </row>
    <row r="57" spans="1:9" hidden="1" x14ac:dyDescent="0.25">
      <c r="A57" s="3">
        <v>3439</v>
      </c>
      <c r="B57" s="3">
        <v>113.3513205</v>
      </c>
      <c r="C57" s="3">
        <v>22.943472010000001</v>
      </c>
      <c r="D57" s="3">
        <v>32</v>
      </c>
      <c r="E57" s="13">
        <f t="shared" si="5"/>
        <v>4.3114038319779051E-3</v>
      </c>
      <c r="F57" s="13">
        <f t="shared" si="6"/>
        <v>15.229675444618614</v>
      </c>
      <c r="G57" s="14">
        <f t="shared" si="7"/>
        <v>6.1734105789493832</v>
      </c>
      <c r="H57" s="14">
        <f t="shared" si="8"/>
        <v>33.182081861852936</v>
      </c>
      <c r="I57" s="25" t="str">
        <f t="shared" si="4"/>
        <v/>
      </c>
    </row>
    <row r="58" spans="1:9" hidden="1" x14ac:dyDescent="0.25">
      <c r="A58" s="3">
        <v>2936</v>
      </c>
      <c r="B58" s="3">
        <v>113.34378049999999</v>
      </c>
      <c r="C58" s="3">
        <v>22.94747989</v>
      </c>
      <c r="D58" s="3">
        <v>32</v>
      </c>
      <c r="E58" s="13">
        <f t="shared" si="5"/>
        <v>4.3342451822718257E-3</v>
      </c>
      <c r="F58" s="13">
        <f t="shared" si="6"/>
        <v>15.189492453099263</v>
      </c>
      <c r="G58" s="14">
        <f t="shared" si="7"/>
        <v>6.1571222407085937</v>
      </c>
      <c r="H58" s="14">
        <f t="shared" si="8"/>
        <v>33.094532043808691</v>
      </c>
      <c r="I58" s="25" t="str">
        <f t="shared" si="4"/>
        <v/>
      </c>
    </row>
    <row r="59" spans="1:9" x14ac:dyDescent="0.25">
      <c r="A59" s="3">
        <v>2906</v>
      </c>
      <c r="B59" s="3">
        <v>113.3503058</v>
      </c>
      <c r="C59" s="3">
        <v>22.949683</v>
      </c>
      <c r="D59" s="3">
        <v>32</v>
      </c>
      <c r="E59" s="13">
        <f t="shared" si="5"/>
        <v>4.354207401597191E-3</v>
      </c>
      <c r="F59" s="13">
        <f t="shared" si="6"/>
        <v>15.154633719887443</v>
      </c>
      <c r="G59" s="14">
        <f t="shared" si="7"/>
        <v>6.1429921121210755</v>
      </c>
      <c r="H59" s="14">
        <f t="shared" si="8"/>
        <v>33.018582602650781</v>
      </c>
      <c r="I59" s="25" t="str">
        <f t="shared" si="4"/>
        <v>选中</v>
      </c>
    </row>
    <row r="60" spans="1:9" hidden="1" x14ac:dyDescent="0.25">
      <c r="A60" s="3">
        <v>3013</v>
      </c>
      <c r="B60" s="3">
        <v>113.3519132</v>
      </c>
      <c r="C60" s="3">
        <v>22.947738260000001</v>
      </c>
      <c r="D60" s="3">
        <v>32</v>
      </c>
      <c r="E60" s="13">
        <f t="shared" si="5"/>
        <v>4.3667773981398992E-3</v>
      </c>
      <c r="F60" s="13">
        <f t="shared" si="6"/>
        <v>15.132806298856574</v>
      </c>
      <c r="G60" s="14">
        <f t="shared" si="7"/>
        <v>6.1341442786663736</v>
      </c>
      <c r="H60" s="14">
        <f t="shared" si="8"/>
        <v>32.971025497831761</v>
      </c>
      <c r="I60" s="25" t="str">
        <f t="shared" si="4"/>
        <v/>
      </c>
    </row>
    <row r="61" spans="1:9" hidden="1" x14ac:dyDescent="0.25">
      <c r="A61" s="3">
        <v>2919</v>
      </c>
      <c r="B61" s="3">
        <v>113.34850280000001</v>
      </c>
      <c r="C61" s="3">
        <v>22.95039564</v>
      </c>
      <c r="D61" s="3">
        <v>32</v>
      </c>
      <c r="E61" s="13">
        <f t="shared" si="5"/>
        <v>4.3722647292361869E-3</v>
      </c>
      <c r="F61" s="13">
        <f t="shared" si="6"/>
        <v>15.123307241258138</v>
      </c>
      <c r="G61" s="14">
        <f t="shared" si="7"/>
        <v>6.1302937972243043</v>
      </c>
      <c r="H61" s="14">
        <f t="shared" si="8"/>
        <v>32.950329160080635</v>
      </c>
      <c r="I61" s="25" t="str">
        <f t="shared" si="4"/>
        <v/>
      </c>
    </row>
    <row r="62" spans="1:9" x14ac:dyDescent="0.25">
      <c r="A62" s="3">
        <v>3068</v>
      </c>
      <c r="B62" s="3">
        <v>113.3519292</v>
      </c>
      <c r="C62" s="3">
        <v>22.94772824</v>
      </c>
      <c r="D62" s="3">
        <v>32</v>
      </c>
      <c r="E62" s="13">
        <f t="shared" si="5"/>
        <v>4.3777558911523694E-3</v>
      </c>
      <c r="F62" s="13">
        <f t="shared" si="6"/>
        <v>15.113819436484949</v>
      </c>
      <c r="G62" s="14">
        <f t="shared" si="7"/>
        <v>6.1264478771604924</v>
      </c>
      <c r="H62" s="14">
        <f t="shared" si="8"/>
        <v>32.929657339737645</v>
      </c>
      <c r="I62" s="25" t="str">
        <f t="shared" si="4"/>
        <v>选中</v>
      </c>
    </row>
    <row r="63" spans="1:9" hidden="1" x14ac:dyDescent="0.25">
      <c r="A63" s="3">
        <v>2886</v>
      </c>
      <c r="B63" s="3">
        <v>113.34446010000001</v>
      </c>
      <c r="C63" s="3">
        <v>22.949024049999998</v>
      </c>
      <c r="D63" s="3">
        <v>32</v>
      </c>
      <c r="E63" s="13">
        <f t="shared" si="5"/>
        <v>4.5190577811698111E-3</v>
      </c>
      <c r="F63" s="13">
        <f t="shared" si="6"/>
        <v>14.875653469368759</v>
      </c>
      <c r="G63" s="14">
        <f t="shared" si="7"/>
        <v>6.0299063384857261</v>
      </c>
      <c r="H63" s="14">
        <f t="shared" si="8"/>
        <v>32.410746569360775</v>
      </c>
      <c r="I63" s="25" t="str">
        <f t="shared" si="4"/>
        <v/>
      </c>
    </row>
    <row r="64" spans="1:9" hidden="1" x14ac:dyDescent="0.25">
      <c r="A64" s="3">
        <v>2922</v>
      </c>
      <c r="B64" s="3">
        <v>113.3486825</v>
      </c>
      <c r="C64" s="3">
        <v>22.950602249999999</v>
      </c>
      <c r="D64" s="3">
        <v>32</v>
      </c>
      <c r="E64" s="13">
        <f t="shared" si="5"/>
        <v>4.6048101908334055E-3</v>
      </c>
      <c r="F64" s="13">
        <f t="shared" si="6"/>
        <v>14.736492700196514</v>
      </c>
      <c r="G64" s="14">
        <f t="shared" si="7"/>
        <v>5.9734969574909238</v>
      </c>
      <c r="H64" s="14">
        <f t="shared" si="8"/>
        <v>32.107546146513712</v>
      </c>
      <c r="I64" s="25" t="str">
        <f t="shared" si="4"/>
        <v/>
      </c>
    </row>
    <row r="65" spans="1:9" x14ac:dyDescent="0.25">
      <c r="A65" s="3">
        <v>3431</v>
      </c>
      <c r="B65" s="3">
        <v>113.3505189</v>
      </c>
      <c r="C65" s="3">
        <v>22.942277799999999</v>
      </c>
      <c r="D65" s="3">
        <v>32</v>
      </c>
      <c r="E65" s="13">
        <f t="shared" si="5"/>
        <v>4.619447651189771E-3</v>
      </c>
      <c r="F65" s="13">
        <f t="shared" si="6"/>
        <v>14.713126706133998</v>
      </c>
      <c r="G65" s="14">
        <f t="shared" si="7"/>
        <v>5.9640254572309388</v>
      </c>
      <c r="H65" s="14">
        <f t="shared" si="8"/>
        <v>32.056636832616292</v>
      </c>
      <c r="I65" s="25" t="str">
        <f t="shared" si="4"/>
        <v>选中</v>
      </c>
    </row>
    <row r="66" spans="1:9" hidden="1" x14ac:dyDescent="0.25">
      <c r="A66" s="3">
        <v>3413</v>
      </c>
      <c r="B66" s="3">
        <v>113.3500607</v>
      </c>
      <c r="C66" s="3">
        <v>22.94198166</v>
      </c>
      <c r="D66" s="3">
        <v>32</v>
      </c>
      <c r="E66" s="13">
        <f t="shared" si="5"/>
        <v>4.6327271375393641E-3</v>
      </c>
      <c r="F66" s="13">
        <f t="shared" si="6"/>
        <v>14.692024343068777</v>
      </c>
      <c r="G66" s="14">
        <f t="shared" si="7"/>
        <v>5.9554715289570623</v>
      </c>
      <c r="H66" s="14">
        <f t="shared" si="8"/>
        <v>32.010659468144212</v>
      </c>
      <c r="I66" s="25" t="str">
        <f t="shared" si="4"/>
        <v/>
      </c>
    </row>
    <row r="67" spans="1:9" hidden="1" x14ac:dyDescent="0.25">
      <c r="A67" s="3">
        <v>2907</v>
      </c>
      <c r="B67" s="3">
        <v>113.3502079</v>
      </c>
      <c r="C67" s="3">
        <v>22.950080979999999</v>
      </c>
      <c r="D67" s="3">
        <v>32</v>
      </c>
      <c r="E67" s="13">
        <f t="shared" si="5"/>
        <v>4.6399411455443863E-3</v>
      </c>
      <c r="F67" s="13">
        <f t="shared" si="6"/>
        <v>14.680598593619544</v>
      </c>
      <c r="G67" s="14">
        <f t="shared" si="7"/>
        <v>5.9508400551755756</v>
      </c>
      <c r="H67" s="14">
        <f t="shared" si="8"/>
        <v>31.985765296568719</v>
      </c>
      <c r="I67" s="25" t="str">
        <f t="shared" si="4"/>
        <v/>
      </c>
    </row>
    <row r="68" spans="1:9" x14ac:dyDescent="0.25">
      <c r="A68" s="3">
        <v>3408</v>
      </c>
      <c r="B68" s="3">
        <v>113.3482449</v>
      </c>
      <c r="C68" s="3">
        <v>22.941390890000001</v>
      </c>
      <c r="D68" s="3">
        <v>32</v>
      </c>
      <c r="E68" s="13">
        <f t="shared" si="5"/>
        <v>4.6916369787073087E-3</v>
      </c>
      <c r="F68" s="13">
        <f t="shared" si="6"/>
        <v>14.599493856138121</v>
      </c>
      <c r="G68" s="14">
        <f t="shared" si="7"/>
        <v>5.9179639215907551</v>
      </c>
      <c r="H68" s="14">
        <f t="shared" si="8"/>
        <v>31.809056078550309</v>
      </c>
      <c r="I68" s="25" t="str">
        <f t="shared" si="4"/>
        <v>选中</v>
      </c>
    </row>
    <row r="69" spans="1:9" hidden="1" x14ac:dyDescent="0.25">
      <c r="A69" s="3">
        <v>2884</v>
      </c>
      <c r="B69" s="3">
        <v>113.3451299</v>
      </c>
      <c r="C69" s="3">
        <v>22.950008480000001</v>
      </c>
      <c r="D69" s="3">
        <v>32</v>
      </c>
      <c r="E69" s="13">
        <f t="shared" ref="E69:E100" si="9">SQRT((B69-$B$2)^2+(C69-$C$2)^2)</f>
        <v>4.8041791738128751E-3</v>
      </c>
      <c r="F69" s="13">
        <f t="shared" ref="F69:F100" si="10">SQRT(1/E69)</f>
        <v>14.427477373780107</v>
      </c>
      <c r="G69" s="14">
        <f t="shared" ref="G69:G100" si="11">F69/$F$124*$D$2</f>
        <v>5.8482363442826086</v>
      </c>
      <c r="H69" s="14">
        <f t="shared" ref="H69:H100" si="12">F69/$F$124*$E$2</f>
        <v>31.434270350519022</v>
      </c>
      <c r="I69" s="25" t="str">
        <f t="shared" si="4"/>
        <v/>
      </c>
    </row>
    <row r="70" spans="1:9" hidden="1" x14ac:dyDescent="0.25">
      <c r="A70" s="3">
        <v>2908</v>
      </c>
      <c r="B70" s="3">
        <v>113.350155</v>
      </c>
      <c r="C70" s="3">
        <v>22.950301979999999</v>
      </c>
      <c r="D70" s="3">
        <v>32</v>
      </c>
      <c r="E70" s="13">
        <f t="shared" si="9"/>
        <v>4.8070661867831805E-3</v>
      </c>
      <c r="F70" s="13">
        <f t="shared" si="10"/>
        <v>14.423144318188458</v>
      </c>
      <c r="G70" s="14">
        <f t="shared" si="11"/>
        <v>5.8464799226618105</v>
      </c>
      <c r="H70" s="14">
        <f t="shared" si="12"/>
        <v>31.424829584307233</v>
      </c>
      <c r="I70" s="25" t="str">
        <f t="shared" ref="I70:I122" si="13">IF(MOD(ROW()-1,3)=1,"选中","")</f>
        <v/>
      </c>
    </row>
    <row r="71" spans="1:9" x14ac:dyDescent="0.25">
      <c r="A71" s="3">
        <v>2952</v>
      </c>
      <c r="B71" s="3">
        <v>113.35254740000001</v>
      </c>
      <c r="C71" s="3">
        <v>22.944713549999999</v>
      </c>
      <c r="D71" s="3">
        <v>32</v>
      </c>
      <c r="E71" s="13">
        <f t="shared" si="9"/>
        <v>4.8615440478989268E-3</v>
      </c>
      <c r="F71" s="13">
        <f t="shared" si="10"/>
        <v>14.342104663117727</v>
      </c>
      <c r="G71" s="14">
        <f t="shared" si="11"/>
        <v>5.8136301704955669</v>
      </c>
      <c r="H71" s="14">
        <f t="shared" si="12"/>
        <v>31.248262166413671</v>
      </c>
      <c r="I71" s="25" t="str">
        <f t="shared" si="13"/>
        <v>选中</v>
      </c>
    </row>
    <row r="72" spans="1:9" hidden="1" x14ac:dyDescent="0.25">
      <c r="A72" s="3">
        <v>2992</v>
      </c>
      <c r="B72" s="3">
        <v>113.3526241</v>
      </c>
      <c r="C72" s="3">
        <v>22.947213359999999</v>
      </c>
      <c r="D72" s="3">
        <v>32</v>
      </c>
      <c r="E72" s="13">
        <f t="shared" si="9"/>
        <v>4.8819138479606729E-3</v>
      </c>
      <c r="F72" s="13">
        <f t="shared" si="10"/>
        <v>14.312152149021095</v>
      </c>
      <c r="G72" s="14">
        <f t="shared" si="11"/>
        <v>5.8014887976828176</v>
      </c>
      <c r="H72" s="14">
        <f t="shared" si="12"/>
        <v>31.183002287545143</v>
      </c>
      <c r="I72" s="25" t="str">
        <f t="shared" si="13"/>
        <v/>
      </c>
    </row>
    <row r="73" spans="1:9" hidden="1" x14ac:dyDescent="0.25">
      <c r="A73" s="3">
        <v>3511</v>
      </c>
      <c r="B73" s="3">
        <v>113.35167490000001</v>
      </c>
      <c r="C73" s="3">
        <v>22.942925679999998</v>
      </c>
      <c r="D73" s="3">
        <v>32</v>
      </c>
      <c r="E73" s="13">
        <f t="shared" si="9"/>
        <v>4.9283649773686324E-3</v>
      </c>
      <c r="F73" s="13">
        <f t="shared" si="10"/>
        <v>14.244544577732741</v>
      </c>
      <c r="G73" s="14">
        <f t="shared" si="11"/>
        <v>5.7740837950400277</v>
      </c>
      <c r="H73" s="14">
        <f t="shared" si="12"/>
        <v>31.03570039834015</v>
      </c>
      <c r="I73" s="25" t="str">
        <f t="shared" si="13"/>
        <v/>
      </c>
    </row>
    <row r="74" spans="1:9" x14ac:dyDescent="0.25">
      <c r="A74" s="3">
        <v>3392</v>
      </c>
      <c r="B74" s="3">
        <v>113.3478975</v>
      </c>
      <c r="C74" s="3">
        <v>22.941132570000001</v>
      </c>
      <c r="D74" s="3">
        <v>32</v>
      </c>
      <c r="E74" s="13">
        <f t="shared" si="9"/>
        <v>4.9356569567158316E-3</v>
      </c>
      <c r="F74" s="13">
        <f t="shared" si="10"/>
        <v>14.234018185898366</v>
      </c>
      <c r="G74" s="14">
        <f t="shared" si="11"/>
        <v>5.7698168795075997</v>
      </c>
      <c r="H74" s="14">
        <f t="shared" si="12"/>
        <v>31.012765727353347</v>
      </c>
      <c r="I74" s="25" t="str">
        <f t="shared" si="13"/>
        <v>选中</v>
      </c>
    </row>
    <row r="75" spans="1:9" hidden="1" x14ac:dyDescent="0.25">
      <c r="A75" s="3">
        <v>3057</v>
      </c>
      <c r="B75" s="3">
        <v>113.35268809999999</v>
      </c>
      <c r="C75" s="3">
        <v>22.94490425</v>
      </c>
      <c r="D75" s="3">
        <v>32</v>
      </c>
      <c r="E75" s="13">
        <f t="shared" si="9"/>
        <v>4.9485321473698215E-3</v>
      </c>
      <c r="F75" s="13">
        <f t="shared" si="10"/>
        <v>14.215488947946591</v>
      </c>
      <c r="G75" s="14">
        <f t="shared" si="11"/>
        <v>5.7623059779123995</v>
      </c>
      <c r="H75" s="14">
        <f t="shared" si="12"/>
        <v>30.972394631279148</v>
      </c>
      <c r="I75" s="25" t="str">
        <f t="shared" si="13"/>
        <v/>
      </c>
    </row>
    <row r="76" spans="1:9" hidden="1" x14ac:dyDescent="0.25">
      <c r="A76" s="3">
        <v>2902</v>
      </c>
      <c r="B76" s="3">
        <v>113.34834909999999</v>
      </c>
      <c r="C76" s="3">
        <v>22.951032619999999</v>
      </c>
      <c r="D76" s="3">
        <v>32</v>
      </c>
      <c r="E76" s="13">
        <f t="shared" si="9"/>
        <v>4.9866946683054013E-3</v>
      </c>
      <c r="F76" s="13">
        <f t="shared" si="10"/>
        <v>14.160989841864856</v>
      </c>
      <c r="G76" s="14">
        <f t="shared" si="11"/>
        <v>5.7402145446936341</v>
      </c>
      <c r="H76" s="14">
        <f t="shared" si="12"/>
        <v>30.853653177728283</v>
      </c>
      <c r="I76" s="25" t="str">
        <f t="shared" si="13"/>
        <v/>
      </c>
    </row>
    <row r="77" spans="1:9" x14ac:dyDescent="0.25">
      <c r="A77" s="3">
        <v>3006</v>
      </c>
      <c r="B77" s="3">
        <v>113.3528627</v>
      </c>
      <c r="C77" s="3">
        <v>22.946631239999999</v>
      </c>
      <c r="D77" s="3">
        <v>32</v>
      </c>
      <c r="E77" s="13">
        <f t="shared" si="9"/>
        <v>5.0160015742161026E-3</v>
      </c>
      <c r="F77" s="13">
        <f t="shared" si="10"/>
        <v>14.119560152488933</v>
      </c>
      <c r="G77" s="14">
        <f t="shared" si="11"/>
        <v>5.7234208524310537</v>
      </c>
      <c r="H77" s="14">
        <f t="shared" si="12"/>
        <v>30.763387081816912</v>
      </c>
      <c r="I77" s="25" t="str">
        <f t="shared" si="13"/>
        <v>选中</v>
      </c>
    </row>
    <row r="78" spans="1:9" hidden="1" x14ac:dyDescent="0.25">
      <c r="A78" s="3">
        <v>3018</v>
      </c>
      <c r="B78" s="3">
        <v>113.3528587</v>
      </c>
      <c r="C78" s="3">
        <v>22.94681817</v>
      </c>
      <c r="D78" s="3">
        <v>32</v>
      </c>
      <c r="E78" s="13">
        <f t="shared" si="9"/>
        <v>5.0364529274480527E-3</v>
      </c>
      <c r="F78" s="13">
        <f t="shared" si="10"/>
        <v>14.090863582038418</v>
      </c>
      <c r="G78" s="14">
        <f t="shared" si="11"/>
        <v>5.7117885814583076</v>
      </c>
      <c r="H78" s="14">
        <f t="shared" si="12"/>
        <v>30.7008636253384</v>
      </c>
      <c r="I78" s="25" t="str">
        <f t="shared" si="13"/>
        <v/>
      </c>
    </row>
    <row r="79" spans="1:9" hidden="1" x14ac:dyDescent="0.25">
      <c r="A79" s="3">
        <v>3406</v>
      </c>
      <c r="B79" s="3">
        <v>113.3482968</v>
      </c>
      <c r="C79" s="3">
        <v>22.94098997</v>
      </c>
      <c r="D79" s="3">
        <v>32</v>
      </c>
      <c r="E79" s="13">
        <f t="shared" si="9"/>
        <v>5.0954270604513198E-3</v>
      </c>
      <c r="F79" s="13">
        <f t="shared" si="10"/>
        <v>14.009082904616054</v>
      </c>
      <c r="G79" s="14">
        <f t="shared" si="11"/>
        <v>5.6786384528827663</v>
      </c>
      <c r="H79" s="14">
        <f t="shared" si="12"/>
        <v>30.522681684244869</v>
      </c>
      <c r="I79" s="25" t="str">
        <f t="shared" si="13"/>
        <v/>
      </c>
    </row>
    <row r="80" spans="1:9" x14ac:dyDescent="0.25">
      <c r="A80" s="3">
        <v>2893</v>
      </c>
      <c r="B80" s="3">
        <v>113.3445359</v>
      </c>
      <c r="C80" s="3">
        <v>22.950035490000001</v>
      </c>
      <c r="D80" s="3">
        <v>32</v>
      </c>
      <c r="E80" s="13">
        <f t="shared" si="9"/>
        <v>5.1876560738003804E-3</v>
      </c>
      <c r="F80" s="13">
        <f t="shared" si="10"/>
        <v>13.883993831083975</v>
      </c>
      <c r="G80" s="14">
        <f t="shared" si="11"/>
        <v>5.627933090666609</v>
      </c>
      <c r="H80" s="14">
        <f t="shared" si="12"/>
        <v>30.250140362333021</v>
      </c>
      <c r="I80" s="25" t="str">
        <f t="shared" si="13"/>
        <v>选中</v>
      </c>
    </row>
    <row r="81" spans="1:9" hidden="1" x14ac:dyDescent="0.25">
      <c r="A81" s="3">
        <v>3445</v>
      </c>
      <c r="B81" s="3">
        <v>113.3443139</v>
      </c>
      <c r="C81" s="3">
        <v>22.942271170000001</v>
      </c>
      <c r="D81" s="3">
        <v>32</v>
      </c>
      <c r="E81" s="13">
        <f t="shared" si="9"/>
        <v>5.2079766829688425E-3</v>
      </c>
      <c r="F81" s="13">
        <f t="shared" si="10"/>
        <v>13.856880906589403</v>
      </c>
      <c r="G81" s="14">
        <f t="shared" si="11"/>
        <v>5.6169427569914285</v>
      </c>
      <c r="H81" s="14">
        <f t="shared" si="12"/>
        <v>30.191067318828928</v>
      </c>
      <c r="I81" s="25" t="str">
        <f t="shared" si="13"/>
        <v/>
      </c>
    </row>
    <row r="82" spans="1:9" hidden="1" x14ac:dyDescent="0.25">
      <c r="A82" s="3">
        <v>3507</v>
      </c>
      <c r="B82" s="3">
        <v>113.35200639999999</v>
      </c>
      <c r="C82" s="3">
        <v>22.942783210000002</v>
      </c>
      <c r="D82" s="3">
        <v>32</v>
      </c>
      <c r="E82" s="13">
        <f t="shared" si="9"/>
        <v>5.2755547196793214E-3</v>
      </c>
      <c r="F82" s="13">
        <f t="shared" si="10"/>
        <v>13.767843921341106</v>
      </c>
      <c r="G82" s="14">
        <f t="shared" si="11"/>
        <v>5.5808512546709492</v>
      </c>
      <c r="H82" s="14">
        <f t="shared" si="12"/>
        <v>29.997075493856354</v>
      </c>
      <c r="I82" s="25" t="str">
        <f t="shared" si="13"/>
        <v/>
      </c>
    </row>
    <row r="83" spans="1:9" x14ac:dyDescent="0.25">
      <c r="A83" s="3">
        <v>2910</v>
      </c>
      <c r="B83" s="3">
        <v>113.3493962</v>
      </c>
      <c r="C83" s="3">
        <v>22.951355759999998</v>
      </c>
      <c r="D83" s="3">
        <v>32</v>
      </c>
      <c r="E83" s="13">
        <f t="shared" si="9"/>
        <v>5.5011011029527067E-3</v>
      </c>
      <c r="F83" s="13">
        <f t="shared" si="10"/>
        <v>13.482647700152672</v>
      </c>
      <c r="G83" s="14">
        <f t="shared" si="11"/>
        <v>5.4652458121673675</v>
      </c>
      <c r="H83" s="14">
        <f t="shared" si="12"/>
        <v>29.375696240399602</v>
      </c>
      <c r="I83" s="25" t="str">
        <f t="shared" si="13"/>
        <v>选中</v>
      </c>
    </row>
    <row r="84" spans="1:9" hidden="1" x14ac:dyDescent="0.25">
      <c r="A84" s="3">
        <v>3428</v>
      </c>
      <c r="B84" s="3">
        <v>113.343671</v>
      </c>
      <c r="C84" s="3">
        <v>22.942436220000001</v>
      </c>
      <c r="D84" s="3">
        <v>32</v>
      </c>
      <c r="E84" s="13">
        <f t="shared" si="9"/>
        <v>5.5581850311830164E-3</v>
      </c>
      <c r="F84" s="13">
        <f t="shared" si="10"/>
        <v>13.413233961050208</v>
      </c>
      <c r="G84" s="14">
        <f t="shared" si="11"/>
        <v>5.437108672091215</v>
      </c>
      <c r="H84" s="14">
        <f t="shared" si="12"/>
        <v>29.22445911249028</v>
      </c>
      <c r="I84" s="25" t="str">
        <f t="shared" si="13"/>
        <v/>
      </c>
    </row>
    <row r="85" spans="1:9" hidden="1" x14ac:dyDescent="0.25">
      <c r="A85" s="3">
        <v>2898</v>
      </c>
      <c r="B85" s="3">
        <v>113.3491447</v>
      </c>
      <c r="C85" s="3">
        <v>22.951489120000002</v>
      </c>
      <c r="D85" s="3">
        <v>32</v>
      </c>
      <c r="E85" s="13">
        <f t="shared" si="9"/>
        <v>5.5668660622408073E-3</v>
      </c>
      <c r="F85" s="13">
        <f t="shared" si="10"/>
        <v>13.402771509695221</v>
      </c>
      <c r="G85" s="14">
        <f t="shared" si="11"/>
        <v>5.4328676750908853</v>
      </c>
      <c r="H85" s="14">
        <f t="shared" si="12"/>
        <v>29.201663753613509</v>
      </c>
      <c r="I85" s="25" t="str">
        <f t="shared" si="13"/>
        <v/>
      </c>
    </row>
    <row r="86" spans="1:9" x14ac:dyDescent="0.25">
      <c r="A86" s="3">
        <v>3390</v>
      </c>
      <c r="B86" s="3">
        <v>113.3484077</v>
      </c>
      <c r="C86" s="3">
        <v>22.940477999999999</v>
      </c>
      <c r="D86" s="3">
        <v>32</v>
      </c>
      <c r="E86" s="13">
        <f t="shared" si="9"/>
        <v>5.6151921361686976E-3</v>
      </c>
      <c r="F86" s="13">
        <f t="shared" si="10"/>
        <v>13.344972691423299</v>
      </c>
      <c r="G86" s="14">
        <f t="shared" si="11"/>
        <v>5.409438690181247</v>
      </c>
      <c r="H86" s="14">
        <f t="shared" si="12"/>
        <v>29.075732959724203</v>
      </c>
      <c r="I86" s="25" t="str">
        <f t="shared" si="13"/>
        <v>选中</v>
      </c>
    </row>
    <row r="87" spans="1:9" hidden="1" x14ac:dyDescent="0.25">
      <c r="A87" s="3">
        <v>2930</v>
      </c>
      <c r="B87" s="3">
        <v>113.3476892</v>
      </c>
      <c r="C87" s="3">
        <v>22.951864359999998</v>
      </c>
      <c r="D87" s="3">
        <v>32</v>
      </c>
      <c r="E87" s="13">
        <f t="shared" si="9"/>
        <v>5.7992571342282842E-3</v>
      </c>
      <c r="F87" s="13">
        <f t="shared" si="10"/>
        <v>13.131484255158341</v>
      </c>
      <c r="G87" s="14">
        <f t="shared" si="11"/>
        <v>5.3229002885118177</v>
      </c>
      <c r="H87" s="14">
        <f t="shared" si="12"/>
        <v>28.610589050751017</v>
      </c>
      <c r="I87" s="25" t="str">
        <f t="shared" si="13"/>
        <v/>
      </c>
    </row>
    <row r="88" spans="1:9" hidden="1" x14ac:dyDescent="0.25">
      <c r="A88" s="3">
        <v>3393</v>
      </c>
      <c r="B88" s="3">
        <v>113.3491594</v>
      </c>
      <c r="C88" s="3">
        <v>22.940235869999999</v>
      </c>
      <c r="D88" s="3">
        <v>32</v>
      </c>
      <c r="E88" s="13">
        <f t="shared" si="9"/>
        <v>5.9713413553749506E-3</v>
      </c>
      <c r="F88" s="13">
        <f t="shared" si="10"/>
        <v>12.940887171106409</v>
      </c>
      <c r="G88" s="14">
        <f t="shared" si="11"/>
        <v>5.2456409891077147</v>
      </c>
      <c r="H88" s="14">
        <f t="shared" si="12"/>
        <v>28.195320316453966</v>
      </c>
      <c r="I88" s="25" t="str">
        <f t="shared" si="13"/>
        <v/>
      </c>
    </row>
    <row r="89" spans="1:9" x14ac:dyDescent="0.25">
      <c r="A89" s="3">
        <v>2917</v>
      </c>
      <c r="B89" s="3">
        <v>113.3503027</v>
      </c>
      <c r="C89" s="3">
        <v>22.951555200000001</v>
      </c>
      <c r="D89" s="3">
        <v>32</v>
      </c>
      <c r="E89" s="13">
        <f t="shared" si="9"/>
        <v>5.9987089636137376E-3</v>
      </c>
      <c r="F89" s="13">
        <f t="shared" si="10"/>
        <v>12.911333645550283</v>
      </c>
      <c r="G89" s="14">
        <f t="shared" si="11"/>
        <v>5.2336613479146452</v>
      </c>
      <c r="H89" s="14">
        <f t="shared" si="12"/>
        <v>28.130929745041215</v>
      </c>
      <c r="I89" s="25" t="str">
        <f t="shared" si="13"/>
        <v>选中</v>
      </c>
    </row>
    <row r="90" spans="1:9" hidden="1" x14ac:dyDescent="0.25">
      <c r="A90" s="3">
        <v>2873</v>
      </c>
      <c r="B90" s="3">
        <v>113.3482212</v>
      </c>
      <c r="C90" s="3">
        <v>22.952113369999999</v>
      </c>
      <c r="D90" s="3">
        <v>32</v>
      </c>
      <c r="E90" s="13">
        <f t="shared" si="9"/>
        <v>6.0548916647955699E-3</v>
      </c>
      <c r="F90" s="13">
        <f t="shared" si="10"/>
        <v>12.851292590695452</v>
      </c>
      <c r="G90" s="14">
        <f t="shared" si="11"/>
        <v>5.209323463331355</v>
      </c>
      <c r="H90" s="14">
        <f t="shared" si="12"/>
        <v>28.000113615406033</v>
      </c>
      <c r="I90" s="25" t="str">
        <f t="shared" si="13"/>
        <v/>
      </c>
    </row>
    <row r="91" spans="1:9" hidden="1" x14ac:dyDescent="0.25">
      <c r="A91" s="3">
        <v>3389</v>
      </c>
      <c r="B91" s="3">
        <v>113.34693230000001</v>
      </c>
      <c r="C91" s="3">
        <v>22.94008663</v>
      </c>
      <c r="D91" s="3">
        <v>32</v>
      </c>
      <c r="E91" s="13">
        <f t="shared" si="9"/>
        <v>6.055919851151453E-3</v>
      </c>
      <c r="F91" s="13">
        <f t="shared" si="10"/>
        <v>12.850201585123687</v>
      </c>
      <c r="G91" s="14">
        <f t="shared" si="11"/>
        <v>5.2088812198073269</v>
      </c>
      <c r="H91" s="14">
        <f t="shared" si="12"/>
        <v>27.997736556464382</v>
      </c>
      <c r="I91" s="25" t="str">
        <f t="shared" si="13"/>
        <v/>
      </c>
    </row>
    <row r="92" spans="1:9" x14ac:dyDescent="0.25">
      <c r="A92" s="3">
        <v>2931</v>
      </c>
      <c r="B92" s="3">
        <v>113.3480375</v>
      </c>
      <c r="C92" s="3">
        <v>22.952144659999998</v>
      </c>
      <c r="D92" s="3">
        <v>32</v>
      </c>
      <c r="E92" s="13">
        <f t="shared" si="9"/>
        <v>6.0785524979966666E-3</v>
      </c>
      <c r="F92" s="13">
        <f t="shared" si="10"/>
        <v>12.826256303766574</v>
      </c>
      <c r="G92" s="14">
        <f t="shared" si="11"/>
        <v>5.1991749030979877</v>
      </c>
      <c r="H92" s="14">
        <f t="shared" si="12"/>
        <v>27.945565104151683</v>
      </c>
      <c r="I92" s="25" t="str">
        <f t="shared" si="13"/>
        <v>选中</v>
      </c>
    </row>
    <row r="93" spans="1:9" hidden="1" x14ac:dyDescent="0.25">
      <c r="A93" s="3">
        <v>3415</v>
      </c>
      <c r="B93" s="3">
        <v>113.3490376</v>
      </c>
      <c r="C93" s="3">
        <v>22.940051149999999</v>
      </c>
      <c r="D93" s="3">
        <v>32</v>
      </c>
      <c r="E93" s="13">
        <f t="shared" si="9"/>
        <v>6.1276843098844961E-3</v>
      </c>
      <c r="F93" s="13">
        <f t="shared" si="10"/>
        <v>12.774732313553159</v>
      </c>
      <c r="G93" s="14">
        <f t="shared" si="11"/>
        <v>5.1782894451373203</v>
      </c>
      <c r="H93" s="14">
        <f t="shared" si="12"/>
        <v>27.833305767613094</v>
      </c>
      <c r="I93" s="25" t="str">
        <f t="shared" si="13"/>
        <v/>
      </c>
    </row>
    <row r="94" spans="1:9" hidden="1" x14ac:dyDescent="0.25">
      <c r="A94" s="3">
        <v>3416</v>
      </c>
      <c r="B94" s="3">
        <v>113.3490376</v>
      </c>
      <c r="C94" s="3">
        <v>22.940051149999999</v>
      </c>
      <c r="D94" s="3">
        <v>32</v>
      </c>
      <c r="E94" s="13">
        <f t="shared" si="9"/>
        <v>6.1276843098844961E-3</v>
      </c>
      <c r="F94" s="13">
        <f t="shared" si="10"/>
        <v>12.774732313553159</v>
      </c>
      <c r="G94" s="14">
        <f t="shared" si="11"/>
        <v>5.1782894451373203</v>
      </c>
      <c r="H94" s="14">
        <f t="shared" si="12"/>
        <v>27.833305767613094</v>
      </c>
      <c r="I94" s="25" t="str">
        <f t="shared" si="13"/>
        <v/>
      </c>
    </row>
    <row r="95" spans="1:9" x14ac:dyDescent="0.25">
      <c r="A95" s="3">
        <v>3438</v>
      </c>
      <c r="B95" s="3">
        <v>113.34398059999999</v>
      </c>
      <c r="C95" s="3">
        <v>22.94128117</v>
      </c>
      <c r="D95" s="3">
        <v>32</v>
      </c>
      <c r="E95" s="13">
        <f t="shared" si="9"/>
        <v>6.1732005734803606E-3</v>
      </c>
      <c r="F95" s="13">
        <f t="shared" si="10"/>
        <v>12.727549831126925</v>
      </c>
      <c r="G95" s="14">
        <f t="shared" si="11"/>
        <v>5.1591638349291191</v>
      </c>
      <c r="H95" s="14">
        <f t="shared" si="12"/>
        <v>27.730505612744015</v>
      </c>
      <c r="I95" s="25" t="str">
        <f t="shared" si="13"/>
        <v>选中</v>
      </c>
    </row>
    <row r="96" spans="1:9" hidden="1" x14ac:dyDescent="0.25">
      <c r="A96" s="3">
        <v>3423</v>
      </c>
      <c r="B96" s="3">
        <v>113.3431011</v>
      </c>
      <c r="C96" s="3">
        <v>22.942137339999999</v>
      </c>
      <c r="D96" s="3">
        <v>32</v>
      </c>
      <c r="E96" s="13">
        <f t="shared" si="9"/>
        <v>6.1866127252725236E-3</v>
      </c>
      <c r="F96" s="13">
        <f t="shared" si="10"/>
        <v>12.713746118430493</v>
      </c>
      <c r="G96" s="14">
        <f t="shared" si="11"/>
        <v>5.1535684441212961</v>
      </c>
      <c r="H96" s="14">
        <f t="shared" si="12"/>
        <v>27.700430387151965</v>
      </c>
      <c r="I96" s="25" t="str">
        <f t="shared" si="13"/>
        <v/>
      </c>
    </row>
    <row r="97" spans="1:9" hidden="1" x14ac:dyDescent="0.25">
      <c r="A97" s="3">
        <v>2934</v>
      </c>
      <c r="B97" s="3">
        <v>113.34752140000001</v>
      </c>
      <c r="C97" s="3">
        <v>22.952306449999998</v>
      </c>
      <c r="D97" s="3">
        <v>32</v>
      </c>
      <c r="E97" s="13">
        <f t="shared" si="9"/>
        <v>6.2484667581411465E-3</v>
      </c>
      <c r="F97" s="13">
        <f t="shared" si="10"/>
        <v>12.650662457869609</v>
      </c>
      <c r="G97" s="14">
        <f t="shared" si="11"/>
        <v>5.1279972270010381</v>
      </c>
      <c r="H97" s="14">
        <f t="shared" si="12"/>
        <v>27.562985095130582</v>
      </c>
      <c r="I97" s="25" t="str">
        <f t="shared" si="13"/>
        <v/>
      </c>
    </row>
    <row r="98" spans="1:9" x14ac:dyDescent="0.25">
      <c r="A98" s="3">
        <v>3404</v>
      </c>
      <c r="B98" s="3">
        <v>113.3489428</v>
      </c>
      <c r="C98" s="3">
        <v>22.939790410000001</v>
      </c>
      <c r="D98" s="3">
        <v>32</v>
      </c>
      <c r="E98" s="13">
        <f t="shared" si="9"/>
        <v>6.3673753688926775E-3</v>
      </c>
      <c r="F98" s="13">
        <f t="shared" si="10"/>
        <v>12.531982318156311</v>
      </c>
      <c r="G98" s="14">
        <f t="shared" si="11"/>
        <v>5.0798897520465305</v>
      </c>
      <c r="H98" s="14">
        <f t="shared" si="12"/>
        <v>27.304407417250101</v>
      </c>
      <c r="I98" s="25" t="str">
        <f t="shared" si="13"/>
        <v>选中</v>
      </c>
    </row>
    <row r="99" spans="1:9" hidden="1" x14ac:dyDescent="0.25">
      <c r="A99" s="3">
        <v>3405</v>
      </c>
      <c r="B99" s="3">
        <v>113.3489448</v>
      </c>
      <c r="C99" s="3">
        <v>22.939788409999998</v>
      </c>
      <c r="D99" s="3">
        <v>32</v>
      </c>
      <c r="E99" s="13">
        <f t="shared" si="9"/>
        <v>6.3696817666502158E-3</v>
      </c>
      <c r="F99" s="13">
        <f t="shared" si="10"/>
        <v>12.529713260306409</v>
      </c>
      <c r="G99" s="14">
        <f t="shared" si="11"/>
        <v>5.0789699802637518</v>
      </c>
      <c r="H99" s="14">
        <f t="shared" si="12"/>
        <v>27.299463643917665</v>
      </c>
      <c r="I99" s="25" t="str">
        <f t="shared" si="13"/>
        <v/>
      </c>
    </row>
    <row r="100" spans="1:9" hidden="1" x14ac:dyDescent="0.25">
      <c r="A100" s="3">
        <v>2896</v>
      </c>
      <c r="B100" s="3">
        <v>113.34330420000001</v>
      </c>
      <c r="C100" s="3">
        <v>22.950508429999999</v>
      </c>
      <c r="D100" s="3">
        <v>32</v>
      </c>
      <c r="E100" s="13">
        <f t="shared" si="9"/>
        <v>6.3748754417280616E-3</v>
      </c>
      <c r="F100" s="13">
        <f t="shared" si="10"/>
        <v>12.524608178657637</v>
      </c>
      <c r="G100" s="14">
        <f t="shared" si="11"/>
        <v>5.0769006147561591</v>
      </c>
      <c r="H100" s="14">
        <f t="shared" si="12"/>
        <v>27.288340804314355</v>
      </c>
      <c r="I100" s="25" t="str">
        <f t="shared" si="13"/>
        <v/>
      </c>
    </row>
    <row r="101" spans="1:9" x14ac:dyDescent="0.25">
      <c r="A101" s="3">
        <v>3435</v>
      </c>
      <c r="B101" s="3">
        <v>113.3424363</v>
      </c>
      <c r="C101" s="3">
        <v>22.942623300000001</v>
      </c>
      <c r="D101" s="3">
        <v>32</v>
      </c>
      <c r="E101" s="13">
        <f t="shared" ref="E101:E122" si="14">SQRT((B101-$B$2)^2+(C101-$C$2)^2)</f>
        <v>6.4407856292567353E-3</v>
      </c>
      <c r="F101" s="13">
        <f t="shared" ref="F101:F122" si="15">SQRT(1/E101)</f>
        <v>12.460359647310286</v>
      </c>
      <c r="G101" s="14">
        <f t="shared" ref="G101:G122" si="16">F101/$F$124*$D$2</f>
        <v>5.0508572125481459</v>
      </c>
      <c r="H101" s="14">
        <f t="shared" ref="H101:H122" si="17">F101/$F$124*$E$2</f>
        <v>27.148357517446286</v>
      </c>
      <c r="I101" s="25" t="str">
        <f t="shared" si="13"/>
        <v>选中</v>
      </c>
    </row>
    <row r="102" spans="1:9" hidden="1" x14ac:dyDescent="0.25">
      <c r="A102" s="3">
        <v>3410</v>
      </c>
      <c r="B102" s="3">
        <v>113.34458050000001</v>
      </c>
      <c r="C102" s="3">
        <v>22.94047947</v>
      </c>
      <c r="D102" s="3">
        <v>32</v>
      </c>
      <c r="E102" s="13">
        <f t="shared" si="14"/>
        <v>6.4892168748113552E-3</v>
      </c>
      <c r="F102" s="13">
        <f t="shared" si="15"/>
        <v>12.413774601066446</v>
      </c>
      <c r="G102" s="14">
        <f t="shared" si="16"/>
        <v>5.0319737755144187</v>
      </c>
      <c r="H102" s="14">
        <f t="shared" si="17"/>
        <v>27.04685904339</v>
      </c>
      <c r="I102" s="25" t="str">
        <f t="shared" si="13"/>
        <v/>
      </c>
    </row>
    <row r="103" spans="1:9" hidden="1" x14ac:dyDescent="0.25">
      <c r="A103" s="3">
        <v>3394</v>
      </c>
      <c r="B103" s="3">
        <v>113.3485874</v>
      </c>
      <c r="C103" s="3">
        <v>22.939504119999999</v>
      </c>
      <c r="D103" s="3">
        <v>32</v>
      </c>
      <c r="E103" s="13">
        <f t="shared" si="14"/>
        <v>6.6022493110223677E-3</v>
      </c>
      <c r="F103" s="13">
        <f t="shared" si="15"/>
        <v>12.307052125976481</v>
      </c>
      <c r="G103" s="14">
        <f t="shared" si="16"/>
        <v>4.9887133883099857</v>
      </c>
      <c r="H103" s="14">
        <f t="shared" si="17"/>
        <v>26.814334462166173</v>
      </c>
      <c r="I103" s="25" t="str">
        <f t="shared" si="13"/>
        <v/>
      </c>
    </row>
    <row r="104" spans="1:9" x14ac:dyDescent="0.25">
      <c r="A104" s="3">
        <v>2866</v>
      </c>
      <c r="B104" s="3">
        <v>113.341491</v>
      </c>
      <c r="C104" s="3">
        <v>22.944246280000002</v>
      </c>
      <c r="D104" s="3">
        <v>32</v>
      </c>
      <c r="E104" s="13">
        <f t="shared" si="14"/>
        <v>6.6421558855550497E-3</v>
      </c>
      <c r="F104" s="13">
        <f t="shared" si="15"/>
        <v>12.270025577984674</v>
      </c>
      <c r="G104" s="14">
        <f t="shared" si="16"/>
        <v>4.9737045272278291</v>
      </c>
      <c r="H104" s="14">
        <f t="shared" si="17"/>
        <v>26.733661833849581</v>
      </c>
      <c r="I104" s="25" t="str">
        <f t="shared" si="13"/>
        <v>选中</v>
      </c>
    </row>
    <row r="105" spans="1:9" hidden="1" x14ac:dyDescent="0.25">
      <c r="A105" s="3">
        <v>2929</v>
      </c>
      <c r="B105" s="3">
        <v>113.3515046</v>
      </c>
      <c r="C105" s="3">
        <v>22.951668229999999</v>
      </c>
      <c r="D105" s="3">
        <v>32</v>
      </c>
      <c r="E105" s="13">
        <f t="shared" si="14"/>
        <v>6.6715646172097898E-3</v>
      </c>
      <c r="F105" s="13">
        <f t="shared" si="15"/>
        <v>12.242952136609727</v>
      </c>
      <c r="G105" s="14">
        <f t="shared" si="16"/>
        <v>4.9627301981949854</v>
      </c>
      <c r="H105" s="14">
        <f t="shared" si="17"/>
        <v>26.674674815298047</v>
      </c>
      <c r="I105" s="25" t="str">
        <f t="shared" si="13"/>
        <v/>
      </c>
    </row>
    <row r="106" spans="1:9" hidden="1" x14ac:dyDescent="0.25">
      <c r="A106" s="3">
        <v>2868</v>
      </c>
      <c r="B106" s="3">
        <v>113.3412574</v>
      </c>
      <c r="C106" s="3">
        <v>22.944345649999999</v>
      </c>
      <c r="D106" s="3">
        <v>32</v>
      </c>
      <c r="E106" s="13">
        <f t="shared" si="14"/>
        <v>6.8414022723078428E-3</v>
      </c>
      <c r="F106" s="13">
        <f t="shared" si="15"/>
        <v>12.09003160653387</v>
      </c>
      <c r="G106" s="14">
        <f t="shared" si="16"/>
        <v>4.9007432424294626</v>
      </c>
      <c r="H106" s="14">
        <f t="shared" si="17"/>
        <v>26.341494928058363</v>
      </c>
      <c r="I106" s="25" t="str">
        <f t="shared" si="13"/>
        <v/>
      </c>
    </row>
    <row r="107" spans="1:9" x14ac:dyDescent="0.25">
      <c r="A107" s="3">
        <v>3386</v>
      </c>
      <c r="B107" s="3">
        <v>113.341534</v>
      </c>
      <c r="C107" s="3">
        <v>22.943228640000001</v>
      </c>
      <c r="D107" s="3">
        <v>32</v>
      </c>
      <c r="E107" s="13">
        <f t="shared" si="14"/>
        <v>6.9508600591959993E-3</v>
      </c>
      <c r="F107" s="13">
        <f t="shared" si="15"/>
        <v>11.994460746632598</v>
      </c>
      <c r="G107" s="14">
        <f t="shared" si="16"/>
        <v>4.8620032075745332</v>
      </c>
      <c r="H107" s="14">
        <f t="shared" si="17"/>
        <v>26.133267240713113</v>
      </c>
      <c r="I107" s="25" t="str">
        <f t="shared" si="13"/>
        <v>选中</v>
      </c>
    </row>
    <row r="108" spans="1:9" hidden="1" x14ac:dyDescent="0.25">
      <c r="A108" s="3">
        <v>2915</v>
      </c>
      <c r="B108" s="3">
        <v>113.3425336</v>
      </c>
      <c r="C108" s="3">
        <v>22.950665709999999</v>
      </c>
      <c r="D108" s="3">
        <v>32</v>
      </c>
      <c r="E108" s="13">
        <f t="shared" si="14"/>
        <v>7.0501118565907154E-3</v>
      </c>
      <c r="F108" s="13">
        <f t="shared" si="15"/>
        <v>11.90973220288725</v>
      </c>
      <c r="G108" s="14">
        <f t="shared" si="16"/>
        <v>4.8276581494543782</v>
      </c>
      <c r="H108" s="14">
        <f t="shared" si="17"/>
        <v>25.948662553317284</v>
      </c>
      <c r="I108" s="25" t="str">
        <f t="shared" si="13"/>
        <v/>
      </c>
    </row>
    <row r="109" spans="1:9" hidden="1" x14ac:dyDescent="0.25">
      <c r="A109" s="3">
        <v>3441</v>
      </c>
      <c r="B109" s="3">
        <v>113.3477479</v>
      </c>
      <c r="C109" s="3">
        <v>22.938781819999999</v>
      </c>
      <c r="D109" s="3">
        <v>32</v>
      </c>
      <c r="E109" s="13">
        <f t="shared" si="14"/>
        <v>7.2875385437668723E-3</v>
      </c>
      <c r="F109" s="13">
        <f t="shared" si="15"/>
        <v>11.714117275062119</v>
      </c>
      <c r="G109" s="14">
        <f t="shared" si="16"/>
        <v>4.7483648467686157</v>
      </c>
      <c r="H109" s="14">
        <f t="shared" si="17"/>
        <v>25.52246105138131</v>
      </c>
      <c r="I109" s="25" t="str">
        <f t="shared" si="13"/>
        <v/>
      </c>
    </row>
    <row r="110" spans="1:9" x14ac:dyDescent="0.25">
      <c r="A110" s="3">
        <v>2937</v>
      </c>
      <c r="B110" s="3">
        <v>113.3477649</v>
      </c>
      <c r="C110" s="3">
        <v>22.9533646</v>
      </c>
      <c r="D110" s="3">
        <v>32</v>
      </c>
      <c r="E110" s="13">
        <f t="shared" si="14"/>
        <v>7.2972927266302468E-3</v>
      </c>
      <c r="F110" s="13">
        <f t="shared" si="15"/>
        <v>11.706285613734646</v>
      </c>
      <c r="G110" s="14">
        <f t="shared" si="16"/>
        <v>4.7451902511532609</v>
      </c>
      <c r="H110" s="14">
        <f t="shared" si="17"/>
        <v>25.505397599948775</v>
      </c>
      <c r="I110" s="25" t="str">
        <f t="shared" si="13"/>
        <v>选中</v>
      </c>
    </row>
    <row r="111" spans="1:9" hidden="1" x14ac:dyDescent="0.25">
      <c r="A111" s="3">
        <v>3015</v>
      </c>
      <c r="B111" s="3">
        <v>113.3526028</v>
      </c>
      <c r="C111" s="3">
        <v>22.95172848</v>
      </c>
      <c r="D111" s="3">
        <v>32</v>
      </c>
      <c r="E111" s="13">
        <f t="shared" si="14"/>
        <v>7.3728446507520876E-3</v>
      </c>
      <c r="F111" s="13">
        <f t="shared" si="15"/>
        <v>11.646152117466919</v>
      </c>
      <c r="G111" s="14">
        <f t="shared" si="16"/>
        <v>4.7208148950691244</v>
      </c>
      <c r="H111" s="14">
        <f t="shared" si="17"/>
        <v>25.374380060996543</v>
      </c>
      <c r="I111" s="25" t="str">
        <f t="shared" si="13"/>
        <v/>
      </c>
    </row>
    <row r="112" spans="1:9" hidden="1" x14ac:dyDescent="0.25">
      <c r="A112" s="3">
        <v>2909</v>
      </c>
      <c r="B112" s="3">
        <v>113.3472508</v>
      </c>
      <c r="C112" s="3">
        <v>22.953593359999999</v>
      </c>
      <c r="D112" s="3">
        <v>32</v>
      </c>
      <c r="E112" s="13">
        <f t="shared" si="14"/>
        <v>7.551295603333002E-3</v>
      </c>
      <c r="F112" s="13">
        <f t="shared" si="15"/>
        <v>11.507719415216535</v>
      </c>
      <c r="G112" s="14">
        <f t="shared" si="16"/>
        <v>4.6647006389477275</v>
      </c>
      <c r="H112" s="14">
        <f t="shared" si="17"/>
        <v>25.072765934344037</v>
      </c>
      <c r="I112" s="25" t="str">
        <f t="shared" si="13"/>
        <v/>
      </c>
    </row>
    <row r="113" spans="1:9" x14ac:dyDescent="0.25">
      <c r="A113" s="3">
        <v>3001</v>
      </c>
      <c r="B113" s="3">
        <v>113.3524101</v>
      </c>
      <c r="C113" s="3">
        <v>22.952139599999999</v>
      </c>
      <c r="D113" s="3">
        <v>32</v>
      </c>
      <c r="E113" s="13">
        <f t="shared" si="14"/>
        <v>7.5761681791072354E-3</v>
      </c>
      <c r="F113" s="13">
        <f t="shared" si="15"/>
        <v>11.488813952492132</v>
      </c>
      <c r="G113" s="14">
        <f t="shared" si="16"/>
        <v>4.6570372331182881</v>
      </c>
      <c r="H113" s="14">
        <f t="shared" si="17"/>
        <v>25.031575128010797</v>
      </c>
      <c r="I113" s="25" t="str">
        <f t="shared" si="13"/>
        <v>选中</v>
      </c>
    </row>
    <row r="114" spans="1:9" hidden="1" x14ac:dyDescent="0.25">
      <c r="A114" s="3">
        <v>2856</v>
      </c>
      <c r="B114" s="3">
        <v>113.3402033</v>
      </c>
      <c r="C114" s="3">
        <v>22.945885879999999</v>
      </c>
      <c r="D114" s="3">
        <v>32</v>
      </c>
      <c r="E114" s="13">
        <f t="shared" si="14"/>
        <v>7.6772649391630516E-3</v>
      </c>
      <c r="F114" s="13">
        <f t="shared" si="15"/>
        <v>11.412919024032561</v>
      </c>
      <c r="G114" s="14">
        <f t="shared" si="16"/>
        <v>4.6262729167055916</v>
      </c>
      <c r="H114" s="14">
        <f t="shared" si="17"/>
        <v>24.866216927292555</v>
      </c>
      <c r="I114" s="25" t="str">
        <f t="shared" si="13"/>
        <v/>
      </c>
    </row>
    <row r="115" spans="1:9" hidden="1" x14ac:dyDescent="0.25">
      <c r="A115" s="3">
        <v>2562</v>
      </c>
      <c r="B115" s="3">
        <v>113.3480244</v>
      </c>
      <c r="C115" s="3">
        <v>22.953797980000001</v>
      </c>
      <c r="D115" s="3">
        <v>32</v>
      </c>
      <c r="E115" s="13">
        <f t="shared" si="14"/>
        <v>7.7311686984660221E-3</v>
      </c>
      <c r="F115" s="13">
        <f t="shared" si="15"/>
        <v>11.373062480229349</v>
      </c>
      <c r="G115" s="14">
        <f t="shared" si="16"/>
        <v>4.6101169053677369</v>
      </c>
      <c r="H115" s="14">
        <f t="shared" si="17"/>
        <v>24.779378366351587</v>
      </c>
      <c r="I115" s="25" t="str">
        <f t="shared" si="13"/>
        <v/>
      </c>
    </row>
    <row r="116" spans="1:9" x14ac:dyDescent="0.25">
      <c r="A116" s="3">
        <v>3395</v>
      </c>
      <c r="B116" s="3">
        <v>113.3488261</v>
      </c>
      <c r="C116" s="3">
        <v>22.938360209999999</v>
      </c>
      <c r="D116" s="3">
        <v>32</v>
      </c>
      <c r="E116" s="13">
        <f t="shared" si="14"/>
        <v>7.7660215664382675E-3</v>
      </c>
      <c r="F116" s="13">
        <f t="shared" si="15"/>
        <v>11.347513389754647</v>
      </c>
      <c r="G116" s="14">
        <f t="shared" si="16"/>
        <v>4.5997604781416532</v>
      </c>
      <c r="H116" s="14">
        <f t="shared" si="17"/>
        <v>24.723712570011386</v>
      </c>
      <c r="I116" s="25" t="str">
        <f t="shared" si="13"/>
        <v>选中</v>
      </c>
    </row>
    <row r="117" spans="1:9" hidden="1" x14ac:dyDescent="0.25">
      <c r="A117" s="3">
        <v>3470</v>
      </c>
      <c r="B117" s="3">
        <v>113.3521404</v>
      </c>
      <c r="C117" s="3">
        <v>22.939366450000001</v>
      </c>
      <c r="D117" s="3">
        <v>32</v>
      </c>
      <c r="E117" s="13">
        <f t="shared" si="14"/>
        <v>7.9421636238202614E-3</v>
      </c>
      <c r="F117" s="13">
        <f t="shared" si="15"/>
        <v>11.220974745907316</v>
      </c>
      <c r="G117" s="14">
        <f t="shared" si="16"/>
        <v>4.548467526731514</v>
      </c>
      <c r="H117" s="14">
        <f t="shared" si="17"/>
        <v>24.448012956181888</v>
      </c>
      <c r="I117" s="25" t="str">
        <f t="shared" si="13"/>
        <v/>
      </c>
    </row>
    <row r="118" spans="1:9" hidden="1" x14ac:dyDescent="0.25">
      <c r="A118" s="3">
        <v>2545</v>
      </c>
      <c r="B118" s="3">
        <v>113.3458164</v>
      </c>
      <c r="C118" s="3">
        <v>22.953790699999999</v>
      </c>
      <c r="D118" s="3">
        <v>32</v>
      </c>
      <c r="E118" s="13">
        <f t="shared" si="14"/>
        <v>7.9930597833426983E-3</v>
      </c>
      <c r="F118" s="13">
        <f t="shared" si="15"/>
        <v>11.185192668986929</v>
      </c>
      <c r="G118" s="14">
        <f t="shared" si="16"/>
        <v>4.5339631170347756</v>
      </c>
      <c r="H118" s="14">
        <f t="shared" si="17"/>
        <v>24.370051754061919</v>
      </c>
      <c r="I118" s="25" t="str">
        <f t="shared" si="13"/>
        <v/>
      </c>
    </row>
    <row r="119" spans="1:9" x14ac:dyDescent="0.25">
      <c r="A119" s="3">
        <v>2858</v>
      </c>
      <c r="B119" s="3">
        <v>113.3411672</v>
      </c>
      <c r="C119" s="3">
        <v>22.95047521</v>
      </c>
      <c r="D119" s="3">
        <v>32</v>
      </c>
      <c r="E119" s="13">
        <f t="shared" si="14"/>
        <v>8.0288249900214229E-3</v>
      </c>
      <c r="F119" s="13">
        <f t="shared" si="15"/>
        <v>11.16025208126189</v>
      </c>
      <c r="G119" s="14">
        <f t="shared" si="16"/>
        <v>4.5238533488609969</v>
      </c>
      <c r="H119" s="14">
        <f t="shared" si="17"/>
        <v>24.315711750127861</v>
      </c>
      <c r="I119" s="25" t="str">
        <f t="shared" si="13"/>
        <v>选中</v>
      </c>
    </row>
    <row r="120" spans="1:9" hidden="1" x14ac:dyDescent="0.25">
      <c r="A120" s="3">
        <v>2552</v>
      </c>
      <c r="B120" s="3">
        <v>113.3453083</v>
      </c>
      <c r="C120" s="3">
        <v>22.953764570000001</v>
      </c>
      <c r="D120" s="3">
        <v>32</v>
      </c>
      <c r="E120" s="13">
        <f t="shared" si="14"/>
        <v>8.1141653368928847E-3</v>
      </c>
      <c r="F120" s="13">
        <f t="shared" si="15"/>
        <v>11.101408241016863</v>
      </c>
      <c r="G120" s="14">
        <f t="shared" si="16"/>
        <v>4.500000760065153</v>
      </c>
      <c r="H120" s="14">
        <f t="shared" si="17"/>
        <v>24.187504085350199</v>
      </c>
      <c r="I120" s="25" t="str">
        <f t="shared" si="13"/>
        <v/>
      </c>
    </row>
    <row r="121" spans="1:9" hidden="1" x14ac:dyDescent="0.25">
      <c r="A121" s="3">
        <v>2542</v>
      </c>
      <c r="B121" s="3">
        <v>113.3474494</v>
      </c>
      <c r="C121" s="3">
        <v>22.954238749999998</v>
      </c>
      <c r="D121" s="3">
        <v>32</v>
      </c>
      <c r="E121" s="13">
        <f t="shared" si="14"/>
        <v>8.1818146956281236E-3</v>
      </c>
      <c r="F121" s="13">
        <f t="shared" si="15"/>
        <v>11.055418323152606</v>
      </c>
      <c r="G121" s="14">
        <f t="shared" si="16"/>
        <v>4.4813585607286903</v>
      </c>
      <c r="H121" s="14">
        <f t="shared" si="17"/>
        <v>24.087302263916712</v>
      </c>
      <c r="I121" s="25" t="str">
        <f t="shared" si="13"/>
        <v/>
      </c>
    </row>
    <row r="122" spans="1:9" x14ac:dyDescent="0.25">
      <c r="A122" s="3">
        <v>3391</v>
      </c>
      <c r="B122" s="3">
        <v>113.3474047</v>
      </c>
      <c r="C122" s="3">
        <v>22.937264030000001</v>
      </c>
      <c r="D122" s="3">
        <v>32</v>
      </c>
      <c r="E122" s="13">
        <f t="shared" si="14"/>
        <v>8.8168942942254292E-3</v>
      </c>
      <c r="F122" s="13">
        <f t="shared" si="15"/>
        <v>10.649817926482104</v>
      </c>
      <c r="G122" s="14">
        <f t="shared" si="16"/>
        <v>4.3169467983942207</v>
      </c>
      <c r="H122" s="14">
        <f t="shared" si="17"/>
        <v>23.203589041368936</v>
      </c>
      <c r="I122" s="25" t="str">
        <f t="shared" si="13"/>
        <v>选中</v>
      </c>
    </row>
    <row r="123" spans="1:9" x14ac:dyDescent="0.25">
      <c r="A123" s="3"/>
      <c r="B123" s="3"/>
      <c r="C123" s="3"/>
      <c r="D123" s="3"/>
      <c r="G123" s="14"/>
      <c r="H123" s="14"/>
    </row>
    <row r="124" spans="1:9" x14ac:dyDescent="0.25">
      <c r="A124" s="3"/>
      <c r="B124" s="3"/>
      <c r="C124" s="3"/>
      <c r="D124" s="3"/>
      <c r="F124" s="13">
        <f>SUBTOTAL(9,F5:F122)</f>
        <v>690.75417388145434</v>
      </c>
      <c r="G124" s="13">
        <f t="shared" ref="G124:H124" si="18">SUBTOTAL(9,G5:G122)</f>
        <v>279.99999999999994</v>
      </c>
      <c r="H124" s="13">
        <f t="shared" si="18"/>
        <v>1504.9999999999998</v>
      </c>
    </row>
    <row r="125" spans="1:9" x14ac:dyDescent="0.25">
      <c r="A125" s="3"/>
      <c r="B125" s="3"/>
      <c r="C125" s="3"/>
      <c r="D125" s="3"/>
      <c r="G125" s="14"/>
      <c r="H125" s="14"/>
    </row>
    <row r="126" spans="1:9" x14ac:dyDescent="0.25">
      <c r="A126" s="18"/>
      <c r="B126" s="3"/>
      <c r="C126" s="3"/>
      <c r="D126" s="3"/>
      <c r="G126" s="14"/>
      <c r="H126" s="14"/>
    </row>
    <row r="127" spans="1:9" x14ac:dyDescent="0.25">
      <c r="A127" s="3"/>
      <c r="B127" s="3"/>
      <c r="C127" s="3"/>
      <c r="D127" s="3"/>
      <c r="G127" s="14"/>
      <c r="H127" s="14"/>
    </row>
    <row r="128" spans="1:9" x14ac:dyDescent="0.25">
      <c r="A128" s="3"/>
      <c r="B128" s="3"/>
      <c r="C128" s="3"/>
      <c r="D128" s="3"/>
      <c r="G128" s="14"/>
      <c r="H128" s="14"/>
    </row>
    <row r="129" spans="1:8" x14ac:dyDescent="0.25">
      <c r="A129" s="3"/>
      <c r="B129" s="3"/>
      <c r="C129" s="3"/>
      <c r="D129" s="3"/>
      <c r="G129" s="14"/>
      <c r="H129" s="14"/>
    </row>
    <row r="130" spans="1:8" x14ac:dyDescent="0.25">
      <c r="A130" s="3"/>
      <c r="B130" s="3"/>
      <c r="C130" s="3"/>
      <c r="D130" s="3"/>
      <c r="G130" s="14"/>
      <c r="H130" s="14"/>
    </row>
    <row r="131" spans="1:8" x14ac:dyDescent="0.25">
      <c r="A131" s="3"/>
      <c r="B131" s="3"/>
      <c r="C131" s="3"/>
      <c r="D131" s="3"/>
      <c r="G131" s="14"/>
      <c r="H131" s="14"/>
    </row>
    <row r="132" spans="1:8" x14ac:dyDescent="0.25">
      <c r="A132" s="3"/>
      <c r="B132" s="3"/>
      <c r="C132" s="3"/>
      <c r="D132" s="3"/>
      <c r="G132" s="14"/>
      <c r="H132" s="14"/>
    </row>
    <row r="133" spans="1:8" x14ac:dyDescent="0.25">
      <c r="A133" s="3"/>
      <c r="B133" s="3"/>
      <c r="C133" s="3"/>
      <c r="D133" s="3"/>
      <c r="G133" s="14"/>
      <c r="H133" s="14"/>
    </row>
    <row r="134" spans="1:8" x14ac:dyDescent="0.25">
      <c r="A134" s="3"/>
      <c r="B134" s="3"/>
      <c r="C134" s="3"/>
      <c r="D134" s="3"/>
      <c r="G134" s="14"/>
      <c r="H134" s="14"/>
    </row>
    <row r="135" spans="1:8" x14ac:dyDescent="0.25">
      <c r="A135" s="3"/>
      <c r="B135" s="3"/>
      <c r="C135" s="3"/>
      <c r="D135" s="3"/>
      <c r="G135" s="14"/>
      <c r="H135" s="14"/>
    </row>
    <row r="136" spans="1:8" x14ac:dyDescent="0.25">
      <c r="A136" s="3"/>
      <c r="B136" s="3"/>
      <c r="C136" s="3"/>
      <c r="D136" s="3"/>
      <c r="G136" s="14"/>
      <c r="H136" s="14"/>
    </row>
    <row r="137" spans="1:8" x14ac:dyDescent="0.25">
      <c r="A137" s="3"/>
      <c r="B137" s="3"/>
      <c r="C137" s="3"/>
      <c r="D137" s="3"/>
      <c r="G137" s="14"/>
      <c r="H137" s="14"/>
    </row>
    <row r="138" spans="1:8" x14ac:dyDescent="0.25">
      <c r="A138" s="3"/>
      <c r="B138" s="3"/>
      <c r="C138" s="3"/>
      <c r="D138" s="3"/>
      <c r="G138" s="14"/>
      <c r="H138" s="14"/>
    </row>
    <row r="139" spans="1:8" x14ac:dyDescent="0.25">
      <c r="A139" s="3"/>
      <c r="B139" s="3"/>
      <c r="C139" s="3"/>
      <c r="D139" s="3"/>
      <c r="G139" s="14"/>
      <c r="H139" s="14"/>
    </row>
    <row r="140" spans="1:8" x14ac:dyDescent="0.25">
      <c r="A140" s="3"/>
      <c r="B140" s="3"/>
      <c r="C140" s="3"/>
      <c r="D140" s="3"/>
      <c r="G140" s="14"/>
      <c r="H140" s="14"/>
    </row>
    <row r="141" spans="1:8" x14ac:dyDescent="0.25">
      <c r="A141" s="3"/>
      <c r="B141" s="3"/>
      <c r="C141" s="3"/>
      <c r="D141" s="3"/>
      <c r="G141" s="14"/>
      <c r="H141" s="14"/>
    </row>
    <row r="142" spans="1:8" x14ac:dyDescent="0.25">
      <c r="A142" s="3"/>
      <c r="B142" s="3"/>
      <c r="C142" s="3"/>
      <c r="D142" s="3"/>
      <c r="G142" s="14"/>
      <c r="H142" s="14"/>
    </row>
    <row r="143" spans="1:8" x14ac:dyDescent="0.25">
      <c r="A143" s="3"/>
      <c r="B143" s="3"/>
      <c r="C143" s="3"/>
      <c r="D143" s="3"/>
      <c r="G143" s="14"/>
      <c r="H143" s="14"/>
    </row>
    <row r="144" spans="1:8" x14ac:dyDescent="0.25">
      <c r="A144" s="3"/>
      <c r="B144" s="3"/>
      <c r="C144" s="3"/>
      <c r="D144" s="3"/>
      <c r="G144" s="14"/>
      <c r="H144" s="14"/>
    </row>
    <row r="145" spans="1:8" x14ac:dyDescent="0.25">
      <c r="A145" s="3"/>
      <c r="B145" s="3"/>
      <c r="C145" s="3"/>
      <c r="D145" s="3"/>
      <c r="G145" s="14"/>
      <c r="H145" s="14"/>
    </row>
    <row r="146" spans="1:8" x14ac:dyDescent="0.25">
      <c r="A146" s="3"/>
      <c r="B146" s="3"/>
      <c r="C146" s="3"/>
      <c r="D146" s="3"/>
      <c r="G146" s="14"/>
      <c r="H146" s="14"/>
    </row>
    <row r="147" spans="1:8" x14ac:dyDescent="0.25">
      <c r="A147" s="3"/>
      <c r="B147" s="3"/>
      <c r="C147" s="3"/>
      <c r="D147" s="3"/>
      <c r="G147" s="14"/>
      <c r="H147" s="14"/>
    </row>
    <row r="148" spans="1:8" x14ac:dyDescent="0.25">
      <c r="A148" s="3"/>
      <c r="B148" s="3"/>
      <c r="C148" s="3"/>
      <c r="D148" s="3"/>
      <c r="G148" s="14"/>
      <c r="H148" s="14"/>
    </row>
    <row r="149" spans="1:8" x14ac:dyDescent="0.25">
      <c r="A149" s="3"/>
      <c r="B149" s="3"/>
      <c r="C149" s="3"/>
      <c r="D149" s="3"/>
      <c r="G149" s="14"/>
      <c r="H149" s="14"/>
    </row>
    <row r="150" spans="1:8" x14ac:dyDescent="0.25">
      <c r="A150" s="3"/>
      <c r="B150" s="3"/>
      <c r="C150" s="3"/>
      <c r="D150" s="3"/>
      <c r="G150" s="14"/>
      <c r="H150" s="14"/>
    </row>
    <row r="151" spans="1:8" x14ac:dyDescent="0.25">
      <c r="A151" s="3"/>
      <c r="B151" s="3"/>
      <c r="C151" s="3"/>
      <c r="D151" s="3"/>
      <c r="G151" s="14"/>
      <c r="H151" s="14"/>
    </row>
    <row r="152" spans="1:8" x14ac:dyDescent="0.25">
      <c r="A152" s="3"/>
      <c r="B152" s="3"/>
      <c r="C152" s="3"/>
      <c r="D152" s="3"/>
      <c r="G152" s="14"/>
      <c r="H152" s="14"/>
    </row>
    <row r="153" spans="1:8" x14ac:dyDescent="0.25">
      <c r="A153" s="3"/>
      <c r="B153" s="3"/>
      <c r="C153" s="3"/>
      <c r="D153" s="3"/>
      <c r="G153" s="14"/>
      <c r="H153" s="14"/>
    </row>
    <row r="154" spans="1:8" x14ac:dyDescent="0.25">
      <c r="A154" s="3"/>
      <c r="B154" s="3"/>
      <c r="C154" s="3"/>
      <c r="D154" s="3"/>
      <c r="G154" s="14"/>
      <c r="H154" s="14"/>
    </row>
    <row r="155" spans="1:8" x14ac:dyDescent="0.25">
      <c r="A155" s="3"/>
      <c r="B155" s="3"/>
      <c r="C155" s="3"/>
      <c r="D155" s="3"/>
      <c r="G155" s="14"/>
      <c r="H155" s="14"/>
    </row>
    <row r="156" spans="1:8" x14ac:dyDescent="0.25">
      <c r="A156" s="3"/>
      <c r="B156" s="3"/>
      <c r="C156" s="3"/>
      <c r="D156" s="3"/>
      <c r="G156" s="14"/>
      <c r="H156" s="14"/>
    </row>
    <row r="157" spans="1:8" x14ac:dyDescent="0.25">
      <c r="A157" s="3"/>
      <c r="B157" s="3"/>
      <c r="C157" s="3"/>
      <c r="D157" s="3"/>
      <c r="G157" s="14"/>
      <c r="H157" s="14"/>
    </row>
    <row r="158" spans="1:8" x14ac:dyDescent="0.25">
      <c r="A158" s="3"/>
      <c r="B158" s="3"/>
      <c r="C158" s="3"/>
      <c r="D158" s="3"/>
      <c r="G158" s="14"/>
      <c r="H158" s="14"/>
    </row>
    <row r="159" spans="1:8" x14ac:dyDescent="0.25">
      <c r="A159" s="3"/>
      <c r="B159" s="3"/>
      <c r="C159" s="3"/>
      <c r="D159" s="3"/>
      <c r="G159" s="14"/>
      <c r="H159" s="14"/>
    </row>
    <row r="160" spans="1:8" x14ac:dyDescent="0.25">
      <c r="A160" s="3"/>
      <c r="B160" s="3"/>
      <c r="C160" s="3"/>
      <c r="D160" s="3"/>
      <c r="G160" s="14"/>
      <c r="H160" s="14"/>
    </row>
    <row r="161" spans="1:8" x14ac:dyDescent="0.25">
      <c r="A161" s="3"/>
      <c r="B161" s="3"/>
      <c r="C161" s="3"/>
      <c r="D161" s="3"/>
      <c r="G161" s="14"/>
      <c r="H161" s="14"/>
    </row>
    <row r="162" spans="1:8" x14ac:dyDescent="0.25">
      <c r="A162" s="3"/>
      <c r="B162" s="3"/>
      <c r="C162" s="3"/>
      <c r="D162" s="3"/>
      <c r="G162" s="14"/>
      <c r="H162" s="14"/>
    </row>
    <row r="163" spans="1:8" x14ac:dyDescent="0.25">
      <c r="A163" s="3"/>
      <c r="B163" s="3"/>
      <c r="C163" s="3"/>
      <c r="D163" s="3"/>
      <c r="G163" s="14"/>
      <c r="H163" s="14"/>
    </row>
    <row r="164" spans="1:8" x14ac:dyDescent="0.25">
      <c r="A164" s="3"/>
      <c r="B164" s="3"/>
      <c r="C164" s="3"/>
      <c r="D164" s="3"/>
      <c r="G164" s="14"/>
      <c r="H164" s="14"/>
    </row>
    <row r="165" spans="1:8" x14ac:dyDescent="0.25">
      <c r="A165" s="3"/>
      <c r="B165" s="3"/>
      <c r="C165" s="3"/>
      <c r="D165" s="3"/>
      <c r="G165" s="14"/>
      <c r="H165" s="14"/>
    </row>
    <row r="166" spans="1:8" x14ac:dyDescent="0.25">
      <c r="A166" s="3"/>
      <c r="B166" s="3"/>
      <c r="C166" s="3"/>
      <c r="D166" s="3"/>
      <c r="G166" s="14"/>
      <c r="H166" s="14"/>
    </row>
    <row r="167" spans="1:8" x14ac:dyDescent="0.25">
      <c r="A167" s="3"/>
      <c r="B167" s="3"/>
      <c r="C167" s="3"/>
      <c r="D167" s="3"/>
      <c r="G167" s="14"/>
      <c r="H167" s="14"/>
    </row>
    <row r="168" spans="1:8" x14ac:dyDescent="0.25">
      <c r="A168" s="3"/>
      <c r="B168" s="3"/>
      <c r="C168" s="3"/>
      <c r="D168" s="3"/>
      <c r="G168" s="14"/>
      <c r="H168" s="14"/>
    </row>
    <row r="169" spans="1:8" x14ac:dyDescent="0.25">
      <c r="A169" s="3"/>
      <c r="B169" s="3"/>
      <c r="C169" s="3"/>
      <c r="D169" s="3"/>
      <c r="G169" s="14"/>
      <c r="H169" s="14"/>
    </row>
    <row r="170" spans="1:8" x14ac:dyDescent="0.25">
      <c r="A170" s="3"/>
      <c r="B170" s="3"/>
      <c r="C170" s="3"/>
      <c r="D170" s="3"/>
      <c r="G170" s="14"/>
      <c r="H170" s="14"/>
    </row>
    <row r="171" spans="1:8" x14ac:dyDescent="0.25">
      <c r="A171" s="3"/>
      <c r="B171" s="3"/>
      <c r="C171" s="3"/>
      <c r="D171" s="3"/>
      <c r="G171" s="14"/>
      <c r="H171" s="14"/>
    </row>
    <row r="172" spans="1:8" x14ac:dyDescent="0.25">
      <c r="A172" s="3"/>
      <c r="B172" s="3"/>
      <c r="C172" s="3"/>
      <c r="D172" s="3"/>
      <c r="G172" s="14"/>
      <c r="H172" s="14"/>
    </row>
    <row r="173" spans="1:8" x14ac:dyDescent="0.25">
      <c r="A173" s="3"/>
      <c r="B173" s="3"/>
      <c r="C173" s="3"/>
      <c r="D173" s="3"/>
      <c r="G173" s="14"/>
      <c r="H173" s="14"/>
    </row>
    <row r="174" spans="1:8" x14ac:dyDescent="0.25">
      <c r="A174" s="3"/>
      <c r="B174" s="3"/>
      <c r="C174" s="3"/>
      <c r="D174" s="3"/>
      <c r="G174" s="14"/>
      <c r="H174" s="14"/>
    </row>
    <row r="175" spans="1:8" x14ac:dyDescent="0.25">
      <c r="A175" s="3"/>
      <c r="B175" s="3"/>
      <c r="C175" s="3"/>
      <c r="D175" s="3"/>
      <c r="G175" s="14"/>
      <c r="H175" s="14"/>
    </row>
    <row r="176" spans="1:8" x14ac:dyDescent="0.25">
      <c r="A176" s="3"/>
      <c r="B176" s="3"/>
      <c r="C176" s="3"/>
      <c r="D176" s="3"/>
      <c r="G176" s="14"/>
      <c r="H176" s="14"/>
    </row>
    <row r="177" spans="1:8" x14ac:dyDescent="0.25">
      <c r="A177" s="3"/>
      <c r="B177" s="3"/>
      <c r="C177" s="3"/>
      <c r="D177" s="3"/>
      <c r="G177" s="14"/>
      <c r="H177" s="14"/>
    </row>
    <row r="178" spans="1:8" x14ac:dyDescent="0.25">
      <c r="A178" s="3"/>
      <c r="B178" s="3"/>
      <c r="C178" s="3"/>
      <c r="D178" s="3"/>
      <c r="G178" s="14"/>
      <c r="H178" s="14"/>
    </row>
    <row r="179" spans="1:8" x14ac:dyDescent="0.25">
      <c r="A179" s="3"/>
      <c r="B179" s="3"/>
      <c r="C179" s="3"/>
      <c r="D179" s="3"/>
      <c r="G179" s="14"/>
      <c r="H179" s="14"/>
    </row>
    <row r="180" spans="1:8" x14ac:dyDescent="0.25">
      <c r="A180" s="3"/>
      <c r="B180" s="3"/>
      <c r="C180" s="3"/>
      <c r="D180" s="3"/>
      <c r="G180" s="14"/>
      <c r="H180" s="14"/>
    </row>
    <row r="181" spans="1:8" x14ac:dyDescent="0.25">
      <c r="A181" s="3"/>
      <c r="B181" s="3"/>
      <c r="C181" s="3"/>
      <c r="D181" s="3"/>
      <c r="G181" s="14"/>
      <c r="H181" s="14"/>
    </row>
    <row r="182" spans="1:8" x14ac:dyDescent="0.25">
      <c r="A182" s="3"/>
      <c r="B182" s="3"/>
      <c r="C182" s="3"/>
      <c r="D182" s="3"/>
      <c r="G182" s="14"/>
      <c r="H182" s="14"/>
    </row>
    <row r="183" spans="1:8" x14ac:dyDescent="0.25">
      <c r="A183" s="3"/>
      <c r="B183" s="3"/>
      <c r="C183" s="3"/>
      <c r="D183" s="3"/>
      <c r="G183" s="14"/>
      <c r="H183" s="14"/>
    </row>
    <row r="184" spans="1:8" x14ac:dyDescent="0.25">
      <c r="A184" s="3"/>
      <c r="B184" s="3"/>
      <c r="C184" s="3"/>
      <c r="D184" s="3"/>
      <c r="G184" s="14"/>
      <c r="H184" s="14"/>
    </row>
    <row r="185" spans="1:8" x14ac:dyDescent="0.25">
      <c r="A185" s="3"/>
      <c r="B185" s="3"/>
      <c r="C185" s="3"/>
      <c r="D185" s="3"/>
      <c r="G185" s="14"/>
      <c r="H185" s="14"/>
    </row>
    <row r="186" spans="1:8" x14ac:dyDescent="0.25">
      <c r="A186" s="3"/>
      <c r="B186" s="3"/>
      <c r="C186" s="3"/>
      <c r="D186" s="3"/>
      <c r="G186" s="14"/>
      <c r="H186" s="14"/>
    </row>
    <row r="187" spans="1:8" x14ac:dyDescent="0.25">
      <c r="A187" s="3"/>
      <c r="B187" s="3"/>
      <c r="C187" s="3"/>
      <c r="D187" s="3"/>
      <c r="G187" s="14"/>
      <c r="H187" s="14"/>
    </row>
    <row r="188" spans="1:8" x14ac:dyDescent="0.25">
      <c r="A188" s="3"/>
      <c r="B188" s="3"/>
      <c r="C188" s="3"/>
      <c r="D188" s="3"/>
      <c r="G188" s="14"/>
      <c r="H188" s="14"/>
    </row>
    <row r="189" spans="1:8" x14ac:dyDescent="0.25">
      <c r="A189" s="3"/>
      <c r="B189" s="3"/>
      <c r="C189" s="3"/>
      <c r="D189" s="3"/>
      <c r="G189" s="14"/>
      <c r="H189" s="14"/>
    </row>
    <row r="190" spans="1:8" x14ac:dyDescent="0.25">
      <c r="A190" s="3"/>
      <c r="B190" s="3"/>
      <c r="C190" s="3"/>
      <c r="D190" s="3"/>
      <c r="G190" s="14"/>
      <c r="H190" s="14"/>
    </row>
    <row r="191" spans="1:8" x14ac:dyDescent="0.25">
      <c r="A191" s="3"/>
      <c r="B191" s="3"/>
      <c r="C191" s="3"/>
      <c r="D191" s="3"/>
      <c r="G191" s="14"/>
      <c r="H191" s="14"/>
    </row>
    <row r="192" spans="1:8" x14ac:dyDescent="0.25">
      <c r="A192" s="3"/>
      <c r="B192" s="3"/>
      <c r="C192" s="3"/>
      <c r="D192" s="3"/>
      <c r="G192" s="14"/>
      <c r="H192" s="14"/>
    </row>
    <row r="193" spans="1:8" x14ac:dyDescent="0.25">
      <c r="A193" s="3"/>
      <c r="B193" s="3"/>
      <c r="C193" s="3"/>
      <c r="D193" s="3"/>
      <c r="G193" s="14"/>
      <c r="H193" s="14"/>
    </row>
    <row r="194" spans="1:8" x14ac:dyDescent="0.25">
      <c r="A194" s="3"/>
      <c r="B194" s="3"/>
      <c r="C194" s="3"/>
      <c r="D194" s="3"/>
      <c r="G194" s="14"/>
      <c r="H194" s="14"/>
    </row>
    <row r="195" spans="1:8" x14ac:dyDescent="0.25">
      <c r="A195" s="3"/>
      <c r="B195" s="3"/>
      <c r="C195" s="3"/>
      <c r="D195" s="3"/>
      <c r="G195" s="14"/>
      <c r="H195" s="14"/>
    </row>
    <row r="196" spans="1:8" x14ac:dyDescent="0.25">
      <c r="A196" s="3"/>
      <c r="B196" s="3"/>
      <c r="C196" s="3"/>
      <c r="D196" s="3"/>
      <c r="G196" s="14"/>
      <c r="H196" s="14"/>
    </row>
    <row r="197" spans="1:8" x14ac:dyDescent="0.25">
      <c r="A197" s="3"/>
      <c r="B197" s="3"/>
      <c r="C197" s="3"/>
      <c r="D197" s="3"/>
      <c r="G197" s="14"/>
      <c r="H197" s="14"/>
    </row>
    <row r="198" spans="1:8" x14ac:dyDescent="0.25">
      <c r="A198" s="3"/>
      <c r="B198" s="3"/>
      <c r="C198" s="3"/>
      <c r="D198" s="3"/>
      <c r="G198" s="14"/>
      <c r="H198" s="14"/>
    </row>
    <row r="199" spans="1:8" x14ac:dyDescent="0.25">
      <c r="A199" s="3"/>
      <c r="B199" s="3"/>
      <c r="C199" s="3"/>
      <c r="D199" s="3"/>
      <c r="G199" s="14"/>
      <c r="H199" s="14"/>
    </row>
    <row r="200" spans="1:8" x14ac:dyDescent="0.25">
      <c r="A200" s="3"/>
      <c r="B200" s="3"/>
      <c r="C200" s="3"/>
      <c r="D200" s="3"/>
      <c r="G200" s="14"/>
      <c r="H200" s="14"/>
    </row>
    <row r="201" spans="1:8" x14ac:dyDescent="0.25">
      <c r="A201" s="3"/>
      <c r="B201" s="3"/>
      <c r="C201" s="3"/>
      <c r="D201" s="3"/>
      <c r="G201" s="14"/>
      <c r="H201" s="14"/>
    </row>
    <row r="202" spans="1:8" x14ac:dyDescent="0.25">
      <c r="A202" s="3"/>
      <c r="B202" s="3"/>
      <c r="C202" s="3"/>
      <c r="D202" s="3"/>
      <c r="G202" s="14"/>
      <c r="H202" s="14"/>
    </row>
    <row r="203" spans="1:8" x14ac:dyDescent="0.25">
      <c r="A203" s="3"/>
      <c r="B203" s="3"/>
      <c r="C203" s="3"/>
      <c r="D203" s="3"/>
      <c r="G203" s="14"/>
      <c r="H203" s="14"/>
    </row>
    <row r="204" spans="1:8" x14ac:dyDescent="0.25">
      <c r="A204" s="3"/>
      <c r="B204" s="3"/>
      <c r="C204" s="3"/>
      <c r="D204" s="3"/>
      <c r="G204" s="14"/>
      <c r="H204" s="14"/>
    </row>
    <row r="205" spans="1:8" x14ac:dyDescent="0.25">
      <c r="A205" s="3"/>
      <c r="B205" s="3"/>
      <c r="C205" s="3"/>
      <c r="D205" s="3"/>
      <c r="G205" s="14"/>
      <c r="H205" s="14"/>
    </row>
    <row r="206" spans="1:8" x14ac:dyDescent="0.25">
      <c r="A206" s="3"/>
      <c r="B206" s="3"/>
      <c r="C206" s="3"/>
      <c r="D206" s="3"/>
      <c r="G206" s="14"/>
      <c r="H206" s="14"/>
    </row>
    <row r="207" spans="1:8" x14ac:dyDescent="0.25">
      <c r="A207" s="3"/>
      <c r="B207" s="3"/>
      <c r="C207" s="3"/>
      <c r="D207" s="3"/>
      <c r="G207" s="14"/>
      <c r="H207" s="14"/>
    </row>
    <row r="208" spans="1:8" x14ac:dyDescent="0.25">
      <c r="A208" s="3"/>
      <c r="B208" s="3"/>
      <c r="C208" s="3"/>
      <c r="D208" s="3"/>
      <c r="G208" s="14"/>
      <c r="H208" s="14"/>
    </row>
    <row r="209" spans="1:8" x14ac:dyDescent="0.25">
      <c r="A209" s="3"/>
      <c r="B209" s="3"/>
      <c r="C209" s="3"/>
      <c r="D209" s="3"/>
      <c r="G209" s="14"/>
      <c r="H209" s="14"/>
    </row>
    <row r="210" spans="1:8" x14ac:dyDescent="0.25">
      <c r="A210" s="3"/>
      <c r="B210" s="3"/>
      <c r="C210" s="3"/>
      <c r="D210" s="3"/>
      <c r="G210" s="14"/>
      <c r="H210" s="14"/>
    </row>
    <row r="211" spans="1:8" x14ac:dyDescent="0.25">
      <c r="A211" s="3"/>
      <c r="B211" s="3"/>
      <c r="C211" s="3"/>
      <c r="D211" s="3"/>
      <c r="G211" s="14"/>
      <c r="H211" s="14"/>
    </row>
    <row r="212" spans="1:8" x14ac:dyDescent="0.25">
      <c r="A212" s="3"/>
      <c r="B212" s="3"/>
      <c r="C212" s="3"/>
      <c r="D212" s="3"/>
      <c r="G212" s="14"/>
      <c r="H212" s="14"/>
    </row>
    <row r="213" spans="1:8" x14ac:dyDescent="0.25">
      <c r="A213" s="3"/>
      <c r="B213" s="3"/>
      <c r="C213" s="3"/>
      <c r="D213" s="3"/>
      <c r="G213" s="14"/>
      <c r="H213" s="14"/>
    </row>
    <row r="214" spans="1:8" x14ac:dyDescent="0.25">
      <c r="A214" s="3"/>
      <c r="B214" s="3"/>
      <c r="C214" s="3"/>
      <c r="D214" s="3"/>
      <c r="G214" s="14"/>
      <c r="H214" s="14"/>
    </row>
    <row r="215" spans="1:8" x14ac:dyDescent="0.25">
      <c r="A215" s="3"/>
      <c r="B215" s="3"/>
      <c r="C215" s="3"/>
      <c r="D215" s="3"/>
      <c r="G215" s="14"/>
      <c r="H215" s="14"/>
    </row>
    <row r="216" spans="1:8" x14ac:dyDescent="0.25">
      <c r="A216" s="3"/>
      <c r="B216" s="3"/>
      <c r="C216" s="3"/>
      <c r="D216" s="3"/>
      <c r="G216" s="14"/>
      <c r="H216" s="14"/>
    </row>
    <row r="217" spans="1:8" x14ac:dyDescent="0.25">
      <c r="A217" s="3"/>
      <c r="B217" s="3"/>
      <c r="C217" s="3"/>
      <c r="D217" s="3"/>
      <c r="G217" s="14"/>
      <c r="H217" s="14"/>
    </row>
    <row r="218" spans="1:8" x14ac:dyDescent="0.25">
      <c r="A218" s="3"/>
      <c r="B218" s="3"/>
      <c r="C218" s="3"/>
      <c r="D218" s="3"/>
      <c r="G218" s="14"/>
      <c r="H218" s="14"/>
    </row>
    <row r="219" spans="1:8" x14ac:dyDescent="0.25">
      <c r="A219" s="3"/>
      <c r="B219" s="3"/>
      <c r="C219" s="3"/>
      <c r="D219" s="3"/>
      <c r="G219" s="14"/>
      <c r="H219" s="14"/>
    </row>
    <row r="220" spans="1:8" x14ac:dyDescent="0.25">
      <c r="A220" s="3"/>
      <c r="B220" s="3"/>
      <c r="C220" s="3"/>
      <c r="D220" s="3"/>
      <c r="G220" s="14"/>
      <c r="H220" s="14"/>
    </row>
    <row r="221" spans="1:8" x14ac:dyDescent="0.25">
      <c r="A221" s="3"/>
      <c r="B221" s="3"/>
      <c r="C221" s="3"/>
      <c r="D221" s="3"/>
      <c r="G221" s="14"/>
      <c r="H221" s="14"/>
    </row>
    <row r="222" spans="1:8" x14ac:dyDescent="0.25">
      <c r="A222" s="3"/>
      <c r="B222" s="3"/>
      <c r="C222" s="3"/>
      <c r="D222" s="3"/>
      <c r="G222" s="14"/>
      <c r="H222" s="14"/>
    </row>
    <row r="223" spans="1:8" x14ac:dyDescent="0.25">
      <c r="A223" s="3"/>
      <c r="B223" s="3"/>
      <c r="C223" s="3"/>
      <c r="D223" s="3"/>
      <c r="G223" s="14"/>
      <c r="H223" s="14"/>
    </row>
    <row r="224" spans="1:8" x14ac:dyDescent="0.25">
      <c r="A224" s="3"/>
      <c r="B224" s="3"/>
      <c r="C224" s="3"/>
      <c r="D224" s="3"/>
      <c r="G224" s="14"/>
      <c r="H224" s="14"/>
    </row>
    <row r="225" spans="1:8" x14ac:dyDescent="0.25">
      <c r="A225" s="3"/>
      <c r="B225" s="3"/>
      <c r="C225" s="3"/>
      <c r="D225" s="3"/>
      <c r="G225" s="14"/>
      <c r="H225" s="14"/>
    </row>
    <row r="226" spans="1:8" x14ac:dyDescent="0.25">
      <c r="A226" s="3"/>
      <c r="B226" s="3"/>
      <c r="C226" s="3"/>
      <c r="D226" s="3"/>
      <c r="G226" s="14"/>
      <c r="H226" s="14"/>
    </row>
    <row r="227" spans="1:8" x14ac:dyDescent="0.25">
      <c r="A227" s="3"/>
      <c r="B227" s="3"/>
      <c r="C227" s="3"/>
      <c r="D227" s="3"/>
      <c r="G227" s="14"/>
      <c r="H227" s="14"/>
    </row>
    <row r="228" spans="1:8" x14ac:dyDescent="0.25">
      <c r="A228" s="3"/>
      <c r="B228" s="3"/>
      <c r="C228" s="3"/>
      <c r="D228" s="3"/>
      <c r="G228" s="14"/>
      <c r="H228" s="14"/>
    </row>
    <row r="229" spans="1:8" x14ac:dyDescent="0.25">
      <c r="A229" s="3"/>
      <c r="B229" s="3"/>
      <c r="C229" s="3"/>
      <c r="D229" s="3"/>
      <c r="G229" s="14"/>
      <c r="H229" s="14"/>
    </row>
    <row r="230" spans="1:8" x14ac:dyDescent="0.25">
      <c r="A230" s="3"/>
      <c r="B230" s="3"/>
      <c r="C230" s="3"/>
      <c r="D230" s="3"/>
      <c r="G230" s="14"/>
      <c r="H230" s="14"/>
    </row>
    <row r="231" spans="1:8" x14ac:dyDescent="0.25">
      <c r="A231" s="3"/>
      <c r="B231" s="3"/>
      <c r="C231" s="3"/>
      <c r="D231" s="3"/>
      <c r="G231" s="14"/>
      <c r="H231" s="14"/>
    </row>
    <row r="232" spans="1:8" x14ac:dyDescent="0.25">
      <c r="A232" s="3"/>
      <c r="B232" s="3"/>
      <c r="C232" s="3"/>
      <c r="D232" s="3"/>
      <c r="G232" s="14"/>
      <c r="H232" s="14"/>
    </row>
    <row r="233" spans="1:8" x14ac:dyDescent="0.25">
      <c r="A233" s="3"/>
      <c r="B233" s="3"/>
      <c r="C233" s="3"/>
      <c r="D233" s="3"/>
      <c r="G233" s="14"/>
      <c r="H233" s="14"/>
    </row>
    <row r="234" spans="1:8" x14ac:dyDescent="0.25">
      <c r="A234" s="3"/>
      <c r="B234" s="3"/>
      <c r="C234" s="3"/>
      <c r="D234" s="3"/>
      <c r="G234" s="14"/>
      <c r="H234" s="14"/>
    </row>
    <row r="235" spans="1:8" x14ac:dyDescent="0.25">
      <c r="A235" s="3"/>
      <c r="B235" s="3"/>
      <c r="C235" s="3"/>
      <c r="D235" s="3"/>
      <c r="G235" s="14"/>
      <c r="H235" s="14"/>
    </row>
    <row r="236" spans="1:8" x14ac:dyDescent="0.25">
      <c r="A236" s="3"/>
      <c r="B236" s="3"/>
      <c r="C236" s="3"/>
      <c r="D236" s="3"/>
      <c r="G236" s="14"/>
      <c r="H236" s="14"/>
    </row>
    <row r="237" spans="1:8" x14ac:dyDescent="0.25">
      <c r="A237" s="3"/>
      <c r="B237" s="3"/>
      <c r="C237" s="3"/>
      <c r="D237" s="3"/>
      <c r="G237" s="14"/>
      <c r="H237" s="14"/>
    </row>
    <row r="238" spans="1:8" x14ac:dyDescent="0.25">
      <c r="A238" s="3"/>
      <c r="B238" s="3"/>
      <c r="C238" s="3"/>
      <c r="D238" s="3"/>
      <c r="G238" s="14"/>
      <c r="H238" s="14"/>
    </row>
    <row r="239" spans="1:8" x14ac:dyDescent="0.25">
      <c r="A239" s="3"/>
      <c r="B239" s="3"/>
      <c r="C239" s="3"/>
      <c r="D239" s="3"/>
      <c r="G239" s="14"/>
      <c r="H239" s="14"/>
    </row>
    <row r="240" spans="1:8" x14ac:dyDescent="0.25">
      <c r="A240" s="3"/>
      <c r="B240" s="3"/>
      <c r="C240" s="3"/>
      <c r="D240" s="3"/>
      <c r="G240" s="14"/>
      <c r="H240" s="14"/>
    </row>
    <row r="241" spans="1:8" x14ac:dyDescent="0.25">
      <c r="A241" s="3"/>
      <c r="B241" s="3"/>
      <c r="C241" s="3"/>
      <c r="D241" s="3"/>
      <c r="G241" s="14"/>
      <c r="H241" s="14"/>
    </row>
    <row r="242" spans="1:8" x14ac:dyDescent="0.25">
      <c r="A242" s="3"/>
      <c r="B242" s="3"/>
      <c r="C242" s="3"/>
      <c r="D242" s="3"/>
      <c r="G242" s="14"/>
      <c r="H242" s="14"/>
    </row>
    <row r="243" spans="1:8" x14ac:dyDescent="0.25">
      <c r="A243" s="3"/>
      <c r="B243" s="3"/>
      <c r="C243" s="3"/>
      <c r="D243" s="3"/>
      <c r="G243" s="14"/>
      <c r="H243" s="14"/>
    </row>
    <row r="244" spans="1:8" x14ac:dyDescent="0.25">
      <c r="A244" s="3"/>
      <c r="B244" s="3"/>
      <c r="C244" s="3"/>
      <c r="D244" s="3"/>
      <c r="G244" s="14"/>
      <c r="H244" s="14"/>
    </row>
    <row r="245" spans="1:8" x14ac:dyDescent="0.25">
      <c r="A245" s="3"/>
      <c r="B245" s="3"/>
      <c r="C245" s="3"/>
      <c r="D245" s="3"/>
      <c r="G245" s="14"/>
      <c r="H245" s="14"/>
    </row>
    <row r="247" spans="1:8" x14ac:dyDescent="0.25">
      <c r="A247" s="3"/>
      <c r="G247" s="14"/>
      <c r="H247" s="14"/>
    </row>
  </sheetData>
  <phoneticPr fontId="1" type="noConversion"/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D85A9D-5263-46A4-A63B-9E87564E6F27}">
  <dimension ref="A1:I247"/>
  <sheetViews>
    <sheetView zoomScale="115" zoomScaleNormal="115" workbookViewId="0">
      <selection activeCell="A5" sqref="A5:H22"/>
    </sheetView>
  </sheetViews>
  <sheetFormatPr defaultRowHeight="15" x14ac:dyDescent="0.25"/>
  <cols>
    <col min="1" max="1" width="8.875" style="4" customWidth="1"/>
    <col min="2" max="3" width="15.125" style="4" customWidth="1"/>
    <col min="4" max="4" width="10.25" style="4" customWidth="1"/>
    <col min="5" max="5" width="12" style="13" customWidth="1"/>
    <col min="6" max="6" width="15" style="13" customWidth="1"/>
    <col min="7" max="7" width="13.875" customWidth="1"/>
    <col min="8" max="8" width="11.125" customWidth="1"/>
    <col min="11" max="12" width="15.125" customWidth="1"/>
    <col min="13" max="13" width="11.125" customWidth="1"/>
  </cols>
  <sheetData>
    <row r="1" spans="1:9" ht="14.25" x14ac:dyDescent="0.2">
      <c r="A1" s="2" t="s">
        <v>12</v>
      </c>
      <c r="B1" s="2" t="s">
        <v>4</v>
      </c>
      <c r="C1" s="2" t="s">
        <v>5</v>
      </c>
      <c r="D1" s="2" t="s">
        <v>13</v>
      </c>
      <c r="E1" s="2" t="s">
        <v>14</v>
      </c>
      <c r="F1" s="2" t="s">
        <v>15</v>
      </c>
      <c r="G1" s="2" t="s">
        <v>16</v>
      </c>
    </row>
    <row r="2" spans="1:9" x14ac:dyDescent="0.25">
      <c r="A2" s="11">
        <v>33</v>
      </c>
      <c r="B2" s="3">
        <v>113.29080329999999</v>
      </c>
      <c r="C2" s="8">
        <v>22.89959202</v>
      </c>
      <c r="D2" s="3">
        <v>1680</v>
      </c>
      <c r="E2" s="13">
        <v>1785</v>
      </c>
      <c r="F2" s="13">
        <v>5</v>
      </c>
      <c r="G2" s="19">
        <f>SUBTOTAL(2,A5:A250)</f>
        <v>18</v>
      </c>
    </row>
    <row r="3" spans="1:9" x14ac:dyDescent="0.25">
      <c r="A3" s="3"/>
      <c r="B3" s="3"/>
      <c r="C3" s="3"/>
      <c r="D3" s="3"/>
    </row>
    <row r="4" spans="1:9" ht="14.25" x14ac:dyDescent="0.2">
      <c r="A4" s="2" t="s">
        <v>0</v>
      </c>
      <c r="B4" s="2" t="s">
        <v>1</v>
      </c>
      <c r="C4" s="2" t="s">
        <v>2</v>
      </c>
      <c r="D4" s="2" t="s">
        <v>3</v>
      </c>
      <c r="E4" s="2" t="s">
        <v>7</v>
      </c>
      <c r="F4" s="2" t="s">
        <v>8</v>
      </c>
      <c r="G4" s="2" t="s">
        <v>13</v>
      </c>
      <c r="H4" s="2" t="s">
        <v>14</v>
      </c>
      <c r="I4" s="24" t="s">
        <v>20</v>
      </c>
    </row>
    <row r="5" spans="1:9" x14ac:dyDescent="0.25">
      <c r="A5" s="3">
        <v>4512</v>
      </c>
      <c r="B5" s="3">
        <v>113.290469</v>
      </c>
      <c r="C5" s="3">
        <v>22.89851784</v>
      </c>
      <c r="D5" s="3">
        <v>33</v>
      </c>
      <c r="E5" s="13">
        <f t="shared" ref="E5:E22" si="0">SQRT((B5-$B$2)^2+(C5-$C$2)^2)</f>
        <v>1.1249974055054369E-3</v>
      </c>
      <c r="F5" s="13">
        <f t="shared" ref="F5:F22" si="1">SQRT(1/E5)</f>
        <v>29.814274079115684</v>
      </c>
      <c r="G5" s="14">
        <f>F5/$F$24*$D$2</f>
        <v>199.07174103086084</v>
      </c>
      <c r="H5" s="14">
        <f>F5/$F$24*$E$2</f>
        <v>211.51372484528963</v>
      </c>
      <c r="I5" s="25" t="str">
        <f>IF(MOD(ROW()-1,3)=1,"选中","")</f>
        <v>选中</v>
      </c>
    </row>
    <row r="6" spans="1:9" x14ac:dyDescent="0.25">
      <c r="A6" s="3">
        <v>4509</v>
      </c>
      <c r="B6" s="3">
        <v>113.29006870000001</v>
      </c>
      <c r="C6" s="3">
        <v>22.898551430000001</v>
      </c>
      <c r="D6" s="3">
        <v>33</v>
      </c>
      <c r="E6" s="13">
        <f t="shared" si="0"/>
        <v>1.2737600669193684E-3</v>
      </c>
      <c r="F6" s="13">
        <f t="shared" si="1"/>
        <v>28.019229296253943</v>
      </c>
      <c r="G6" s="14">
        <f t="shared" ref="G6:G22" si="2">F6/$F$24*$D$2</f>
        <v>187.08611665495286</v>
      </c>
      <c r="H6" s="14">
        <f t="shared" ref="H6:H22" si="3">F6/$F$24*$E$2</f>
        <v>198.77899894588742</v>
      </c>
      <c r="I6" s="26" t="s">
        <v>21</v>
      </c>
    </row>
    <row r="7" spans="1:9" x14ac:dyDescent="0.25">
      <c r="A7" s="3">
        <v>4511</v>
      </c>
      <c r="B7" s="3">
        <v>113.2890434</v>
      </c>
      <c r="C7" s="3">
        <v>22.89854897</v>
      </c>
      <c r="D7" s="3">
        <v>33</v>
      </c>
      <c r="E7" s="13">
        <f t="shared" si="0"/>
        <v>2.0457764571150199E-3</v>
      </c>
      <c r="F7" s="13">
        <f t="shared" si="1"/>
        <v>22.109092250356877</v>
      </c>
      <c r="G7" s="14">
        <f t="shared" si="2"/>
        <v>147.62376823970629</v>
      </c>
      <c r="H7" s="14">
        <f t="shared" si="3"/>
        <v>156.85025375468794</v>
      </c>
      <c r="I7" s="26" t="s">
        <v>21</v>
      </c>
    </row>
    <row r="8" spans="1:9" x14ac:dyDescent="0.25">
      <c r="A8" s="3">
        <v>4510</v>
      </c>
      <c r="B8" s="3">
        <v>113.2877105</v>
      </c>
      <c r="C8" s="3">
        <v>22.8991167</v>
      </c>
      <c r="D8" s="3">
        <v>33</v>
      </c>
      <c r="E8" s="13">
        <f t="shared" si="0"/>
        <v>3.1291118456104965E-3</v>
      </c>
      <c r="F8" s="13">
        <f t="shared" si="1"/>
        <v>17.876786632363128</v>
      </c>
      <c r="G8" s="14">
        <f t="shared" si="2"/>
        <v>119.36440342294267</v>
      </c>
      <c r="H8" s="14">
        <f t="shared" si="3"/>
        <v>126.8246786368766</v>
      </c>
      <c r="I8" s="25" t="str">
        <f t="shared" ref="I8:I20" si="4">IF(MOD(ROW()-1,3)=1,"选中","")</f>
        <v>选中</v>
      </c>
    </row>
    <row r="9" spans="1:9" x14ac:dyDescent="0.25">
      <c r="A9" s="3">
        <v>4515</v>
      </c>
      <c r="B9" s="3">
        <v>113.2877864</v>
      </c>
      <c r="C9" s="3">
        <v>22.898151980000002</v>
      </c>
      <c r="D9" s="3">
        <v>33</v>
      </c>
      <c r="E9" s="13">
        <f t="shared" si="0"/>
        <v>3.3429628791754175E-3</v>
      </c>
      <c r="F9" s="13">
        <f t="shared" si="1"/>
        <v>17.295543857376906</v>
      </c>
      <c r="G9" s="14">
        <f t="shared" si="2"/>
        <v>115.48340967910478</v>
      </c>
      <c r="H9" s="14">
        <f t="shared" si="3"/>
        <v>122.70112278404883</v>
      </c>
      <c r="I9" s="26" t="s">
        <v>21</v>
      </c>
    </row>
    <row r="10" spans="1:9" x14ac:dyDescent="0.25">
      <c r="A10" s="3">
        <v>4507</v>
      </c>
      <c r="B10" s="3">
        <v>113.2867071</v>
      </c>
      <c r="C10" s="3">
        <v>22.899875829999999</v>
      </c>
      <c r="D10" s="3">
        <v>33</v>
      </c>
      <c r="E10" s="13">
        <f t="shared" si="0"/>
        <v>4.1060202819805675E-3</v>
      </c>
      <c r="F10" s="13">
        <f t="shared" si="1"/>
        <v>15.60592282393738</v>
      </c>
      <c r="G10" s="14">
        <f t="shared" si="2"/>
        <v>104.2017061596225</v>
      </c>
      <c r="H10" s="14">
        <f t="shared" si="3"/>
        <v>110.71431279459891</v>
      </c>
      <c r="I10" s="26" t="s">
        <v>21</v>
      </c>
    </row>
    <row r="11" spans="1:9" x14ac:dyDescent="0.25">
      <c r="A11" s="3">
        <v>4508</v>
      </c>
      <c r="B11" s="3">
        <v>113.2865473</v>
      </c>
      <c r="C11" s="3">
        <v>22.89958918</v>
      </c>
      <c r="D11" s="3">
        <v>33</v>
      </c>
      <c r="E11" s="13">
        <f t="shared" si="0"/>
        <v>4.2560009475543252E-3</v>
      </c>
      <c r="F11" s="13">
        <f t="shared" si="1"/>
        <v>15.328481780760375</v>
      </c>
      <c r="G11" s="14">
        <f t="shared" si="2"/>
        <v>102.34921525703996</v>
      </c>
      <c r="H11" s="14">
        <f t="shared" si="3"/>
        <v>108.74604121060496</v>
      </c>
      <c r="I11" s="25" t="str">
        <f t="shared" si="4"/>
        <v>选中</v>
      </c>
    </row>
    <row r="12" spans="1:9" x14ac:dyDescent="0.25">
      <c r="A12" s="3">
        <v>4506</v>
      </c>
      <c r="B12" s="3">
        <v>113.286103</v>
      </c>
      <c r="C12" s="3">
        <v>22.89950984</v>
      </c>
      <c r="D12" s="3">
        <v>33</v>
      </c>
      <c r="E12" s="13">
        <f t="shared" si="0"/>
        <v>4.7010183622661307E-3</v>
      </c>
      <c r="F12" s="13">
        <f t="shared" si="1"/>
        <v>14.58491915756967</v>
      </c>
      <c r="G12" s="14">
        <f t="shared" si="2"/>
        <v>97.384401907191048</v>
      </c>
      <c r="H12" s="14">
        <f t="shared" si="3"/>
        <v>103.47092702639048</v>
      </c>
      <c r="I12" s="26" t="s">
        <v>21</v>
      </c>
    </row>
    <row r="13" spans="1:9" x14ac:dyDescent="0.25">
      <c r="A13" s="3">
        <v>4517</v>
      </c>
      <c r="B13" s="3">
        <v>113.2928891</v>
      </c>
      <c r="C13" s="3">
        <v>22.89534738</v>
      </c>
      <c r="D13" s="3">
        <v>33</v>
      </c>
      <c r="E13" s="13">
        <f t="shared" si="0"/>
        <v>4.7294323517320718E-3</v>
      </c>
      <c r="F13" s="13">
        <f t="shared" si="1"/>
        <v>14.541040735374663</v>
      </c>
      <c r="G13" s="14">
        <f t="shared" si="2"/>
        <v>97.091422984515702</v>
      </c>
      <c r="H13" s="14">
        <f t="shared" si="3"/>
        <v>103.15963692104793</v>
      </c>
      <c r="I13" s="26" t="s">
        <v>21</v>
      </c>
    </row>
    <row r="14" spans="1:9" x14ac:dyDescent="0.25">
      <c r="A14" s="3">
        <v>4514</v>
      </c>
      <c r="B14" s="3">
        <v>113.2916883</v>
      </c>
      <c r="C14" s="3">
        <v>22.89393583</v>
      </c>
      <c r="D14" s="3">
        <v>33</v>
      </c>
      <c r="E14" s="13">
        <f t="shared" si="0"/>
        <v>5.7250074511844508E-3</v>
      </c>
      <c r="F14" s="13">
        <f t="shared" si="1"/>
        <v>13.216363408444199</v>
      </c>
      <c r="G14" s="14">
        <f t="shared" si="2"/>
        <v>88.246471030415449</v>
      </c>
      <c r="H14" s="14">
        <f t="shared" si="3"/>
        <v>93.761875469816417</v>
      </c>
      <c r="I14" s="25" t="str">
        <f t="shared" si="4"/>
        <v>选中</v>
      </c>
    </row>
    <row r="15" spans="1:9" x14ac:dyDescent="0.25">
      <c r="A15" s="3">
        <v>4518</v>
      </c>
      <c r="B15" s="3">
        <v>113.2922523</v>
      </c>
      <c r="C15" s="3">
        <v>22.893884969999998</v>
      </c>
      <c r="D15" s="3">
        <v>33</v>
      </c>
      <c r="E15" s="13">
        <f t="shared" si="0"/>
        <v>5.8881253979973574E-3</v>
      </c>
      <c r="F15" s="13">
        <f t="shared" si="1"/>
        <v>13.032012106529224</v>
      </c>
      <c r="G15" s="14">
        <f t="shared" si="2"/>
        <v>87.015546053468697</v>
      </c>
      <c r="H15" s="14">
        <f t="shared" si="3"/>
        <v>92.454017681810498</v>
      </c>
      <c r="I15" s="26" t="s">
        <v>21</v>
      </c>
    </row>
    <row r="16" spans="1:9" x14ac:dyDescent="0.25">
      <c r="A16" s="3">
        <v>4516</v>
      </c>
      <c r="B16" s="3">
        <v>113.2938664</v>
      </c>
      <c r="C16" s="3">
        <v>22.89448818</v>
      </c>
      <c r="D16" s="3">
        <v>33</v>
      </c>
      <c r="E16" s="13">
        <f t="shared" si="0"/>
        <v>5.952458681556529E-3</v>
      </c>
      <c r="F16" s="13">
        <f t="shared" si="1"/>
        <v>12.961396768882445</v>
      </c>
      <c r="G16" s="14">
        <f t="shared" si="2"/>
        <v>86.54404310251563</v>
      </c>
      <c r="H16" s="14">
        <f t="shared" si="3"/>
        <v>91.953045796422856</v>
      </c>
      <c r="I16" s="26" t="s">
        <v>21</v>
      </c>
    </row>
    <row r="17" spans="1:9" x14ac:dyDescent="0.25">
      <c r="A17" s="3">
        <v>4513</v>
      </c>
      <c r="B17" s="3">
        <v>113.282881</v>
      </c>
      <c r="C17" s="3">
        <v>22.89826077</v>
      </c>
      <c r="D17" s="3">
        <v>33</v>
      </c>
      <c r="E17" s="13">
        <f t="shared" si="0"/>
        <v>8.0333718855994784E-3</v>
      </c>
      <c r="F17" s="13">
        <f t="shared" si="1"/>
        <v>11.157093277962861</v>
      </c>
      <c r="G17" s="14">
        <f t="shared" si="2"/>
        <v>74.496597763672909</v>
      </c>
      <c r="H17" s="14">
        <f t="shared" si="3"/>
        <v>79.152635123902471</v>
      </c>
      <c r="I17" s="25" t="str">
        <f t="shared" si="4"/>
        <v>选中</v>
      </c>
    </row>
    <row r="18" spans="1:9" x14ac:dyDescent="0.25">
      <c r="A18" s="3">
        <v>4534</v>
      </c>
      <c r="B18" s="3">
        <v>113.28079339999999</v>
      </c>
      <c r="C18" s="3">
        <v>22.892656760000001</v>
      </c>
      <c r="D18" s="3">
        <v>33</v>
      </c>
      <c r="E18" s="13">
        <f t="shared" si="0"/>
        <v>1.2177681605198231E-2</v>
      </c>
      <c r="F18" s="13">
        <f t="shared" si="1"/>
        <v>9.0618671825428372</v>
      </c>
      <c r="G18" s="14">
        <f t="shared" si="2"/>
        <v>60.506644308434254</v>
      </c>
      <c r="H18" s="14">
        <f t="shared" si="3"/>
        <v>64.288309577711402</v>
      </c>
      <c r="I18" s="26" t="s">
        <v>21</v>
      </c>
    </row>
    <row r="19" spans="1:9" x14ac:dyDescent="0.25">
      <c r="A19" s="3">
        <v>4519</v>
      </c>
      <c r="B19" s="3">
        <v>113.3042928</v>
      </c>
      <c r="C19" s="3">
        <v>22.89919858</v>
      </c>
      <c r="D19" s="3">
        <v>33</v>
      </c>
      <c r="E19" s="13">
        <f t="shared" si="0"/>
        <v>1.3495236392288718E-2</v>
      </c>
      <c r="F19" s="13">
        <f t="shared" si="1"/>
        <v>8.6081485271524389</v>
      </c>
      <c r="G19" s="14">
        <f t="shared" si="2"/>
        <v>57.477136951419084</v>
      </c>
      <c r="H19" s="14">
        <f t="shared" si="3"/>
        <v>61.069458010882776</v>
      </c>
      <c r="I19" s="26" t="s">
        <v>21</v>
      </c>
    </row>
    <row r="20" spans="1:9" x14ac:dyDescent="0.25">
      <c r="A20" s="3">
        <v>4520</v>
      </c>
      <c r="B20" s="3">
        <v>113.3049494</v>
      </c>
      <c r="C20" s="3">
        <v>22.900674800000001</v>
      </c>
      <c r="D20" s="3">
        <v>33</v>
      </c>
      <c r="E20" s="13">
        <f t="shared" si="0"/>
        <v>1.4187478907069482E-2</v>
      </c>
      <c r="F20" s="13">
        <f t="shared" si="1"/>
        <v>8.3955158441420306</v>
      </c>
      <c r="G20" s="14">
        <f t="shared" si="2"/>
        <v>56.057375454136952</v>
      </c>
      <c r="H20" s="14">
        <f t="shared" si="3"/>
        <v>59.560961420020512</v>
      </c>
      <c r="I20" s="25" t="str">
        <f t="shared" si="4"/>
        <v>选中</v>
      </c>
    </row>
    <row r="21" spans="1:9" x14ac:dyDescent="0.25">
      <c r="A21" s="3">
        <v>4356</v>
      </c>
      <c r="B21" s="3">
        <v>113.3056277</v>
      </c>
      <c r="C21" s="3">
        <v>22.905709519999998</v>
      </c>
      <c r="D21" s="3">
        <v>33</v>
      </c>
      <c r="E21" s="13">
        <f t="shared" si="0"/>
        <v>1.6037039677267426E-2</v>
      </c>
      <c r="F21" s="13">
        <f t="shared" si="1"/>
        <v>7.8965592464565226</v>
      </c>
      <c r="G21" s="14">
        <f t="shared" si="2"/>
        <v>52.725811575153692</v>
      </c>
      <c r="H21" s="14">
        <f t="shared" si="3"/>
        <v>56.021174798600804</v>
      </c>
      <c r="I21" s="26" t="s">
        <v>21</v>
      </c>
    </row>
    <row r="22" spans="1:9" x14ac:dyDescent="0.25">
      <c r="A22" s="3">
        <v>3883</v>
      </c>
      <c r="B22" s="3">
        <v>113.2807842</v>
      </c>
      <c r="C22" s="3">
        <v>22.92663774</v>
      </c>
      <c r="D22" s="3">
        <v>33</v>
      </c>
      <c r="E22" s="13">
        <f t="shared" si="0"/>
        <v>2.8841867746876092E-2</v>
      </c>
      <c r="F22" s="13">
        <f t="shared" si="1"/>
        <v>5.8882780480372059</v>
      </c>
      <c r="G22" s="14">
        <f t="shared" si="2"/>
        <v>39.316394542628203</v>
      </c>
      <c r="H22" s="14">
        <f t="shared" si="3"/>
        <v>41.773669201542468</v>
      </c>
      <c r="I22" s="26" t="s">
        <v>21</v>
      </c>
    </row>
    <row r="23" spans="1:9" x14ac:dyDescent="0.25">
      <c r="A23" s="3"/>
      <c r="B23" s="3"/>
      <c r="C23" s="3"/>
      <c r="D23" s="3"/>
      <c r="G23" s="14"/>
      <c r="H23" s="14"/>
    </row>
    <row r="24" spans="1:9" x14ac:dyDescent="0.25">
      <c r="A24" s="3"/>
      <c r="B24" s="3"/>
      <c r="C24" s="3"/>
      <c r="D24" s="3"/>
      <c r="F24" s="13">
        <f>SUBTOTAL(9,F5:F20)</f>
        <v>251.60768772876472</v>
      </c>
      <c r="G24" s="13">
        <f t="shared" ref="G24:H24" si="5">SUBTOTAL(9,G5:G20)</f>
        <v>1679.9999999999995</v>
      </c>
      <c r="H24" s="13">
        <f t="shared" si="5"/>
        <v>1784.9999999999995</v>
      </c>
    </row>
    <row r="25" spans="1:9" x14ac:dyDescent="0.25">
      <c r="A25" s="3"/>
      <c r="B25" s="3"/>
      <c r="C25" s="3"/>
      <c r="D25" s="3"/>
      <c r="G25" s="14"/>
      <c r="H25" s="14"/>
    </row>
    <row r="26" spans="1:9" x14ac:dyDescent="0.25">
      <c r="A26" s="3"/>
      <c r="B26" s="3"/>
      <c r="C26" s="3"/>
      <c r="D26" s="3"/>
      <c r="G26" s="14"/>
      <c r="H26" s="14"/>
    </row>
    <row r="27" spans="1:9" x14ac:dyDescent="0.25">
      <c r="A27" s="3"/>
      <c r="B27" s="3"/>
      <c r="C27" s="3"/>
      <c r="D27" s="3"/>
      <c r="G27" s="14"/>
      <c r="H27" s="14"/>
    </row>
    <row r="28" spans="1:9" x14ac:dyDescent="0.25">
      <c r="A28" s="3"/>
      <c r="B28" s="3"/>
      <c r="C28" s="3"/>
      <c r="D28" s="3"/>
      <c r="G28" s="14"/>
      <c r="H28" s="14"/>
    </row>
    <row r="29" spans="1:9" x14ac:dyDescent="0.25">
      <c r="A29" s="3"/>
      <c r="B29" s="3"/>
      <c r="C29" s="3"/>
      <c r="D29" s="3"/>
      <c r="G29" s="14"/>
      <c r="H29" s="14"/>
    </row>
    <row r="30" spans="1:9" x14ac:dyDescent="0.25">
      <c r="A30" s="3"/>
      <c r="B30" s="3"/>
      <c r="C30" s="3"/>
      <c r="D30" s="3"/>
      <c r="G30" s="14"/>
      <c r="H30" s="14"/>
    </row>
    <row r="31" spans="1:9" x14ac:dyDescent="0.25">
      <c r="A31" s="3"/>
      <c r="B31" s="3"/>
      <c r="C31" s="3"/>
      <c r="D31" s="3"/>
      <c r="G31" s="14"/>
      <c r="H31" s="14"/>
    </row>
    <row r="32" spans="1:9" x14ac:dyDescent="0.25">
      <c r="A32" s="3"/>
      <c r="B32" s="3"/>
      <c r="C32" s="3"/>
      <c r="D32" s="3"/>
      <c r="G32" s="14"/>
      <c r="H32" s="14"/>
    </row>
    <row r="33" spans="1:8" x14ac:dyDescent="0.25">
      <c r="A33" s="3"/>
      <c r="B33" s="3"/>
      <c r="C33" s="3"/>
      <c r="D33" s="3"/>
      <c r="G33" s="14"/>
      <c r="H33" s="14"/>
    </row>
    <row r="34" spans="1:8" x14ac:dyDescent="0.25">
      <c r="A34" s="3"/>
      <c r="B34" s="3"/>
      <c r="C34" s="3"/>
      <c r="D34" s="3"/>
      <c r="G34" s="14"/>
      <c r="H34" s="14"/>
    </row>
    <row r="35" spans="1:8" x14ac:dyDescent="0.25">
      <c r="A35" s="3"/>
      <c r="B35" s="3"/>
      <c r="C35" s="3"/>
      <c r="D35" s="3"/>
      <c r="G35" s="14"/>
      <c r="H35" s="14"/>
    </row>
    <row r="36" spans="1:8" x14ac:dyDescent="0.25">
      <c r="A36" s="3"/>
      <c r="B36" s="3"/>
      <c r="C36" s="3"/>
      <c r="D36" s="3"/>
      <c r="G36" s="14"/>
      <c r="H36" s="14"/>
    </row>
    <row r="37" spans="1:8" x14ac:dyDescent="0.25">
      <c r="A37" s="3"/>
      <c r="B37" s="3"/>
      <c r="C37" s="3"/>
      <c r="D37" s="3"/>
      <c r="G37" s="14"/>
      <c r="H37" s="14"/>
    </row>
    <row r="38" spans="1:8" x14ac:dyDescent="0.25">
      <c r="A38" s="3"/>
      <c r="B38" s="3"/>
      <c r="C38" s="3"/>
      <c r="D38" s="3"/>
      <c r="G38" s="14"/>
      <c r="H38" s="14"/>
    </row>
    <row r="39" spans="1:8" x14ac:dyDescent="0.25">
      <c r="A39" s="3"/>
      <c r="B39" s="3"/>
      <c r="C39" s="3"/>
      <c r="D39" s="3"/>
      <c r="G39" s="14"/>
      <c r="H39" s="14"/>
    </row>
    <row r="40" spans="1:8" x14ac:dyDescent="0.25">
      <c r="A40" s="3"/>
      <c r="B40" s="3"/>
      <c r="C40" s="3"/>
      <c r="D40" s="3"/>
      <c r="G40" s="14"/>
      <c r="H40" s="14"/>
    </row>
    <row r="41" spans="1:8" x14ac:dyDescent="0.25">
      <c r="A41" s="3"/>
      <c r="B41" s="3"/>
      <c r="C41" s="3"/>
      <c r="D41" s="3"/>
      <c r="G41" s="14"/>
      <c r="H41" s="14"/>
    </row>
    <row r="42" spans="1:8" x14ac:dyDescent="0.25">
      <c r="A42" s="3"/>
      <c r="B42" s="3"/>
      <c r="C42" s="3"/>
      <c r="D42" s="3"/>
      <c r="G42" s="14"/>
      <c r="H42" s="14"/>
    </row>
    <row r="43" spans="1:8" x14ac:dyDescent="0.25">
      <c r="A43" s="3"/>
      <c r="B43" s="3"/>
      <c r="C43" s="3"/>
      <c r="D43" s="3"/>
      <c r="G43" s="14"/>
      <c r="H43" s="14"/>
    </row>
    <row r="44" spans="1:8" x14ac:dyDescent="0.25">
      <c r="A44" s="3"/>
      <c r="B44" s="3"/>
      <c r="C44" s="3"/>
      <c r="D44" s="3"/>
      <c r="G44" s="14"/>
      <c r="H44" s="14"/>
    </row>
    <row r="45" spans="1:8" x14ac:dyDescent="0.25">
      <c r="A45" s="3"/>
      <c r="B45" s="3"/>
      <c r="C45" s="3"/>
      <c r="D45" s="3"/>
      <c r="G45" s="14"/>
      <c r="H45" s="14"/>
    </row>
    <row r="46" spans="1:8" x14ac:dyDescent="0.25">
      <c r="A46" s="3"/>
      <c r="B46" s="3"/>
      <c r="C46" s="3"/>
      <c r="D46" s="3"/>
      <c r="G46" s="14"/>
      <c r="H46" s="14"/>
    </row>
    <row r="47" spans="1:8" x14ac:dyDescent="0.25">
      <c r="A47" s="3"/>
      <c r="B47" s="3"/>
      <c r="C47" s="3"/>
      <c r="D47" s="3"/>
      <c r="G47" s="14"/>
      <c r="H47" s="14"/>
    </row>
    <row r="48" spans="1:8" x14ac:dyDescent="0.25">
      <c r="A48" s="3"/>
      <c r="B48" s="3"/>
      <c r="C48" s="3"/>
      <c r="D48" s="3"/>
      <c r="G48" s="14"/>
      <c r="H48" s="14"/>
    </row>
    <row r="49" spans="1:8" x14ac:dyDescent="0.25">
      <c r="A49" s="3"/>
      <c r="B49" s="3"/>
      <c r="C49" s="3"/>
      <c r="D49" s="3"/>
      <c r="G49" s="14"/>
      <c r="H49" s="14"/>
    </row>
    <row r="50" spans="1:8" x14ac:dyDescent="0.25">
      <c r="A50" s="3"/>
      <c r="B50" s="3"/>
      <c r="C50" s="3"/>
      <c r="D50" s="3"/>
      <c r="G50" s="14"/>
      <c r="H50" s="14"/>
    </row>
    <row r="51" spans="1:8" x14ac:dyDescent="0.25">
      <c r="A51" s="3"/>
      <c r="B51" s="3"/>
      <c r="C51" s="3"/>
      <c r="D51" s="3"/>
      <c r="G51" s="14"/>
      <c r="H51" s="14"/>
    </row>
    <row r="52" spans="1:8" x14ac:dyDescent="0.25">
      <c r="A52" s="3"/>
      <c r="B52" s="3"/>
      <c r="C52" s="3"/>
      <c r="D52" s="3"/>
      <c r="G52" s="14"/>
      <c r="H52" s="14"/>
    </row>
    <row r="53" spans="1:8" x14ac:dyDescent="0.25">
      <c r="A53" s="3"/>
      <c r="B53" s="3"/>
      <c r="C53" s="3"/>
      <c r="D53" s="3"/>
      <c r="G53" s="14"/>
      <c r="H53" s="14"/>
    </row>
    <row r="54" spans="1:8" x14ac:dyDescent="0.25">
      <c r="A54" s="3"/>
      <c r="B54" s="3"/>
      <c r="C54" s="3"/>
      <c r="D54" s="3"/>
      <c r="G54" s="14"/>
      <c r="H54" s="14"/>
    </row>
    <row r="55" spans="1:8" x14ac:dyDescent="0.25">
      <c r="A55" s="3"/>
      <c r="B55" s="3"/>
      <c r="C55" s="3"/>
      <c r="D55" s="3"/>
      <c r="G55" s="14"/>
      <c r="H55" s="14"/>
    </row>
    <row r="56" spans="1:8" x14ac:dyDescent="0.25">
      <c r="A56" s="3"/>
      <c r="B56" s="3"/>
      <c r="C56" s="3"/>
      <c r="D56" s="3"/>
      <c r="G56" s="14"/>
      <c r="H56" s="14"/>
    </row>
    <row r="57" spans="1:8" x14ac:dyDescent="0.25">
      <c r="A57" s="3"/>
      <c r="B57" s="3"/>
      <c r="C57" s="3"/>
      <c r="D57" s="3"/>
      <c r="G57" s="14"/>
      <c r="H57" s="14"/>
    </row>
    <row r="58" spans="1:8" x14ac:dyDescent="0.25">
      <c r="A58" s="3"/>
      <c r="B58" s="3"/>
      <c r="C58" s="3"/>
      <c r="D58" s="3"/>
      <c r="G58" s="14"/>
      <c r="H58" s="14"/>
    </row>
    <row r="59" spans="1:8" x14ac:dyDescent="0.25">
      <c r="A59" s="3"/>
      <c r="B59" s="3"/>
      <c r="C59" s="3"/>
      <c r="D59" s="3"/>
      <c r="G59" s="14"/>
      <c r="H59" s="14"/>
    </row>
    <row r="60" spans="1:8" x14ac:dyDescent="0.25">
      <c r="A60" s="3"/>
      <c r="B60" s="3"/>
      <c r="C60" s="3"/>
      <c r="D60" s="3"/>
      <c r="G60" s="14"/>
      <c r="H60" s="14"/>
    </row>
    <row r="61" spans="1:8" x14ac:dyDescent="0.25">
      <c r="A61" s="3"/>
      <c r="B61" s="3"/>
      <c r="C61" s="3"/>
      <c r="D61" s="3"/>
      <c r="G61" s="14"/>
      <c r="H61" s="14"/>
    </row>
    <row r="62" spans="1:8" x14ac:dyDescent="0.25">
      <c r="A62" s="3"/>
      <c r="B62" s="3"/>
      <c r="C62" s="3"/>
      <c r="D62" s="3"/>
      <c r="G62" s="14"/>
      <c r="H62" s="14"/>
    </row>
    <row r="63" spans="1:8" x14ac:dyDescent="0.25">
      <c r="A63" s="3"/>
      <c r="B63" s="3"/>
      <c r="C63" s="3"/>
      <c r="D63" s="3"/>
      <c r="G63" s="14"/>
      <c r="H63" s="14"/>
    </row>
    <row r="64" spans="1:8" x14ac:dyDescent="0.25">
      <c r="A64" s="3"/>
      <c r="B64" s="3"/>
      <c r="C64" s="3"/>
      <c r="D64" s="3"/>
      <c r="G64" s="14"/>
      <c r="H64" s="14"/>
    </row>
    <row r="65" spans="1:8" x14ac:dyDescent="0.25">
      <c r="A65" s="3"/>
      <c r="B65" s="3"/>
      <c r="C65" s="3"/>
      <c r="D65" s="3"/>
      <c r="G65" s="14"/>
      <c r="H65" s="14"/>
    </row>
    <row r="66" spans="1:8" x14ac:dyDescent="0.25">
      <c r="A66" s="3"/>
      <c r="B66" s="3"/>
      <c r="C66" s="3"/>
      <c r="D66" s="3"/>
      <c r="G66" s="14"/>
      <c r="H66" s="14"/>
    </row>
    <row r="67" spans="1:8" x14ac:dyDescent="0.25">
      <c r="A67" s="3"/>
      <c r="B67" s="3"/>
      <c r="C67" s="3"/>
      <c r="D67" s="3"/>
      <c r="G67" s="14"/>
      <c r="H67" s="14"/>
    </row>
    <row r="68" spans="1:8" x14ac:dyDescent="0.25">
      <c r="A68" s="3"/>
      <c r="B68" s="3"/>
      <c r="C68" s="3"/>
      <c r="D68" s="3"/>
      <c r="G68" s="14"/>
      <c r="H68" s="14"/>
    </row>
    <row r="69" spans="1:8" x14ac:dyDescent="0.25">
      <c r="A69" s="3"/>
      <c r="B69" s="3"/>
      <c r="C69" s="3"/>
      <c r="D69" s="3"/>
      <c r="G69" s="14"/>
      <c r="H69" s="14"/>
    </row>
    <row r="70" spans="1:8" x14ac:dyDescent="0.25">
      <c r="A70" s="3"/>
      <c r="B70" s="3"/>
      <c r="C70" s="3"/>
      <c r="D70" s="3"/>
      <c r="G70" s="14"/>
      <c r="H70" s="14"/>
    </row>
    <row r="71" spans="1:8" x14ac:dyDescent="0.25">
      <c r="A71" s="3"/>
      <c r="B71" s="3"/>
      <c r="C71" s="3"/>
      <c r="D71" s="3"/>
      <c r="G71" s="14"/>
      <c r="H71" s="14"/>
    </row>
    <row r="72" spans="1:8" x14ac:dyDescent="0.25">
      <c r="A72" s="3"/>
      <c r="B72" s="3"/>
      <c r="C72" s="3"/>
      <c r="D72" s="3"/>
      <c r="G72" s="14"/>
      <c r="H72" s="14"/>
    </row>
    <row r="73" spans="1:8" x14ac:dyDescent="0.25">
      <c r="A73" s="3"/>
      <c r="B73" s="3"/>
      <c r="C73" s="3"/>
      <c r="D73" s="3"/>
      <c r="G73" s="14"/>
      <c r="H73" s="14"/>
    </row>
    <row r="74" spans="1:8" x14ac:dyDescent="0.25">
      <c r="A74" s="3"/>
      <c r="B74" s="3"/>
      <c r="C74" s="3"/>
      <c r="D74" s="3"/>
      <c r="G74" s="14"/>
      <c r="H74" s="14"/>
    </row>
    <row r="75" spans="1:8" x14ac:dyDescent="0.25">
      <c r="A75" s="3"/>
      <c r="B75" s="3"/>
      <c r="C75" s="3"/>
      <c r="D75" s="3"/>
      <c r="G75" s="14"/>
      <c r="H75" s="14"/>
    </row>
    <row r="76" spans="1:8" x14ac:dyDescent="0.25">
      <c r="A76" s="3"/>
      <c r="B76" s="3"/>
      <c r="C76" s="3"/>
      <c r="D76" s="3"/>
      <c r="G76" s="14"/>
      <c r="H76" s="14"/>
    </row>
    <row r="77" spans="1:8" x14ac:dyDescent="0.25">
      <c r="A77" s="3"/>
      <c r="B77" s="3"/>
      <c r="C77" s="3"/>
      <c r="D77" s="3"/>
      <c r="G77" s="14"/>
      <c r="H77" s="14"/>
    </row>
    <row r="78" spans="1:8" x14ac:dyDescent="0.25">
      <c r="A78" s="3"/>
      <c r="B78" s="3"/>
      <c r="C78" s="3"/>
      <c r="D78" s="3"/>
      <c r="G78" s="14"/>
      <c r="H78" s="14"/>
    </row>
    <row r="79" spans="1:8" x14ac:dyDescent="0.25">
      <c r="A79" s="3"/>
      <c r="B79" s="3"/>
      <c r="C79" s="3"/>
      <c r="D79" s="3"/>
      <c r="G79" s="14"/>
      <c r="H79" s="14"/>
    </row>
    <row r="80" spans="1:8" x14ac:dyDescent="0.25">
      <c r="A80" s="3"/>
      <c r="B80" s="3"/>
      <c r="C80" s="3"/>
      <c r="D80" s="3"/>
      <c r="G80" s="14"/>
      <c r="H80" s="14"/>
    </row>
    <row r="81" spans="1:8" x14ac:dyDescent="0.25">
      <c r="A81" s="3"/>
      <c r="B81" s="3"/>
      <c r="C81" s="3"/>
      <c r="D81" s="3"/>
      <c r="G81" s="14"/>
      <c r="H81" s="14"/>
    </row>
    <row r="82" spans="1:8" x14ac:dyDescent="0.25">
      <c r="A82" s="3"/>
      <c r="B82" s="3"/>
      <c r="C82" s="3"/>
      <c r="D82" s="3"/>
      <c r="G82" s="14"/>
      <c r="H82" s="14"/>
    </row>
    <row r="83" spans="1:8" x14ac:dyDescent="0.25">
      <c r="A83" s="3"/>
      <c r="B83" s="3"/>
      <c r="C83" s="3"/>
      <c r="D83" s="3"/>
      <c r="G83" s="14"/>
      <c r="H83" s="14"/>
    </row>
    <row r="84" spans="1:8" x14ac:dyDescent="0.25">
      <c r="A84" s="3"/>
      <c r="B84" s="3"/>
      <c r="C84" s="3"/>
      <c r="D84" s="3"/>
      <c r="G84" s="14"/>
      <c r="H84" s="14"/>
    </row>
    <row r="85" spans="1:8" x14ac:dyDescent="0.25">
      <c r="A85" s="3"/>
      <c r="B85" s="3"/>
      <c r="C85" s="3"/>
      <c r="D85" s="3"/>
      <c r="G85" s="14"/>
      <c r="H85" s="14"/>
    </row>
    <row r="86" spans="1:8" x14ac:dyDescent="0.25">
      <c r="A86" s="3"/>
      <c r="B86" s="3"/>
      <c r="C86" s="3"/>
      <c r="D86" s="3"/>
      <c r="G86" s="14"/>
      <c r="H86" s="14"/>
    </row>
    <row r="87" spans="1:8" x14ac:dyDescent="0.25">
      <c r="A87" s="3"/>
      <c r="B87" s="3"/>
      <c r="C87" s="3"/>
      <c r="D87" s="3"/>
      <c r="G87" s="14"/>
      <c r="H87" s="14"/>
    </row>
    <row r="88" spans="1:8" x14ac:dyDescent="0.25">
      <c r="A88" s="3"/>
      <c r="B88" s="3"/>
      <c r="C88" s="3"/>
      <c r="D88" s="3"/>
      <c r="G88" s="14"/>
      <c r="H88" s="14"/>
    </row>
    <row r="89" spans="1:8" x14ac:dyDescent="0.25">
      <c r="A89" s="3"/>
      <c r="B89" s="3"/>
      <c r="C89" s="3"/>
      <c r="D89" s="3"/>
      <c r="G89" s="14"/>
      <c r="H89" s="14"/>
    </row>
    <row r="90" spans="1:8" x14ac:dyDescent="0.25">
      <c r="A90" s="3"/>
      <c r="B90" s="3"/>
      <c r="C90" s="3"/>
      <c r="D90" s="3"/>
      <c r="G90" s="14"/>
      <c r="H90" s="14"/>
    </row>
    <row r="91" spans="1:8" x14ac:dyDescent="0.25">
      <c r="A91" s="3"/>
      <c r="B91" s="3"/>
      <c r="C91" s="3"/>
      <c r="D91" s="3"/>
      <c r="G91" s="14"/>
      <c r="H91" s="14"/>
    </row>
    <row r="92" spans="1:8" x14ac:dyDescent="0.25">
      <c r="A92" s="3"/>
      <c r="B92" s="3"/>
      <c r="C92" s="3"/>
      <c r="D92" s="3"/>
      <c r="G92" s="14"/>
      <c r="H92" s="14"/>
    </row>
    <row r="93" spans="1:8" x14ac:dyDescent="0.25">
      <c r="A93" s="3"/>
      <c r="B93" s="3"/>
      <c r="C93" s="3"/>
      <c r="D93" s="3"/>
      <c r="G93" s="14"/>
      <c r="H93" s="14"/>
    </row>
    <row r="94" spans="1:8" x14ac:dyDescent="0.25">
      <c r="A94" s="3"/>
      <c r="B94" s="3"/>
      <c r="C94" s="3"/>
      <c r="D94" s="3"/>
      <c r="G94" s="14"/>
      <c r="H94" s="14"/>
    </row>
    <row r="95" spans="1:8" x14ac:dyDescent="0.25">
      <c r="A95" s="3"/>
      <c r="B95" s="3"/>
      <c r="C95" s="3"/>
      <c r="D95" s="3"/>
      <c r="G95" s="14"/>
      <c r="H95" s="14"/>
    </row>
    <row r="96" spans="1:8" x14ac:dyDescent="0.25">
      <c r="A96" s="3"/>
      <c r="B96" s="3"/>
      <c r="C96" s="3"/>
      <c r="D96" s="3"/>
      <c r="G96" s="14"/>
      <c r="H96" s="14"/>
    </row>
    <row r="97" spans="1:8" x14ac:dyDescent="0.25">
      <c r="A97" s="3"/>
      <c r="B97" s="3"/>
      <c r="C97" s="3"/>
      <c r="D97" s="3"/>
      <c r="G97" s="14"/>
      <c r="H97" s="14"/>
    </row>
    <row r="98" spans="1:8" x14ac:dyDescent="0.25">
      <c r="A98" s="3"/>
      <c r="B98" s="3"/>
      <c r="C98" s="3"/>
      <c r="D98" s="3"/>
      <c r="G98" s="14"/>
      <c r="H98" s="14"/>
    </row>
    <row r="99" spans="1:8" x14ac:dyDescent="0.25">
      <c r="A99" s="3"/>
      <c r="B99" s="3"/>
      <c r="C99" s="3"/>
      <c r="D99" s="3"/>
      <c r="G99" s="14"/>
      <c r="H99" s="14"/>
    </row>
    <row r="100" spans="1:8" x14ac:dyDescent="0.25">
      <c r="A100" s="3"/>
      <c r="B100" s="3"/>
      <c r="C100" s="3"/>
      <c r="D100" s="3"/>
      <c r="G100" s="14"/>
      <c r="H100" s="14"/>
    </row>
    <row r="101" spans="1:8" x14ac:dyDescent="0.25">
      <c r="A101" s="3"/>
      <c r="B101" s="3"/>
      <c r="C101" s="3"/>
      <c r="D101" s="3"/>
      <c r="G101" s="14"/>
      <c r="H101" s="14"/>
    </row>
    <row r="102" spans="1:8" x14ac:dyDescent="0.25">
      <c r="A102" s="3"/>
      <c r="B102" s="3"/>
      <c r="C102" s="3"/>
      <c r="D102" s="3"/>
      <c r="G102" s="14"/>
      <c r="H102" s="14"/>
    </row>
    <row r="103" spans="1:8" x14ac:dyDescent="0.25">
      <c r="A103" s="3"/>
      <c r="B103" s="3"/>
      <c r="C103" s="3"/>
      <c r="D103" s="3"/>
      <c r="G103" s="14"/>
      <c r="H103" s="14"/>
    </row>
    <row r="104" spans="1:8" x14ac:dyDescent="0.25">
      <c r="A104" s="3"/>
      <c r="B104" s="3"/>
      <c r="C104" s="3"/>
      <c r="D104" s="3"/>
      <c r="G104" s="14"/>
      <c r="H104" s="14"/>
    </row>
    <row r="105" spans="1:8" x14ac:dyDescent="0.25">
      <c r="A105" s="3"/>
      <c r="B105" s="3"/>
      <c r="C105" s="3"/>
      <c r="D105" s="3"/>
      <c r="G105" s="14"/>
      <c r="H105" s="14"/>
    </row>
    <row r="106" spans="1:8" x14ac:dyDescent="0.25">
      <c r="A106" s="3"/>
      <c r="B106" s="3"/>
      <c r="C106" s="3"/>
      <c r="D106" s="3"/>
      <c r="G106" s="14"/>
      <c r="H106" s="14"/>
    </row>
    <row r="107" spans="1:8" x14ac:dyDescent="0.25">
      <c r="A107" s="3"/>
      <c r="B107" s="3"/>
      <c r="C107" s="3"/>
      <c r="D107" s="3"/>
      <c r="G107" s="14"/>
      <c r="H107" s="14"/>
    </row>
    <row r="108" spans="1:8" x14ac:dyDescent="0.25">
      <c r="A108" s="3"/>
      <c r="B108" s="3"/>
      <c r="C108" s="3"/>
      <c r="D108" s="3"/>
      <c r="G108" s="14"/>
      <c r="H108" s="14"/>
    </row>
    <row r="109" spans="1:8" x14ac:dyDescent="0.25">
      <c r="A109" s="3"/>
      <c r="B109" s="3"/>
      <c r="C109" s="3"/>
      <c r="D109" s="3"/>
      <c r="G109" s="14"/>
      <c r="H109" s="14"/>
    </row>
    <row r="110" spans="1:8" x14ac:dyDescent="0.25">
      <c r="A110" s="3"/>
      <c r="B110" s="3"/>
      <c r="C110" s="3"/>
      <c r="D110" s="3"/>
      <c r="G110" s="14"/>
      <c r="H110" s="14"/>
    </row>
    <row r="111" spans="1:8" x14ac:dyDescent="0.25">
      <c r="A111" s="3"/>
      <c r="B111" s="3"/>
      <c r="C111" s="3"/>
      <c r="D111" s="3"/>
      <c r="G111" s="14"/>
      <c r="H111" s="14"/>
    </row>
    <row r="112" spans="1:8" x14ac:dyDescent="0.25">
      <c r="A112" s="3"/>
      <c r="B112" s="3"/>
      <c r="C112" s="3"/>
      <c r="D112" s="3"/>
      <c r="G112" s="14"/>
      <c r="H112" s="14"/>
    </row>
    <row r="113" spans="1:8" x14ac:dyDescent="0.25">
      <c r="A113" s="3"/>
      <c r="B113" s="3"/>
      <c r="C113" s="3"/>
      <c r="D113" s="3"/>
      <c r="G113" s="14"/>
      <c r="H113" s="14"/>
    </row>
    <row r="114" spans="1:8" x14ac:dyDescent="0.25">
      <c r="A114" s="3"/>
      <c r="B114" s="3"/>
      <c r="C114" s="3"/>
      <c r="D114" s="3"/>
      <c r="G114" s="14"/>
      <c r="H114" s="14"/>
    </row>
    <row r="115" spans="1:8" x14ac:dyDescent="0.25">
      <c r="A115" s="3"/>
      <c r="B115" s="3"/>
      <c r="C115" s="3"/>
      <c r="D115" s="3"/>
      <c r="G115" s="14"/>
      <c r="H115" s="14"/>
    </row>
    <row r="116" spans="1:8" x14ac:dyDescent="0.25">
      <c r="A116" s="3"/>
      <c r="B116" s="3"/>
      <c r="C116" s="3"/>
      <c r="D116" s="3"/>
      <c r="G116" s="14"/>
      <c r="H116" s="14"/>
    </row>
    <row r="117" spans="1:8" x14ac:dyDescent="0.25">
      <c r="A117" s="3"/>
      <c r="B117" s="3"/>
      <c r="C117" s="3"/>
      <c r="D117" s="3"/>
      <c r="G117" s="14"/>
      <c r="H117" s="14"/>
    </row>
    <row r="118" spans="1:8" x14ac:dyDescent="0.25">
      <c r="A118" s="3"/>
      <c r="B118" s="3"/>
      <c r="C118" s="3"/>
      <c r="D118" s="3"/>
      <c r="G118" s="14"/>
      <c r="H118" s="14"/>
    </row>
    <row r="119" spans="1:8" x14ac:dyDescent="0.25">
      <c r="A119" s="3"/>
      <c r="B119" s="3"/>
      <c r="C119" s="3"/>
      <c r="D119" s="3"/>
      <c r="G119" s="14"/>
      <c r="H119" s="14"/>
    </row>
    <row r="120" spans="1:8" x14ac:dyDescent="0.25">
      <c r="A120" s="3"/>
      <c r="B120" s="3"/>
      <c r="C120" s="3"/>
      <c r="D120" s="3"/>
      <c r="G120" s="14"/>
      <c r="H120" s="14"/>
    </row>
    <row r="121" spans="1:8" x14ac:dyDescent="0.25">
      <c r="A121" s="3"/>
      <c r="B121" s="3"/>
      <c r="C121" s="3"/>
      <c r="D121" s="3"/>
      <c r="G121" s="14"/>
      <c r="H121" s="14"/>
    </row>
    <row r="122" spans="1:8" x14ac:dyDescent="0.25">
      <c r="A122" s="3"/>
      <c r="B122" s="3"/>
      <c r="C122" s="3"/>
      <c r="D122" s="3"/>
      <c r="G122" s="14"/>
      <c r="H122" s="14"/>
    </row>
    <row r="123" spans="1:8" x14ac:dyDescent="0.25">
      <c r="A123" s="3"/>
      <c r="B123" s="3"/>
      <c r="C123" s="3"/>
      <c r="D123" s="3"/>
      <c r="G123" s="14"/>
      <c r="H123" s="14"/>
    </row>
    <row r="124" spans="1:8" x14ac:dyDescent="0.25">
      <c r="A124" s="3"/>
      <c r="B124" s="3"/>
      <c r="C124" s="3"/>
      <c r="D124" s="3"/>
      <c r="G124" s="14"/>
      <c r="H124" s="14"/>
    </row>
    <row r="125" spans="1:8" x14ac:dyDescent="0.25">
      <c r="A125" s="3"/>
      <c r="B125" s="3"/>
      <c r="C125" s="3"/>
      <c r="D125" s="3"/>
      <c r="G125" s="14"/>
      <c r="H125" s="14"/>
    </row>
    <row r="126" spans="1:8" x14ac:dyDescent="0.25">
      <c r="A126" s="18"/>
      <c r="B126" s="3"/>
      <c r="C126" s="3"/>
      <c r="D126" s="3"/>
      <c r="G126" s="14"/>
      <c r="H126" s="14"/>
    </row>
    <row r="127" spans="1:8" x14ac:dyDescent="0.25">
      <c r="A127" s="3"/>
      <c r="B127" s="3"/>
      <c r="C127" s="3"/>
      <c r="D127" s="3"/>
      <c r="G127" s="14"/>
      <c r="H127" s="14"/>
    </row>
    <row r="128" spans="1:8" x14ac:dyDescent="0.25">
      <c r="A128" s="3"/>
      <c r="B128" s="3"/>
      <c r="C128" s="3"/>
      <c r="D128" s="3"/>
      <c r="G128" s="14"/>
      <c r="H128" s="14"/>
    </row>
    <row r="129" spans="1:8" x14ac:dyDescent="0.25">
      <c r="A129" s="3"/>
      <c r="B129" s="3"/>
      <c r="C129" s="3"/>
      <c r="D129" s="3"/>
      <c r="G129" s="14"/>
      <c r="H129" s="14"/>
    </row>
    <row r="130" spans="1:8" x14ac:dyDescent="0.25">
      <c r="A130" s="3"/>
      <c r="B130" s="3"/>
      <c r="C130" s="3"/>
      <c r="D130" s="3"/>
      <c r="G130" s="14"/>
      <c r="H130" s="14"/>
    </row>
    <row r="131" spans="1:8" x14ac:dyDescent="0.25">
      <c r="A131" s="3"/>
      <c r="B131" s="3"/>
      <c r="C131" s="3"/>
      <c r="D131" s="3"/>
      <c r="G131" s="14"/>
      <c r="H131" s="14"/>
    </row>
    <row r="132" spans="1:8" x14ac:dyDescent="0.25">
      <c r="A132" s="3"/>
      <c r="B132" s="3"/>
      <c r="C132" s="3"/>
      <c r="D132" s="3"/>
      <c r="G132" s="14"/>
      <c r="H132" s="14"/>
    </row>
    <row r="133" spans="1:8" x14ac:dyDescent="0.25">
      <c r="A133" s="3"/>
      <c r="B133" s="3"/>
      <c r="C133" s="3"/>
      <c r="D133" s="3"/>
      <c r="G133" s="14"/>
      <c r="H133" s="14"/>
    </row>
    <row r="134" spans="1:8" x14ac:dyDescent="0.25">
      <c r="A134" s="3"/>
      <c r="B134" s="3"/>
      <c r="C134" s="3"/>
      <c r="D134" s="3"/>
      <c r="G134" s="14"/>
      <c r="H134" s="14"/>
    </row>
    <row r="135" spans="1:8" x14ac:dyDescent="0.25">
      <c r="A135" s="3"/>
      <c r="B135" s="3"/>
      <c r="C135" s="3"/>
      <c r="D135" s="3"/>
      <c r="G135" s="14"/>
      <c r="H135" s="14"/>
    </row>
    <row r="136" spans="1:8" x14ac:dyDescent="0.25">
      <c r="A136" s="3"/>
      <c r="B136" s="3"/>
      <c r="C136" s="3"/>
      <c r="D136" s="3"/>
      <c r="G136" s="14"/>
      <c r="H136" s="14"/>
    </row>
    <row r="137" spans="1:8" x14ac:dyDescent="0.25">
      <c r="A137" s="3"/>
      <c r="B137" s="3"/>
      <c r="C137" s="3"/>
      <c r="D137" s="3"/>
      <c r="G137" s="14"/>
      <c r="H137" s="14"/>
    </row>
    <row r="138" spans="1:8" x14ac:dyDescent="0.25">
      <c r="A138" s="3"/>
      <c r="B138" s="3"/>
      <c r="C138" s="3"/>
      <c r="D138" s="3"/>
      <c r="G138" s="14"/>
      <c r="H138" s="14"/>
    </row>
    <row r="139" spans="1:8" x14ac:dyDescent="0.25">
      <c r="A139" s="3"/>
      <c r="B139" s="3"/>
      <c r="C139" s="3"/>
      <c r="D139" s="3"/>
      <c r="G139" s="14"/>
      <c r="H139" s="14"/>
    </row>
    <row r="140" spans="1:8" x14ac:dyDescent="0.25">
      <c r="A140" s="3"/>
      <c r="B140" s="3"/>
      <c r="C140" s="3"/>
      <c r="D140" s="3"/>
      <c r="G140" s="14"/>
      <c r="H140" s="14"/>
    </row>
    <row r="141" spans="1:8" x14ac:dyDescent="0.25">
      <c r="A141" s="3"/>
      <c r="B141" s="3"/>
      <c r="C141" s="3"/>
      <c r="D141" s="3"/>
      <c r="G141" s="14"/>
      <c r="H141" s="14"/>
    </row>
    <row r="142" spans="1:8" x14ac:dyDescent="0.25">
      <c r="A142" s="3"/>
      <c r="B142" s="3"/>
      <c r="C142" s="3"/>
      <c r="D142" s="3"/>
      <c r="G142" s="14"/>
      <c r="H142" s="14"/>
    </row>
    <row r="143" spans="1:8" x14ac:dyDescent="0.25">
      <c r="A143" s="3"/>
      <c r="B143" s="3"/>
      <c r="C143" s="3"/>
      <c r="D143" s="3"/>
      <c r="G143" s="14"/>
      <c r="H143" s="14"/>
    </row>
    <row r="144" spans="1:8" x14ac:dyDescent="0.25">
      <c r="A144" s="3"/>
      <c r="B144" s="3"/>
      <c r="C144" s="3"/>
      <c r="D144" s="3"/>
      <c r="G144" s="14"/>
      <c r="H144" s="14"/>
    </row>
    <row r="145" spans="1:8" x14ac:dyDescent="0.25">
      <c r="A145" s="3"/>
      <c r="B145" s="3"/>
      <c r="C145" s="3"/>
      <c r="D145" s="3"/>
      <c r="G145" s="14"/>
      <c r="H145" s="14"/>
    </row>
    <row r="146" spans="1:8" x14ac:dyDescent="0.25">
      <c r="A146" s="3"/>
      <c r="B146" s="3"/>
      <c r="C146" s="3"/>
      <c r="D146" s="3"/>
      <c r="G146" s="14"/>
      <c r="H146" s="14"/>
    </row>
    <row r="147" spans="1:8" x14ac:dyDescent="0.25">
      <c r="A147" s="3"/>
      <c r="B147" s="3"/>
      <c r="C147" s="3"/>
      <c r="D147" s="3"/>
      <c r="G147" s="14"/>
      <c r="H147" s="14"/>
    </row>
    <row r="148" spans="1:8" x14ac:dyDescent="0.25">
      <c r="A148" s="3"/>
      <c r="B148" s="3"/>
      <c r="C148" s="3"/>
      <c r="D148" s="3"/>
      <c r="G148" s="14"/>
      <c r="H148" s="14"/>
    </row>
    <row r="149" spans="1:8" x14ac:dyDescent="0.25">
      <c r="A149" s="3"/>
      <c r="B149" s="3"/>
      <c r="C149" s="3"/>
      <c r="D149" s="3"/>
      <c r="G149" s="14"/>
      <c r="H149" s="14"/>
    </row>
    <row r="150" spans="1:8" x14ac:dyDescent="0.25">
      <c r="A150" s="3"/>
      <c r="B150" s="3"/>
      <c r="C150" s="3"/>
      <c r="D150" s="3"/>
      <c r="G150" s="14"/>
      <c r="H150" s="14"/>
    </row>
    <row r="151" spans="1:8" x14ac:dyDescent="0.25">
      <c r="A151" s="3"/>
      <c r="B151" s="3"/>
      <c r="C151" s="3"/>
      <c r="D151" s="3"/>
      <c r="G151" s="14"/>
      <c r="H151" s="14"/>
    </row>
    <row r="152" spans="1:8" x14ac:dyDescent="0.25">
      <c r="A152" s="3"/>
      <c r="B152" s="3"/>
      <c r="C152" s="3"/>
      <c r="D152" s="3"/>
      <c r="G152" s="14"/>
      <c r="H152" s="14"/>
    </row>
    <row r="153" spans="1:8" x14ac:dyDescent="0.25">
      <c r="A153" s="3"/>
      <c r="B153" s="3"/>
      <c r="C153" s="3"/>
      <c r="D153" s="3"/>
      <c r="G153" s="14"/>
      <c r="H153" s="14"/>
    </row>
    <row r="154" spans="1:8" x14ac:dyDescent="0.25">
      <c r="A154" s="3"/>
      <c r="B154" s="3"/>
      <c r="C154" s="3"/>
      <c r="D154" s="3"/>
      <c r="G154" s="14"/>
      <c r="H154" s="14"/>
    </row>
    <row r="155" spans="1:8" x14ac:dyDescent="0.25">
      <c r="A155" s="3"/>
      <c r="B155" s="3"/>
      <c r="C155" s="3"/>
      <c r="D155" s="3"/>
      <c r="G155" s="14"/>
      <c r="H155" s="14"/>
    </row>
    <row r="156" spans="1:8" x14ac:dyDescent="0.25">
      <c r="A156" s="3"/>
      <c r="B156" s="3"/>
      <c r="C156" s="3"/>
      <c r="D156" s="3"/>
      <c r="G156" s="14"/>
      <c r="H156" s="14"/>
    </row>
    <row r="157" spans="1:8" x14ac:dyDescent="0.25">
      <c r="A157" s="3"/>
      <c r="B157" s="3"/>
      <c r="C157" s="3"/>
      <c r="D157" s="3"/>
      <c r="G157" s="14"/>
      <c r="H157" s="14"/>
    </row>
    <row r="158" spans="1:8" x14ac:dyDescent="0.25">
      <c r="A158" s="3"/>
      <c r="B158" s="3"/>
      <c r="C158" s="3"/>
      <c r="D158" s="3"/>
      <c r="G158" s="14"/>
      <c r="H158" s="14"/>
    </row>
    <row r="159" spans="1:8" x14ac:dyDescent="0.25">
      <c r="A159" s="3"/>
      <c r="B159" s="3"/>
      <c r="C159" s="3"/>
      <c r="D159" s="3"/>
      <c r="G159" s="14"/>
      <c r="H159" s="14"/>
    </row>
    <row r="160" spans="1:8" x14ac:dyDescent="0.25">
      <c r="A160" s="3"/>
      <c r="B160" s="3"/>
      <c r="C160" s="3"/>
      <c r="D160" s="3"/>
      <c r="G160" s="14"/>
      <c r="H160" s="14"/>
    </row>
    <row r="161" spans="1:8" x14ac:dyDescent="0.25">
      <c r="A161" s="3"/>
      <c r="B161" s="3"/>
      <c r="C161" s="3"/>
      <c r="D161" s="3"/>
      <c r="G161" s="14"/>
      <c r="H161" s="14"/>
    </row>
    <row r="162" spans="1:8" x14ac:dyDescent="0.25">
      <c r="A162" s="3"/>
      <c r="B162" s="3"/>
      <c r="C162" s="3"/>
      <c r="D162" s="3"/>
      <c r="G162" s="14"/>
      <c r="H162" s="14"/>
    </row>
    <row r="163" spans="1:8" x14ac:dyDescent="0.25">
      <c r="A163" s="3"/>
      <c r="B163" s="3"/>
      <c r="C163" s="3"/>
      <c r="D163" s="3"/>
      <c r="G163" s="14"/>
      <c r="H163" s="14"/>
    </row>
    <row r="164" spans="1:8" x14ac:dyDescent="0.25">
      <c r="A164" s="3"/>
      <c r="B164" s="3"/>
      <c r="C164" s="3"/>
      <c r="D164" s="3"/>
      <c r="G164" s="14"/>
      <c r="H164" s="14"/>
    </row>
    <row r="165" spans="1:8" x14ac:dyDescent="0.25">
      <c r="A165" s="3"/>
      <c r="B165" s="3"/>
      <c r="C165" s="3"/>
      <c r="D165" s="3"/>
      <c r="G165" s="14"/>
      <c r="H165" s="14"/>
    </row>
    <row r="166" spans="1:8" x14ac:dyDescent="0.25">
      <c r="A166" s="3"/>
      <c r="B166" s="3"/>
      <c r="C166" s="3"/>
      <c r="D166" s="3"/>
      <c r="G166" s="14"/>
      <c r="H166" s="14"/>
    </row>
    <row r="167" spans="1:8" x14ac:dyDescent="0.25">
      <c r="A167" s="3"/>
      <c r="B167" s="3"/>
      <c r="C167" s="3"/>
      <c r="D167" s="3"/>
      <c r="G167" s="14"/>
      <c r="H167" s="14"/>
    </row>
    <row r="168" spans="1:8" x14ac:dyDescent="0.25">
      <c r="A168" s="3"/>
      <c r="B168" s="3"/>
      <c r="C168" s="3"/>
      <c r="D168" s="3"/>
      <c r="G168" s="14"/>
      <c r="H168" s="14"/>
    </row>
    <row r="169" spans="1:8" x14ac:dyDescent="0.25">
      <c r="A169" s="3"/>
      <c r="B169" s="3"/>
      <c r="C169" s="3"/>
      <c r="D169" s="3"/>
      <c r="G169" s="14"/>
      <c r="H169" s="14"/>
    </row>
    <row r="170" spans="1:8" x14ac:dyDescent="0.25">
      <c r="A170" s="3"/>
      <c r="B170" s="3"/>
      <c r="C170" s="3"/>
      <c r="D170" s="3"/>
      <c r="G170" s="14"/>
      <c r="H170" s="14"/>
    </row>
    <row r="171" spans="1:8" x14ac:dyDescent="0.25">
      <c r="A171" s="3"/>
      <c r="B171" s="3"/>
      <c r="C171" s="3"/>
      <c r="D171" s="3"/>
      <c r="G171" s="14"/>
      <c r="H171" s="14"/>
    </row>
    <row r="172" spans="1:8" x14ac:dyDescent="0.25">
      <c r="A172" s="3"/>
      <c r="B172" s="3"/>
      <c r="C172" s="3"/>
      <c r="D172" s="3"/>
      <c r="G172" s="14"/>
      <c r="H172" s="14"/>
    </row>
    <row r="173" spans="1:8" x14ac:dyDescent="0.25">
      <c r="A173" s="3"/>
      <c r="B173" s="3"/>
      <c r="C173" s="3"/>
      <c r="D173" s="3"/>
      <c r="G173" s="14"/>
      <c r="H173" s="14"/>
    </row>
    <row r="174" spans="1:8" x14ac:dyDescent="0.25">
      <c r="A174" s="3"/>
      <c r="B174" s="3"/>
      <c r="C174" s="3"/>
      <c r="D174" s="3"/>
      <c r="G174" s="14"/>
      <c r="H174" s="14"/>
    </row>
    <row r="175" spans="1:8" x14ac:dyDescent="0.25">
      <c r="A175" s="3"/>
      <c r="B175" s="3"/>
      <c r="C175" s="3"/>
      <c r="D175" s="3"/>
      <c r="G175" s="14"/>
      <c r="H175" s="14"/>
    </row>
    <row r="176" spans="1:8" x14ac:dyDescent="0.25">
      <c r="A176" s="3"/>
      <c r="B176" s="3"/>
      <c r="C176" s="3"/>
      <c r="D176" s="3"/>
      <c r="G176" s="14"/>
      <c r="H176" s="14"/>
    </row>
    <row r="177" spans="1:8" x14ac:dyDescent="0.25">
      <c r="A177" s="3"/>
      <c r="B177" s="3"/>
      <c r="C177" s="3"/>
      <c r="D177" s="3"/>
      <c r="G177" s="14"/>
      <c r="H177" s="14"/>
    </row>
    <row r="178" spans="1:8" x14ac:dyDescent="0.25">
      <c r="A178" s="3"/>
      <c r="B178" s="3"/>
      <c r="C178" s="3"/>
      <c r="D178" s="3"/>
      <c r="G178" s="14"/>
      <c r="H178" s="14"/>
    </row>
    <row r="179" spans="1:8" x14ac:dyDescent="0.25">
      <c r="A179" s="3"/>
      <c r="B179" s="3"/>
      <c r="C179" s="3"/>
      <c r="D179" s="3"/>
      <c r="G179" s="14"/>
      <c r="H179" s="14"/>
    </row>
    <row r="180" spans="1:8" x14ac:dyDescent="0.25">
      <c r="A180" s="3"/>
      <c r="B180" s="3"/>
      <c r="C180" s="3"/>
      <c r="D180" s="3"/>
      <c r="G180" s="14"/>
      <c r="H180" s="14"/>
    </row>
    <row r="181" spans="1:8" x14ac:dyDescent="0.25">
      <c r="A181" s="3"/>
      <c r="B181" s="3"/>
      <c r="C181" s="3"/>
      <c r="D181" s="3"/>
      <c r="G181" s="14"/>
      <c r="H181" s="14"/>
    </row>
    <row r="182" spans="1:8" x14ac:dyDescent="0.25">
      <c r="A182" s="3"/>
      <c r="B182" s="3"/>
      <c r="C182" s="3"/>
      <c r="D182" s="3"/>
      <c r="G182" s="14"/>
      <c r="H182" s="14"/>
    </row>
    <row r="183" spans="1:8" x14ac:dyDescent="0.25">
      <c r="A183" s="3"/>
      <c r="B183" s="3"/>
      <c r="C183" s="3"/>
      <c r="D183" s="3"/>
      <c r="G183" s="14"/>
      <c r="H183" s="14"/>
    </row>
    <row r="184" spans="1:8" x14ac:dyDescent="0.25">
      <c r="A184" s="3"/>
      <c r="B184" s="3"/>
      <c r="C184" s="3"/>
      <c r="D184" s="3"/>
      <c r="G184" s="14"/>
      <c r="H184" s="14"/>
    </row>
    <row r="185" spans="1:8" x14ac:dyDescent="0.25">
      <c r="A185" s="3"/>
      <c r="B185" s="3"/>
      <c r="C185" s="3"/>
      <c r="D185" s="3"/>
      <c r="G185" s="14"/>
      <c r="H185" s="14"/>
    </row>
    <row r="186" spans="1:8" x14ac:dyDescent="0.25">
      <c r="A186" s="3"/>
      <c r="B186" s="3"/>
      <c r="C186" s="3"/>
      <c r="D186" s="3"/>
      <c r="G186" s="14"/>
      <c r="H186" s="14"/>
    </row>
    <row r="187" spans="1:8" x14ac:dyDescent="0.25">
      <c r="A187" s="3"/>
      <c r="B187" s="3"/>
      <c r="C187" s="3"/>
      <c r="D187" s="3"/>
      <c r="G187" s="14"/>
      <c r="H187" s="14"/>
    </row>
    <row r="188" spans="1:8" x14ac:dyDescent="0.25">
      <c r="A188" s="3"/>
      <c r="B188" s="3"/>
      <c r="C188" s="3"/>
      <c r="D188" s="3"/>
      <c r="G188" s="14"/>
      <c r="H188" s="14"/>
    </row>
    <row r="189" spans="1:8" x14ac:dyDescent="0.25">
      <c r="A189" s="3"/>
      <c r="B189" s="3"/>
      <c r="C189" s="3"/>
      <c r="D189" s="3"/>
      <c r="G189" s="14"/>
      <c r="H189" s="14"/>
    </row>
    <row r="190" spans="1:8" x14ac:dyDescent="0.25">
      <c r="A190" s="3"/>
      <c r="B190" s="3"/>
      <c r="C190" s="3"/>
      <c r="D190" s="3"/>
      <c r="G190" s="14"/>
      <c r="H190" s="14"/>
    </row>
    <row r="191" spans="1:8" x14ac:dyDescent="0.25">
      <c r="A191" s="3"/>
      <c r="B191" s="3"/>
      <c r="C191" s="3"/>
      <c r="D191" s="3"/>
      <c r="G191" s="14"/>
      <c r="H191" s="14"/>
    </row>
    <row r="192" spans="1:8" x14ac:dyDescent="0.25">
      <c r="A192" s="3"/>
      <c r="B192" s="3"/>
      <c r="C192" s="3"/>
      <c r="D192" s="3"/>
      <c r="G192" s="14"/>
      <c r="H192" s="14"/>
    </row>
    <row r="193" spans="1:8" x14ac:dyDescent="0.25">
      <c r="A193" s="3"/>
      <c r="B193" s="3"/>
      <c r="C193" s="3"/>
      <c r="D193" s="3"/>
      <c r="G193" s="14"/>
      <c r="H193" s="14"/>
    </row>
    <row r="194" spans="1:8" x14ac:dyDescent="0.25">
      <c r="A194" s="3"/>
      <c r="B194" s="3"/>
      <c r="C194" s="3"/>
      <c r="D194" s="3"/>
      <c r="G194" s="14"/>
      <c r="H194" s="14"/>
    </row>
    <row r="195" spans="1:8" x14ac:dyDescent="0.25">
      <c r="A195" s="3"/>
      <c r="B195" s="3"/>
      <c r="C195" s="3"/>
      <c r="D195" s="3"/>
      <c r="G195" s="14"/>
      <c r="H195" s="14"/>
    </row>
    <row r="196" spans="1:8" x14ac:dyDescent="0.25">
      <c r="A196" s="3"/>
      <c r="B196" s="3"/>
      <c r="C196" s="3"/>
      <c r="D196" s="3"/>
      <c r="G196" s="14"/>
      <c r="H196" s="14"/>
    </row>
    <row r="197" spans="1:8" x14ac:dyDescent="0.25">
      <c r="A197" s="3"/>
      <c r="B197" s="3"/>
      <c r="C197" s="3"/>
      <c r="D197" s="3"/>
      <c r="G197" s="14"/>
      <c r="H197" s="14"/>
    </row>
    <row r="198" spans="1:8" x14ac:dyDescent="0.25">
      <c r="A198" s="3"/>
      <c r="B198" s="3"/>
      <c r="C198" s="3"/>
      <c r="D198" s="3"/>
      <c r="G198" s="14"/>
      <c r="H198" s="14"/>
    </row>
    <row r="199" spans="1:8" x14ac:dyDescent="0.25">
      <c r="A199" s="3"/>
      <c r="B199" s="3"/>
      <c r="C199" s="3"/>
      <c r="D199" s="3"/>
      <c r="G199" s="14"/>
      <c r="H199" s="14"/>
    </row>
    <row r="200" spans="1:8" x14ac:dyDescent="0.25">
      <c r="A200" s="3"/>
      <c r="B200" s="3"/>
      <c r="C200" s="3"/>
      <c r="D200" s="3"/>
      <c r="G200" s="14"/>
      <c r="H200" s="14"/>
    </row>
    <row r="201" spans="1:8" x14ac:dyDescent="0.25">
      <c r="A201" s="3"/>
      <c r="B201" s="3"/>
      <c r="C201" s="3"/>
      <c r="D201" s="3"/>
      <c r="G201" s="14"/>
      <c r="H201" s="14"/>
    </row>
    <row r="202" spans="1:8" x14ac:dyDescent="0.25">
      <c r="A202" s="3"/>
      <c r="B202" s="3"/>
      <c r="C202" s="3"/>
      <c r="D202" s="3"/>
      <c r="G202" s="14"/>
      <c r="H202" s="14"/>
    </row>
    <row r="203" spans="1:8" x14ac:dyDescent="0.25">
      <c r="A203" s="3"/>
      <c r="B203" s="3"/>
      <c r="C203" s="3"/>
      <c r="D203" s="3"/>
      <c r="G203" s="14"/>
      <c r="H203" s="14"/>
    </row>
    <row r="204" spans="1:8" x14ac:dyDescent="0.25">
      <c r="A204" s="3"/>
      <c r="B204" s="3"/>
      <c r="C204" s="3"/>
      <c r="D204" s="3"/>
      <c r="G204" s="14"/>
      <c r="H204" s="14"/>
    </row>
    <row r="205" spans="1:8" x14ac:dyDescent="0.25">
      <c r="A205" s="3"/>
      <c r="B205" s="3"/>
      <c r="C205" s="3"/>
      <c r="D205" s="3"/>
      <c r="G205" s="14"/>
      <c r="H205" s="14"/>
    </row>
    <row r="206" spans="1:8" x14ac:dyDescent="0.25">
      <c r="A206" s="3"/>
      <c r="B206" s="3"/>
      <c r="C206" s="3"/>
      <c r="D206" s="3"/>
      <c r="G206" s="14"/>
      <c r="H206" s="14"/>
    </row>
    <row r="207" spans="1:8" x14ac:dyDescent="0.25">
      <c r="A207" s="3"/>
      <c r="B207" s="3"/>
      <c r="C207" s="3"/>
      <c r="D207" s="3"/>
      <c r="G207" s="14"/>
      <c r="H207" s="14"/>
    </row>
    <row r="208" spans="1:8" x14ac:dyDescent="0.25">
      <c r="A208" s="3"/>
      <c r="B208" s="3"/>
      <c r="C208" s="3"/>
      <c r="D208" s="3"/>
      <c r="G208" s="14"/>
      <c r="H208" s="14"/>
    </row>
    <row r="209" spans="1:8" x14ac:dyDescent="0.25">
      <c r="A209" s="3"/>
      <c r="B209" s="3"/>
      <c r="C209" s="3"/>
      <c r="D209" s="3"/>
      <c r="G209" s="14"/>
      <c r="H209" s="14"/>
    </row>
    <row r="210" spans="1:8" x14ac:dyDescent="0.25">
      <c r="A210" s="3"/>
      <c r="B210" s="3"/>
      <c r="C210" s="3"/>
      <c r="D210" s="3"/>
      <c r="G210" s="14"/>
      <c r="H210" s="14"/>
    </row>
    <row r="211" spans="1:8" x14ac:dyDescent="0.25">
      <c r="A211" s="3"/>
      <c r="B211" s="3"/>
      <c r="C211" s="3"/>
      <c r="D211" s="3"/>
      <c r="G211" s="14"/>
      <c r="H211" s="14"/>
    </row>
    <row r="212" spans="1:8" x14ac:dyDescent="0.25">
      <c r="A212" s="3"/>
      <c r="B212" s="3"/>
      <c r="C212" s="3"/>
      <c r="D212" s="3"/>
      <c r="G212" s="14"/>
      <c r="H212" s="14"/>
    </row>
    <row r="213" spans="1:8" x14ac:dyDescent="0.25">
      <c r="A213" s="3"/>
      <c r="B213" s="3"/>
      <c r="C213" s="3"/>
      <c r="D213" s="3"/>
      <c r="G213" s="14"/>
      <c r="H213" s="14"/>
    </row>
    <row r="214" spans="1:8" x14ac:dyDescent="0.25">
      <c r="A214" s="3"/>
      <c r="B214" s="3"/>
      <c r="C214" s="3"/>
      <c r="D214" s="3"/>
      <c r="G214" s="14"/>
      <c r="H214" s="14"/>
    </row>
    <row r="215" spans="1:8" x14ac:dyDescent="0.25">
      <c r="A215" s="3"/>
      <c r="B215" s="3"/>
      <c r="C215" s="3"/>
      <c r="D215" s="3"/>
      <c r="G215" s="14"/>
      <c r="H215" s="14"/>
    </row>
    <row r="216" spans="1:8" x14ac:dyDescent="0.25">
      <c r="A216" s="3"/>
      <c r="B216" s="3"/>
      <c r="C216" s="3"/>
      <c r="D216" s="3"/>
      <c r="G216" s="14"/>
      <c r="H216" s="14"/>
    </row>
    <row r="217" spans="1:8" x14ac:dyDescent="0.25">
      <c r="A217" s="3"/>
      <c r="B217" s="3"/>
      <c r="C217" s="3"/>
      <c r="D217" s="3"/>
      <c r="G217" s="14"/>
      <c r="H217" s="14"/>
    </row>
    <row r="218" spans="1:8" x14ac:dyDescent="0.25">
      <c r="A218" s="3"/>
      <c r="B218" s="3"/>
      <c r="C218" s="3"/>
      <c r="D218" s="3"/>
      <c r="G218" s="14"/>
      <c r="H218" s="14"/>
    </row>
    <row r="219" spans="1:8" x14ac:dyDescent="0.25">
      <c r="A219" s="3"/>
      <c r="B219" s="3"/>
      <c r="C219" s="3"/>
      <c r="D219" s="3"/>
      <c r="G219" s="14"/>
      <c r="H219" s="14"/>
    </row>
    <row r="220" spans="1:8" x14ac:dyDescent="0.25">
      <c r="A220" s="3"/>
      <c r="B220" s="3"/>
      <c r="C220" s="3"/>
      <c r="D220" s="3"/>
      <c r="G220" s="14"/>
      <c r="H220" s="14"/>
    </row>
    <row r="221" spans="1:8" x14ac:dyDescent="0.25">
      <c r="A221" s="3"/>
      <c r="B221" s="3"/>
      <c r="C221" s="3"/>
      <c r="D221" s="3"/>
      <c r="G221" s="14"/>
      <c r="H221" s="14"/>
    </row>
    <row r="222" spans="1:8" x14ac:dyDescent="0.25">
      <c r="A222" s="3"/>
      <c r="B222" s="3"/>
      <c r="C222" s="3"/>
      <c r="D222" s="3"/>
      <c r="G222" s="14"/>
      <c r="H222" s="14"/>
    </row>
    <row r="223" spans="1:8" x14ac:dyDescent="0.25">
      <c r="A223" s="3"/>
      <c r="B223" s="3"/>
      <c r="C223" s="3"/>
      <c r="D223" s="3"/>
      <c r="G223" s="14"/>
      <c r="H223" s="14"/>
    </row>
    <row r="224" spans="1:8" x14ac:dyDescent="0.25">
      <c r="A224" s="3"/>
      <c r="B224" s="3"/>
      <c r="C224" s="3"/>
      <c r="D224" s="3"/>
      <c r="G224" s="14"/>
      <c r="H224" s="14"/>
    </row>
    <row r="225" spans="1:8" x14ac:dyDescent="0.25">
      <c r="A225" s="3"/>
      <c r="B225" s="3"/>
      <c r="C225" s="3"/>
      <c r="D225" s="3"/>
      <c r="G225" s="14"/>
      <c r="H225" s="14"/>
    </row>
    <row r="226" spans="1:8" x14ac:dyDescent="0.25">
      <c r="A226" s="3"/>
      <c r="B226" s="3"/>
      <c r="C226" s="3"/>
      <c r="D226" s="3"/>
      <c r="G226" s="14"/>
      <c r="H226" s="14"/>
    </row>
    <row r="227" spans="1:8" x14ac:dyDescent="0.25">
      <c r="A227" s="3"/>
      <c r="B227" s="3"/>
      <c r="C227" s="3"/>
      <c r="D227" s="3"/>
      <c r="G227" s="14"/>
      <c r="H227" s="14"/>
    </row>
    <row r="228" spans="1:8" x14ac:dyDescent="0.25">
      <c r="A228" s="3"/>
      <c r="B228" s="3"/>
      <c r="C228" s="3"/>
      <c r="D228" s="3"/>
      <c r="G228" s="14"/>
      <c r="H228" s="14"/>
    </row>
    <row r="229" spans="1:8" x14ac:dyDescent="0.25">
      <c r="A229" s="3"/>
      <c r="B229" s="3"/>
      <c r="C229" s="3"/>
      <c r="D229" s="3"/>
      <c r="G229" s="14"/>
      <c r="H229" s="14"/>
    </row>
    <row r="230" spans="1:8" x14ac:dyDescent="0.25">
      <c r="A230" s="3"/>
      <c r="B230" s="3"/>
      <c r="C230" s="3"/>
      <c r="D230" s="3"/>
      <c r="G230" s="14"/>
      <c r="H230" s="14"/>
    </row>
    <row r="231" spans="1:8" x14ac:dyDescent="0.25">
      <c r="A231" s="3"/>
      <c r="B231" s="3"/>
      <c r="C231" s="3"/>
      <c r="D231" s="3"/>
      <c r="G231" s="14"/>
      <c r="H231" s="14"/>
    </row>
    <row r="232" spans="1:8" x14ac:dyDescent="0.25">
      <c r="A232" s="3"/>
      <c r="B232" s="3"/>
      <c r="C232" s="3"/>
      <c r="D232" s="3"/>
      <c r="G232" s="14"/>
      <c r="H232" s="14"/>
    </row>
    <row r="233" spans="1:8" x14ac:dyDescent="0.25">
      <c r="A233" s="3"/>
      <c r="B233" s="3"/>
      <c r="C233" s="3"/>
      <c r="D233" s="3"/>
      <c r="G233" s="14"/>
      <c r="H233" s="14"/>
    </row>
    <row r="234" spans="1:8" x14ac:dyDescent="0.25">
      <c r="A234" s="3"/>
      <c r="B234" s="3"/>
      <c r="C234" s="3"/>
      <c r="D234" s="3"/>
      <c r="G234" s="14"/>
      <c r="H234" s="14"/>
    </row>
    <row r="235" spans="1:8" x14ac:dyDescent="0.25">
      <c r="A235" s="3"/>
      <c r="B235" s="3"/>
      <c r="C235" s="3"/>
      <c r="D235" s="3"/>
      <c r="G235" s="14"/>
      <c r="H235" s="14"/>
    </row>
    <row r="236" spans="1:8" x14ac:dyDescent="0.25">
      <c r="A236" s="3"/>
      <c r="B236" s="3"/>
      <c r="C236" s="3"/>
      <c r="D236" s="3"/>
      <c r="G236" s="14"/>
      <c r="H236" s="14"/>
    </row>
    <row r="237" spans="1:8" x14ac:dyDescent="0.25">
      <c r="A237" s="3"/>
      <c r="B237" s="3"/>
      <c r="C237" s="3"/>
      <c r="D237" s="3"/>
      <c r="G237" s="14"/>
      <c r="H237" s="14"/>
    </row>
    <row r="238" spans="1:8" x14ac:dyDescent="0.25">
      <c r="A238" s="3"/>
      <c r="B238" s="3"/>
      <c r="C238" s="3"/>
      <c r="D238" s="3"/>
      <c r="G238" s="14"/>
      <c r="H238" s="14"/>
    </row>
    <row r="239" spans="1:8" x14ac:dyDescent="0.25">
      <c r="A239" s="3"/>
      <c r="B239" s="3"/>
      <c r="C239" s="3"/>
      <c r="D239" s="3"/>
      <c r="G239" s="14"/>
      <c r="H239" s="14"/>
    </row>
    <row r="240" spans="1:8" x14ac:dyDescent="0.25">
      <c r="A240" s="3"/>
      <c r="B240" s="3"/>
      <c r="C240" s="3"/>
      <c r="D240" s="3"/>
      <c r="G240" s="14"/>
      <c r="H240" s="14"/>
    </row>
    <row r="241" spans="1:8" x14ac:dyDescent="0.25">
      <c r="A241" s="3"/>
      <c r="B241" s="3"/>
      <c r="C241" s="3"/>
      <c r="D241" s="3"/>
      <c r="G241" s="14"/>
      <c r="H241" s="14"/>
    </row>
    <row r="242" spans="1:8" x14ac:dyDescent="0.25">
      <c r="A242" s="3"/>
      <c r="B242" s="3"/>
      <c r="C242" s="3"/>
      <c r="D242" s="3"/>
      <c r="G242" s="14"/>
      <c r="H242" s="14"/>
    </row>
    <row r="243" spans="1:8" x14ac:dyDescent="0.25">
      <c r="A243" s="3"/>
      <c r="B243" s="3"/>
      <c r="C243" s="3"/>
      <c r="D243" s="3"/>
      <c r="G243" s="14"/>
      <c r="H243" s="14"/>
    </row>
    <row r="244" spans="1:8" x14ac:dyDescent="0.25">
      <c r="A244" s="3"/>
      <c r="B244" s="3"/>
      <c r="C244" s="3"/>
      <c r="D244" s="3"/>
      <c r="G244" s="14"/>
      <c r="H244" s="14"/>
    </row>
    <row r="245" spans="1:8" x14ac:dyDescent="0.25">
      <c r="A245" s="3"/>
      <c r="B245" s="3"/>
      <c r="C245" s="3"/>
      <c r="D245" s="3"/>
      <c r="G245" s="14"/>
      <c r="H245" s="14"/>
    </row>
    <row r="247" spans="1:8" x14ac:dyDescent="0.25">
      <c r="A247" s="3"/>
      <c r="G247" s="14"/>
      <c r="H247" s="14"/>
    </row>
  </sheetData>
  <phoneticPr fontId="1" type="noConversion"/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3D45C5-E0E3-4CD9-BCB9-71BC35E8F623}">
  <sheetPr/>
  <dimension ref="A1:I247"/>
  <sheetViews>
    <sheetView topLeftCell="A68" zoomScale="115" zoomScaleNormal="115" workbookViewId="0">
      <selection activeCell="A5" sqref="A5:H149"/>
    </sheetView>
  </sheetViews>
  <sheetFormatPr defaultRowHeight="15" x14ac:dyDescent="0.25"/>
  <cols>
    <col min="1" max="1" width="8.875" style="4" customWidth="1"/>
    <col min="2" max="3" width="15.125" style="4" customWidth="1"/>
    <col min="4" max="4" width="10.25" style="4" customWidth="1"/>
    <col min="5" max="5" width="12" style="13" customWidth="1"/>
    <col min="6" max="6" width="15" style="13" customWidth="1"/>
    <col min="7" max="7" width="13.875" customWidth="1"/>
    <col min="8" max="8" width="11.125" customWidth="1"/>
    <col min="11" max="12" width="15.125" customWidth="1"/>
    <col min="13" max="13" width="11.125" customWidth="1"/>
  </cols>
  <sheetData>
    <row r="1" spans="1:9" ht="14.25" x14ac:dyDescent="0.2">
      <c r="A1" s="2" t="s">
        <v>12</v>
      </c>
      <c r="B1" s="2" t="s">
        <v>4</v>
      </c>
      <c r="C1" s="2" t="s">
        <v>5</v>
      </c>
      <c r="D1" s="2" t="s">
        <v>13</v>
      </c>
      <c r="E1" s="2" t="s">
        <v>14</v>
      </c>
      <c r="F1" s="2" t="s">
        <v>15</v>
      </c>
      <c r="G1" s="2" t="s">
        <v>16</v>
      </c>
    </row>
    <row r="2" spans="1:9" x14ac:dyDescent="0.25">
      <c r="A2" s="11">
        <v>34</v>
      </c>
      <c r="B2" s="3">
        <v>113.3991257</v>
      </c>
      <c r="C2" s="8">
        <v>22.946411080000001</v>
      </c>
      <c r="D2" s="3">
        <v>1750</v>
      </c>
      <c r="E2" s="13">
        <v>1750</v>
      </c>
      <c r="F2" s="13">
        <v>11</v>
      </c>
      <c r="G2" s="19">
        <f>SUBTOTAL(2,A5:A250)</f>
        <v>49</v>
      </c>
    </row>
    <row r="3" spans="1:9" x14ac:dyDescent="0.25">
      <c r="A3" s="3"/>
      <c r="B3" s="3"/>
      <c r="C3" s="3"/>
      <c r="D3" s="3"/>
    </row>
    <row r="4" spans="1:9" ht="14.25" x14ac:dyDescent="0.2">
      <c r="A4" s="2" t="s">
        <v>0</v>
      </c>
      <c r="B4" s="2" t="s">
        <v>1</v>
      </c>
      <c r="C4" s="2" t="s">
        <v>2</v>
      </c>
      <c r="D4" s="2" t="s">
        <v>3</v>
      </c>
      <c r="E4" s="2" t="s">
        <v>7</v>
      </c>
      <c r="F4" s="2" t="s">
        <v>8</v>
      </c>
      <c r="G4" s="2" t="s">
        <v>13</v>
      </c>
      <c r="H4" s="2" t="s">
        <v>14</v>
      </c>
      <c r="I4" s="24" t="s">
        <v>20</v>
      </c>
    </row>
    <row r="5" spans="1:9" x14ac:dyDescent="0.25">
      <c r="A5" s="3">
        <v>3218</v>
      </c>
      <c r="B5" s="3">
        <v>113.3987631</v>
      </c>
      <c r="C5" s="3">
        <v>22.946192050000001</v>
      </c>
      <c r="D5" s="3">
        <v>34</v>
      </c>
      <c r="E5" s="13">
        <f t="shared" ref="E5:E36" si="0">SQRT((B5-$B$2)^2+(C5-$C$2)^2)</f>
        <v>4.2361881556647862E-4</v>
      </c>
      <c r="F5" s="13">
        <f t="shared" ref="F5:F36" si="1">SQRT(1/E5)</f>
        <v>48.586137980929614</v>
      </c>
      <c r="G5" s="14">
        <f>F5/$F$152*$D$2</f>
        <v>132.16701917845094</v>
      </c>
      <c r="H5" s="14">
        <f>F5/$F$152*$E$2</f>
        <v>132.16701917845094</v>
      </c>
      <c r="I5" s="25" t="str">
        <f>IF(MOD(ROW()-1,3)=1,"选中","")</f>
        <v>选中</v>
      </c>
    </row>
    <row r="6" spans="1:9" hidden="1" x14ac:dyDescent="0.25">
      <c r="A6" s="3">
        <v>3230</v>
      </c>
      <c r="B6" s="3">
        <v>113.3995333</v>
      </c>
      <c r="C6" s="3">
        <v>22.946554970000001</v>
      </c>
      <c r="D6" s="3">
        <v>34</v>
      </c>
      <c r="E6" s="13">
        <f t="shared" si="0"/>
        <v>4.322523477116572E-4</v>
      </c>
      <c r="F6" s="13">
        <f t="shared" si="1"/>
        <v>48.098476404144783</v>
      </c>
      <c r="G6" s="14">
        <f>F6/$F$124*$D$2</f>
        <v>9440.5275504369401</v>
      </c>
      <c r="H6" s="14">
        <f>F6/$F$124*$E$2</f>
        <v>9440.5275504369401</v>
      </c>
      <c r="I6" s="25" t="str">
        <f t="shared" ref="I6:I69" si="2">IF(MOD(ROW()-1,3)=1,"选中","")</f>
        <v/>
      </c>
    </row>
    <row r="7" spans="1:9" hidden="1" x14ac:dyDescent="0.25">
      <c r="A7" s="3">
        <v>3247</v>
      </c>
      <c r="B7" s="3">
        <v>113.3998244</v>
      </c>
      <c r="C7" s="3">
        <v>22.946174169999999</v>
      </c>
      <c r="D7" s="3">
        <v>34</v>
      </c>
      <c r="E7" s="13">
        <f t="shared" si="0"/>
        <v>7.3777234842607058E-4</v>
      </c>
      <c r="F7" s="13">
        <f t="shared" si="1"/>
        <v>36.816187492071094</v>
      </c>
      <c r="G7" s="14">
        <f>F7/$F$124*$D$2</f>
        <v>7226.0965066868202</v>
      </c>
      <c r="H7" s="14">
        <f>F7/$F$124*$E$2</f>
        <v>7226.0965066868202</v>
      </c>
      <c r="I7" s="25" t="str">
        <f t="shared" si="2"/>
        <v/>
      </c>
    </row>
    <row r="8" spans="1:9" x14ac:dyDescent="0.25">
      <c r="A8" s="3">
        <v>3227</v>
      </c>
      <c r="B8" s="3">
        <v>113.3999244</v>
      </c>
      <c r="C8" s="3">
        <v>22.946329120000001</v>
      </c>
      <c r="D8" s="3">
        <v>34</v>
      </c>
      <c r="E8" s="13">
        <f t="shared" si="0"/>
        <v>8.028942219288199E-4</v>
      </c>
      <c r="F8" s="13">
        <f t="shared" si="1"/>
        <v>35.291558192478071</v>
      </c>
      <c r="G8" s="14">
        <f>F8/$F$152*$D$2</f>
        <v>96.002280533049742</v>
      </c>
      <c r="H8" s="14">
        <f>F8/$F$152*$E$2</f>
        <v>96.002280533049742</v>
      </c>
      <c r="I8" s="25" t="str">
        <f t="shared" si="2"/>
        <v>选中</v>
      </c>
    </row>
    <row r="9" spans="1:9" hidden="1" x14ac:dyDescent="0.25">
      <c r="A9" s="3">
        <v>3225</v>
      </c>
      <c r="B9" s="3">
        <v>113.39911410000001</v>
      </c>
      <c r="C9" s="3">
        <v>22.947395570000001</v>
      </c>
      <c r="D9" s="3">
        <v>34</v>
      </c>
      <c r="E9" s="13">
        <f t="shared" si="0"/>
        <v>9.845583375812381E-4</v>
      </c>
      <c r="F9" s="13">
        <f t="shared" si="1"/>
        <v>31.869795215704919</v>
      </c>
      <c r="G9" s="14">
        <f>F9/$F$124*$D$2</f>
        <v>6255.2434557931028</v>
      </c>
      <c r="H9" s="14">
        <f>F9/$F$124*$E$2</f>
        <v>6255.2434557931028</v>
      </c>
      <c r="I9" s="25" t="str">
        <f t="shared" si="2"/>
        <v/>
      </c>
    </row>
    <row r="10" spans="1:9" hidden="1" x14ac:dyDescent="0.25">
      <c r="A10" s="3">
        <v>3237</v>
      </c>
      <c r="B10" s="3">
        <v>113.4003735</v>
      </c>
      <c r="C10" s="3">
        <v>22.946834979999998</v>
      </c>
      <c r="D10" s="3">
        <v>34</v>
      </c>
      <c r="E10" s="13">
        <f t="shared" si="0"/>
        <v>1.3178376417457434E-3</v>
      </c>
      <c r="F10" s="13">
        <f t="shared" si="1"/>
        <v>27.546666164285771</v>
      </c>
      <c r="G10" s="14">
        <f>F10/$F$124*$D$2</f>
        <v>5406.7213826386233</v>
      </c>
      <c r="H10" s="14">
        <f>F10/$F$124*$E$2</f>
        <v>5406.7213826386233</v>
      </c>
      <c r="I10" s="25" t="str">
        <f t="shared" si="2"/>
        <v/>
      </c>
    </row>
    <row r="11" spans="1:9" x14ac:dyDescent="0.25">
      <c r="A11" s="3">
        <v>3219</v>
      </c>
      <c r="B11" s="3">
        <v>113.398028</v>
      </c>
      <c r="C11" s="3">
        <v>22.945561260000002</v>
      </c>
      <c r="D11" s="3">
        <v>34</v>
      </c>
      <c r="E11" s="13">
        <f t="shared" si="0"/>
        <v>1.3882144367510564E-3</v>
      </c>
      <c r="F11" s="13">
        <f t="shared" si="1"/>
        <v>26.839333185753958</v>
      </c>
      <c r="G11" s="14">
        <f>F11/$F$152*$D$2</f>
        <v>73.010015023023811</v>
      </c>
      <c r="H11" s="14">
        <f>F11/$F$152*$E$2</f>
        <v>73.010015023023811</v>
      </c>
      <c r="I11" s="25" t="str">
        <f t="shared" si="2"/>
        <v>选中</v>
      </c>
    </row>
    <row r="12" spans="1:9" hidden="1" x14ac:dyDescent="0.25">
      <c r="A12" s="3">
        <v>3234</v>
      </c>
      <c r="B12" s="3">
        <v>113.39730179999999</v>
      </c>
      <c r="C12" s="3">
        <v>22.947271499999999</v>
      </c>
      <c r="D12" s="3">
        <v>34</v>
      </c>
      <c r="E12" s="13">
        <f t="shared" si="0"/>
        <v>2.0166640241786066E-3</v>
      </c>
      <c r="F12" s="13">
        <f t="shared" si="1"/>
        <v>22.268103159983269</v>
      </c>
      <c r="G12" s="14">
        <f>F12/$F$124*$D$2</f>
        <v>4370.6715283746171</v>
      </c>
      <c r="H12" s="14">
        <f>F12/$F$124*$E$2</f>
        <v>4370.6715283746171</v>
      </c>
      <c r="I12" s="25" t="str">
        <f t="shared" si="2"/>
        <v/>
      </c>
    </row>
    <row r="13" spans="1:9" hidden="1" x14ac:dyDescent="0.25">
      <c r="A13" s="3">
        <v>3221</v>
      </c>
      <c r="B13" s="3">
        <v>113.3969398</v>
      </c>
      <c r="C13" s="3">
        <v>22.946920639999998</v>
      </c>
      <c r="D13" s="3">
        <v>34</v>
      </c>
      <c r="E13" s="13">
        <f t="shared" si="0"/>
        <v>2.2445066726566624E-3</v>
      </c>
      <c r="F13" s="13">
        <f t="shared" si="1"/>
        <v>21.107633734709108</v>
      </c>
      <c r="G13" s="14">
        <f>F13/$F$124*$D$2</f>
        <v>4142.9004137827969</v>
      </c>
      <c r="H13" s="14">
        <f>F13/$F$124*$E$2</f>
        <v>4142.9004137827969</v>
      </c>
      <c r="I13" s="25" t="str">
        <f t="shared" si="2"/>
        <v/>
      </c>
    </row>
    <row r="14" spans="1:9" x14ac:dyDescent="0.25">
      <c r="A14" s="3">
        <v>3236</v>
      </c>
      <c r="B14" s="3">
        <v>113.4014258</v>
      </c>
      <c r="C14" s="3">
        <v>22.946856159999999</v>
      </c>
      <c r="D14" s="3">
        <v>34</v>
      </c>
      <c r="E14" s="13">
        <f t="shared" si="0"/>
        <v>2.3427667865999514E-3</v>
      </c>
      <c r="F14" s="13">
        <f t="shared" si="1"/>
        <v>20.660245166063184</v>
      </c>
      <c r="G14" s="14">
        <f>F14/$F$152*$D$2</f>
        <v>56.201277413042213</v>
      </c>
      <c r="H14" s="14">
        <f>F14/$F$152*$E$2</f>
        <v>56.201277413042213</v>
      </c>
      <c r="I14" s="25" t="str">
        <f t="shared" si="2"/>
        <v>选中</v>
      </c>
    </row>
    <row r="15" spans="1:9" hidden="1" x14ac:dyDescent="0.25">
      <c r="A15" s="3">
        <v>3233</v>
      </c>
      <c r="B15" s="3">
        <v>113.397622</v>
      </c>
      <c r="C15" s="3">
        <v>22.944386739999999</v>
      </c>
      <c r="D15" s="3">
        <v>34</v>
      </c>
      <c r="E15" s="13">
        <f t="shared" si="0"/>
        <v>2.52171888314497E-3</v>
      </c>
      <c r="F15" s="13">
        <f t="shared" si="1"/>
        <v>19.913686452187235</v>
      </c>
      <c r="G15" s="14">
        <f>F15/$F$124*$D$2</f>
        <v>3908.5584333901338</v>
      </c>
      <c r="H15" s="14">
        <f>F15/$F$124*$E$2</f>
        <v>3908.5584333901338</v>
      </c>
      <c r="I15" s="25" t="str">
        <f t="shared" si="2"/>
        <v/>
      </c>
    </row>
    <row r="16" spans="1:9" hidden="1" x14ac:dyDescent="0.25">
      <c r="A16" s="3">
        <v>3223</v>
      </c>
      <c r="B16" s="3">
        <v>113.3965487</v>
      </c>
      <c r="C16" s="3">
        <v>22.94695463</v>
      </c>
      <c r="D16" s="3">
        <v>34</v>
      </c>
      <c r="E16" s="13">
        <f t="shared" si="0"/>
        <v>2.6336999833905554E-3</v>
      </c>
      <c r="F16" s="13">
        <f t="shared" si="1"/>
        <v>19.48573758053341</v>
      </c>
      <c r="G16" s="14">
        <f>F16/$F$124*$D$2</f>
        <v>3824.5627766653774</v>
      </c>
      <c r="H16" s="14">
        <f>F16/$F$124*$E$2</f>
        <v>3824.5627766653774</v>
      </c>
      <c r="I16" s="25" t="str">
        <f t="shared" si="2"/>
        <v/>
      </c>
    </row>
    <row r="17" spans="1:9" x14ac:dyDescent="0.25">
      <c r="A17" s="3">
        <v>3226</v>
      </c>
      <c r="B17" s="3">
        <v>113.3966558</v>
      </c>
      <c r="C17" s="3">
        <v>22.945392290000001</v>
      </c>
      <c r="D17" s="3">
        <v>34</v>
      </c>
      <c r="E17" s="13">
        <f t="shared" si="0"/>
        <v>2.6717670321475821E-3</v>
      </c>
      <c r="F17" s="13">
        <f t="shared" si="1"/>
        <v>19.346424225245222</v>
      </c>
      <c r="G17" s="14">
        <f>F17/$F$152*$D$2</f>
        <v>52.627340387006214</v>
      </c>
      <c r="H17" s="14">
        <f>F17/$F$152*$E$2</f>
        <v>52.627340387006214</v>
      </c>
      <c r="I17" s="25" t="str">
        <f t="shared" si="2"/>
        <v>选中</v>
      </c>
    </row>
    <row r="18" spans="1:9" hidden="1" x14ac:dyDescent="0.25">
      <c r="A18" s="3">
        <v>3231</v>
      </c>
      <c r="B18" s="3">
        <v>113.3966669</v>
      </c>
      <c r="C18" s="3">
        <v>22.944999459999998</v>
      </c>
      <c r="D18" s="3">
        <v>34</v>
      </c>
      <c r="E18" s="13">
        <f t="shared" si="0"/>
        <v>2.8352016620346861E-3</v>
      </c>
      <c r="F18" s="13">
        <f t="shared" si="1"/>
        <v>18.780537714584401</v>
      </c>
      <c r="G18" s="14">
        <f>F18/$F$124*$D$2</f>
        <v>3686.1496862565023</v>
      </c>
      <c r="H18" s="14">
        <f>F18/$F$124*$E$2</f>
        <v>3686.1496862565023</v>
      </c>
      <c r="I18" s="25" t="str">
        <f t="shared" si="2"/>
        <v/>
      </c>
    </row>
    <row r="19" spans="1:9" hidden="1" x14ac:dyDescent="0.25">
      <c r="A19" s="3">
        <v>3232</v>
      </c>
      <c r="B19" s="3">
        <v>113.3962447</v>
      </c>
      <c r="C19" s="3">
        <v>22.94668575</v>
      </c>
      <c r="D19" s="3">
        <v>34</v>
      </c>
      <c r="E19" s="13">
        <f t="shared" si="0"/>
        <v>2.8940636843221086E-3</v>
      </c>
      <c r="F19" s="13">
        <f t="shared" si="1"/>
        <v>18.588569014616095</v>
      </c>
      <c r="G19" s="14">
        <f>F19/$F$124*$D$2</f>
        <v>3648.471033285361</v>
      </c>
      <c r="H19" s="14">
        <f>F19/$F$124*$E$2</f>
        <v>3648.471033285361</v>
      </c>
      <c r="I19" s="25" t="str">
        <f t="shared" si="2"/>
        <v/>
      </c>
    </row>
    <row r="20" spans="1:9" x14ac:dyDescent="0.25">
      <c r="A20" s="3">
        <v>3220</v>
      </c>
      <c r="B20" s="3">
        <v>113.39763170000001</v>
      </c>
      <c r="C20" s="3">
        <v>22.94913172</v>
      </c>
      <c r="D20" s="3">
        <v>34</v>
      </c>
      <c r="E20" s="13">
        <f t="shared" si="0"/>
        <v>3.1038553461107381E-3</v>
      </c>
      <c r="F20" s="13">
        <f t="shared" si="1"/>
        <v>17.949372212342809</v>
      </c>
      <c r="G20" s="14">
        <f>F20/$F$152*$D$2</f>
        <v>48.826993048120357</v>
      </c>
      <c r="H20" s="14">
        <f>F20/$F$152*$E$2</f>
        <v>48.826993048120357</v>
      </c>
      <c r="I20" s="25" t="str">
        <f t="shared" si="2"/>
        <v>选中</v>
      </c>
    </row>
    <row r="21" spans="1:9" hidden="1" x14ac:dyDescent="0.25">
      <c r="A21" s="3">
        <v>3265</v>
      </c>
      <c r="B21" s="3">
        <v>113.402208</v>
      </c>
      <c r="C21" s="3">
        <v>22.947553039999999</v>
      </c>
      <c r="D21" s="3">
        <v>34</v>
      </c>
      <c r="E21" s="13">
        <f t="shared" si="0"/>
        <v>3.287042125013346E-3</v>
      </c>
      <c r="F21" s="13">
        <f t="shared" si="1"/>
        <v>17.442043492825135</v>
      </c>
      <c r="G21" s="14">
        <f>F21/$F$124*$D$2</f>
        <v>3423.4367580871158</v>
      </c>
      <c r="H21" s="14">
        <f>F21/$F$124*$E$2</f>
        <v>3423.4367580871158</v>
      </c>
      <c r="I21" s="25" t="str">
        <f t="shared" si="2"/>
        <v/>
      </c>
    </row>
    <row r="22" spans="1:9" hidden="1" x14ac:dyDescent="0.25">
      <c r="A22" s="3">
        <v>3264</v>
      </c>
      <c r="B22" s="3">
        <v>113.40244819999999</v>
      </c>
      <c r="C22" s="3">
        <v>22.947263230000001</v>
      </c>
      <c r="D22" s="3">
        <v>34</v>
      </c>
      <c r="E22" s="13">
        <f t="shared" si="0"/>
        <v>3.4300387567012753E-3</v>
      </c>
      <c r="F22" s="13">
        <f t="shared" si="1"/>
        <v>17.074597953578373</v>
      </c>
      <c r="G22" s="14">
        <f>F22/$F$124*$D$2</f>
        <v>3351.3163917911615</v>
      </c>
      <c r="H22" s="14">
        <f>F22/$F$124*$E$2</f>
        <v>3351.3163917911615</v>
      </c>
      <c r="I22" s="25" t="str">
        <f t="shared" si="2"/>
        <v/>
      </c>
    </row>
    <row r="23" spans="1:9" x14ac:dyDescent="0.25">
      <c r="A23" s="3">
        <v>3229</v>
      </c>
      <c r="B23" s="3">
        <v>113.39584480000001</v>
      </c>
      <c r="C23" s="3">
        <v>22.945315340000001</v>
      </c>
      <c r="D23" s="3">
        <v>34</v>
      </c>
      <c r="E23" s="13">
        <f t="shared" si="0"/>
        <v>3.4590390222653013E-3</v>
      </c>
      <c r="F23" s="13">
        <f t="shared" si="1"/>
        <v>17.002871369120367</v>
      </c>
      <c r="G23" s="14">
        <f>F23/$F$152*$D$2</f>
        <v>46.252262882333127</v>
      </c>
      <c r="H23" s="14">
        <f>F23/$F$152*$E$2</f>
        <v>46.252262882333127</v>
      </c>
      <c r="I23" s="25" t="str">
        <f t="shared" si="2"/>
        <v>选中</v>
      </c>
    </row>
    <row r="24" spans="1:9" hidden="1" x14ac:dyDescent="0.25">
      <c r="A24" s="3">
        <v>3846</v>
      </c>
      <c r="B24" s="3">
        <v>113.3983333</v>
      </c>
      <c r="C24" s="3">
        <v>22.942937390000001</v>
      </c>
      <c r="D24" s="3">
        <v>34</v>
      </c>
      <c r="E24" s="13">
        <f t="shared" si="0"/>
        <v>3.5629229539930365E-3</v>
      </c>
      <c r="F24" s="13">
        <f t="shared" si="1"/>
        <v>16.753161860593657</v>
      </c>
      <c r="G24" s="14">
        <f>F24/$F$124*$D$2</f>
        <v>3288.226528693845</v>
      </c>
      <c r="H24" s="14">
        <f>F24/$F$124*$E$2</f>
        <v>3288.226528693845</v>
      </c>
      <c r="I24" s="25" t="str">
        <f t="shared" si="2"/>
        <v/>
      </c>
    </row>
    <row r="25" spans="1:9" hidden="1" x14ac:dyDescent="0.25">
      <c r="A25" s="3">
        <v>3242</v>
      </c>
      <c r="B25" s="3">
        <v>113.39673759999999</v>
      </c>
      <c r="C25" s="3">
        <v>22.949181679999999</v>
      </c>
      <c r="D25" s="3">
        <v>34</v>
      </c>
      <c r="E25" s="13">
        <f t="shared" si="0"/>
        <v>3.6577651605879595E-3</v>
      </c>
      <c r="F25" s="13">
        <f t="shared" si="1"/>
        <v>16.53453898633623</v>
      </c>
      <c r="G25" s="14">
        <f>F25/$F$124*$D$2</f>
        <v>3245.3163281660563</v>
      </c>
      <c r="H25" s="14">
        <f>F25/$F$124*$E$2</f>
        <v>3245.3163281660563</v>
      </c>
      <c r="I25" s="25" t="str">
        <f t="shared" si="2"/>
        <v/>
      </c>
    </row>
    <row r="26" spans="1:9" x14ac:dyDescent="0.25">
      <c r="A26" s="3">
        <v>3857</v>
      </c>
      <c r="B26" s="3">
        <v>113.39882540000001</v>
      </c>
      <c r="C26" s="3">
        <v>22.94261857</v>
      </c>
      <c r="D26" s="3">
        <v>34</v>
      </c>
      <c r="E26" s="13">
        <f t="shared" si="0"/>
        <v>3.8043806578860074E-3</v>
      </c>
      <c r="F26" s="13">
        <f t="shared" si="1"/>
        <v>16.212799708884841</v>
      </c>
      <c r="G26" s="14">
        <f>F26/$F$152*$D$2</f>
        <v>44.10306106037136</v>
      </c>
      <c r="H26" s="14">
        <f>F26/$F$152*$E$2</f>
        <v>44.10306106037136</v>
      </c>
      <c r="I26" s="25" t="str">
        <f t="shared" si="2"/>
        <v>选中</v>
      </c>
    </row>
    <row r="27" spans="1:9" hidden="1" x14ac:dyDescent="0.25">
      <c r="A27" s="3">
        <v>3263</v>
      </c>
      <c r="B27" s="3">
        <v>113.40277020000001</v>
      </c>
      <c r="C27" s="3">
        <v>22.94809596</v>
      </c>
      <c r="D27" s="3">
        <v>34</v>
      </c>
      <c r="E27" s="13">
        <f t="shared" si="0"/>
        <v>4.0151215254895043E-3</v>
      </c>
      <c r="F27" s="13">
        <f t="shared" si="1"/>
        <v>15.781586232758059</v>
      </c>
      <c r="G27" s="14">
        <f>F27/$F$124*$D$2</f>
        <v>3097.5305406370458</v>
      </c>
      <c r="H27" s="14">
        <f>F27/$F$124*$E$2</f>
        <v>3097.5305406370458</v>
      </c>
      <c r="I27" s="25" t="str">
        <f t="shared" si="2"/>
        <v/>
      </c>
    </row>
    <row r="28" spans="1:9" hidden="1" x14ac:dyDescent="0.25">
      <c r="A28" s="3">
        <v>3842</v>
      </c>
      <c r="B28" s="3">
        <v>113.3990755</v>
      </c>
      <c r="C28" s="3">
        <v>22.94223276</v>
      </c>
      <c r="D28" s="3">
        <v>34</v>
      </c>
      <c r="E28" s="13">
        <f t="shared" si="0"/>
        <v>4.1786215505128311E-3</v>
      </c>
      <c r="F28" s="13">
        <f t="shared" si="1"/>
        <v>15.469756583530707</v>
      </c>
      <c r="G28" s="14">
        <f>F28/$F$124*$D$2</f>
        <v>3036.3261821072974</v>
      </c>
      <c r="H28" s="14">
        <f>F28/$F$124*$E$2</f>
        <v>3036.3261821072974</v>
      </c>
      <c r="I28" s="25" t="str">
        <f t="shared" si="2"/>
        <v/>
      </c>
    </row>
    <row r="29" spans="1:9" x14ac:dyDescent="0.25">
      <c r="A29" s="3">
        <v>3261</v>
      </c>
      <c r="B29" s="3">
        <v>113.4030564</v>
      </c>
      <c r="C29" s="3">
        <v>22.947888129999999</v>
      </c>
      <c r="D29" s="3">
        <v>34</v>
      </c>
      <c r="E29" s="13">
        <f t="shared" si="0"/>
        <v>4.1990569408474265E-3</v>
      </c>
      <c r="F29" s="13">
        <f t="shared" si="1"/>
        <v>15.432067635454818</v>
      </c>
      <c r="G29" s="14">
        <f>F29/$F$152*$D$2</f>
        <v>41.979265360397036</v>
      </c>
      <c r="H29" s="14">
        <f>F29/$F$152*$E$2</f>
        <v>41.979265360397036</v>
      </c>
      <c r="I29" s="25" t="str">
        <f t="shared" si="2"/>
        <v>选中</v>
      </c>
    </row>
    <row r="30" spans="1:9" hidden="1" x14ac:dyDescent="0.25">
      <c r="A30" s="3">
        <v>3269</v>
      </c>
      <c r="B30" s="3">
        <v>113.4037367</v>
      </c>
      <c r="C30" s="3">
        <v>22.947373549999998</v>
      </c>
      <c r="D30" s="3">
        <v>34</v>
      </c>
      <c r="E30" s="13">
        <f t="shared" si="0"/>
        <v>4.7103789126638025E-3</v>
      </c>
      <c r="F30" s="13">
        <f t="shared" si="1"/>
        <v>14.570420242937782</v>
      </c>
      <c r="G30" s="14">
        <f>F30/$F$124*$D$2</f>
        <v>2859.8089587936497</v>
      </c>
      <c r="H30" s="14">
        <f>F30/$F$124*$E$2</f>
        <v>2859.8089587936497</v>
      </c>
      <c r="I30" s="25" t="str">
        <f t="shared" si="2"/>
        <v/>
      </c>
    </row>
    <row r="31" spans="1:9" hidden="1" x14ac:dyDescent="0.25">
      <c r="A31" s="3">
        <v>3271</v>
      </c>
      <c r="B31" s="3">
        <v>113.4037367</v>
      </c>
      <c r="C31" s="3">
        <v>22.947373549999998</v>
      </c>
      <c r="D31" s="3">
        <v>34</v>
      </c>
      <c r="E31" s="13">
        <f t="shared" si="0"/>
        <v>4.7103789126638025E-3</v>
      </c>
      <c r="F31" s="13">
        <f t="shared" si="1"/>
        <v>14.570420242937782</v>
      </c>
      <c r="G31" s="14">
        <f>F31/$F$124*$D$2</f>
        <v>2859.8089587936497</v>
      </c>
      <c r="H31" s="14">
        <f>F31/$F$124*$E$2</f>
        <v>2859.8089587936497</v>
      </c>
      <c r="I31" s="25" t="str">
        <f t="shared" si="2"/>
        <v/>
      </c>
    </row>
    <row r="32" spans="1:9" x14ac:dyDescent="0.25">
      <c r="A32" s="3">
        <v>3267</v>
      </c>
      <c r="B32" s="3">
        <v>113.4022239</v>
      </c>
      <c r="C32" s="3">
        <v>22.950058980000001</v>
      </c>
      <c r="D32" s="3">
        <v>34</v>
      </c>
      <c r="E32" s="13">
        <f t="shared" si="0"/>
        <v>4.7860231560225572E-3</v>
      </c>
      <c r="F32" s="13">
        <f t="shared" si="1"/>
        <v>14.454817147488169</v>
      </c>
      <c r="G32" s="14">
        <f>F32/$F$152*$D$2</f>
        <v>39.320888108104725</v>
      </c>
      <c r="H32" s="14">
        <f>F32/$F$152*$E$2</f>
        <v>39.320888108104725</v>
      </c>
      <c r="I32" s="25" t="str">
        <f t="shared" si="2"/>
        <v>选中</v>
      </c>
    </row>
    <row r="33" spans="1:9" hidden="1" x14ac:dyDescent="0.25">
      <c r="A33" s="3">
        <v>3275</v>
      </c>
      <c r="B33" s="3">
        <v>113.40401490000001</v>
      </c>
      <c r="C33" s="3">
        <v>22.94670292</v>
      </c>
      <c r="D33" s="3">
        <v>34</v>
      </c>
      <c r="E33" s="13">
        <f t="shared" si="0"/>
        <v>4.8979023291280564E-3</v>
      </c>
      <c r="F33" s="13">
        <f t="shared" si="1"/>
        <v>14.288773097107635</v>
      </c>
      <c r="G33" s="14">
        <f>F33/$F$124*$D$2</f>
        <v>2804.5286705497938</v>
      </c>
      <c r="H33" s="14">
        <f>F33/$F$124*$E$2</f>
        <v>2804.5286705497938</v>
      </c>
      <c r="I33" s="25" t="str">
        <f t="shared" si="2"/>
        <v/>
      </c>
    </row>
    <row r="34" spans="1:9" hidden="1" x14ac:dyDescent="0.25">
      <c r="A34" s="3">
        <v>3258</v>
      </c>
      <c r="B34" s="3">
        <v>113.4038867</v>
      </c>
      <c r="C34" s="3">
        <v>22.947903369999999</v>
      </c>
      <c r="D34" s="3">
        <v>34</v>
      </c>
      <c r="E34" s="13">
        <f t="shared" si="0"/>
        <v>4.9893937952534273E-3</v>
      </c>
      <c r="F34" s="13">
        <f t="shared" si="1"/>
        <v>14.157158967657596</v>
      </c>
      <c r="G34" s="14">
        <f>F34/$F$124*$D$2</f>
        <v>2778.6961097705339</v>
      </c>
      <c r="H34" s="14">
        <f>F34/$F$124*$E$2</f>
        <v>2778.6961097705339</v>
      </c>
      <c r="I34" s="25" t="str">
        <f t="shared" si="2"/>
        <v/>
      </c>
    </row>
    <row r="35" spans="1:9" x14ac:dyDescent="0.25">
      <c r="A35" s="3">
        <v>3853</v>
      </c>
      <c r="B35" s="3">
        <v>113.4005059</v>
      </c>
      <c r="C35" s="3">
        <v>22.941500260000002</v>
      </c>
      <c r="D35" s="3">
        <v>34</v>
      </c>
      <c r="E35" s="13">
        <f t="shared" si="0"/>
        <v>5.1010886203232868E-3</v>
      </c>
      <c r="F35" s="13">
        <f t="shared" si="1"/>
        <v>14.001306595807186</v>
      </c>
      <c r="G35" s="14">
        <f>F35/$F$152*$D$2</f>
        <v>38.087220640952332</v>
      </c>
      <c r="H35" s="14">
        <f>F35/$F$152*$E$2</f>
        <v>38.087220640952332</v>
      </c>
      <c r="I35" s="25" t="str">
        <f t="shared" si="2"/>
        <v>选中</v>
      </c>
    </row>
    <row r="36" spans="1:9" hidden="1" x14ac:dyDescent="0.25">
      <c r="A36" s="3">
        <v>3235</v>
      </c>
      <c r="B36" s="3">
        <v>113.3943378</v>
      </c>
      <c r="C36" s="3">
        <v>22.944351860000001</v>
      </c>
      <c r="D36" s="3">
        <v>34</v>
      </c>
      <c r="E36" s="13">
        <f t="shared" si="0"/>
        <v>5.2119452624107606E-3</v>
      </c>
      <c r="F36" s="13">
        <f t="shared" si="1"/>
        <v>13.851604315776902</v>
      </c>
      <c r="G36" s="14">
        <f>F36/$F$124*$D$2</f>
        <v>2718.7233762268306</v>
      </c>
      <c r="H36" s="14">
        <f>F36/$F$124*$E$2</f>
        <v>2718.7233762268306</v>
      </c>
      <c r="I36" s="25" t="str">
        <f t="shared" si="2"/>
        <v/>
      </c>
    </row>
    <row r="37" spans="1:9" hidden="1" x14ac:dyDescent="0.25">
      <c r="A37" s="3">
        <v>3873</v>
      </c>
      <c r="B37" s="3">
        <v>113.4020544</v>
      </c>
      <c r="C37" s="3">
        <v>22.942050340000002</v>
      </c>
      <c r="D37" s="3">
        <v>34</v>
      </c>
      <c r="E37" s="13">
        <f t="shared" ref="E37:E68" si="3">SQRT((B37-$B$2)^2+(C37-$C$2)^2)</f>
        <v>5.2529360397384076E-3</v>
      </c>
      <c r="F37" s="13">
        <f t="shared" ref="F37:F68" si="4">SQRT(1/E37)</f>
        <v>13.797453643035146</v>
      </c>
      <c r="G37" s="14">
        <f>F37/$F$124*$D$2</f>
        <v>2708.0949539542039</v>
      </c>
      <c r="H37" s="14">
        <f>F37/$F$124*$E$2</f>
        <v>2708.0949539542039</v>
      </c>
      <c r="I37" s="25" t="str">
        <f t="shared" si="2"/>
        <v/>
      </c>
    </row>
    <row r="38" spans="1:9" x14ac:dyDescent="0.25">
      <c r="A38" s="3">
        <v>3238</v>
      </c>
      <c r="B38" s="3">
        <v>113.39433080000001</v>
      </c>
      <c r="C38" s="3">
        <v>22.944224909999999</v>
      </c>
      <c r="D38" s="3">
        <v>34</v>
      </c>
      <c r="E38" s="13">
        <f t="shared" si="3"/>
        <v>5.2697633038725428E-3</v>
      </c>
      <c r="F38" s="13">
        <f t="shared" si="4"/>
        <v>13.775407203529765</v>
      </c>
      <c r="G38" s="14">
        <f>F38/$F$152*$D$2</f>
        <v>37.472715134808809</v>
      </c>
      <c r="H38" s="14">
        <f>F38/$F$152*$E$2</f>
        <v>37.472715134808809</v>
      </c>
      <c r="I38" s="25" t="str">
        <f t="shared" si="2"/>
        <v>选中</v>
      </c>
    </row>
    <row r="39" spans="1:9" hidden="1" x14ac:dyDescent="0.25">
      <c r="A39" s="3">
        <v>3222</v>
      </c>
      <c r="B39" s="3">
        <v>113.39561140000001</v>
      </c>
      <c r="C39" s="3">
        <v>22.950485149999999</v>
      </c>
      <c r="D39" s="3">
        <v>34</v>
      </c>
      <c r="E39" s="13">
        <f t="shared" si="3"/>
        <v>5.380367167287633E-3</v>
      </c>
      <c r="F39" s="13">
        <f t="shared" si="4"/>
        <v>13.633081880189902</v>
      </c>
      <c r="G39" s="14">
        <f>F39/$F$124*$D$2</f>
        <v>2675.832889297189</v>
      </c>
      <c r="H39" s="14">
        <f>F39/$F$124*$E$2</f>
        <v>2675.832889297189</v>
      </c>
      <c r="I39" s="25" t="str">
        <f t="shared" si="2"/>
        <v/>
      </c>
    </row>
    <row r="40" spans="1:9" hidden="1" x14ac:dyDescent="0.25">
      <c r="A40" s="3">
        <v>3257</v>
      </c>
      <c r="B40" s="3">
        <v>113.4041838</v>
      </c>
      <c r="C40" s="3">
        <v>22.94859117</v>
      </c>
      <c r="D40" s="3">
        <v>34</v>
      </c>
      <c r="E40" s="13">
        <f t="shared" si="3"/>
        <v>5.5079186648035973E-3</v>
      </c>
      <c r="F40" s="13">
        <f t="shared" si="4"/>
        <v>13.474300877014331</v>
      </c>
      <c r="G40" s="14">
        <f>F40/$F$124*$D$2</f>
        <v>2644.6681508890547</v>
      </c>
      <c r="H40" s="14">
        <f>F40/$F$124*$E$2</f>
        <v>2644.6681508890547</v>
      </c>
      <c r="I40" s="25" t="str">
        <f t="shared" si="2"/>
        <v/>
      </c>
    </row>
    <row r="41" spans="1:9" x14ac:dyDescent="0.25">
      <c r="A41" s="3">
        <v>3840</v>
      </c>
      <c r="B41" s="3">
        <v>113.3952769</v>
      </c>
      <c r="C41" s="3">
        <v>22.942455580000001</v>
      </c>
      <c r="D41" s="3">
        <v>34</v>
      </c>
      <c r="E41" s="13">
        <f t="shared" si="3"/>
        <v>5.5189891909661094E-3</v>
      </c>
      <c r="F41" s="13">
        <f t="shared" si="4"/>
        <v>13.460780060605648</v>
      </c>
      <c r="G41" s="14">
        <f>F41/$F$152*$D$2</f>
        <v>36.616846910640945</v>
      </c>
      <c r="H41" s="14">
        <f>F41/$F$152*$E$2</f>
        <v>36.616846910640945</v>
      </c>
      <c r="I41" s="25" t="str">
        <f t="shared" si="2"/>
        <v>选中</v>
      </c>
    </row>
    <row r="42" spans="1:9" hidden="1" x14ac:dyDescent="0.25">
      <c r="A42" s="3">
        <v>3870</v>
      </c>
      <c r="B42" s="3">
        <v>113.40167030000001</v>
      </c>
      <c r="C42" s="3">
        <v>22.941474500000002</v>
      </c>
      <c r="D42" s="3">
        <v>34</v>
      </c>
      <c r="E42" s="13">
        <f t="shared" si="3"/>
        <v>5.5538105167917953E-3</v>
      </c>
      <c r="F42" s="13">
        <f t="shared" si="4"/>
        <v>13.418515455179859</v>
      </c>
      <c r="G42" s="14">
        <f>F42/$F$124*$D$2</f>
        <v>2633.7188682690403</v>
      </c>
      <c r="H42" s="14">
        <f>F42/$F$124*$E$2</f>
        <v>2633.7188682690403</v>
      </c>
      <c r="I42" s="25" t="str">
        <f t="shared" si="2"/>
        <v/>
      </c>
    </row>
    <row r="43" spans="1:9" hidden="1" x14ac:dyDescent="0.25">
      <c r="A43" s="3">
        <v>3243</v>
      </c>
      <c r="B43" s="3">
        <v>113.3942918</v>
      </c>
      <c r="C43" s="3">
        <v>22.943619170000002</v>
      </c>
      <c r="D43" s="3">
        <v>34</v>
      </c>
      <c r="E43" s="13">
        <f t="shared" si="3"/>
        <v>5.582235274335789E-3</v>
      </c>
      <c r="F43" s="13">
        <f t="shared" si="4"/>
        <v>13.384308294854842</v>
      </c>
      <c r="G43" s="14">
        <f>F43/$F$124*$D$2</f>
        <v>2627.004858520434</v>
      </c>
      <c r="H43" s="14">
        <f>F43/$F$124*$E$2</f>
        <v>2627.004858520434</v>
      </c>
      <c r="I43" s="25" t="str">
        <f t="shared" si="2"/>
        <v/>
      </c>
    </row>
    <row r="44" spans="1:9" x14ac:dyDescent="0.25">
      <c r="A44" s="3">
        <v>3869</v>
      </c>
      <c r="B44" s="3">
        <v>113.40339090000001</v>
      </c>
      <c r="C44" s="3">
        <v>22.94273441</v>
      </c>
      <c r="D44" s="3">
        <v>34</v>
      </c>
      <c r="E44" s="13">
        <f t="shared" si="3"/>
        <v>5.6311484911124388E-3</v>
      </c>
      <c r="F44" s="13">
        <f t="shared" si="4"/>
        <v>13.326052201275642</v>
      </c>
      <c r="G44" s="14">
        <f>F44/$F$152*$D$2</f>
        <v>36.250351850364083</v>
      </c>
      <c r="H44" s="14">
        <f>F44/$F$152*$E$2</f>
        <v>36.250351850364083</v>
      </c>
      <c r="I44" s="25" t="str">
        <f t="shared" si="2"/>
        <v>选中</v>
      </c>
    </row>
    <row r="45" spans="1:9" hidden="1" x14ac:dyDescent="0.25">
      <c r="A45" s="3">
        <v>3256</v>
      </c>
      <c r="B45" s="3">
        <v>113.4043509</v>
      </c>
      <c r="C45" s="3">
        <v>22.94887211</v>
      </c>
      <c r="D45" s="3">
        <v>34</v>
      </c>
      <c r="E45" s="13">
        <f t="shared" si="3"/>
        <v>5.7757582792977713E-3</v>
      </c>
      <c r="F45" s="13">
        <f t="shared" si="4"/>
        <v>13.15817006885268</v>
      </c>
      <c r="G45" s="14">
        <f>F45/$F$124*$D$2</f>
        <v>2582.6195824704764</v>
      </c>
      <c r="H45" s="14">
        <f>F45/$F$124*$E$2</f>
        <v>2582.6195824704764</v>
      </c>
      <c r="I45" s="25" t="str">
        <f t="shared" si="2"/>
        <v/>
      </c>
    </row>
    <row r="46" spans="1:9" hidden="1" x14ac:dyDescent="0.25">
      <c r="A46" s="3">
        <v>3255</v>
      </c>
      <c r="B46" s="3">
        <v>113.4043489</v>
      </c>
      <c r="C46" s="3">
        <v>22.949050029999999</v>
      </c>
      <c r="D46" s="3">
        <v>34</v>
      </c>
      <c r="E46" s="13">
        <f t="shared" si="3"/>
        <v>5.8519975514795359E-3</v>
      </c>
      <c r="F46" s="13">
        <f t="shared" si="4"/>
        <v>13.072177375148614</v>
      </c>
      <c r="G46" s="14">
        <f>F46/$F$124*$D$2</f>
        <v>2565.7413681331182</v>
      </c>
      <c r="H46" s="14">
        <f>F46/$F$124*$E$2</f>
        <v>2565.7413681331182</v>
      </c>
      <c r="I46" s="25" t="str">
        <f t="shared" si="2"/>
        <v/>
      </c>
    </row>
    <row r="47" spans="1:9" x14ac:dyDescent="0.25">
      <c r="A47" s="3">
        <v>3273</v>
      </c>
      <c r="B47" s="3">
        <v>113.404545</v>
      </c>
      <c r="C47" s="3">
        <v>22.948844189999999</v>
      </c>
      <c r="D47" s="3">
        <v>34</v>
      </c>
      <c r="E47" s="13">
        <f t="shared" si="3"/>
        <v>5.94044078853495E-3</v>
      </c>
      <c r="F47" s="13">
        <f t="shared" si="4"/>
        <v>12.974501013365458</v>
      </c>
      <c r="G47" s="14">
        <f>F47/$F$152*$D$2</f>
        <v>35.294040554064509</v>
      </c>
      <c r="H47" s="14">
        <f>F47/$F$152*$E$2</f>
        <v>35.294040554064509</v>
      </c>
      <c r="I47" s="25" t="str">
        <f t="shared" si="2"/>
        <v>选中</v>
      </c>
    </row>
    <row r="48" spans="1:9" hidden="1" x14ac:dyDescent="0.25">
      <c r="A48" s="3">
        <v>3240</v>
      </c>
      <c r="B48" s="3">
        <v>113.400165</v>
      </c>
      <c r="C48" s="3">
        <v>22.95236259</v>
      </c>
      <c r="D48" s="3">
        <v>34</v>
      </c>
      <c r="E48" s="13">
        <f t="shared" si="3"/>
        <v>6.0415739480779804E-3</v>
      </c>
      <c r="F48" s="13">
        <f t="shared" si="4"/>
        <v>12.865449138400868</v>
      </c>
      <c r="G48" s="14">
        <f>F48/$F$124*$D$2</f>
        <v>2525.1657873585432</v>
      </c>
      <c r="H48" s="14">
        <f>F48/$F$124*$E$2</f>
        <v>2525.1657873585432</v>
      </c>
      <c r="I48" s="25" t="str">
        <f t="shared" si="2"/>
        <v/>
      </c>
    </row>
    <row r="49" spans="1:9" hidden="1" x14ac:dyDescent="0.25">
      <c r="A49" s="3">
        <v>3245</v>
      </c>
      <c r="B49" s="3">
        <v>113.3931158</v>
      </c>
      <c r="C49" s="3">
        <v>22.945354590000001</v>
      </c>
      <c r="D49" s="3">
        <v>34</v>
      </c>
      <c r="E49" s="13">
        <f t="shared" si="3"/>
        <v>6.1020545007432645E-3</v>
      </c>
      <c r="F49" s="13">
        <f t="shared" si="4"/>
        <v>12.801532374961239</v>
      </c>
      <c r="G49" s="14">
        <f>F49/$F$124*$D$2</f>
        <v>2512.6205258181053</v>
      </c>
      <c r="H49" s="14">
        <f>F49/$F$124*$E$2</f>
        <v>2512.6205258181053</v>
      </c>
      <c r="I49" s="25" t="str">
        <f t="shared" si="2"/>
        <v/>
      </c>
    </row>
    <row r="50" spans="1:9" x14ac:dyDescent="0.25">
      <c r="A50" s="3">
        <v>3252</v>
      </c>
      <c r="B50" s="3">
        <v>113.4048622</v>
      </c>
      <c r="C50" s="3">
        <v>22.948527439999999</v>
      </c>
      <c r="D50" s="3">
        <v>34</v>
      </c>
      <c r="E50" s="13">
        <f t="shared" si="3"/>
        <v>6.1144428936385428E-3</v>
      </c>
      <c r="F50" s="13">
        <f t="shared" si="4"/>
        <v>12.788557290685024</v>
      </c>
      <c r="G50" s="14">
        <f>F50/$F$152*$D$2</f>
        <v>34.788224932924514</v>
      </c>
      <c r="H50" s="14">
        <f>F50/$F$152*$E$2</f>
        <v>34.788224932924514</v>
      </c>
      <c r="I50" s="25" t="str">
        <f t="shared" si="2"/>
        <v>选中</v>
      </c>
    </row>
    <row r="51" spans="1:9" hidden="1" x14ac:dyDescent="0.25">
      <c r="A51" s="3">
        <v>3224</v>
      </c>
      <c r="B51" s="3">
        <v>113.39360379999999</v>
      </c>
      <c r="C51" s="3">
        <v>22.94367523</v>
      </c>
      <c r="D51" s="3">
        <v>34</v>
      </c>
      <c r="E51" s="13">
        <f t="shared" si="3"/>
        <v>6.1624877145970034E-3</v>
      </c>
      <c r="F51" s="13">
        <f t="shared" si="4"/>
        <v>12.738607803657954</v>
      </c>
      <c r="G51" s="14">
        <f>F51/$F$124*$D$2</f>
        <v>2500.2700067705437</v>
      </c>
      <c r="H51" s="14">
        <f>F51/$F$124*$E$2</f>
        <v>2500.2700067705437</v>
      </c>
      <c r="I51" s="25" t="str">
        <f t="shared" si="2"/>
        <v/>
      </c>
    </row>
    <row r="52" spans="1:9" hidden="1" x14ac:dyDescent="0.25">
      <c r="A52" s="3">
        <v>3867</v>
      </c>
      <c r="B52" s="3">
        <v>113.4033869</v>
      </c>
      <c r="C52" s="3">
        <v>22.941948740000001</v>
      </c>
      <c r="D52" s="3">
        <v>34</v>
      </c>
      <c r="E52" s="13">
        <f t="shared" si="3"/>
        <v>6.1701137522428076E-3</v>
      </c>
      <c r="F52" s="13">
        <f t="shared" si="4"/>
        <v>12.730733140232669</v>
      </c>
      <c r="G52" s="14">
        <f>F52/$F$124*$D$2</f>
        <v>2498.724407355041</v>
      </c>
      <c r="H52" s="14">
        <f>F52/$F$124*$E$2</f>
        <v>2498.724407355041</v>
      </c>
      <c r="I52" s="25" t="str">
        <f t="shared" si="2"/>
        <v/>
      </c>
    </row>
    <row r="53" spans="1:9" x14ac:dyDescent="0.25">
      <c r="A53" s="3">
        <v>3254</v>
      </c>
      <c r="B53" s="3">
        <v>113.4047461</v>
      </c>
      <c r="C53" s="3">
        <v>22.948963209999999</v>
      </c>
      <c r="D53" s="3">
        <v>34</v>
      </c>
      <c r="E53" s="13">
        <f t="shared" si="3"/>
        <v>6.1727031110257458E-3</v>
      </c>
      <c r="F53" s="13">
        <f t="shared" si="4"/>
        <v>12.728062681859166</v>
      </c>
      <c r="G53" s="14">
        <f>F53/$F$152*$D$2</f>
        <v>34.623663754425039</v>
      </c>
      <c r="H53" s="14">
        <f>F53/$F$152*$E$2</f>
        <v>34.623663754425039</v>
      </c>
      <c r="I53" s="25" t="str">
        <f t="shared" si="2"/>
        <v>选中</v>
      </c>
    </row>
    <row r="54" spans="1:9" hidden="1" x14ac:dyDescent="0.25">
      <c r="A54" s="3">
        <v>3877</v>
      </c>
      <c r="B54" s="3">
        <v>113.40225150000001</v>
      </c>
      <c r="C54" s="3">
        <v>22.941041819999999</v>
      </c>
      <c r="D54" s="3">
        <v>34</v>
      </c>
      <c r="E54" s="13">
        <f t="shared" si="3"/>
        <v>6.2128559123531425E-3</v>
      </c>
      <c r="F54" s="13">
        <f t="shared" si="4"/>
        <v>12.686866185643151</v>
      </c>
      <c r="G54" s="14">
        <f>F54/$F$124*$D$2</f>
        <v>2490.1144216690823</v>
      </c>
      <c r="H54" s="14">
        <f>F54/$F$124*$E$2</f>
        <v>2490.1144216690823</v>
      </c>
      <c r="I54" s="25" t="str">
        <f t="shared" si="2"/>
        <v/>
      </c>
    </row>
    <row r="55" spans="1:9" hidden="1" x14ac:dyDescent="0.25">
      <c r="A55" s="3">
        <v>3246</v>
      </c>
      <c r="B55" s="3">
        <v>113.39563029999999</v>
      </c>
      <c r="C55" s="3">
        <v>22.951758609999999</v>
      </c>
      <c r="D55" s="3">
        <v>34</v>
      </c>
      <c r="E55" s="13">
        <f t="shared" si="3"/>
        <v>6.3885756050092082E-3</v>
      </c>
      <c r="F55" s="13">
        <f t="shared" si="4"/>
        <v>12.511171594449218</v>
      </c>
      <c r="G55" s="14">
        <f>F55/$F$124*$D$2</f>
        <v>2455.6299690911592</v>
      </c>
      <c r="H55" s="14">
        <f>F55/$F$124*$E$2</f>
        <v>2455.6299690911592</v>
      </c>
      <c r="I55" s="25" t="str">
        <f t="shared" si="2"/>
        <v/>
      </c>
    </row>
    <row r="56" spans="1:9" x14ac:dyDescent="0.25">
      <c r="A56" s="3">
        <v>3228</v>
      </c>
      <c r="B56" s="3">
        <v>113.3953693</v>
      </c>
      <c r="C56" s="3">
        <v>22.95165867</v>
      </c>
      <c r="D56" s="3">
        <v>34</v>
      </c>
      <c r="E56" s="13">
        <f t="shared" si="3"/>
        <v>6.4535061608477443E-3</v>
      </c>
      <c r="F56" s="13">
        <f t="shared" si="4"/>
        <v>12.448073257724088</v>
      </c>
      <c r="G56" s="14">
        <f>F56/$F$152*$D$2</f>
        <v>33.862019196383628</v>
      </c>
      <c r="H56" s="14">
        <f>F56/$F$152*$E$2</f>
        <v>33.862019196383628</v>
      </c>
      <c r="I56" s="25" t="str">
        <f t="shared" si="2"/>
        <v>选中</v>
      </c>
    </row>
    <row r="57" spans="1:9" hidden="1" x14ac:dyDescent="0.25">
      <c r="A57" s="3">
        <v>3849</v>
      </c>
      <c r="B57" s="3">
        <v>113.39339390000001</v>
      </c>
      <c r="C57" s="3">
        <v>22.943419370000001</v>
      </c>
      <c r="D57" s="3">
        <v>34</v>
      </c>
      <c r="E57" s="13">
        <f t="shared" si="3"/>
        <v>6.465590457492041E-3</v>
      </c>
      <c r="F57" s="13">
        <f t="shared" si="4"/>
        <v>12.436434988650149</v>
      </c>
      <c r="G57" s="14">
        <f>F57/$F$124*$D$2</f>
        <v>2440.9610431953806</v>
      </c>
      <c r="H57" s="14">
        <f>F57/$F$124*$E$2</f>
        <v>2440.9610431953806</v>
      </c>
      <c r="I57" s="25" t="str">
        <f t="shared" si="2"/>
        <v/>
      </c>
    </row>
    <row r="58" spans="1:9" hidden="1" x14ac:dyDescent="0.25">
      <c r="A58" s="3">
        <v>3239</v>
      </c>
      <c r="B58" s="3">
        <v>113.3992338</v>
      </c>
      <c r="C58" s="3">
        <v>22.95287725</v>
      </c>
      <c r="D58" s="3">
        <v>34</v>
      </c>
      <c r="E58" s="13">
        <f t="shared" si="3"/>
        <v>6.4670735328195136E-3</v>
      </c>
      <c r="F58" s="13">
        <f t="shared" si="4"/>
        <v>12.435008900995655</v>
      </c>
      <c r="G58" s="14">
        <f>F58/$F$124*$D$2</f>
        <v>2440.6811378678508</v>
      </c>
      <c r="H58" s="14">
        <f>F58/$F$124*$E$2</f>
        <v>2440.6811378678508</v>
      </c>
      <c r="I58" s="25" t="str">
        <f t="shared" si="2"/>
        <v/>
      </c>
    </row>
    <row r="59" spans="1:9" x14ac:dyDescent="0.25">
      <c r="A59" s="3">
        <v>3868</v>
      </c>
      <c r="B59" s="3">
        <v>113.4020975</v>
      </c>
      <c r="C59" s="3">
        <v>22.940630949999999</v>
      </c>
      <c r="D59" s="3">
        <v>34</v>
      </c>
      <c r="E59" s="13">
        <f t="shared" si="3"/>
        <v>6.4993459714730176E-3</v>
      </c>
      <c r="F59" s="13">
        <f t="shared" si="4"/>
        <v>12.40409752336045</v>
      </c>
      <c r="G59" s="14">
        <f>F59/$F$152*$D$2</f>
        <v>33.742393682429281</v>
      </c>
      <c r="H59" s="14">
        <f>F59/$F$152*$E$2</f>
        <v>33.742393682429281</v>
      </c>
      <c r="I59" s="25" t="str">
        <f t="shared" si="2"/>
        <v>选中</v>
      </c>
    </row>
    <row r="60" spans="1:9" hidden="1" x14ac:dyDescent="0.25">
      <c r="A60" s="3">
        <v>3829</v>
      </c>
      <c r="B60" s="3">
        <v>113.3963392</v>
      </c>
      <c r="C60" s="3">
        <v>22.940299450000001</v>
      </c>
      <c r="D60" s="3">
        <v>34</v>
      </c>
      <c r="E60" s="13">
        <f t="shared" si="3"/>
        <v>6.7168894219637723E-3</v>
      </c>
      <c r="F60" s="13">
        <f t="shared" si="4"/>
        <v>12.201575193470266</v>
      </c>
      <c r="G60" s="14">
        <f>F60/$F$124*$D$2</f>
        <v>2394.8639413193091</v>
      </c>
      <c r="H60" s="14">
        <f>F60/$F$124*$E$2</f>
        <v>2394.8639413193091</v>
      </c>
      <c r="I60" s="25" t="str">
        <f t="shared" si="2"/>
        <v/>
      </c>
    </row>
    <row r="61" spans="1:9" hidden="1" x14ac:dyDescent="0.25">
      <c r="A61" s="3">
        <v>3852</v>
      </c>
      <c r="B61" s="3">
        <v>113.3932899</v>
      </c>
      <c r="C61" s="3">
        <v>22.943006560000001</v>
      </c>
      <c r="D61" s="3">
        <v>34</v>
      </c>
      <c r="E61" s="13">
        <f t="shared" si="3"/>
        <v>6.7562798987607807E-3</v>
      </c>
      <c r="F61" s="13">
        <f t="shared" si="4"/>
        <v>12.165954374185302</v>
      </c>
      <c r="G61" s="14">
        <f>F61/$F$124*$D$2</f>
        <v>2387.8724656849618</v>
      </c>
      <c r="H61" s="14">
        <f>F61/$F$124*$E$2</f>
        <v>2387.8724656849618</v>
      </c>
      <c r="I61" s="25" t="str">
        <f t="shared" si="2"/>
        <v/>
      </c>
    </row>
    <row r="62" spans="1:9" x14ac:dyDescent="0.25">
      <c r="A62" s="3">
        <v>3262</v>
      </c>
      <c r="B62" s="3">
        <v>113.4052433</v>
      </c>
      <c r="C62" s="3">
        <v>22.949292249999999</v>
      </c>
      <c r="D62" s="3">
        <v>34</v>
      </c>
      <c r="E62" s="13">
        <f t="shared" si="3"/>
        <v>6.7621128598125873E-3</v>
      </c>
      <c r="F62" s="13">
        <f t="shared" si="4"/>
        <v>12.160706099771184</v>
      </c>
      <c r="G62" s="14">
        <f>F62/$F$152*$D$2</f>
        <v>33.080305270256673</v>
      </c>
      <c r="H62" s="14">
        <f>F62/$F$152*$E$2</f>
        <v>33.080305270256673</v>
      </c>
      <c r="I62" s="25" t="str">
        <f t="shared" si="2"/>
        <v>选中</v>
      </c>
    </row>
    <row r="63" spans="1:9" hidden="1" x14ac:dyDescent="0.25">
      <c r="A63" s="3">
        <v>3241</v>
      </c>
      <c r="B63" s="3">
        <v>113.3954323</v>
      </c>
      <c r="C63" s="3">
        <v>22.95209947</v>
      </c>
      <c r="D63" s="3">
        <v>34</v>
      </c>
      <c r="E63" s="13">
        <f t="shared" si="3"/>
        <v>6.7822551081566859E-3</v>
      </c>
      <c r="F63" s="13">
        <f t="shared" si="4"/>
        <v>12.142634964849069</v>
      </c>
      <c r="G63" s="14">
        <f>F63/$F$124*$D$2</f>
        <v>2383.2954490566417</v>
      </c>
      <c r="H63" s="14">
        <f>F63/$F$124*$E$2</f>
        <v>2383.2954490566417</v>
      </c>
      <c r="I63" s="25" t="str">
        <f t="shared" si="2"/>
        <v/>
      </c>
    </row>
    <row r="64" spans="1:9" hidden="1" x14ac:dyDescent="0.25">
      <c r="A64" s="3">
        <v>3248</v>
      </c>
      <c r="B64" s="3">
        <v>113.39284790000001</v>
      </c>
      <c r="C64" s="3">
        <v>22.94379829</v>
      </c>
      <c r="D64" s="3">
        <v>34</v>
      </c>
      <c r="E64" s="13">
        <f t="shared" si="3"/>
        <v>6.7998120874040984E-3</v>
      </c>
      <c r="F64" s="13">
        <f t="shared" si="4"/>
        <v>12.126948812270705</v>
      </c>
      <c r="G64" s="14">
        <f>F64/$F$124*$D$2</f>
        <v>2380.2166497547232</v>
      </c>
      <c r="H64" s="14">
        <f>F64/$F$124*$E$2</f>
        <v>2380.2166497547232</v>
      </c>
      <c r="I64" s="25" t="str">
        <f t="shared" si="2"/>
        <v/>
      </c>
    </row>
    <row r="65" spans="1:9" x14ac:dyDescent="0.25">
      <c r="A65" s="3">
        <v>3835</v>
      </c>
      <c r="B65" s="3">
        <v>113.400406</v>
      </c>
      <c r="C65" s="3">
        <v>22.939648030000001</v>
      </c>
      <c r="D65" s="3">
        <v>34</v>
      </c>
      <c r="E65" s="13">
        <f t="shared" si="3"/>
        <v>6.883168848176845E-3</v>
      </c>
      <c r="F65" s="13">
        <f t="shared" si="4"/>
        <v>12.05329506988028</v>
      </c>
      <c r="G65" s="14">
        <f>F65/$F$152*$D$2</f>
        <v>32.788119139859965</v>
      </c>
      <c r="H65" s="14">
        <f>F65/$F$152*$E$2</f>
        <v>32.788119139859965</v>
      </c>
      <c r="I65" s="25" t="str">
        <f t="shared" si="2"/>
        <v>选中</v>
      </c>
    </row>
    <row r="66" spans="1:9" hidden="1" x14ac:dyDescent="0.25">
      <c r="A66" s="3">
        <v>3274</v>
      </c>
      <c r="B66" s="3">
        <v>113.4054404</v>
      </c>
      <c r="C66" s="3">
        <v>22.949335309999999</v>
      </c>
      <c r="D66" s="3">
        <v>34</v>
      </c>
      <c r="E66" s="13">
        <f t="shared" si="3"/>
        <v>6.9589192539461376E-3</v>
      </c>
      <c r="F66" s="13">
        <f t="shared" si="4"/>
        <v>11.987513281433682</v>
      </c>
      <c r="G66" s="14">
        <f>F66/$F$124*$D$2</f>
        <v>2352.8489435655251</v>
      </c>
      <c r="H66" s="14">
        <f>F66/$F$124*$E$2</f>
        <v>2352.8489435655251</v>
      </c>
      <c r="I66" s="25" t="str">
        <f t="shared" si="2"/>
        <v/>
      </c>
    </row>
    <row r="67" spans="1:9" hidden="1" x14ac:dyDescent="0.25">
      <c r="A67" s="3">
        <v>3878</v>
      </c>
      <c r="B67" s="3">
        <v>113.40172440000001</v>
      </c>
      <c r="C67" s="3">
        <v>22.939836199999998</v>
      </c>
      <c r="D67" s="3">
        <v>34</v>
      </c>
      <c r="E67" s="13">
        <f t="shared" si="3"/>
        <v>7.0698153232221887E-3</v>
      </c>
      <c r="F67" s="13">
        <f t="shared" si="4"/>
        <v>11.893124503173823</v>
      </c>
      <c r="G67" s="14">
        <f>F67/$F$124*$D$2</f>
        <v>2334.322787890093</v>
      </c>
      <c r="H67" s="14">
        <f>F67/$F$124*$E$2</f>
        <v>2334.322787890093</v>
      </c>
      <c r="I67" s="25" t="str">
        <f t="shared" si="2"/>
        <v/>
      </c>
    </row>
    <row r="68" spans="1:9" x14ac:dyDescent="0.25">
      <c r="A68" s="3">
        <v>3854</v>
      </c>
      <c r="B68" s="3">
        <v>113.3928919</v>
      </c>
      <c r="C68" s="3">
        <v>22.942970639999999</v>
      </c>
      <c r="D68" s="3">
        <v>34</v>
      </c>
      <c r="E68" s="13">
        <f t="shared" si="3"/>
        <v>7.1201748457228016E-3</v>
      </c>
      <c r="F68" s="13">
        <f t="shared" si="4"/>
        <v>11.850991067096475</v>
      </c>
      <c r="G68" s="14">
        <f>F68/$F$152*$D$2</f>
        <v>32.237799272364029</v>
      </c>
      <c r="H68" s="14">
        <f>F68/$F$152*$E$2</f>
        <v>32.237799272364029</v>
      </c>
      <c r="I68" s="25" t="str">
        <f t="shared" si="2"/>
        <v>选中</v>
      </c>
    </row>
    <row r="69" spans="1:9" hidden="1" x14ac:dyDescent="0.25">
      <c r="A69" s="3">
        <v>3875</v>
      </c>
      <c r="B69" s="3">
        <v>113.4017844</v>
      </c>
      <c r="C69" s="3">
        <v>22.939666290000002</v>
      </c>
      <c r="D69" s="3">
        <v>34</v>
      </c>
      <c r="E69" s="13">
        <f t="shared" ref="E69:E100" si="5">SQRT((B69-$B$2)^2+(C69-$C$2)^2)</f>
        <v>7.2498881256248043E-3</v>
      </c>
      <c r="F69" s="13">
        <f t="shared" ref="F69:F100" si="6">SQRT(1/E69)</f>
        <v>11.744495004991272</v>
      </c>
      <c r="G69" s="14">
        <f>F69/$F$124*$D$2</f>
        <v>2305.1505359332918</v>
      </c>
      <c r="H69" s="14">
        <f>F69/$F$124*$E$2</f>
        <v>2305.1505359332918</v>
      </c>
      <c r="I69" s="25" t="str">
        <f t="shared" si="2"/>
        <v/>
      </c>
    </row>
    <row r="70" spans="1:9" hidden="1" x14ac:dyDescent="0.25">
      <c r="A70" s="3">
        <v>3825</v>
      </c>
      <c r="B70" s="3">
        <v>113.39711629999999</v>
      </c>
      <c r="C70" s="3">
        <v>22.939408830000001</v>
      </c>
      <c r="D70" s="3">
        <v>34</v>
      </c>
      <c r="E70" s="13">
        <f t="shared" si="5"/>
        <v>7.2848605630110351E-3</v>
      </c>
      <c r="F70" s="13">
        <f t="shared" si="6"/>
        <v>11.716270185052778</v>
      </c>
      <c r="G70" s="14">
        <f>F70/$F$124*$D$2</f>
        <v>2299.6107099313913</v>
      </c>
      <c r="H70" s="14">
        <f>F70/$F$124*$E$2</f>
        <v>2299.6107099313913</v>
      </c>
      <c r="I70" s="25" t="str">
        <f t="shared" ref="I70:I133" si="7">IF(MOD(ROW()-1,3)=1,"选中","")</f>
        <v/>
      </c>
    </row>
    <row r="71" spans="1:9" x14ac:dyDescent="0.25">
      <c r="A71" s="3">
        <v>3855</v>
      </c>
      <c r="B71" s="3">
        <v>113.392644</v>
      </c>
      <c r="C71" s="3">
        <v>22.942805750000002</v>
      </c>
      <c r="D71" s="3">
        <v>34</v>
      </c>
      <c r="E71" s="13">
        <f t="shared" si="5"/>
        <v>7.416929236471582E-3</v>
      </c>
      <c r="F71" s="13">
        <f t="shared" si="6"/>
        <v>11.611489458695228</v>
      </c>
      <c r="G71" s="14">
        <f>F71/$F$152*$D$2</f>
        <v>31.586292176178237</v>
      </c>
      <c r="H71" s="14">
        <f>F71/$F$152*$E$2</f>
        <v>31.586292176178237</v>
      </c>
      <c r="I71" s="25" t="str">
        <f t="shared" si="7"/>
        <v>选中</v>
      </c>
    </row>
    <row r="72" spans="1:9" hidden="1" x14ac:dyDescent="0.25">
      <c r="A72" s="3">
        <v>3833</v>
      </c>
      <c r="B72" s="3">
        <v>113.3956481</v>
      </c>
      <c r="C72" s="3">
        <v>22.939822679999999</v>
      </c>
      <c r="D72" s="3">
        <v>34</v>
      </c>
      <c r="E72" s="13">
        <f t="shared" si="5"/>
        <v>7.4498802889710865E-3</v>
      </c>
      <c r="F72" s="13">
        <f t="shared" si="6"/>
        <v>11.585782011260244</v>
      </c>
      <c r="G72" s="14">
        <f>F72/$F$124*$D$2</f>
        <v>2273.9991460776046</v>
      </c>
      <c r="H72" s="14">
        <f>F72/$F$124*$E$2</f>
        <v>2273.9991460776046</v>
      </c>
      <c r="I72" s="25" t="str">
        <f t="shared" si="7"/>
        <v/>
      </c>
    </row>
    <row r="73" spans="1:9" hidden="1" x14ac:dyDescent="0.25">
      <c r="A73" s="3">
        <v>3843</v>
      </c>
      <c r="B73" s="3">
        <v>113.3956481</v>
      </c>
      <c r="C73" s="3">
        <v>22.939822679999999</v>
      </c>
      <c r="D73" s="3">
        <v>34</v>
      </c>
      <c r="E73" s="13">
        <f t="shared" si="5"/>
        <v>7.4498802889710865E-3</v>
      </c>
      <c r="F73" s="13">
        <f t="shared" si="6"/>
        <v>11.585782011260244</v>
      </c>
      <c r="G73" s="14">
        <f>F73/$F$124*$D$2</f>
        <v>2273.9991460776046</v>
      </c>
      <c r="H73" s="14">
        <f>F73/$F$124*$E$2</f>
        <v>2273.9991460776046</v>
      </c>
      <c r="I73" s="25" t="str">
        <f t="shared" si="7"/>
        <v/>
      </c>
    </row>
    <row r="74" spans="1:9" x14ac:dyDescent="0.25">
      <c r="A74" s="3">
        <v>3251</v>
      </c>
      <c r="B74" s="3">
        <v>113.4059967</v>
      </c>
      <c r="C74" s="3">
        <v>22.949867309999998</v>
      </c>
      <c r="D74" s="3">
        <v>34</v>
      </c>
      <c r="E74" s="13">
        <f t="shared" si="5"/>
        <v>7.6913046235951663E-3</v>
      </c>
      <c r="F74" s="13">
        <f t="shared" si="6"/>
        <v>11.402497711994272</v>
      </c>
      <c r="G74" s="14">
        <f>F74/$F$152*$D$2</f>
        <v>31.017779893823032</v>
      </c>
      <c r="H74" s="14">
        <f>F74/$F$152*$E$2</f>
        <v>31.017779893823032</v>
      </c>
      <c r="I74" s="25" t="str">
        <f t="shared" si="7"/>
        <v>选中</v>
      </c>
    </row>
    <row r="75" spans="1:9" hidden="1" x14ac:dyDescent="0.25">
      <c r="A75" s="3">
        <v>3856</v>
      </c>
      <c r="B75" s="3">
        <v>113.39212499999999</v>
      </c>
      <c r="C75" s="3">
        <v>22.943149699999999</v>
      </c>
      <c r="D75" s="3">
        <v>34</v>
      </c>
      <c r="E75" s="13">
        <f t="shared" si="5"/>
        <v>7.7231081822342991E-3</v>
      </c>
      <c r="F75" s="13">
        <f t="shared" si="6"/>
        <v>11.378995897552832</v>
      </c>
      <c r="G75" s="14">
        <f>F75/$F$124*$D$2</f>
        <v>2233.4122055038611</v>
      </c>
      <c r="H75" s="14">
        <f>F75/$F$124*$E$2</f>
        <v>2233.4122055038611</v>
      </c>
      <c r="I75" s="25" t="str">
        <f t="shared" si="7"/>
        <v/>
      </c>
    </row>
    <row r="76" spans="1:9" hidden="1" x14ac:dyDescent="0.25">
      <c r="A76" s="3">
        <v>3862</v>
      </c>
      <c r="B76" s="3">
        <v>113.391958</v>
      </c>
      <c r="C76" s="3">
        <v>22.943300669999999</v>
      </c>
      <c r="D76" s="3">
        <v>34</v>
      </c>
      <c r="E76" s="13">
        <f t="shared" si="5"/>
        <v>7.8134866518129835E-3</v>
      </c>
      <c r="F76" s="13">
        <f t="shared" si="6"/>
        <v>11.312994154421613</v>
      </c>
      <c r="G76" s="14">
        <f>F76/$F$124*$D$2</f>
        <v>2220.4577146137208</v>
      </c>
      <c r="H76" s="14">
        <f>F76/$F$124*$E$2</f>
        <v>2220.4577146137208</v>
      </c>
      <c r="I76" s="25" t="str">
        <f t="shared" si="7"/>
        <v/>
      </c>
    </row>
    <row r="77" spans="1:9" x14ac:dyDescent="0.25">
      <c r="A77" s="3">
        <v>3860</v>
      </c>
      <c r="B77" s="3">
        <v>113.3958392</v>
      </c>
      <c r="C77" s="3">
        <v>22.939271900000001</v>
      </c>
      <c r="D77" s="3">
        <v>34</v>
      </c>
      <c r="E77" s="13">
        <f t="shared" si="5"/>
        <v>7.8593239736252651E-3</v>
      </c>
      <c r="F77" s="13">
        <f t="shared" si="6"/>
        <v>11.279955966038379</v>
      </c>
      <c r="G77" s="14">
        <f>F77/$F$152*$D$2</f>
        <v>30.68443425325637</v>
      </c>
      <c r="H77" s="14">
        <f>F77/$F$152*$E$2</f>
        <v>30.68443425325637</v>
      </c>
      <c r="I77" s="25" t="str">
        <f t="shared" si="7"/>
        <v>选中</v>
      </c>
    </row>
    <row r="78" spans="1:9" hidden="1" x14ac:dyDescent="0.25">
      <c r="A78" s="3">
        <v>3861</v>
      </c>
      <c r="B78" s="3">
        <v>113.392358</v>
      </c>
      <c r="C78" s="3">
        <v>22.942209049999999</v>
      </c>
      <c r="D78" s="3">
        <v>34</v>
      </c>
      <c r="E78" s="13">
        <f t="shared" si="5"/>
        <v>7.9661044062252669E-3</v>
      </c>
      <c r="F78" s="13">
        <f t="shared" si="6"/>
        <v>11.204100685378499</v>
      </c>
      <c r="G78" s="14">
        <f>F78/$F$124*$D$2</f>
        <v>2199.0846510279562</v>
      </c>
      <c r="H78" s="14">
        <f>F78/$F$124*$E$2</f>
        <v>2199.0846510279562</v>
      </c>
      <c r="I78" s="25" t="str">
        <f t="shared" si="7"/>
        <v/>
      </c>
    </row>
    <row r="79" spans="1:9" hidden="1" x14ac:dyDescent="0.25">
      <c r="A79" s="3">
        <v>3250</v>
      </c>
      <c r="B79" s="3">
        <v>113.40649500000001</v>
      </c>
      <c r="C79" s="3">
        <v>22.949585639999999</v>
      </c>
      <c r="D79" s="3">
        <v>34</v>
      </c>
      <c r="E79" s="13">
        <f t="shared" si="5"/>
        <v>8.0239898855681609E-3</v>
      </c>
      <c r="F79" s="13">
        <f t="shared" si="6"/>
        <v>11.163614053222741</v>
      </c>
      <c r="G79" s="14">
        <f>F79/$F$124*$D$2</f>
        <v>2191.138138064026</v>
      </c>
      <c r="H79" s="14">
        <f>F79/$F$124*$E$2</f>
        <v>2191.138138064026</v>
      </c>
      <c r="I79" s="25" t="str">
        <f t="shared" si="7"/>
        <v/>
      </c>
    </row>
    <row r="80" spans="1:9" x14ac:dyDescent="0.25">
      <c r="A80" s="3">
        <v>3244</v>
      </c>
      <c r="B80" s="3">
        <v>113.39218750000001</v>
      </c>
      <c r="C80" s="3">
        <v>22.950681490000001</v>
      </c>
      <c r="D80" s="3">
        <v>34</v>
      </c>
      <c r="E80" s="13">
        <f t="shared" si="5"/>
        <v>8.1470866454217295E-3</v>
      </c>
      <c r="F80" s="13">
        <f t="shared" si="6"/>
        <v>11.078955868986473</v>
      </c>
      <c r="G80" s="14">
        <f>F80/$F$152*$D$2</f>
        <v>30.137661350821581</v>
      </c>
      <c r="H80" s="14">
        <f>F80/$F$152*$E$2</f>
        <v>30.137661350821581</v>
      </c>
      <c r="I80" s="25" t="str">
        <f t="shared" si="7"/>
        <v>选中</v>
      </c>
    </row>
    <row r="81" spans="1:9" hidden="1" x14ac:dyDescent="0.25">
      <c r="A81" s="3">
        <v>3832</v>
      </c>
      <c r="B81" s="3">
        <v>113.3936731</v>
      </c>
      <c r="C81" s="3">
        <v>22.9401747</v>
      </c>
      <c r="D81" s="3">
        <v>34</v>
      </c>
      <c r="E81" s="13">
        <f t="shared" si="5"/>
        <v>8.2839170845915976E-3</v>
      </c>
      <c r="F81" s="13">
        <f t="shared" si="6"/>
        <v>10.987075992750889</v>
      </c>
      <c r="G81" s="14">
        <f>F81/$F$124*$D$2</f>
        <v>2156.4881335694631</v>
      </c>
      <c r="H81" s="14">
        <f>F81/$F$124*$E$2</f>
        <v>2156.4881335694631</v>
      </c>
      <c r="I81" s="25" t="str">
        <f t="shared" si="7"/>
        <v/>
      </c>
    </row>
    <row r="82" spans="1:9" hidden="1" x14ac:dyDescent="0.25">
      <c r="A82" s="3">
        <v>3864</v>
      </c>
      <c r="B82" s="3">
        <v>113.40299090000001</v>
      </c>
      <c r="C82" s="3">
        <v>22.938992880000001</v>
      </c>
      <c r="D82" s="3">
        <v>34</v>
      </c>
      <c r="E82" s="13">
        <f t="shared" si="5"/>
        <v>8.3647750884321311E-3</v>
      </c>
      <c r="F82" s="13">
        <f t="shared" si="6"/>
        <v>10.933843815354278</v>
      </c>
      <c r="G82" s="14">
        <f>F82/$F$124*$D$2</f>
        <v>2146.0399889534074</v>
      </c>
      <c r="H82" s="14">
        <f>F82/$F$124*$E$2</f>
        <v>2146.0399889534074</v>
      </c>
      <c r="I82" s="25" t="str">
        <f t="shared" si="7"/>
        <v/>
      </c>
    </row>
    <row r="83" spans="1:9" x14ac:dyDescent="0.25">
      <c r="A83" s="3">
        <v>3253</v>
      </c>
      <c r="B83" s="3">
        <v>113.4066961</v>
      </c>
      <c r="C83" s="3">
        <v>22.95020646</v>
      </c>
      <c r="D83" s="3">
        <v>34</v>
      </c>
      <c r="E83" s="13">
        <f t="shared" si="5"/>
        <v>8.468522037787132E-3</v>
      </c>
      <c r="F83" s="13">
        <f t="shared" si="6"/>
        <v>10.866662754138334</v>
      </c>
      <c r="G83" s="14">
        <f>F83/$F$152*$D$2</f>
        <v>29.560168482534749</v>
      </c>
      <c r="H83" s="14">
        <f>F83/$F$152*$E$2</f>
        <v>29.560168482534749</v>
      </c>
      <c r="I83" s="25" t="str">
        <f t="shared" si="7"/>
        <v>选中</v>
      </c>
    </row>
    <row r="84" spans="1:9" hidden="1" x14ac:dyDescent="0.25">
      <c r="A84" s="3">
        <v>3850</v>
      </c>
      <c r="B84" s="3">
        <v>113.39193109999999</v>
      </c>
      <c r="C84" s="3">
        <v>22.941442460000001</v>
      </c>
      <c r="D84" s="3">
        <v>34</v>
      </c>
      <c r="E84" s="13">
        <f t="shared" si="5"/>
        <v>8.7435378345652459E-3</v>
      </c>
      <c r="F84" s="13">
        <f t="shared" si="6"/>
        <v>10.694399490397828</v>
      </c>
      <c r="G84" s="14">
        <f>F84/$F$124*$D$2</f>
        <v>2099.0430585817762</v>
      </c>
      <c r="H84" s="14">
        <f>F84/$F$124*$E$2</f>
        <v>2099.0430585817762</v>
      </c>
      <c r="I84" s="25" t="str">
        <f t="shared" si="7"/>
        <v/>
      </c>
    </row>
    <row r="85" spans="1:9" hidden="1" x14ac:dyDescent="0.25">
      <c r="A85" s="3">
        <v>3844</v>
      </c>
      <c r="B85" s="3">
        <v>113.39243209999999</v>
      </c>
      <c r="C85" s="3">
        <v>22.94067969</v>
      </c>
      <c r="D85" s="3">
        <v>34</v>
      </c>
      <c r="E85" s="13">
        <f t="shared" si="5"/>
        <v>8.8121003337562273E-3</v>
      </c>
      <c r="F85" s="13">
        <f t="shared" si="6"/>
        <v>10.652714390570527</v>
      </c>
      <c r="G85" s="14">
        <f>F85/$F$124*$D$2</f>
        <v>2090.8613163981831</v>
      </c>
      <c r="H85" s="14">
        <f>F85/$F$124*$E$2</f>
        <v>2090.8613163981831</v>
      </c>
      <c r="I85" s="25" t="str">
        <f t="shared" si="7"/>
        <v/>
      </c>
    </row>
    <row r="86" spans="1:9" x14ac:dyDescent="0.25">
      <c r="A86" s="3">
        <v>3826</v>
      </c>
      <c r="B86" s="3">
        <v>113.3955852</v>
      </c>
      <c r="C86" s="3">
        <v>22.93833931</v>
      </c>
      <c r="D86" s="3">
        <v>34</v>
      </c>
      <c r="E86" s="13">
        <f t="shared" si="5"/>
        <v>8.8141143164194961E-3</v>
      </c>
      <c r="F86" s="13">
        <f t="shared" si="6"/>
        <v>10.651497274078448</v>
      </c>
      <c r="G86" s="14">
        <f>F86/$F$152*$D$2</f>
        <v>28.97486202864912</v>
      </c>
      <c r="H86" s="14">
        <f>F86/$F$152*$E$2</f>
        <v>28.97486202864912</v>
      </c>
      <c r="I86" s="25" t="str">
        <f t="shared" si="7"/>
        <v>选中</v>
      </c>
    </row>
    <row r="87" spans="1:9" hidden="1" x14ac:dyDescent="0.25">
      <c r="A87" s="3">
        <v>3845</v>
      </c>
      <c r="B87" s="3">
        <v>113.39227409999999</v>
      </c>
      <c r="C87" s="3">
        <v>22.940790669999998</v>
      </c>
      <c r="D87" s="3">
        <v>34</v>
      </c>
      <c r="E87" s="13">
        <f t="shared" si="5"/>
        <v>8.8619090002204515E-3</v>
      </c>
      <c r="F87" s="13">
        <f t="shared" si="6"/>
        <v>10.622735231394874</v>
      </c>
      <c r="G87" s="14">
        <f>F87/$F$124*$D$2</f>
        <v>2084.9771574955471</v>
      </c>
      <c r="H87" s="14">
        <f>F87/$F$124*$E$2</f>
        <v>2084.9771574955471</v>
      </c>
      <c r="I87" s="25" t="str">
        <f t="shared" si="7"/>
        <v/>
      </c>
    </row>
    <row r="88" spans="1:9" hidden="1" x14ac:dyDescent="0.25">
      <c r="A88" s="3">
        <v>3830</v>
      </c>
      <c r="B88" s="3">
        <v>113.3966884</v>
      </c>
      <c r="C88" s="3">
        <v>22.937778519999998</v>
      </c>
      <c r="D88" s="3">
        <v>34</v>
      </c>
      <c r="E88" s="13">
        <f t="shared" si="5"/>
        <v>8.9700347515282892E-3</v>
      </c>
      <c r="F88" s="13">
        <f t="shared" si="6"/>
        <v>10.55851733314196</v>
      </c>
      <c r="G88" s="14">
        <f>F88/$F$124*$D$2</f>
        <v>2072.3727907253028</v>
      </c>
      <c r="H88" s="14">
        <f>F88/$F$124*$E$2</f>
        <v>2072.3727907253028</v>
      </c>
      <c r="I88" s="25" t="str">
        <f t="shared" si="7"/>
        <v/>
      </c>
    </row>
    <row r="89" spans="1:9" x14ac:dyDescent="0.25">
      <c r="A89" s="3">
        <v>3841</v>
      </c>
      <c r="B89" s="3">
        <v>113.39241920000001</v>
      </c>
      <c r="C89" s="3">
        <v>22.940412800000001</v>
      </c>
      <c r="D89" s="3">
        <v>34</v>
      </c>
      <c r="E89" s="13">
        <f t="shared" si="5"/>
        <v>8.997583298214264E-3</v>
      </c>
      <c r="F89" s="13">
        <f t="shared" si="6"/>
        <v>10.542341056395683</v>
      </c>
      <c r="G89" s="14">
        <f>F89/$F$152*$D$2</f>
        <v>28.677928530424015</v>
      </c>
      <c r="H89" s="14">
        <f>F89/$F$152*$E$2</f>
        <v>28.677928530424015</v>
      </c>
      <c r="I89" s="25" t="str">
        <f t="shared" si="7"/>
        <v>选中</v>
      </c>
    </row>
    <row r="90" spans="1:9" hidden="1" x14ac:dyDescent="0.25">
      <c r="A90" s="3">
        <v>3272</v>
      </c>
      <c r="B90" s="3">
        <v>113.40602560000001</v>
      </c>
      <c r="C90" s="3">
        <v>22.952202329999999</v>
      </c>
      <c r="D90" s="3">
        <v>34</v>
      </c>
      <c r="E90" s="13">
        <f t="shared" si="5"/>
        <v>9.0081738755743955E-3</v>
      </c>
      <c r="F90" s="13">
        <f t="shared" si="6"/>
        <v>10.536142113363297</v>
      </c>
      <c r="G90" s="14">
        <f>F90/$F$124*$D$2</f>
        <v>2067.9810948846139</v>
      </c>
      <c r="H90" s="14">
        <f>F90/$F$124*$E$2</f>
        <v>2067.9810948846139</v>
      </c>
      <c r="I90" s="25" t="str">
        <f t="shared" si="7"/>
        <v/>
      </c>
    </row>
    <row r="91" spans="1:9" hidden="1" x14ac:dyDescent="0.25">
      <c r="A91" s="3">
        <v>3213</v>
      </c>
      <c r="B91" s="3">
        <v>113.39110959999999</v>
      </c>
      <c r="C91" s="3">
        <v>22.95055078</v>
      </c>
      <c r="D91" s="3">
        <v>34</v>
      </c>
      <c r="E91" s="13">
        <f t="shared" si="5"/>
        <v>9.0219163873366953E-3</v>
      </c>
      <c r="F91" s="13">
        <f t="shared" si="6"/>
        <v>10.528114537444118</v>
      </c>
      <c r="G91" s="14">
        <f>F91/$F$124*$D$2</f>
        <v>2066.4054825722515</v>
      </c>
      <c r="H91" s="14">
        <f>F91/$F$124*$E$2</f>
        <v>2066.4054825722515</v>
      </c>
      <c r="I91" s="25" t="str">
        <f t="shared" si="7"/>
        <v/>
      </c>
    </row>
    <row r="92" spans="1:9" x14ac:dyDescent="0.25">
      <c r="A92" s="3">
        <v>3837</v>
      </c>
      <c r="B92" s="3">
        <v>113.399817</v>
      </c>
      <c r="C92" s="3">
        <v>22.937402890000001</v>
      </c>
      <c r="D92" s="3">
        <v>34</v>
      </c>
      <c r="E92" s="13">
        <f t="shared" si="5"/>
        <v>9.0346766829859006E-3</v>
      </c>
      <c r="F92" s="13">
        <f t="shared" si="6"/>
        <v>10.520677120067104</v>
      </c>
      <c r="G92" s="14">
        <f>F92/$F$152*$D$2</f>
        <v>28.618996950199548</v>
      </c>
      <c r="H92" s="14">
        <f>F92/$F$152*$E$2</f>
        <v>28.618996950199548</v>
      </c>
      <c r="I92" s="25" t="str">
        <f t="shared" si="7"/>
        <v>选中</v>
      </c>
    </row>
    <row r="93" spans="1:9" hidden="1" x14ac:dyDescent="0.25">
      <c r="A93" s="3">
        <v>3838</v>
      </c>
      <c r="B93" s="3">
        <v>113.39252620000001</v>
      </c>
      <c r="C93" s="3">
        <v>22.940189879999998</v>
      </c>
      <c r="D93" s="3">
        <v>34</v>
      </c>
      <c r="E93" s="13">
        <f t="shared" si="5"/>
        <v>9.0695495858359419E-3</v>
      </c>
      <c r="F93" s="13">
        <f t="shared" si="6"/>
        <v>10.500431356928136</v>
      </c>
      <c r="G93" s="14">
        <f>F93/$F$124*$D$2</f>
        <v>2060.9719668378048</v>
      </c>
      <c r="H93" s="14">
        <f>F93/$F$124*$E$2</f>
        <v>2060.9719668378048</v>
      </c>
      <c r="I93" s="25" t="str">
        <f t="shared" si="7"/>
        <v/>
      </c>
    </row>
    <row r="94" spans="1:9" hidden="1" x14ac:dyDescent="0.25">
      <c r="A94" s="3">
        <v>3834</v>
      </c>
      <c r="B94" s="3">
        <v>113.3926632</v>
      </c>
      <c r="C94" s="3">
        <v>22.939999929999999</v>
      </c>
      <c r="D94" s="3">
        <v>34</v>
      </c>
      <c r="E94" s="13">
        <f t="shared" si="5"/>
        <v>9.1031176292791886E-3</v>
      </c>
      <c r="F94" s="13">
        <f t="shared" si="6"/>
        <v>10.48105313425587</v>
      </c>
      <c r="G94" s="14">
        <f>F94/$F$124*$D$2</f>
        <v>2057.1685065477345</v>
      </c>
      <c r="H94" s="14">
        <f>F94/$F$124*$E$2</f>
        <v>2057.1685065477345</v>
      </c>
      <c r="I94" s="25" t="str">
        <f t="shared" si="7"/>
        <v/>
      </c>
    </row>
    <row r="95" spans="1:9" x14ac:dyDescent="0.25">
      <c r="A95" s="3">
        <v>3827</v>
      </c>
      <c r="B95" s="3">
        <v>113.3947932</v>
      </c>
      <c r="C95" s="3">
        <v>22.938347360000002</v>
      </c>
      <c r="D95" s="3">
        <v>34</v>
      </c>
      <c r="E95" s="13">
        <f t="shared" si="5"/>
        <v>9.1539137252007654E-3</v>
      </c>
      <c r="F95" s="13">
        <f t="shared" si="6"/>
        <v>10.451932408692088</v>
      </c>
      <c r="G95" s="14">
        <f>F95/$F$152*$D$2</f>
        <v>28.431993332207007</v>
      </c>
      <c r="H95" s="14">
        <f>F95/$F$152*$E$2</f>
        <v>28.431993332207007</v>
      </c>
      <c r="I95" s="25" t="str">
        <f t="shared" si="7"/>
        <v>选中</v>
      </c>
    </row>
    <row r="96" spans="1:9" hidden="1" x14ac:dyDescent="0.25">
      <c r="A96" s="3">
        <v>3831</v>
      </c>
      <c r="B96" s="3">
        <v>113.3936102</v>
      </c>
      <c r="C96" s="3">
        <v>22.939063180000002</v>
      </c>
      <c r="D96" s="3">
        <v>34</v>
      </c>
      <c r="E96" s="13">
        <f t="shared" si="5"/>
        <v>9.1876207290028464E-3</v>
      </c>
      <c r="F96" s="13">
        <f t="shared" si="6"/>
        <v>10.432742073273381</v>
      </c>
      <c r="G96" s="14">
        <f>F96/$F$124*$D$2</f>
        <v>2047.6862539631866</v>
      </c>
      <c r="H96" s="14">
        <f>F96/$F$124*$E$2</f>
        <v>2047.6862539631866</v>
      </c>
      <c r="I96" s="25" t="str">
        <f t="shared" si="7"/>
        <v/>
      </c>
    </row>
    <row r="97" spans="1:9" hidden="1" x14ac:dyDescent="0.25">
      <c r="A97" s="3">
        <v>3848</v>
      </c>
      <c r="B97" s="3">
        <v>113.3927322</v>
      </c>
      <c r="C97" s="3">
        <v>22.939768019999999</v>
      </c>
      <c r="D97" s="3">
        <v>34</v>
      </c>
      <c r="E97" s="13">
        <f t="shared" si="5"/>
        <v>9.219928872482866E-3</v>
      </c>
      <c r="F97" s="13">
        <f t="shared" si="6"/>
        <v>10.414447012023416</v>
      </c>
      <c r="G97" s="14">
        <f>F97/$F$124*$D$2</f>
        <v>2044.095391160881</v>
      </c>
      <c r="H97" s="14">
        <f>F97/$F$124*$E$2</f>
        <v>2044.095391160881</v>
      </c>
      <c r="I97" s="25" t="str">
        <f t="shared" si="7"/>
        <v/>
      </c>
    </row>
    <row r="98" spans="1:9" x14ac:dyDescent="0.25">
      <c r="A98" s="3">
        <v>3836</v>
      </c>
      <c r="B98" s="3">
        <v>113.3926032</v>
      </c>
      <c r="C98" s="3">
        <v>22.939835009999999</v>
      </c>
      <c r="D98" s="3">
        <v>34</v>
      </c>
      <c r="E98" s="13">
        <f t="shared" si="5"/>
        <v>9.2621651299764265E-3</v>
      </c>
      <c r="F98" s="13">
        <f t="shared" si="6"/>
        <v>10.390674499652679</v>
      </c>
      <c r="G98" s="14">
        <f>F98/$F$152*$D$2</f>
        <v>28.265355777231523</v>
      </c>
      <c r="H98" s="14">
        <f>F98/$F$152*$E$2</f>
        <v>28.265355777231523</v>
      </c>
      <c r="I98" s="25" t="str">
        <f t="shared" si="7"/>
        <v>选中</v>
      </c>
    </row>
    <row r="99" spans="1:9" hidden="1" x14ac:dyDescent="0.25">
      <c r="A99" s="3">
        <v>3812</v>
      </c>
      <c r="B99" s="3">
        <v>113.39129819999999</v>
      </c>
      <c r="C99" s="3">
        <v>22.941439599999999</v>
      </c>
      <c r="D99" s="3">
        <v>34</v>
      </c>
      <c r="E99" s="13">
        <f t="shared" si="5"/>
        <v>9.2728296458250807E-3</v>
      </c>
      <c r="F99" s="13">
        <f t="shared" si="6"/>
        <v>10.384697716079948</v>
      </c>
      <c r="G99" s="14">
        <f>F99/$F$124*$D$2</f>
        <v>2038.2563486598128</v>
      </c>
      <c r="H99" s="14">
        <f>F99/$F$124*$E$2</f>
        <v>2038.2563486598128</v>
      </c>
      <c r="I99" s="25" t="str">
        <f t="shared" si="7"/>
        <v/>
      </c>
    </row>
    <row r="100" spans="1:9" hidden="1" x14ac:dyDescent="0.25">
      <c r="A100" s="3">
        <v>3828</v>
      </c>
      <c r="B100" s="3">
        <v>113.39445720000001</v>
      </c>
      <c r="C100" s="3">
        <v>22.93834039</v>
      </c>
      <c r="D100" s="3">
        <v>34</v>
      </c>
      <c r="E100" s="13">
        <f t="shared" si="5"/>
        <v>9.3236757411467308E-3</v>
      </c>
      <c r="F100" s="13">
        <f t="shared" si="6"/>
        <v>10.356342848467712</v>
      </c>
      <c r="G100" s="14">
        <f>F100/$F$124*$D$2</f>
        <v>2032.690997553198</v>
      </c>
      <c r="H100" s="14">
        <f>F100/$F$124*$E$2</f>
        <v>2032.690997553198</v>
      </c>
      <c r="I100" s="25" t="str">
        <f t="shared" si="7"/>
        <v/>
      </c>
    </row>
    <row r="101" spans="1:9" x14ac:dyDescent="0.25">
      <c r="A101" s="3">
        <v>3865</v>
      </c>
      <c r="B101" s="3">
        <v>113.4031061</v>
      </c>
      <c r="C101" s="3">
        <v>22.93794935</v>
      </c>
      <c r="D101" s="3">
        <v>34</v>
      </c>
      <c r="E101" s="13">
        <f t="shared" ref="E101:E132" si="8">SQRT((B101-$B$2)^2+(C101-$C$2)^2)</f>
        <v>9.3511741911341834E-3</v>
      </c>
      <c r="F101" s="13">
        <f t="shared" ref="F101:F132" si="9">SQRT(1/E101)</f>
        <v>10.34110449230579</v>
      </c>
      <c r="G101" s="14">
        <f>F101/$F$152*$D$2</f>
        <v>28.130512375719274</v>
      </c>
      <c r="H101" s="14">
        <f>F101/$F$152*$E$2</f>
        <v>28.130512375719274</v>
      </c>
      <c r="I101" s="25" t="str">
        <f t="shared" si="7"/>
        <v>选中</v>
      </c>
    </row>
    <row r="102" spans="1:9" hidden="1" x14ac:dyDescent="0.25">
      <c r="A102" s="3">
        <v>3839</v>
      </c>
      <c r="B102" s="3">
        <v>113.3929612</v>
      </c>
      <c r="C102" s="3">
        <v>22.93931517</v>
      </c>
      <c r="D102" s="3">
        <v>34</v>
      </c>
      <c r="E102" s="13">
        <f t="shared" si="8"/>
        <v>9.3996275978395945E-3</v>
      </c>
      <c r="F102" s="13">
        <f t="shared" si="9"/>
        <v>10.314416779031347</v>
      </c>
      <c r="G102" s="14">
        <f>F102/$F$124*$D$2</f>
        <v>2024.4619590641239</v>
      </c>
      <c r="H102" s="14">
        <f>F102/$F$124*$E$2</f>
        <v>2024.4619590641239</v>
      </c>
      <c r="I102" s="25" t="str">
        <f t="shared" si="7"/>
        <v/>
      </c>
    </row>
    <row r="103" spans="1:9" hidden="1" x14ac:dyDescent="0.25">
      <c r="A103" s="3">
        <v>3811</v>
      </c>
      <c r="B103" s="3">
        <v>113.3914582</v>
      </c>
      <c r="C103" s="3">
        <v>22.94082783</v>
      </c>
      <c r="D103" s="3">
        <v>34</v>
      </c>
      <c r="E103" s="13">
        <f t="shared" si="8"/>
        <v>9.4848951924866882E-3</v>
      </c>
      <c r="F103" s="13">
        <f t="shared" si="9"/>
        <v>10.267949684126908</v>
      </c>
      <c r="G103" s="14">
        <f>F103/$F$124*$D$2</f>
        <v>2015.3416308868193</v>
      </c>
      <c r="H103" s="14">
        <f>F103/$F$124*$E$2</f>
        <v>2015.3416308868193</v>
      </c>
      <c r="I103" s="25" t="str">
        <f t="shared" si="7"/>
        <v/>
      </c>
    </row>
    <row r="104" spans="1:9" x14ac:dyDescent="0.25">
      <c r="A104" s="3">
        <v>3876</v>
      </c>
      <c r="B104" s="3">
        <v>113.4067838</v>
      </c>
      <c r="C104" s="3">
        <v>22.94021974</v>
      </c>
      <c r="D104" s="3">
        <v>34</v>
      </c>
      <c r="E104" s="13">
        <f t="shared" si="8"/>
        <v>9.8478011051004524E-3</v>
      </c>
      <c r="F104" s="13">
        <f t="shared" si="9"/>
        <v>10.07697928263538</v>
      </c>
      <c r="G104" s="14">
        <f>F104/$F$152*$D$2</f>
        <v>27.412022635585505</v>
      </c>
      <c r="H104" s="14">
        <f>F104/$F$152*$E$2</f>
        <v>27.412022635585505</v>
      </c>
      <c r="I104" s="25" t="str">
        <f t="shared" si="7"/>
        <v>选中</v>
      </c>
    </row>
    <row r="105" spans="1:9" hidden="1" x14ac:dyDescent="0.25">
      <c r="A105" s="3">
        <v>2727</v>
      </c>
      <c r="B105" s="3">
        <v>113.3980523</v>
      </c>
      <c r="C105" s="3">
        <v>22.956224720000002</v>
      </c>
      <c r="D105" s="3">
        <v>34</v>
      </c>
      <c r="E105" s="13">
        <f t="shared" si="8"/>
        <v>9.8721688402096976E-3</v>
      </c>
      <c r="F105" s="13">
        <f t="shared" si="9"/>
        <v>10.064534961662266</v>
      </c>
      <c r="G105" s="14">
        <f>F105/$F$124*$D$2</f>
        <v>1975.4164100657613</v>
      </c>
      <c r="H105" s="14">
        <f>F105/$F$124*$E$2</f>
        <v>1975.4164100657613</v>
      </c>
      <c r="I105" s="25" t="str">
        <f t="shared" si="7"/>
        <v/>
      </c>
    </row>
    <row r="106" spans="1:9" hidden="1" x14ac:dyDescent="0.25">
      <c r="A106" s="3">
        <v>3808</v>
      </c>
      <c r="B106" s="3">
        <v>113.39061529999999</v>
      </c>
      <c r="C106" s="3">
        <v>22.941310829999999</v>
      </c>
      <c r="D106" s="3">
        <v>34</v>
      </c>
      <c r="E106" s="13">
        <f t="shared" si="8"/>
        <v>9.9216661011453135E-3</v>
      </c>
      <c r="F106" s="13">
        <f t="shared" si="9"/>
        <v>10.039398569386696</v>
      </c>
      <c r="G106" s="14">
        <f>F106/$F$124*$D$2</f>
        <v>1970.4827651452401</v>
      </c>
      <c r="H106" s="14">
        <f>F106/$F$124*$E$2</f>
        <v>1970.4827651452401</v>
      </c>
      <c r="I106" s="25" t="str">
        <f t="shared" si="7"/>
        <v/>
      </c>
    </row>
    <row r="107" spans="1:9" x14ac:dyDescent="0.25">
      <c r="A107" s="3">
        <v>3249</v>
      </c>
      <c r="B107" s="3">
        <v>113.39218529999999</v>
      </c>
      <c r="C107" s="3">
        <v>22.953516279999999</v>
      </c>
      <c r="D107" s="3">
        <v>34</v>
      </c>
      <c r="E107" s="13">
        <f t="shared" si="8"/>
        <v>9.9324226249208353E-3</v>
      </c>
      <c r="F107" s="13">
        <f t="shared" si="9"/>
        <v>10.033960908980641</v>
      </c>
      <c r="G107" s="14">
        <f>F107/$F$152*$D$2</f>
        <v>27.295001393475602</v>
      </c>
      <c r="H107" s="14">
        <f>F107/$F$152*$E$2</f>
        <v>27.295001393475602</v>
      </c>
      <c r="I107" s="25" t="str">
        <f t="shared" si="7"/>
        <v>选中</v>
      </c>
    </row>
    <row r="108" spans="1:9" hidden="1" x14ac:dyDescent="0.25">
      <c r="A108" s="3">
        <v>3872</v>
      </c>
      <c r="B108" s="3">
        <v>113.40680279999999</v>
      </c>
      <c r="C108" s="3">
        <v>22.93999685</v>
      </c>
      <c r="D108" s="3">
        <v>34</v>
      </c>
      <c r="E108" s="13">
        <f t="shared" si="8"/>
        <v>1.000400974124048E-2</v>
      </c>
      <c r="F108" s="13">
        <f t="shared" si="9"/>
        <v>9.9979957321042967</v>
      </c>
      <c r="G108" s="14">
        <f>F108/$F$124*$D$2</f>
        <v>1962.3564240373321</v>
      </c>
      <c r="H108" s="14">
        <f>F108/$F$124*$E$2</f>
        <v>1962.3564240373321</v>
      </c>
      <c r="I108" s="25" t="str">
        <f t="shared" si="7"/>
        <v/>
      </c>
    </row>
    <row r="109" spans="1:9" hidden="1" x14ac:dyDescent="0.25">
      <c r="A109" s="3">
        <v>3259</v>
      </c>
      <c r="B109" s="3">
        <v>113.4080369</v>
      </c>
      <c r="C109" s="3">
        <v>22.951192679999998</v>
      </c>
      <c r="D109" s="3">
        <v>34</v>
      </c>
      <c r="E109" s="13">
        <f t="shared" si="8"/>
        <v>1.0113020518123024E-2</v>
      </c>
      <c r="F109" s="13">
        <f t="shared" si="9"/>
        <v>9.9439642850020675</v>
      </c>
      <c r="G109" s="14">
        <f>F109/$F$124*$D$2</f>
        <v>1951.751402774858</v>
      </c>
      <c r="H109" s="14">
        <f>F109/$F$124*$E$2</f>
        <v>1951.751402774858</v>
      </c>
      <c r="I109" s="25" t="str">
        <f t="shared" si="7"/>
        <v/>
      </c>
    </row>
    <row r="110" spans="1:9" x14ac:dyDescent="0.25">
      <c r="A110" s="3">
        <v>3803</v>
      </c>
      <c r="B110" s="3">
        <v>113.3902144</v>
      </c>
      <c r="C110" s="3">
        <v>22.940910110000001</v>
      </c>
      <c r="D110" s="3">
        <v>34</v>
      </c>
      <c r="E110" s="13">
        <f t="shared" si="8"/>
        <v>1.047243709127888E-2</v>
      </c>
      <c r="F110" s="13">
        <f t="shared" si="9"/>
        <v>9.7718348810265088</v>
      </c>
      <c r="G110" s="14">
        <f>F110/$F$152*$D$2</f>
        <v>26.58194995116127</v>
      </c>
      <c r="H110" s="14">
        <f>F110/$F$152*$E$2</f>
        <v>26.58194995116127</v>
      </c>
      <c r="I110" s="25" t="str">
        <f t="shared" si="7"/>
        <v>选中</v>
      </c>
    </row>
    <row r="111" spans="1:9" hidden="1" x14ac:dyDescent="0.25">
      <c r="A111" s="3">
        <v>3814</v>
      </c>
      <c r="B111" s="3">
        <v>113.3914394</v>
      </c>
      <c r="C111" s="3">
        <v>22.93916553</v>
      </c>
      <c r="D111" s="3">
        <v>34</v>
      </c>
      <c r="E111" s="13">
        <f t="shared" si="8"/>
        <v>1.0563011052372983E-2</v>
      </c>
      <c r="F111" s="13">
        <f t="shared" si="9"/>
        <v>9.7298497282034226</v>
      </c>
      <c r="G111" s="14">
        <f>F111/$F$124*$D$2</f>
        <v>1909.7260721713917</v>
      </c>
      <c r="H111" s="14">
        <f>F111/$F$124*$E$2</f>
        <v>1909.7260721713917</v>
      </c>
      <c r="I111" s="25" t="str">
        <f t="shared" si="7"/>
        <v/>
      </c>
    </row>
    <row r="112" spans="1:9" hidden="1" x14ac:dyDescent="0.25">
      <c r="A112" s="3">
        <v>3260</v>
      </c>
      <c r="B112" s="3">
        <v>113.40870839999999</v>
      </c>
      <c r="C112" s="3">
        <v>22.95108608</v>
      </c>
      <c r="D112" s="3">
        <v>34</v>
      </c>
      <c r="E112" s="13">
        <f t="shared" si="8"/>
        <v>1.0662258873705307E-2</v>
      </c>
      <c r="F112" s="13">
        <f t="shared" si="9"/>
        <v>9.6844595297387421</v>
      </c>
      <c r="G112" s="14">
        <f>F112/$F$124*$D$2</f>
        <v>1900.8171118225212</v>
      </c>
      <c r="H112" s="14">
        <f>F112/$F$124*$E$2</f>
        <v>1900.8171118225212</v>
      </c>
      <c r="I112" s="25" t="str">
        <f t="shared" si="7"/>
        <v/>
      </c>
    </row>
    <row r="113" spans="1:9" x14ac:dyDescent="0.25">
      <c r="A113" s="3">
        <v>3212</v>
      </c>
      <c r="B113" s="3">
        <v>113.3896958</v>
      </c>
      <c r="C113" s="3">
        <v>22.95206452</v>
      </c>
      <c r="D113" s="3">
        <v>34</v>
      </c>
      <c r="E113" s="13">
        <f t="shared" si="8"/>
        <v>1.0994744100869685E-2</v>
      </c>
      <c r="F113" s="13">
        <f t="shared" si="9"/>
        <v>9.5369045741574361</v>
      </c>
      <c r="G113" s="14">
        <f>F113/$F$152*$D$2</f>
        <v>25.942877992287908</v>
      </c>
      <c r="H113" s="14">
        <f>F113/$F$152*$E$2</f>
        <v>25.942877992287908</v>
      </c>
      <c r="I113" s="25" t="str">
        <f t="shared" si="7"/>
        <v>选中</v>
      </c>
    </row>
    <row r="114" spans="1:9" hidden="1" x14ac:dyDescent="0.25">
      <c r="A114" s="3">
        <v>3824</v>
      </c>
      <c r="B114" s="3">
        <v>113.39150840000001</v>
      </c>
      <c r="C114" s="3">
        <v>22.93814695</v>
      </c>
      <c r="D114" s="3">
        <v>34</v>
      </c>
      <c r="E114" s="13">
        <f t="shared" si="8"/>
        <v>1.1239177191716358E-2</v>
      </c>
      <c r="F114" s="13">
        <f t="shared" si="9"/>
        <v>9.4326287312400652</v>
      </c>
      <c r="G114" s="14">
        <f>F114/$F$124*$D$2</f>
        <v>1851.3890265896503</v>
      </c>
      <c r="H114" s="14">
        <f>F114/$F$124*$E$2</f>
        <v>1851.3890265896503</v>
      </c>
      <c r="I114" s="25" t="str">
        <f t="shared" si="7"/>
        <v/>
      </c>
    </row>
    <row r="115" spans="1:9" hidden="1" x14ac:dyDescent="0.25">
      <c r="A115" s="3">
        <v>3847</v>
      </c>
      <c r="B115" s="3">
        <v>113.3931394</v>
      </c>
      <c r="C115" s="3">
        <v>22.936650270000001</v>
      </c>
      <c r="D115" s="3">
        <v>34</v>
      </c>
      <c r="E115" s="13">
        <f t="shared" si="8"/>
        <v>1.145029255286226E-2</v>
      </c>
      <c r="F115" s="13">
        <f t="shared" si="9"/>
        <v>9.3452668831098329</v>
      </c>
      <c r="G115" s="14">
        <f>F115/$F$124*$D$2</f>
        <v>1834.2420814930801</v>
      </c>
      <c r="H115" s="14">
        <f>F115/$F$124*$E$2</f>
        <v>1834.2420814930801</v>
      </c>
      <c r="I115" s="25" t="str">
        <f t="shared" si="7"/>
        <v/>
      </c>
    </row>
    <row r="116" spans="1:9" x14ac:dyDescent="0.25">
      <c r="A116" s="3">
        <v>3859</v>
      </c>
      <c r="B116" s="3">
        <v>113.3931394</v>
      </c>
      <c r="C116" s="3">
        <v>22.936650270000001</v>
      </c>
      <c r="D116" s="3">
        <v>34</v>
      </c>
      <c r="E116" s="13">
        <f t="shared" si="8"/>
        <v>1.145029255286226E-2</v>
      </c>
      <c r="F116" s="13">
        <f t="shared" si="9"/>
        <v>9.3452668831098329</v>
      </c>
      <c r="G116" s="14">
        <f>F116/$F$152*$D$2</f>
        <v>25.421573286037248</v>
      </c>
      <c r="H116" s="14">
        <f>F116/$F$152*$E$2</f>
        <v>25.421573286037248</v>
      </c>
      <c r="I116" s="25" t="str">
        <f t="shared" si="7"/>
        <v>选中</v>
      </c>
    </row>
    <row r="117" spans="1:9" hidden="1" x14ac:dyDescent="0.25">
      <c r="A117" s="3">
        <v>3851</v>
      </c>
      <c r="B117" s="3">
        <v>113.4008024</v>
      </c>
      <c r="C117" s="3">
        <v>22.935065030000001</v>
      </c>
      <c r="D117" s="3">
        <v>34</v>
      </c>
      <c r="E117" s="13">
        <f t="shared" si="8"/>
        <v>1.1469270835258873E-2</v>
      </c>
      <c r="F117" s="13">
        <f t="shared" si="9"/>
        <v>9.3375318428528864</v>
      </c>
      <c r="G117" s="14">
        <f>F117/$F$124*$D$2</f>
        <v>1832.7238866123134</v>
      </c>
      <c r="H117" s="14">
        <f>F117/$F$124*$E$2</f>
        <v>1832.7238866123134</v>
      </c>
      <c r="I117" s="25" t="str">
        <f t="shared" si="7"/>
        <v/>
      </c>
    </row>
    <row r="118" spans="1:9" hidden="1" x14ac:dyDescent="0.25">
      <c r="A118" s="3">
        <v>3874</v>
      </c>
      <c r="B118" s="3">
        <v>113.4026901</v>
      </c>
      <c r="C118" s="3">
        <v>22.935428300000002</v>
      </c>
      <c r="D118" s="3">
        <v>34</v>
      </c>
      <c r="E118" s="13">
        <f t="shared" si="8"/>
        <v>1.1546705326126299E-2</v>
      </c>
      <c r="F118" s="13">
        <f t="shared" si="9"/>
        <v>9.3061695057322691</v>
      </c>
      <c r="G118" s="14">
        <f>F118/$F$124*$D$2</f>
        <v>1826.5682444845775</v>
      </c>
      <c r="H118" s="14">
        <f>F118/$F$124*$E$2</f>
        <v>1826.5682444845775</v>
      </c>
      <c r="I118" s="25" t="str">
        <f t="shared" si="7"/>
        <v/>
      </c>
    </row>
    <row r="119" spans="1:9" x14ac:dyDescent="0.25">
      <c r="A119" s="3">
        <v>3858</v>
      </c>
      <c r="B119" s="3">
        <v>113.3999312</v>
      </c>
      <c r="C119" s="3">
        <v>22.934723040000002</v>
      </c>
      <c r="D119" s="3">
        <v>34</v>
      </c>
      <c r="E119" s="13">
        <f t="shared" si="8"/>
        <v>1.1715763282500189E-2</v>
      </c>
      <c r="F119" s="13">
        <f t="shared" si="9"/>
        <v>9.2387817103154486</v>
      </c>
      <c r="G119" s="14">
        <f>F119/$F$152*$D$2</f>
        <v>25.131905729409056</v>
      </c>
      <c r="H119" s="14">
        <f>F119/$F$152*$E$2</f>
        <v>25.131905729409056</v>
      </c>
      <c r="I119" s="25" t="str">
        <f t="shared" si="7"/>
        <v>选中</v>
      </c>
    </row>
    <row r="120" spans="1:9" hidden="1" x14ac:dyDescent="0.25">
      <c r="A120" s="3">
        <v>3871</v>
      </c>
      <c r="B120" s="3">
        <v>113.40762549999999</v>
      </c>
      <c r="C120" s="3">
        <v>22.93822698</v>
      </c>
      <c r="D120" s="3">
        <v>34</v>
      </c>
      <c r="E120" s="13">
        <f t="shared" si="8"/>
        <v>1.1799410699265624E-2</v>
      </c>
      <c r="F120" s="13">
        <f t="shared" si="9"/>
        <v>9.2059760584826762</v>
      </c>
      <c r="G120" s="14">
        <f>F120/$F$124*$D$2</f>
        <v>1806.9027775124982</v>
      </c>
      <c r="H120" s="14">
        <f>F120/$F$124*$E$2</f>
        <v>1806.9027775124982</v>
      </c>
      <c r="I120" s="25" t="str">
        <f t="shared" si="7"/>
        <v/>
      </c>
    </row>
    <row r="121" spans="1:9" hidden="1" x14ac:dyDescent="0.25">
      <c r="A121" s="3">
        <v>3266</v>
      </c>
      <c r="B121" s="3">
        <v>113.40954290000001</v>
      </c>
      <c r="C121" s="3">
        <v>22.952011150000001</v>
      </c>
      <c r="D121" s="3">
        <v>34</v>
      </c>
      <c r="E121" s="13">
        <f t="shared" si="8"/>
        <v>1.1827038506956343E-2</v>
      </c>
      <c r="F121" s="13">
        <f t="shared" si="9"/>
        <v>9.1952172517020276</v>
      </c>
      <c r="G121" s="14">
        <f>F121/$F$124*$D$2</f>
        <v>1804.7910929142354</v>
      </c>
      <c r="H121" s="14">
        <f>F121/$F$124*$E$2</f>
        <v>1804.7910929142354</v>
      </c>
      <c r="I121" s="25" t="str">
        <f t="shared" si="7"/>
        <v/>
      </c>
    </row>
    <row r="122" spans="1:9" x14ac:dyDescent="0.25">
      <c r="A122" s="3">
        <v>2719</v>
      </c>
      <c r="B122" s="3">
        <v>113.3904215</v>
      </c>
      <c r="C122" s="3">
        <v>22.954537259999999</v>
      </c>
      <c r="D122" s="3">
        <v>34</v>
      </c>
      <c r="E122" s="13">
        <f t="shared" si="8"/>
        <v>1.1907892300164218E-2</v>
      </c>
      <c r="F122" s="13">
        <f t="shared" si="9"/>
        <v>9.1639466244977328</v>
      </c>
      <c r="G122" s="14">
        <f>F122/$F$152*$D$2</f>
        <v>24.928334697968499</v>
      </c>
      <c r="H122" s="14">
        <f>F122/$F$152*$E$2</f>
        <v>24.928334697968499</v>
      </c>
      <c r="I122" s="25" t="str">
        <f t="shared" si="7"/>
        <v>选中</v>
      </c>
    </row>
    <row r="123" spans="1:9" hidden="1" x14ac:dyDescent="0.25">
      <c r="A123" s="3">
        <v>2721</v>
      </c>
      <c r="B123" s="3">
        <v>113.3979351</v>
      </c>
      <c r="C123" s="3">
        <v>22.95852773</v>
      </c>
      <c r="D123" s="3">
        <v>34</v>
      </c>
      <c r="E123" s="13">
        <f t="shared" si="8"/>
        <v>1.2175004541374424E-2</v>
      </c>
      <c r="F123" s="13">
        <f t="shared" si="9"/>
        <v>9.0628633983280054</v>
      </c>
      <c r="G123" s="14">
        <f>F123/$F$124*$D$2</f>
        <v>1778.8133428357262</v>
      </c>
      <c r="H123" s="14">
        <f>F123/$F$124*$E$2</f>
        <v>1778.8133428357262</v>
      </c>
      <c r="I123" s="25" t="str">
        <f t="shared" si="7"/>
        <v/>
      </c>
    </row>
    <row r="124" spans="1:9" hidden="1" x14ac:dyDescent="0.25">
      <c r="A124" s="3">
        <v>3863</v>
      </c>
      <c r="B124" s="3">
        <v>113.40801279999999</v>
      </c>
      <c r="C124" s="3">
        <v>22.937508480000002</v>
      </c>
      <c r="D124" s="3">
        <v>34</v>
      </c>
      <c r="E124" s="13">
        <f t="shared" si="8"/>
        <v>1.2579222280010066E-2</v>
      </c>
      <c r="F124" s="13">
        <f t="shared" si="9"/>
        <v>8.9160625036635359</v>
      </c>
      <c r="G124" s="14">
        <f>F124/$F$124*$D$2</f>
        <v>1750</v>
      </c>
      <c r="H124" s="14">
        <f>F124/$F$124*$E$2</f>
        <v>1750</v>
      </c>
      <c r="I124" s="25" t="str">
        <f t="shared" si="7"/>
        <v/>
      </c>
    </row>
    <row r="125" spans="1:9" x14ac:dyDescent="0.25">
      <c r="A125" s="3">
        <v>2732</v>
      </c>
      <c r="B125" s="3">
        <v>113.4070038</v>
      </c>
      <c r="C125" s="3">
        <v>22.956517909999999</v>
      </c>
      <c r="D125" s="3">
        <v>34</v>
      </c>
      <c r="E125" s="13">
        <f t="shared" si="8"/>
        <v>1.2814541437712375E-2</v>
      </c>
      <c r="F125" s="13">
        <f t="shared" si="9"/>
        <v>8.833818360264118</v>
      </c>
      <c r="G125" s="14">
        <f>F125/$F$152*$D$2</f>
        <v>24.030299364362875</v>
      </c>
      <c r="H125" s="14">
        <f>F125/$F$152*$E$2</f>
        <v>24.030299364362875</v>
      </c>
      <c r="I125" s="25" t="str">
        <f t="shared" si="7"/>
        <v>选中</v>
      </c>
    </row>
    <row r="126" spans="1:9" hidden="1" x14ac:dyDescent="0.25">
      <c r="A126" s="3">
        <v>3268</v>
      </c>
      <c r="B126" s="3">
        <v>113.41058870000001</v>
      </c>
      <c r="C126" s="3">
        <v>22.952195700000001</v>
      </c>
      <c r="D126" s="3">
        <v>34</v>
      </c>
      <c r="E126" s="13">
        <f t="shared" si="8"/>
        <v>1.2839867504945009E-2</v>
      </c>
      <c r="F126" s="13">
        <f t="shared" si="9"/>
        <v>8.8251019031473188</v>
      </c>
      <c r="G126" s="14">
        <f>F126/$F$124*$D$2</f>
        <v>1732.1467098466421</v>
      </c>
      <c r="H126" s="14">
        <f>F126/$F$124*$E$2</f>
        <v>1732.1467098466421</v>
      </c>
      <c r="I126" s="25" t="str">
        <f t="shared" si="7"/>
        <v/>
      </c>
    </row>
    <row r="127" spans="1:9" hidden="1" x14ac:dyDescent="0.25">
      <c r="A127" s="3">
        <v>2722</v>
      </c>
      <c r="B127" s="3">
        <v>113.4000485</v>
      </c>
      <c r="C127" s="3">
        <v>22.959684450000001</v>
      </c>
      <c r="D127" s="3">
        <v>34</v>
      </c>
      <c r="E127" s="13">
        <f t="shared" si="8"/>
        <v>1.3305409087919983E-2</v>
      </c>
      <c r="F127" s="13">
        <f t="shared" si="9"/>
        <v>8.669336971970095</v>
      </c>
      <c r="G127" s="14">
        <f>F127/$F$124*$D$2</f>
        <v>1701.5739509131849</v>
      </c>
      <c r="H127" s="14">
        <f>F127/$F$124*$E$2</f>
        <v>1701.5739509131849</v>
      </c>
      <c r="I127" s="25" t="str">
        <f t="shared" si="7"/>
        <v/>
      </c>
    </row>
    <row r="128" spans="1:9" x14ac:dyDescent="0.25">
      <c r="A128" s="3">
        <v>3270</v>
      </c>
      <c r="B128" s="3">
        <v>113.410991</v>
      </c>
      <c r="C128" s="3">
        <v>22.952831679999999</v>
      </c>
      <c r="D128" s="3">
        <v>34</v>
      </c>
      <c r="E128" s="13">
        <f t="shared" si="8"/>
        <v>1.3491087741538864E-2</v>
      </c>
      <c r="F128" s="13">
        <f t="shared" si="9"/>
        <v>8.609471973322206</v>
      </c>
      <c r="G128" s="14">
        <f>F128/$F$152*$D$2</f>
        <v>23.420018439437211</v>
      </c>
      <c r="H128" s="14">
        <f>F128/$F$152*$E$2</f>
        <v>23.420018439437211</v>
      </c>
      <c r="I128" s="25" t="str">
        <f t="shared" si="7"/>
        <v>选中</v>
      </c>
    </row>
    <row r="129" spans="1:9" hidden="1" x14ac:dyDescent="0.25">
      <c r="A129" s="3">
        <v>4166</v>
      </c>
      <c r="B129" s="3">
        <v>113.4007355</v>
      </c>
      <c r="C129" s="3">
        <v>22.932842959999999</v>
      </c>
      <c r="D129" s="3">
        <v>34</v>
      </c>
      <c r="E129" s="13">
        <f t="shared" si="8"/>
        <v>1.3663284245541037E-2</v>
      </c>
      <c r="F129" s="13">
        <f t="shared" si="9"/>
        <v>8.5550479556920003</v>
      </c>
      <c r="G129" s="14">
        <f>F129/$F$124*$D$2</f>
        <v>1679.1418763954835</v>
      </c>
      <c r="H129" s="14">
        <f>F129/$F$124*$E$2</f>
        <v>1679.1418763954835</v>
      </c>
      <c r="I129" s="25" t="str">
        <f t="shared" si="7"/>
        <v/>
      </c>
    </row>
    <row r="130" spans="1:9" hidden="1" x14ac:dyDescent="0.25">
      <c r="A130" s="3">
        <v>2733</v>
      </c>
      <c r="B130" s="3">
        <v>113.40928940000001</v>
      </c>
      <c r="C130" s="3">
        <v>22.95635815</v>
      </c>
      <c r="D130" s="3">
        <v>34</v>
      </c>
      <c r="E130" s="13">
        <f t="shared" si="8"/>
        <v>1.4221286836113631E-2</v>
      </c>
      <c r="F130" s="13">
        <f t="shared" si="9"/>
        <v>8.3855306755496866</v>
      </c>
      <c r="G130" s="14">
        <f>F130/$F$124*$D$2</f>
        <v>1645.8698754278862</v>
      </c>
      <c r="H130" s="14">
        <f>F130/$F$124*$E$2</f>
        <v>1645.8698754278862</v>
      </c>
      <c r="I130" s="25" t="str">
        <f t="shared" si="7"/>
        <v/>
      </c>
    </row>
    <row r="131" spans="1:9" x14ac:dyDescent="0.25">
      <c r="A131" s="3">
        <v>3276</v>
      </c>
      <c r="B131" s="3">
        <v>113.41330840000001</v>
      </c>
      <c r="C131" s="3">
        <v>22.947629500000001</v>
      </c>
      <c r="D131" s="3">
        <v>34</v>
      </c>
      <c r="E131" s="13">
        <f t="shared" si="8"/>
        <v>1.4234940343625647E-2</v>
      </c>
      <c r="F131" s="13">
        <f t="shared" si="9"/>
        <v>8.3815082009084829</v>
      </c>
      <c r="G131" s="14">
        <f>F131/$F$152*$D$2</f>
        <v>22.79989727869744</v>
      </c>
      <c r="H131" s="14">
        <f>F131/$F$152*$E$2</f>
        <v>22.79989727869744</v>
      </c>
      <c r="I131" s="25" t="str">
        <f t="shared" si="7"/>
        <v>选中</v>
      </c>
    </row>
    <row r="132" spans="1:9" hidden="1" x14ac:dyDescent="0.25">
      <c r="A132" s="3">
        <v>3866</v>
      </c>
      <c r="B132" s="3">
        <v>113.40872450000001</v>
      </c>
      <c r="C132" s="3">
        <v>22.934666050000001</v>
      </c>
      <c r="D132" s="3">
        <v>34</v>
      </c>
      <c r="E132" s="13">
        <f t="shared" si="8"/>
        <v>1.5168476889293249E-2</v>
      </c>
      <c r="F132" s="13">
        <f t="shared" si="9"/>
        <v>8.1194948913404819</v>
      </c>
      <c r="G132" s="14">
        <f>F132/$F$124*$D$2</f>
        <v>1593.6537068921887</v>
      </c>
      <c r="H132" s="14">
        <f>F132/$F$124*$E$2</f>
        <v>1593.6537068921887</v>
      </c>
      <c r="I132" s="25" t="str">
        <f t="shared" si="7"/>
        <v/>
      </c>
    </row>
    <row r="133" spans="1:9" hidden="1" x14ac:dyDescent="0.25">
      <c r="A133" s="3">
        <v>3277</v>
      </c>
      <c r="B133" s="3">
        <v>113.4126624</v>
      </c>
      <c r="C133" s="3">
        <v>22.953323600000001</v>
      </c>
      <c r="D133" s="3">
        <v>34</v>
      </c>
      <c r="E133" s="13">
        <f t="shared" ref="E133:E150" si="10">SQRT((B133-$B$2)^2+(C133-$C$2)^2)</f>
        <v>1.5199512480355603E-2</v>
      </c>
      <c r="F133" s="13">
        <f t="shared" ref="F133:F150" si="11">SQRT(1/E133)</f>
        <v>8.1112011355381775</v>
      </c>
      <c r="G133" s="14">
        <f>F133/$F$124*$D$2</f>
        <v>1592.0258501282788</v>
      </c>
      <c r="H133" s="14">
        <f>F133/$F$124*$E$2</f>
        <v>1592.0258501282788</v>
      </c>
      <c r="I133" s="25" t="str">
        <f t="shared" si="7"/>
        <v/>
      </c>
    </row>
    <row r="134" spans="1:9" x14ac:dyDescent="0.25">
      <c r="A134" s="3">
        <v>2728</v>
      </c>
      <c r="B134" s="3">
        <v>113.3936437</v>
      </c>
      <c r="C134" s="3">
        <v>22.960693970000001</v>
      </c>
      <c r="D134" s="3">
        <v>34</v>
      </c>
      <c r="E134" s="13">
        <f t="shared" si="10"/>
        <v>1.5298799650695515E-2</v>
      </c>
      <c r="F134" s="13">
        <f t="shared" si="11"/>
        <v>8.0848379855249064</v>
      </c>
      <c r="G134" s="14">
        <f>F134/$F$152*$D$2</f>
        <v>21.992876600049005</v>
      </c>
      <c r="H134" s="14">
        <f>F134/$F$152*$E$2</f>
        <v>21.992876600049005</v>
      </c>
      <c r="I134" s="25" t="str">
        <f t="shared" ref="I134:I150" si="12">IF(MOD(ROW()-1,3)=1,"选中","")</f>
        <v>选中</v>
      </c>
    </row>
    <row r="135" spans="1:9" hidden="1" x14ac:dyDescent="0.25">
      <c r="A135" s="3">
        <v>2741</v>
      </c>
      <c r="B135" s="3">
        <v>113.4130967</v>
      </c>
      <c r="C135" s="3">
        <v>22.953949649999998</v>
      </c>
      <c r="D135" s="3">
        <v>34</v>
      </c>
      <c r="E135" s="13">
        <f t="shared" si="10"/>
        <v>1.5875102476671073E-2</v>
      </c>
      <c r="F135" s="13">
        <f t="shared" si="11"/>
        <v>7.9367322846769097</v>
      </c>
      <c r="G135" s="14">
        <f>F135/$F$124*$D$2</f>
        <v>1557.7819797110667</v>
      </c>
      <c r="H135" s="14">
        <f>F135/$F$124*$E$2</f>
        <v>1557.7819797110667</v>
      </c>
      <c r="I135" s="25" t="str">
        <f t="shared" si="12"/>
        <v/>
      </c>
    </row>
    <row r="136" spans="1:9" hidden="1" x14ac:dyDescent="0.25">
      <c r="A136" s="3">
        <v>2730</v>
      </c>
      <c r="B136" s="3">
        <v>113.3940626</v>
      </c>
      <c r="C136" s="3">
        <v>22.961529559999999</v>
      </c>
      <c r="D136" s="3">
        <v>34</v>
      </c>
      <c r="E136" s="13">
        <f t="shared" si="10"/>
        <v>1.5943757998676294E-2</v>
      </c>
      <c r="F136" s="13">
        <f t="shared" si="11"/>
        <v>7.9196256413006321</v>
      </c>
      <c r="G136" s="14">
        <f>F136/$F$124*$D$2</f>
        <v>1554.4243736045385</v>
      </c>
      <c r="H136" s="14">
        <f>F136/$F$124*$E$2</f>
        <v>1554.4243736045385</v>
      </c>
      <c r="I136" s="25" t="str">
        <f t="shared" si="12"/>
        <v/>
      </c>
    </row>
    <row r="137" spans="1:9" x14ac:dyDescent="0.25">
      <c r="A137" s="3">
        <v>2724</v>
      </c>
      <c r="B137" s="3">
        <v>113.3943106</v>
      </c>
      <c r="C137" s="3">
        <v>22.96180442</v>
      </c>
      <c r="D137" s="3">
        <v>34</v>
      </c>
      <c r="E137" s="13">
        <f t="shared" si="10"/>
        <v>1.6128859363439031E-2</v>
      </c>
      <c r="F137" s="13">
        <f t="shared" si="11"/>
        <v>7.8740500769340223</v>
      </c>
      <c r="G137" s="14">
        <f>F137/$F$152*$D$2</f>
        <v>21.419478286969422</v>
      </c>
      <c r="H137" s="14">
        <f>F137/$F$152*$E$2</f>
        <v>21.419478286969422</v>
      </c>
      <c r="I137" s="25" t="str">
        <f t="shared" si="12"/>
        <v>选中</v>
      </c>
    </row>
    <row r="138" spans="1:9" hidden="1" x14ac:dyDescent="0.25">
      <c r="A138" s="3">
        <v>2739</v>
      </c>
      <c r="B138" s="3">
        <v>113.4136262</v>
      </c>
      <c r="C138" s="3">
        <v>22.954221929999999</v>
      </c>
      <c r="D138" s="3">
        <v>34</v>
      </c>
      <c r="E138" s="13">
        <f t="shared" si="10"/>
        <v>1.6470393983520459E-2</v>
      </c>
      <c r="F138" s="13">
        <f t="shared" si="11"/>
        <v>7.7919831736455976</v>
      </c>
      <c r="G138" s="14">
        <f>F138/$F$124*$D$2</f>
        <v>1529.3713506692991</v>
      </c>
      <c r="H138" s="14">
        <f>F138/$F$124*$E$2</f>
        <v>1529.3713506692991</v>
      </c>
      <c r="I138" s="25" t="str">
        <f t="shared" si="12"/>
        <v/>
      </c>
    </row>
    <row r="139" spans="1:9" hidden="1" x14ac:dyDescent="0.25">
      <c r="A139" s="3">
        <v>2740</v>
      </c>
      <c r="B139" s="3">
        <v>113.41384050000001</v>
      </c>
      <c r="C139" s="3">
        <v>22.953865239999999</v>
      </c>
      <c r="D139" s="3">
        <v>34</v>
      </c>
      <c r="E139" s="13">
        <f t="shared" si="10"/>
        <v>1.6495145963154934E-2</v>
      </c>
      <c r="F139" s="13">
        <f t="shared" si="11"/>
        <v>7.7861348041982845</v>
      </c>
      <c r="G139" s="14">
        <f>F139/$F$124*$D$2</f>
        <v>1528.2234620661638</v>
      </c>
      <c r="H139" s="14">
        <f>F139/$F$124*$E$2</f>
        <v>1528.2234620661638</v>
      </c>
      <c r="I139" s="25" t="str">
        <f t="shared" si="12"/>
        <v/>
      </c>
    </row>
    <row r="140" spans="1:9" x14ac:dyDescent="0.25">
      <c r="A140" s="3">
        <v>2369</v>
      </c>
      <c r="B140" s="3">
        <v>113.39833179999999</v>
      </c>
      <c r="C140" s="3">
        <v>22.9638025</v>
      </c>
      <c r="D140" s="3">
        <v>34</v>
      </c>
      <c r="E140" s="13">
        <f t="shared" si="10"/>
        <v>1.7409530919194196E-2</v>
      </c>
      <c r="F140" s="13">
        <f t="shared" si="11"/>
        <v>7.578905032267615</v>
      </c>
      <c r="G140" s="14">
        <f>F140/$F$152*$D$2</f>
        <v>20.616606472087554</v>
      </c>
      <c r="H140" s="14">
        <f>F140/$F$152*$E$2</f>
        <v>20.616606472087554</v>
      </c>
      <c r="I140" s="25" t="str">
        <f t="shared" si="12"/>
        <v>选中</v>
      </c>
    </row>
    <row r="141" spans="1:9" hidden="1" x14ac:dyDescent="0.25">
      <c r="A141" s="3">
        <v>2723</v>
      </c>
      <c r="B141" s="3">
        <v>113.3934615</v>
      </c>
      <c r="C141" s="3">
        <v>22.962949030000001</v>
      </c>
      <c r="D141" s="3">
        <v>34</v>
      </c>
      <c r="E141" s="13">
        <f t="shared" si="10"/>
        <v>1.7481045501985308E-2</v>
      </c>
      <c r="F141" s="13">
        <f t="shared" si="11"/>
        <v>7.5633865754911538</v>
      </c>
      <c r="G141" s="14">
        <f>F141/$F$124*$D$2</f>
        <v>1484.5035576714483</v>
      </c>
      <c r="H141" s="14">
        <f>F141/$F$124*$E$2</f>
        <v>1484.5035576714483</v>
      </c>
      <c r="I141" s="25" t="str">
        <f t="shared" si="12"/>
        <v/>
      </c>
    </row>
    <row r="142" spans="1:9" hidden="1" x14ac:dyDescent="0.25">
      <c r="A142" s="3">
        <v>2738</v>
      </c>
      <c r="B142" s="3">
        <v>113.4150236</v>
      </c>
      <c r="C142" s="3">
        <v>22.95426801</v>
      </c>
      <c r="D142" s="3">
        <v>34</v>
      </c>
      <c r="E142" s="13">
        <f t="shared" si="10"/>
        <v>1.7733430954974493E-2</v>
      </c>
      <c r="F142" s="13">
        <f t="shared" si="11"/>
        <v>7.5093719453845269</v>
      </c>
      <c r="G142" s="14">
        <f>F142/$F$124*$D$2</f>
        <v>1473.9018371644693</v>
      </c>
      <c r="H142" s="14">
        <f>F142/$F$124*$E$2</f>
        <v>1473.9018371644693</v>
      </c>
      <c r="I142" s="25" t="str">
        <f t="shared" si="12"/>
        <v/>
      </c>
    </row>
    <row r="143" spans="1:9" x14ac:dyDescent="0.25">
      <c r="A143" s="3">
        <v>2731</v>
      </c>
      <c r="B143" s="3">
        <v>113.3930005</v>
      </c>
      <c r="C143" s="3">
        <v>22.96329295</v>
      </c>
      <c r="D143" s="3">
        <v>34</v>
      </c>
      <c r="E143" s="13">
        <f t="shared" si="10"/>
        <v>1.7958719601821743E-2</v>
      </c>
      <c r="F143" s="13">
        <f t="shared" si="11"/>
        <v>7.4621214849962545</v>
      </c>
      <c r="G143" s="14">
        <f>F143/$F$152*$D$2</f>
        <v>20.298924639915594</v>
      </c>
      <c r="H143" s="14">
        <f>F143/$F$152*$E$2</f>
        <v>20.298924639915594</v>
      </c>
      <c r="I143" s="25" t="str">
        <f t="shared" si="12"/>
        <v>选中</v>
      </c>
    </row>
    <row r="144" spans="1:9" hidden="1" x14ac:dyDescent="0.25">
      <c r="A144" s="3">
        <v>2725</v>
      </c>
      <c r="B144" s="3">
        <v>113.3927176</v>
      </c>
      <c r="C144" s="3">
        <v>22.96332099</v>
      </c>
      <c r="D144" s="3">
        <v>34</v>
      </c>
      <c r="E144" s="13">
        <f t="shared" si="10"/>
        <v>1.8083384689213621E-2</v>
      </c>
      <c r="F144" s="13">
        <f t="shared" si="11"/>
        <v>7.4363554327820065</v>
      </c>
      <c r="G144" s="14">
        <f>F144/$F$124*$D$2</f>
        <v>1459.5705225284505</v>
      </c>
      <c r="H144" s="14">
        <f>F144/$F$124*$E$2</f>
        <v>1459.5705225284505</v>
      </c>
      <c r="I144" s="25" t="str">
        <f t="shared" si="12"/>
        <v/>
      </c>
    </row>
    <row r="145" spans="1:9" hidden="1" x14ac:dyDescent="0.25">
      <c r="A145" s="3">
        <v>2726</v>
      </c>
      <c r="B145" s="3">
        <v>113.39240460000001</v>
      </c>
      <c r="C145" s="3">
        <v>22.963299060000001</v>
      </c>
      <c r="D145" s="3">
        <v>34</v>
      </c>
      <c r="E145" s="13">
        <f t="shared" si="10"/>
        <v>1.8176277223081246E-2</v>
      </c>
      <c r="F145" s="13">
        <f t="shared" si="11"/>
        <v>7.4173287988209662</v>
      </c>
      <c r="G145" s="14">
        <f>F145/$F$124*$D$2</f>
        <v>1455.8360703060553</v>
      </c>
      <c r="H145" s="14">
        <f>F145/$F$124*$E$2</f>
        <v>1455.8360703060553</v>
      </c>
      <c r="I145" s="25" t="str">
        <f t="shared" si="12"/>
        <v/>
      </c>
    </row>
    <row r="146" spans="1:9" x14ac:dyDescent="0.25">
      <c r="A146" s="3">
        <v>2729</v>
      </c>
      <c r="B146" s="3">
        <v>113.3926116</v>
      </c>
      <c r="C146" s="3">
        <v>22.963504929999999</v>
      </c>
      <c r="D146" s="3">
        <v>34</v>
      </c>
      <c r="E146" s="13">
        <f t="shared" si="10"/>
        <v>1.8292982442250836E-2</v>
      </c>
      <c r="F146" s="13">
        <f t="shared" si="11"/>
        <v>7.3936304746805206</v>
      </c>
      <c r="G146" s="14">
        <f>F146/$F$152*$D$2</f>
        <v>20.11261115524422</v>
      </c>
      <c r="H146" s="14">
        <f>F146/$F$152*$E$2</f>
        <v>20.11261115524422</v>
      </c>
      <c r="I146" s="25" t="str">
        <f t="shared" si="12"/>
        <v>选中</v>
      </c>
    </row>
    <row r="147" spans="1:9" hidden="1" x14ac:dyDescent="0.25">
      <c r="A147" s="3">
        <v>2735</v>
      </c>
      <c r="B147" s="3">
        <v>113.41559820000001</v>
      </c>
      <c r="C147" s="3">
        <v>22.954896219999998</v>
      </c>
      <c r="D147" s="3">
        <v>34</v>
      </c>
      <c r="E147" s="13">
        <f t="shared" si="10"/>
        <v>1.8529459168301746E-2</v>
      </c>
      <c r="F147" s="13">
        <f t="shared" si="11"/>
        <v>7.3462994699508739</v>
      </c>
      <c r="G147" s="14">
        <f>F147/$F$124*$D$2</f>
        <v>1441.8947901196966</v>
      </c>
      <c r="H147" s="14">
        <f>F147/$F$124*$E$2</f>
        <v>1441.8947901196966</v>
      </c>
      <c r="I147" s="25" t="str">
        <f t="shared" si="12"/>
        <v/>
      </c>
    </row>
    <row r="148" spans="1:9" hidden="1" x14ac:dyDescent="0.25">
      <c r="A148" s="3">
        <v>4168</v>
      </c>
      <c r="B148" s="3">
        <v>113.4101508</v>
      </c>
      <c r="C148" s="3">
        <v>22.931059380000001</v>
      </c>
      <c r="D148" s="3">
        <v>34</v>
      </c>
      <c r="E148" s="13">
        <f t="shared" si="10"/>
        <v>1.8900463563096839E-2</v>
      </c>
      <c r="F148" s="13">
        <f t="shared" si="11"/>
        <v>7.2738404717992271</v>
      </c>
      <c r="G148" s="14">
        <f>F148/$F$124*$D$2</f>
        <v>1427.6729016220238</v>
      </c>
      <c r="H148" s="14">
        <f>F148/$F$124*$E$2</f>
        <v>1427.6729016220238</v>
      </c>
      <c r="I148" s="25" t="str">
        <f t="shared" si="12"/>
        <v/>
      </c>
    </row>
    <row r="149" spans="1:9" x14ac:dyDescent="0.25">
      <c r="A149" s="3">
        <v>2368</v>
      </c>
      <c r="B149" s="3">
        <v>113.3912126</v>
      </c>
      <c r="C149" s="3">
        <v>22.964914619999998</v>
      </c>
      <c r="D149" s="3">
        <v>34</v>
      </c>
      <c r="E149" s="13">
        <f t="shared" si="10"/>
        <v>2.0124565688268845E-2</v>
      </c>
      <c r="F149" s="13">
        <f t="shared" si="11"/>
        <v>7.0491498317318362</v>
      </c>
      <c r="G149" s="14">
        <f>F149/$F$152*$D$2</f>
        <v>19.17553359289353</v>
      </c>
      <c r="H149" s="14">
        <f>F149/$F$152*$E$2</f>
        <v>19.17553359289353</v>
      </c>
      <c r="I149" s="25" t="str">
        <f t="shared" si="12"/>
        <v>选中</v>
      </c>
    </row>
    <row r="150" spans="1:9" hidden="1" x14ac:dyDescent="0.25">
      <c r="A150" s="3">
        <v>2367</v>
      </c>
      <c r="B150" s="3">
        <v>113.3910997</v>
      </c>
      <c r="C150" s="3">
        <v>22.96489365</v>
      </c>
      <c r="D150" s="3">
        <v>34</v>
      </c>
      <c r="E150" s="13">
        <f t="shared" si="10"/>
        <v>2.0149989325180959E-2</v>
      </c>
      <c r="F150" s="13">
        <f t="shared" si="11"/>
        <v>7.0447014027913255</v>
      </c>
      <c r="G150" s="14">
        <f>F150/$F$124*$D$2</f>
        <v>1382.6986351676262</v>
      </c>
      <c r="H150" s="14">
        <f>F150/$F$124*$E$2</f>
        <v>1382.6986351676262</v>
      </c>
      <c r="I150" s="25" t="str">
        <f t="shared" si="12"/>
        <v/>
      </c>
    </row>
    <row r="151" spans="1:9" x14ac:dyDescent="0.25">
      <c r="A151" s="3"/>
      <c r="B151" s="3"/>
      <c r="C151" s="3"/>
      <c r="D151" s="3"/>
      <c r="G151" s="14"/>
      <c r="H151" s="14"/>
    </row>
    <row r="152" spans="1:9" x14ac:dyDescent="0.25">
      <c r="A152" s="3"/>
      <c r="B152" s="3"/>
      <c r="C152" s="3"/>
      <c r="D152" s="3"/>
      <c r="F152" s="13">
        <f>SUBTOTAL(9,F5:F149)</f>
        <v>643.32041378511894</v>
      </c>
      <c r="G152" s="13">
        <f>SUBTOTAL(9,G5:G149)</f>
        <v>1749.9999999999993</v>
      </c>
      <c r="H152" s="13">
        <f>SUBTOTAL(9,H5:H149)</f>
        <v>1749.9999999999993</v>
      </c>
    </row>
    <row r="153" spans="1:9" x14ac:dyDescent="0.25">
      <c r="A153" s="3"/>
      <c r="B153" s="3"/>
      <c r="C153" s="3"/>
      <c r="D153" s="3"/>
      <c r="G153" s="14"/>
      <c r="H153" s="14"/>
    </row>
    <row r="154" spans="1:9" x14ac:dyDescent="0.25">
      <c r="A154" s="3"/>
      <c r="B154" s="3"/>
      <c r="C154" s="3"/>
      <c r="D154" s="3"/>
      <c r="G154" s="14"/>
      <c r="H154" s="14"/>
    </row>
    <row r="155" spans="1:9" x14ac:dyDescent="0.25">
      <c r="A155" s="3"/>
      <c r="B155" s="3"/>
      <c r="C155" s="3"/>
      <c r="D155" s="3"/>
      <c r="G155" s="14"/>
      <c r="H155" s="14"/>
    </row>
    <row r="156" spans="1:9" x14ac:dyDescent="0.25">
      <c r="A156" s="3"/>
      <c r="B156" s="3"/>
      <c r="C156" s="3"/>
      <c r="D156" s="3"/>
      <c r="G156" s="14"/>
      <c r="H156" s="14"/>
    </row>
    <row r="157" spans="1:9" x14ac:dyDescent="0.25">
      <c r="A157" s="3"/>
      <c r="B157" s="3"/>
      <c r="C157" s="3"/>
      <c r="D157" s="3"/>
      <c r="G157" s="14"/>
      <c r="H157" s="14"/>
    </row>
    <row r="158" spans="1:9" x14ac:dyDescent="0.25">
      <c r="A158" s="3"/>
      <c r="B158" s="3"/>
      <c r="C158" s="3"/>
      <c r="D158" s="3"/>
      <c r="G158" s="14"/>
      <c r="H158" s="14"/>
    </row>
    <row r="159" spans="1:9" x14ac:dyDescent="0.25">
      <c r="A159" s="3"/>
      <c r="B159" s="3"/>
      <c r="C159" s="3"/>
      <c r="D159" s="3"/>
      <c r="G159" s="14"/>
      <c r="H159" s="14"/>
    </row>
    <row r="160" spans="1:9" x14ac:dyDescent="0.25">
      <c r="A160" s="3"/>
      <c r="B160" s="3"/>
      <c r="C160" s="3"/>
      <c r="D160" s="3"/>
      <c r="G160" s="14"/>
      <c r="H160" s="14"/>
    </row>
    <row r="161" spans="1:8" x14ac:dyDescent="0.25">
      <c r="A161" s="3"/>
      <c r="B161" s="3"/>
      <c r="C161" s="3"/>
      <c r="D161" s="3"/>
      <c r="G161" s="14"/>
      <c r="H161" s="14"/>
    </row>
    <row r="162" spans="1:8" x14ac:dyDescent="0.25">
      <c r="A162" s="3"/>
      <c r="B162" s="3"/>
      <c r="C162" s="3"/>
      <c r="D162" s="3"/>
      <c r="G162" s="14"/>
      <c r="H162" s="14"/>
    </row>
    <row r="163" spans="1:8" x14ac:dyDescent="0.25">
      <c r="A163" s="3"/>
      <c r="B163" s="3"/>
      <c r="C163" s="3"/>
      <c r="D163" s="3"/>
      <c r="G163" s="14"/>
      <c r="H163" s="14"/>
    </row>
    <row r="164" spans="1:8" x14ac:dyDescent="0.25">
      <c r="A164" s="3"/>
      <c r="B164" s="3"/>
      <c r="C164" s="3"/>
      <c r="D164" s="3"/>
      <c r="G164" s="14"/>
      <c r="H164" s="14"/>
    </row>
    <row r="165" spans="1:8" x14ac:dyDescent="0.25">
      <c r="A165" s="3"/>
      <c r="B165" s="3"/>
      <c r="C165" s="3"/>
      <c r="D165" s="3"/>
      <c r="G165" s="14"/>
      <c r="H165" s="14"/>
    </row>
    <row r="166" spans="1:8" x14ac:dyDescent="0.25">
      <c r="A166" s="3"/>
      <c r="B166" s="3"/>
      <c r="C166" s="3"/>
      <c r="D166" s="3"/>
      <c r="G166" s="14"/>
      <c r="H166" s="14"/>
    </row>
    <row r="167" spans="1:8" x14ac:dyDescent="0.25">
      <c r="A167" s="3"/>
      <c r="B167" s="3"/>
      <c r="C167" s="3"/>
      <c r="D167" s="3"/>
      <c r="G167" s="14"/>
      <c r="H167" s="14"/>
    </row>
    <row r="168" spans="1:8" x14ac:dyDescent="0.25">
      <c r="A168" s="3"/>
      <c r="B168" s="3"/>
      <c r="C168" s="3"/>
      <c r="D168" s="3"/>
      <c r="G168" s="14"/>
      <c r="H168" s="14"/>
    </row>
    <row r="169" spans="1:8" x14ac:dyDescent="0.25">
      <c r="A169" s="3"/>
      <c r="B169" s="3"/>
      <c r="C169" s="3"/>
      <c r="D169" s="3"/>
      <c r="G169" s="14"/>
      <c r="H169" s="14"/>
    </row>
    <row r="170" spans="1:8" x14ac:dyDescent="0.25">
      <c r="A170" s="3"/>
      <c r="B170" s="3"/>
      <c r="C170" s="3"/>
      <c r="D170" s="3"/>
      <c r="G170" s="14"/>
      <c r="H170" s="14"/>
    </row>
    <row r="171" spans="1:8" x14ac:dyDescent="0.25">
      <c r="A171" s="3"/>
      <c r="B171" s="3"/>
      <c r="C171" s="3"/>
      <c r="D171" s="3"/>
      <c r="G171" s="14"/>
      <c r="H171" s="14"/>
    </row>
    <row r="172" spans="1:8" x14ac:dyDescent="0.25">
      <c r="A172" s="3"/>
      <c r="B172" s="3"/>
      <c r="C172" s="3"/>
      <c r="D172" s="3"/>
      <c r="G172" s="14"/>
      <c r="H172" s="14"/>
    </row>
    <row r="173" spans="1:8" x14ac:dyDescent="0.25">
      <c r="A173" s="3"/>
      <c r="B173" s="3"/>
      <c r="C173" s="3"/>
      <c r="D173" s="3"/>
      <c r="G173" s="14"/>
      <c r="H173" s="14"/>
    </row>
    <row r="174" spans="1:8" x14ac:dyDescent="0.25">
      <c r="A174" s="3"/>
      <c r="B174" s="3"/>
      <c r="C174" s="3"/>
      <c r="D174" s="3"/>
      <c r="G174" s="14"/>
      <c r="H174" s="14"/>
    </row>
    <row r="175" spans="1:8" x14ac:dyDescent="0.25">
      <c r="A175" s="3"/>
      <c r="B175" s="3"/>
      <c r="C175" s="3"/>
      <c r="D175" s="3"/>
      <c r="G175" s="14"/>
      <c r="H175" s="14"/>
    </row>
    <row r="176" spans="1:8" x14ac:dyDescent="0.25">
      <c r="A176" s="3"/>
      <c r="B176" s="3"/>
      <c r="C176" s="3"/>
      <c r="D176" s="3"/>
      <c r="G176" s="14"/>
      <c r="H176" s="14"/>
    </row>
    <row r="177" spans="1:8" x14ac:dyDescent="0.25">
      <c r="A177" s="3"/>
      <c r="B177" s="3"/>
      <c r="C177" s="3"/>
      <c r="D177" s="3"/>
      <c r="G177" s="14"/>
      <c r="H177" s="14"/>
    </row>
    <row r="178" spans="1:8" x14ac:dyDescent="0.25">
      <c r="A178" s="3"/>
      <c r="B178" s="3"/>
      <c r="C178" s="3"/>
      <c r="D178" s="3"/>
      <c r="G178" s="14"/>
      <c r="H178" s="14"/>
    </row>
    <row r="179" spans="1:8" x14ac:dyDescent="0.25">
      <c r="A179" s="3"/>
      <c r="B179" s="3"/>
      <c r="C179" s="3"/>
      <c r="D179" s="3"/>
      <c r="G179" s="14"/>
      <c r="H179" s="14"/>
    </row>
    <row r="180" spans="1:8" x14ac:dyDescent="0.25">
      <c r="A180" s="3"/>
      <c r="B180" s="3"/>
      <c r="C180" s="3"/>
      <c r="D180" s="3"/>
      <c r="G180" s="14"/>
      <c r="H180" s="14"/>
    </row>
    <row r="181" spans="1:8" x14ac:dyDescent="0.25">
      <c r="A181" s="3"/>
      <c r="B181" s="3"/>
      <c r="C181" s="3"/>
      <c r="D181" s="3"/>
      <c r="G181" s="14"/>
      <c r="H181" s="14"/>
    </row>
    <row r="182" spans="1:8" x14ac:dyDescent="0.25">
      <c r="A182" s="3"/>
      <c r="B182" s="3"/>
      <c r="C182" s="3"/>
      <c r="D182" s="3"/>
      <c r="G182" s="14"/>
      <c r="H182" s="14"/>
    </row>
    <row r="183" spans="1:8" x14ac:dyDescent="0.25">
      <c r="A183" s="3"/>
      <c r="B183" s="3"/>
      <c r="C183" s="3"/>
      <c r="D183" s="3"/>
      <c r="G183" s="14"/>
      <c r="H183" s="14"/>
    </row>
    <row r="184" spans="1:8" x14ac:dyDescent="0.25">
      <c r="A184" s="3"/>
      <c r="B184" s="3"/>
      <c r="C184" s="3"/>
      <c r="D184" s="3"/>
      <c r="G184" s="14"/>
      <c r="H184" s="14"/>
    </row>
    <row r="185" spans="1:8" x14ac:dyDescent="0.25">
      <c r="A185" s="3"/>
      <c r="B185" s="3"/>
      <c r="C185" s="3"/>
      <c r="D185" s="3"/>
      <c r="G185" s="14"/>
      <c r="H185" s="14"/>
    </row>
    <row r="186" spans="1:8" x14ac:dyDescent="0.25">
      <c r="A186" s="3"/>
      <c r="B186" s="3"/>
      <c r="C186" s="3"/>
      <c r="D186" s="3"/>
      <c r="G186" s="14"/>
      <c r="H186" s="14"/>
    </row>
    <row r="187" spans="1:8" x14ac:dyDescent="0.25">
      <c r="A187" s="3"/>
      <c r="B187" s="3"/>
      <c r="C187" s="3"/>
      <c r="D187" s="3"/>
      <c r="G187" s="14"/>
      <c r="H187" s="14"/>
    </row>
    <row r="188" spans="1:8" x14ac:dyDescent="0.25">
      <c r="A188" s="3"/>
      <c r="B188" s="3"/>
      <c r="C188" s="3"/>
      <c r="D188" s="3"/>
      <c r="G188" s="14"/>
      <c r="H188" s="14"/>
    </row>
    <row r="189" spans="1:8" x14ac:dyDescent="0.25">
      <c r="A189" s="3"/>
      <c r="B189" s="3"/>
      <c r="C189" s="3"/>
      <c r="D189" s="3"/>
      <c r="G189" s="14"/>
      <c r="H189" s="14"/>
    </row>
    <row r="190" spans="1:8" x14ac:dyDescent="0.25">
      <c r="A190" s="3"/>
      <c r="B190" s="3"/>
      <c r="C190" s="3"/>
      <c r="D190" s="3"/>
      <c r="G190" s="14"/>
      <c r="H190" s="14"/>
    </row>
    <row r="191" spans="1:8" x14ac:dyDescent="0.25">
      <c r="A191" s="3"/>
      <c r="B191" s="3"/>
      <c r="C191" s="3"/>
      <c r="D191" s="3"/>
      <c r="G191" s="14"/>
      <c r="H191" s="14"/>
    </row>
    <row r="192" spans="1:8" x14ac:dyDescent="0.25">
      <c r="A192" s="3"/>
      <c r="B192" s="3"/>
      <c r="C192" s="3"/>
      <c r="D192" s="3"/>
      <c r="G192" s="14"/>
      <c r="H192" s="14"/>
    </row>
    <row r="193" spans="1:8" x14ac:dyDescent="0.25">
      <c r="A193" s="3"/>
      <c r="B193" s="3"/>
      <c r="C193" s="3"/>
      <c r="D193" s="3"/>
      <c r="G193" s="14"/>
      <c r="H193" s="14"/>
    </row>
    <row r="194" spans="1:8" x14ac:dyDescent="0.25">
      <c r="A194" s="3"/>
      <c r="B194" s="3"/>
      <c r="C194" s="3"/>
      <c r="D194" s="3"/>
      <c r="G194" s="14"/>
      <c r="H194" s="14"/>
    </row>
    <row r="195" spans="1:8" x14ac:dyDescent="0.25">
      <c r="A195" s="3"/>
      <c r="B195" s="3"/>
      <c r="C195" s="3"/>
      <c r="D195" s="3"/>
      <c r="G195" s="14"/>
      <c r="H195" s="14"/>
    </row>
    <row r="196" spans="1:8" x14ac:dyDescent="0.25">
      <c r="A196" s="3"/>
      <c r="B196" s="3"/>
      <c r="C196" s="3"/>
      <c r="D196" s="3"/>
      <c r="G196" s="14"/>
      <c r="H196" s="14"/>
    </row>
    <row r="197" spans="1:8" x14ac:dyDescent="0.25">
      <c r="A197" s="3"/>
      <c r="B197" s="3"/>
      <c r="C197" s="3"/>
      <c r="D197" s="3"/>
      <c r="G197" s="14"/>
      <c r="H197" s="14"/>
    </row>
    <row r="198" spans="1:8" x14ac:dyDescent="0.25">
      <c r="A198" s="3"/>
      <c r="B198" s="3"/>
      <c r="C198" s="3"/>
      <c r="D198" s="3"/>
      <c r="G198" s="14"/>
      <c r="H198" s="14"/>
    </row>
    <row r="199" spans="1:8" x14ac:dyDescent="0.25">
      <c r="A199" s="3"/>
      <c r="B199" s="3"/>
      <c r="C199" s="3"/>
      <c r="D199" s="3"/>
      <c r="G199" s="14"/>
      <c r="H199" s="14"/>
    </row>
    <row r="200" spans="1:8" x14ac:dyDescent="0.25">
      <c r="A200" s="3"/>
      <c r="B200" s="3"/>
      <c r="C200" s="3"/>
      <c r="D200" s="3"/>
      <c r="G200" s="14"/>
      <c r="H200" s="14"/>
    </row>
    <row r="201" spans="1:8" x14ac:dyDescent="0.25">
      <c r="A201" s="3"/>
      <c r="B201" s="3"/>
      <c r="C201" s="3"/>
      <c r="D201" s="3"/>
      <c r="G201" s="14"/>
      <c r="H201" s="14"/>
    </row>
    <row r="202" spans="1:8" x14ac:dyDescent="0.25">
      <c r="A202" s="3"/>
      <c r="B202" s="3"/>
      <c r="C202" s="3"/>
      <c r="D202" s="3"/>
      <c r="G202" s="14"/>
      <c r="H202" s="14"/>
    </row>
    <row r="203" spans="1:8" x14ac:dyDescent="0.25">
      <c r="A203" s="3"/>
      <c r="B203" s="3"/>
      <c r="C203" s="3"/>
      <c r="D203" s="3"/>
      <c r="G203" s="14"/>
      <c r="H203" s="14"/>
    </row>
    <row r="204" spans="1:8" x14ac:dyDescent="0.25">
      <c r="A204" s="3"/>
      <c r="B204" s="3"/>
      <c r="C204" s="3"/>
      <c r="D204" s="3"/>
      <c r="G204" s="14"/>
      <c r="H204" s="14"/>
    </row>
    <row r="205" spans="1:8" x14ac:dyDescent="0.25">
      <c r="A205" s="3"/>
      <c r="B205" s="3"/>
      <c r="C205" s="3"/>
      <c r="D205" s="3"/>
      <c r="G205" s="14"/>
      <c r="H205" s="14"/>
    </row>
    <row r="206" spans="1:8" x14ac:dyDescent="0.25">
      <c r="A206" s="3"/>
      <c r="B206" s="3"/>
      <c r="C206" s="3"/>
      <c r="D206" s="3"/>
      <c r="G206" s="14"/>
      <c r="H206" s="14"/>
    </row>
    <row r="207" spans="1:8" x14ac:dyDescent="0.25">
      <c r="A207" s="3"/>
      <c r="B207" s="3"/>
      <c r="C207" s="3"/>
      <c r="D207" s="3"/>
      <c r="G207" s="14"/>
      <c r="H207" s="14"/>
    </row>
    <row r="208" spans="1:8" x14ac:dyDescent="0.25">
      <c r="A208" s="3"/>
      <c r="B208" s="3"/>
      <c r="C208" s="3"/>
      <c r="D208" s="3"/>
      <c r="G208" s="14"/>
      <c r="H208" s="14"/>
    </row>
    <row r="209" spans="1:8" x14ac:dyDescent="0.25">
      <c r="A209" s="3"/>
      <c r="B209" s="3"/>
      <c r="C209" s="3"/>
      <c r="D209" s="3"/>
      <c r="G209" s="14"/>
      <c r="H209" s="14"/>
    </row>
    <row r="210" spans="1:8" x14ac:dyDescent="0.25">
      <c r="A210" s="3"/>
      <c r="B210" s="3"/>
      <c r="C210" s="3"/>
      <c r="D210" s="3"/>
      <c r="G210" s="14"/>
      <c r="H210" s="14"/>
    </row>
    <row r="211" spans="1:8" x14ac:dyDescent="0.25">
      <c r="A211" s="3"/>
      <c r="B211" s="3"/>
      <c r="C211" s="3"/>
      <c r="D211" s="3"/>
      <c r="G211" s="14"/>
      <c r="H211" s="14"/>
    </row>
    <row r="212" spans="1:8" x14ac:dyDescent="0.25">
      <c r="A212" s="3"/>
      <c r="B212" s="3"/>
      <c r="C212" s="3"/>
      <c r="D212" s="3"/>
      <c r="G212" s="14"/>
      <c r="H212" s="14"/>
    </row>
    <row r="213" spans="1:8" x14ac:dyDescent="0.25">
      <c r="A213" s="3"/>
      <c r="B213" s="3"/>
      <c r="C213" s="3"/>
      <c r="D213" s="3"/>
      <c r="G213" s="14"/>
      <c r="H213" s="14"/>
    </row>
    <row r="214" spans="1:8" x14ac:dyDescent="0.25">
      <c r="A214" s="3"/>
      <c r="B214" s="3"/>
      <c r="C214" s="3"/>
      <c r="D214" s="3"/>
      <c r="G214" s="14"/>
      <c r="H214" s="14"/>
    </row>
    <row r="215" spans="1:8" x14ac:dyDescent="0.25">
      <c r="A215" s="3"/>
      <c r="B215" s="3"/>
      <c r="C215" s="3"/>
      <c r="D215" s="3"/>
      <c r="G215" s="14"/>
      <c r="H215" s="14"/>
    </row>
    <row r="216" spans="1:8" x14ac:dyDescent="0.25">
      <c r="A216" s="3"/>
      <c r="B216" s="3"/>
      <c r="C216" s="3"/>
      <c r="D216" s="3"/>
      <c r="G216" s="14"/>
      <c r="H216" s="14"/>
    </row>
    <row r="217" spans="1:8" x14ac:dyDescent="0.25">
      <c r="A217" s="3"/>
      <c r="B217" s="3"/>
      <c r="C217" s="3"/>
      <c r="D217" s="3"/>
      <c r="G217" s="14"/>
      <c r="H217" s="14"/>
    </row>
    <row r="218" spans="1:8" x14ac:dyDescent="0.25">
      <c r="A218" s="3"/>
      <c r="B218" s="3"/>
      <c r="C218" s="3"/>
      <c r="D218" s="3"/>
      <c r="G218" s="14"/>
      <c r="H218" s="14"/>
    </row>
    <row r="219" spans="1:8" x14ac:dyDescent="0.25">
      <c r="A219" s="3"/>
      <c r="B219" s="3"/>
      <c r="C219" s="3"/>
      <c r="D219" s="3"/>
      <c r="G219" s="14"/>
      <c r="H219" s="14"/>
    </row>
    <row r="220" spans="1:8" x14ac:dyDescent="0.25">
      <c r="A220" s="3"/>
      <c r="B220" s="3"/>
      <c r="C220" s="3"/>
      <c r="D220" s="3"/>
      <c r="G220" s="14"/>
      <c r="H220" s="14"/>
    </row>
    <row r="221" spans="1:8" x14ac:dyDescent="0.25">
      <c r="A221" s="3"/>
      <c r="B221" s="3"/>
      <c r="C221" s="3"/>
      <c r="D221" s="3"/>
      <c r="G221" s="14"/>
      <c r="H221" s="14"/>
    </row>
    <row r="222" spans="1:8" x14ac:dyDescent="0.25">
      <c r="A222" s="3"/>
      <c r="B222" s="3"/>
      <c r="C222" s="3"/>
      <c r="D222" s="3"/>
      <c r="G222" s="14"/>
      <c r="H222" s="14"/>
    </row>
    <row r="223" spans="1:8" x14ac:dyDescent="0.25">
      <c r="A223" s="3"/>
      <c r="B223" s="3"/>
      <c r="C223" s="3"/>
      <c r="D223" s="3"/>
      <c r="G223" s="14"/>
      <c r="H223" s="14"/>
    </row>
    <row r="224" spans="1:8" x14ac:dyDescent="0.25">
      <c r="A224" s="3"/>
      <c r="B224" s="3"/>
      <c r="C224" s="3"/>
      <c r="D224" s="3"/>
      <c r="G224" s="14"/>
      <c r="H224" s="14"/>
    </row>
    <row r="225" spans="1:8" x14ac:dyDescent="0.25">
      <c r="A225" s="3"/>
      <c r="B225" s="3"/>
      <c r="C225" s="3"/>
      <c r="D225" s="3"/>
      <c r="G225" s="14"/>
      <c r="H225" s="14"/>
    </row>
    <row r="226" spans="1:8" x14ac:dyDescent="0.25">
      <c r="A226" s="3"/>
      <c r="B226" s="3"/>
      <c r="C226" s="3"/>
      <c r="D226" s="3"/>
      <c r="G226" s="14"/>
      <c r="H226" s="14"/>
    </row>
    <row r="227" spans="1:8" x14ac:dyDescent="0.25">
      <c r="A227" s="3"/>
      <c r="B227" s="3"/>
      <c r="C227" s="3"/>
      <c r="D227" s="3"/>
      <c r="G227" s="14"/>
      <c r="H227" s="14"/>
    </row>
    <row r="228" spans="1:8" x14ac:dyDescent="0.25">
      <c r="A228" s="3"/>
      <c r="B228" s="3"/>
      <c r="C228" s="3"/>
      <c r="D228" s="3"/>
      <c r="G228" s="14"/>
      <c r="H228" s="14"/>
    </row>
    <row r="229" spans="1:8" x14ac:dyDescent="0.25">
      <c r="A229" s="3"/>
      <c r="B229" s="3"/>
      <c r="C229" s="3"/>
      <c r="D229" s="3"/>
      <c r="G229" s="14"/>
      <c r="H229" s="14"/>
    </row>
    <row r="230" spans="1:8" x14ac:dyDescent="0.25">
      <c r="A230" s="3"/>
      <c r="B230" s="3"/>
      <c r="C230" s="3"/>
      <c r="D230" s="3"/>
      <c r="G230" s="14"/>
      <c r="H230" s="14"/>
    </row>
    <row r="231" spans="1:8" x14ac:dyDescent="0.25">
      <c r="A231" s="3"/>
      <c r="B231" s="3"/>
      <c r="C231" s="3"/>
      <c r="D231" s="3"/>
      <c r="G231" s="14"/>
      <c r="H231" s="14"/>
    </row>
    <row r="232" spans="1:8" x14ac:dyDescent="0.25">
      <c r="A232" s="3"/>
      <c r="B232" s="3"/>
      <c r="C232" s="3"/>
      <c r="D232" s="3"/>
      <c r="G232" s="14"/>
      <c r="H232" s="14"/>
    </row>
    <row r="233" spans="1:8" x14ac:dyDescent="0.25">
      <c r="A233" s="3"/>
      <c r="B233" s="3"/>
      <c r="C233" s="3"/>
      <c r="D233" s="3"/>
      <c r="G233" s="14"/>
      <c r="H233" s="14"/>
    </row>
    <row r="234" spans="1:8" x14ac:dyDescent="0.25">
      <c r="A234" s="3"/>
      <c r="B234" s="3"/>
      <c r="C234" s="3"/>
      <c r="D234" s="3"/>
      <c r="G234" s="14"/>
      <c r="H234" s="14"/>
    </row>
    <row r="235" spans="1:8" x14ac:dyDescent="0.25">
      <c r="A235" s="3"/>
      <c r="B235" s="3"/>
      <c r="C235" s="3"/>
      <c r="D235" s="3"/>
      <c r="G235" s="14"/>
      <c r="H235" s="14"/>
    </row>
    <row r="236" spans="1:8" x14ac:dyDescent="0.25">
      <c r="A236" s="3"/>
      <c r="B236" s="3"/>
      <c r="C236" s="3"/>
      <c r="D236" s="3"/>
      <c r="G236" s="14"/>
      <c r="H236" s="14"/>
    </row>
    <row r="237" spans="1:8" x14ac:dyDescent="0.25">
      <c r="A237" s="3"/>
      <c r="B237" s="3"/>
      <c r="C237" s="3"/>
      <c r="D237" s="3"/>
      <c r="G237" s="14"/>
      <c r="H237" s="14"/>
    </row>
    <row r="238" spans="1:8" x14ac:dyDescent="0.25">
      <c r="A238" s="3"/>
      <c r="B238" s="3"/>
      <c r="C238" s="3"/>
      <c r="D238" s="3"/>
      <c r="G238" s="14"/>
      <c r="H238" s="14"/>
    </row>
    <row r="239" spans="1:8" x14ac:dyDescent="0.25">
      <c r="A239" s="3"/>
      <c r="B239" s="3"/>
      <c r="C239" s="3"/>
      <c r="D239" s="3"/>
      <c r="G239" s="14"/>
      <c r="H239" s="14"/>
    </row>
    <row r="240" spans="1:8" x14ac:dyDescent="0.25">
      <c r="A240" s="3"/>
      <c r="B240" s="3"/>
      <c r="C240" s="3"/>
      <c r="D240" s="3"/>
      <c r="G240" s="14"/>
      <c r="H240" s="14"/>
    </row>
    <row r="241" spans="1:8" x14ac:dyDescent="0.25">
      <c r="A241" s="3"/>
      <c r="B241" s="3"/>
      <c r="C241" s="3"/>
      <c r="D241" s="3"/>
      <c r="G241" s="14"/>
      <c r="H241" s="14"/>
    </row>
    <row r="242" spans="1:8" x14ac:dyDescent="0.25">
      <c r="A242" s="3"/>
      <c r="B242" s="3"/>
      <c r="C242" s="3"/>
      <c r="D242" s="3"/>
      <c r="G242" s="14"/>
      <c r="H242" s="14"/>
    </row>
    <row r="243" spans="1:8" x14ac:dyDescent="0.25">
      <c r="A243" s="3"/>
      <c r="B243" s="3"/>
      <c r="C243" s="3"/>
      <c r="D243" s="3"/>
      <c r="G243" s="14"/>
      <c r="H243" s="14"/>
    </row>
    <row r="244" spans="1:8" x14ac:dyDescent="0.25">
      <c r="A244" s="3"/>
      <c r="B244" s="3"/>
      <c r="C244" s="3"/>
      <c r="D244" s="3"/>
      <c r="G244" s="14"/>
      <c r="H244" s="14"/>
    </row>
    <row r="245" spans="1:8" x14ac:dyDescent="0.25">
      <c r="A245" s="3"/>
      <c r="B245" s="3"/>
      <c r="C245" s="3"/>
      <c r="D245" s="3"/>
      <c r="G245" s="14"/>
      <c r="H245" s="14"/>
    </row>
    <row r="247" spans="1:8" x14ac:dyDescent="0.25">
      <c r="A247" s="3"/>
      <c r="G247" s="14"/>
      <c r="H247" s="14"/>
    </row>
  </sheetData>
  <phoneticPr fontId="1" type="noConversion"/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2217D4-B8F8-4E3A-A843-372AEE6F48A5}">
  <sheetPr/>
  <dimension ref="A1:I247"/>
  <sheetViews>
    <sheetView zoomScale="115" zoomScaleNormal="115" workbookViewId="0">
      <selection activeCell="A5" sqref="A5:H158"/>
    </sheetView>
  </sheetViews>
  <sheetFormatPr defaultRowHeight="15" x14ac:dyDescent="0.25"/>
  <cols>
    <col min="1" max="1" width="8.875" style="4" customWidth="1"/>
    <col min="2" max="3" width="15.125" style="4" customWidth="1"/>
    <col min="4" max="4" width="10.25" style="4" customWidth="1"/>
    <col min="5" max="5" width="12" style="13" customWidth="1"/>
    <col min="6" max="6" width="15" style="13" customWidth="1"/>
    <col min="7" max="7" width="13.875" customWidth="1"/>
    <col min="8" max="8" width="11.125" customWidth="1"/>
    <col min="11" max="12" width="15.125" customWidth="1"/>
    <col min="13" max="13" width="11.125" customWidth="1"/>
  </cols>
  <sheetData>
    <row r="1" spans="1:9" ht="14.25" x14ac:dyDescent="0.2">
      <c r="A1" s="2" t="s">
        <v>12</v>
      </c>
      <c r="B1" s="2" t="s">
        <v>4</v>
      </c>
      <c r="C1" s="2" t="s">
        <v>5</v>
      </c>
      <c r="D1" s="2" t="s">
        <v>13</v>
      </c>
      <c r="E1" s="2" t="s">
        <v>14</v>
      </c>
      <c r="F1" s="2" t="s">
        <v>15</v>
      </c>
      <c r="G1" s="2" t="s">
        <v>16</v>
      </c>
    </row>
    <row r="2" spans="1:9" x14ac:dyDescent="0.25">
      <c r="A2" s="11">
        <v>35</v>
      </c>
      <c r="B2" s="3">
        <v>113.36672230000001</v>
      </c>
      <c r="C2" s="8">
        <v>22.93808241</v>
      </c>
      <c r="D2" s="3">
        <v>0</v>
      </c>
      <c r="E2" s="13">
        <v>1785</v>
      </c>
      <c r="F2" s="13">
        <v>5</v>
      </c>
      <c r="G2" s="19">
        <f>SUBTOTAL(2,A5:A250)</f>
        <v>52</v>
      </c>
    </row>
    <row r="3" spans="1:9" x14ac:dyDescent="0.25">
      <c r="A3" s="3"/>
      <c r="B3" s="3"/>
      <c r="C3" s="3"/>
      <c r="D3" s="3"/>
    </row>
    <row r="4" spans="1:9" ht="14.25" x14ac:dyDescent="0.2">
      <c r="A4" s="2" t="s">
        <v>0</v>
      </c>
      <c r="B4" s="2" t="s">
        <v>1</v>
      </c>
      <c r="C4" s="2" t="s">
        <v>2</v>
      </c>
      <c r="D4" s="2" t="s">
        <v>3</v>
      </c>
      <c r="E4" s="2" t="s">
        <v>7</v>
      </c>
      <c r="F4" s="2" t="s">
        <v>8</v>
      </c>
      <c r="G4" s="2" t="s">
        <v>13</v>
      </c>
      <c r="H4" s="2" t="s">
        <v>14</v>
      </c>
      <c r="I4" s="24" t="s">
        <v>20</v>
      </c>
    </row>
    <row r="5" spans="1:9" x14ac:dyDescent="0.25">
      <c r="A5" s="3">
        <v>3563</v>
      </c>
      <c r="B5" s="3">
        <v>113.3668065</v>
      </c>
      <c r="C5" s="3">
        <v>22.937375020000001</v>
      </c>
      <c r="D5" s="3">
        <v>35</v>
      </c>
      <c r="E5" s="13">
        <f t="shared" ref="E5:E36" si="0">SQRT((B5-$B$2)^2+(C5-$C$2)^2)</f>
        <v>7.1238350071883263E-4</v>
      </c>
      <c r="F5" s="13">
        <f t="shared" ref="F5:F36" si="1">SQRT(1/E5)</f>
        <v>37.466495619929269</v>
      </c>
      <c r="G5" s="14">
        <f>F5/$F$162*$D$2</f>
        <v>0</v>
      </c>
      <c r="H5" s="14">
        <f>F5/$F$162*$E$2</f>
        <v>78.646614328600961</v>
      </c>
      <c r="I5" s="25" t="str">
        <f>IF(MOD(ROW()-1,3)=1,"选中","")</f>
        <v>选中</v>
      </c>
    </row>
    <row r="6" spans="1:9" hidden="1" x14ac:dyDescent="0.25">
      <c r="A6" s="3">
        <v>3541</v>
      </c>
      <c r="B6" s="3">
        <v>113.3663639</v>
      </c>
      <c r="C6" s="3">
        <v>22.938812930000001</v>
      </c>
      <c r="D6" s="3">
        <v>35</v>
      </c>
      <c r="E6" s="13">
        <f t="shared" si="0"/>
        <v>8.137014381264841E-4</v>
      </c>
      <c r="F6" s="13">
        <f t="shared" si="1"/>
        <v>35.056411510171763</v>
      </c>
      <c r="G6" s="14">
        <f>F6/$F$124*$D$2</f>
        <v>0</v>
      </c>
      <c r="H6" s="14">
        <f>F6/$F$124*$E$2</f>
        <v>4886.6784963100699</v>
      </c>
      <c r="I6" s="25" t="str">
        <f t="shared" ref="I6:I69" si="2">IF(MOD(ROW()-1,3)=1,"选中","")</f>
        <v/>
      </c>
    </row>
    <row r="7" spans="1:9" hidden="1" x14ac:dyDescent="0.25">
      <c r="A7" s="3">
        <v>3540</v>
      </c>
      <c r="B7" s="3">
        <v>113.3664508</v>
      </c>
      <c r="C7" s="3">
        <v>22.939007749999998</v>
      </c>
      <c r="D7" s="3">
        <v>35</v>
      </c>
      <c r="E7" s="13">
        <f t="shared" si="0"/>
        <v>9.6434763731914359E-4</v>
      </c>
      <c r="F7" s="13">
        <f t="shared" si="1"/>
        <v>32.202025502226149</v>
      </c>
      <c r="G7" s="14">
        <f>F7/$F$124*$D$2</f>
        <v>0</v>
      </c>
      <c r="H7" s="14">
        <f>F7/$F$124*$E$2</f>
        <v>4488.7921718313364</v>
      </c>
      <c r="I7" s="25" t="str">
        <f t="shared" si="2"/>
        <v/>
      </c>
    </row>
    <row r="8" spans="1:9" x14ac:dyDescent="0.25">
      <c r="A8" s="3">
        <v>3595</v>
      </c>
      <c r="B8" s="3">
        <v>113.3656569</v>
      </c>
      <c r="C8" s="3">
        <v>22.937770220000001</v>
      </c>
      <c r="D8" s="3">
        <v>35</v>
      </c>
      <c r="E8" s="13">
        <f t="shared" si="0"/>
        <v>1.1101980706625602E-3</v>
      </c>
      <c r="F8" s="13">
        <f t="shared" si="1"/>
        <v>30.012333647831731</v>
      </c>
      <c r="G8" s="14">
        <f>F8/$F$162*$D$2</f>
        <v>0</v>
      </c>
      <c r="H8" s="14">
        <f>F8/$F$162*$E$2</f>
        <v>62.999444982700297</v>
      </c>
      <c r="I8" s="25" t="str">
        <f t="shared" si="2"/>
        <v>选中</v>
      </c>
    </row>
    <row r="9" spans="1:9" hidden="1" x14ac:dyDescent="0.25">
      <c r="A9" s="3">
        <v>3552</v>
      </c>
      <c r="B9" s="3">
        <v>113.3655919</v>
      </c>
      <c r="C9" s="3">
        <v>22.938126149999999</v>
      </c>
      <c r="D9" s="3">
        <v>35</v>
      </c>
      <c r="E9" s="13">
        <f t="shared" si="0"/>
        <v>1.1312459271167201E-3</v>
      </c>
      <c r="F9" s="13">
        <f t="shared" si="1"/>
        <v>29.731819372246431</v>
      </c>
      <c r="G9" s="14">
        <f>F9/$F$124*$D$2</f>
        <v>0</v>
      </c>
      <c r="H9" s="14">
        <f>F9/$F$124*$E$2</f>
        <v>4144.458492004389</v>
      </c>
      <c r="I9" s="25" t="str">
        <f t="shared" si="2"/>
        <v/>
      </c>
    </row>
    <row r="10" spans="1:9" hidden="1" x14ac:dyDescent="0.25">
      <c r="A10" s="3">
        <v>3547</v>
      </c>
      <c r="B10" s="3">
        <v>113.3678002</v>
      </c>
      <c r="C10" s="3">
        <v>22.938785280000001</v>
      </c>
      <c r="D10" s="3">
        <v>35</v>
      </c>
      <c r="E10" s="13">
        <f t="shared" si="0"/>
        <v>1.2868157004399337E-3</v>
      </c>
      <c r="F10" s="13">
        <f t="shared" si="1"/>
        <v>27.876729724776858</v>
      </c>
      <c r="G10" s="14">
        <f>F10/$F$124*$D$2</f>
        <v>0</v>
      </c>
      <c r="H10" s="14">
        <f>F10/$F$124*$E$2</f>
        <v>3885.8687990351968</v>
      </c>
      <c r="I10" s="25" t="str">
        <f t="shared" si="2"/>
        <v/>
      </c>
    </row>
    <row r="11" spans="1:9" x14ac:dyDescent="0.25">
      <c r="A11" s="3">
        <v>3549</v>
      </c>
      <c r="B11" s="3">
        <v>113.3666985</v>
      </c>
      <c r="C11" s="3">
        <v>22.939406290000001</v>
      </c>
      <c r="D11" s="3">
        <v>35</v>
      </c>
      <c r="E11" s="13">
        <f t="shared" si="0"/>
        <v>1.3240939144951833E-3</v>
      </c>
      <c r="F11" s="13">
        <f t="shared" si="1"/>
        <v>27.481510849013858</v>
      </c>
      <c r="G11" s="14">
        <f>F11/$F$162*$D$2</f>
        <v>0</v>
      </c>
      <c r="H11" s="14">
        <f>F11/$F$162*$E$2</f>
        <v>57.686948009089946</v>
      </c>
      <c r="I11" s="25" t="str">
        <f t="shared" si="2"/>
        <v>选中</v>
      </c>
    </row>
    <row r="12" spans="1:9" hidden="1" x14ac:dyDescent="0.25">
      <c r="A12" s="3">
        <v>3576</v>
      </c>
      <c r="B12" s="3">
        <v>113.3653652</v>
      </c>
      <c r="C12" s="3">
        <v>22.937750579999999</v>
      </c>
      <c r="D12" s="3">
        <v>35</v>
      </c>
      <c r="E12" s="13">
        <f t="shared" si="0"/>
        <v>1.3970796537489288E-3</v>
      </c>
      <c r="F12" s="13">
        <f t="shared" si="1"/>
        <v>26.754042711058794</v>
      </c>
      <c r="G12" s="14">
        <f>F12/$F$124*$D$2</f>
        <v>0</v>
      </c>
      <c r="H12" s="14">
        <f>F12/$F$124*$E$2</f>
        <v>3729.3721625659796</v>
      </c>
      <c r="I12" s="25" t="str">
        <f t="shared" si="2"/>
        <v/>
      </c>
    </row>
    <row r="13" spans="1:9" hidden="1" x14ac:dyDescent="0.25">
      <c r="A13" s="3">
        <v>3546</v>
      </c>
      <c r="B13" s="3">
        <v>113.36589069999999</v>
      </c>
      <c r="C13" s="3">
        <v>22.93683833</v>
      </c>
      <c r="D13" s="3">
        <v>35</v>
      </c>
      <c r="E13" s="13">
        <f t="shared" si="0"/>
        <v>1.496426946569225E-3</v>
      </c>
      <c r="F13" s="13">
        <f t="shared" si="1"/>
        <v>25.850695970803564</v>
      </c>
      <c r="G13" s="14">
        <f>F13/$F$124*$D$2</f>
        <v>0</v>
      </c>
      <c r="H13" s="14">
        <f>F13/$F$124*$E$2</f>
        <v>3603.4504010349629</v>
      </c>
      <c r="I13" s="25" t="str">
        <f t="shared" si="2"/>
        <v/>
      </c>
    </row>
    <row r="14" spans="1:9" x14ac:dyDescent="0.25">
      <c r="A14" s="3">
        <v>3548</v>
      </c>
      <c r="B14" s="3">
        <v>113.3677752</v>
      </c>
      <c r="C14" s="3">
        <v>22.93921813</v>
      </c>
      <c r="D14" s="3">
        <v>35</v>
      </c>
      <c r="E14" s="13">
        <f t="shared" si="0"/>
        <v>1.5486956861764608E-3</v>
      </c>
      <c r="F14" s="13">
        <f t="shared" si="1"/>
        <v>25.410719118638994</v>
      </c>
      <c r="G14" s="14">
        <f>F14/$F$162*$D$2</f>
        <v>0</v>
      </c>
      <c r="H14" s="14">
        <f>F14/$F$162*$E$2</f>
        <v>53.340110764802311</v>
      </c>
      <c r="I14" s="25" t="str">
        <f t="shared" si="2"/>
        <v>选中</v>
      </c>
    </row>
    <row r="15" spans="1:9" hidden="1" x14ac:dyDescent="0.25">
      <c r="A15" s="3">
        <v>3544</v>
      </c>
      <c r="B15" s="3">
        <v>113.3651155</v>
      </c>
      <c r="C15" s="3">
        <v>22.938257669999999</v>
      </c>
      <c r="D15" s="3">
        <v>35</v>
      </c>
      <c r="E15" s="13">
        <f t="shared" si="0"/>
        <v>1.6163298882389886E-3</v>
      </c>
      <c r="F15" s="13">
        <f t="shared" si="1"/>
        <v>24.873391073176865</v>
      </c>
      <c r="G15" s="14">
        <f>F15/$F$124*$D$2</f>
        <v>0</v>
      </c>
      <c r="H15" s="14">
        <f>F15/$F$124*$E$2</f>
        <v>3467.2192632248307</v>
      </c>
      <c r="I15" s="25" t="str">
        <f t="shared" si="2"/>
        <v/>
      </c>
    </row>
    <row r="16" spans="1:9" hidden="1" x14ac:dyDescent="0.25">
      <c r="A16" s="3">
        <v>3545</v>
      </c>
      <c r="B16" s="3">
        <v>113.3651255</v>
      </c>
      <c r="C16" s="3">
        <v>22.938800430000001</v>
      </c>
      <c r="D16" s="3">
        <v>35</v>
      </c>
      <c r="E16" s="13">
        <f t="shared" si="0"/>
        <v>1.7508063743332419E-3</v>
      </c>
      <c r="F16" s="13">
        <f t="shared" si="1"/>
        <v>23.899066651136362</v>
      </c>
      <c r="G16" s="14">
        <f>F16/$F$124*$D$2</f>
        <v>0</v>
      </c>
      <c r="H16" s="14">
        <f>F16/$F$124*$E$2</f>
        <v>3331.4035879600201</v>
      </c>
      <c r="I16" s="25" t="str">
        <f t="shared" si="2"/>
        <v/>
      </c>
    </row>
    <row r="17" spans="1:9" x14ac:dyDescent="0.25">
      <c r="A17" s="3">
        <v>3550</v>
      </c>
      <c r="B17" s="3">
        <v>113.367125</v>
      </c>
      <c r="C17" s="3">
        <v>22.939855600000001</v>
      </c>
      <c r="D17" s="3">
        <v>35</v>
      </c>
      <c r="E17" s="13">
        <f t="shared" si="0"/>
        <v>1.8183426701536456E-3</v>
      </c>
      <c r="F17" s="13">
        <f t="shared" si="1"/>
        <v>23.451041481836604</v>
      </c>
      <c r="G17" s="14">
        <f>F17/$F$162*$D$2</f>
        <v>0</v>
      </c>
      <c r="H17" s="14">
        <f>F17/$F$162*$E$2</f>
        <v>49.226515170662978</v>
      </c>
      <c r="I17" s="25" t="str">
        <f t="shared" si="2"/>
        <v>选中</v>
      </c>
    </row>
    <row r="18" spans="1:9" hidden="1" x14ac:dyDescent="0.25">
      <c r="A18" s="3">
        <v>3648</v>
      </c>
      <c r="B18" s="3">
        <v>113.36500770000001</v>
      </c>
      <c r="C18" s="3">
        <v>22.937116280000001</v>
      </c>
      <c r="D18" s="3">
        <v>35</v>
      </c>
      <c r="E18" s="13">
        <f t="shared" si="0"/>
        <v>1.9680600440270348E-3</v>
      </c>
      <c r="F18" s="13">
        <f t="shared" si="1"/>
        <v>22.541396998309988</v>
      </c>
      <c r="G18" s="14">
        <f>F18/$F$124*$D$2</f>
        <v>0</v>
      </c>
      <c r="H18" s="14">
        <f>F18/$F$124*$E$2</f>
        <v>3142.1516134493272</v>
      </c>
      <c r="I18" s="25" t="str">
        <f t="shared" si="2"/>
        <v/>
      </c>
    </row>
    <row r="19" spans="1:9" hidden="1" x14ac:dyDescent="0.25">
      <c r="A19" s="3">
        <v>3551</v>
      </c>
      <c r="B19" s="3">
        <v>113.36539209999999</v>
      </c>
      <c r="C19" s="3">
        <v>22.939583769999999</v>
      </c>
      <c r="D19" s="3">
        <v>35</v>
      </c>
      <c r="E19" s="13">
        <f t="shared" si="0"/>
        <v>2.0058698585974193E-3</v>
      </c>
      <c r="F19" s="13">
        <f t="shared" si="1"/>
        <v>22.327938320681739</v>
      </c>
      <c r="G19" s="14">
        <f>F19/$F$124*$D$2</f>
        <v>0</v>
      </c>
      <c r="H19" s="14">
        <f>F19/$F$124*$E$2</f>
        <v>3112.3966018870601</v>
      </c>
      <c r="I19" s="25" t="str">
        <f t="shared" si="2"/>
        <v/>
      </c>
    </row>
    <row r="20" spans="1:9" x14ac:dyDescent="0.25">
      <c r="A20" s="3">
        <v>3635</v>
      </c>
      <c r="B20" s="3">
        <v>113.3651606</v>
      </c>
      <c r="C20" s="3">
        <v>22.93661431</v>
      </c>
      <c r="D20" s="3">
        <v>35</v>
      </c>
      <c r="E20" s="13">
        <f t="shared" si="0"/>
        <v>2.1434142156927663E-3</v>
      </c>
      <c r="F20" s="13">
        <f t="shared" si="1"/>
        <v>21.599661574038723</v>
      </c>
      <c r="G20" s="14">
        <f>F20/$F$162*$D$2</f>
        <v>0</v>
      </c>
      <c r="H20" s="14">
        <f>F20/$F$162*$E$2</f>
        <v>45.340249343686345</v>
      </c>
      <c r="I20" s="25" t="str">
        <f t="shared" si="2"/>
        <v>选中</v>
      </c>
    </row>
    <row r="21" spans="1:9" hidden="1" x14ac:dyDescent="0.25">
      <c r="A21" s="3">
        <v>3562</v>
      </c>
      <c r="B21" s="3">
        <v>113.3685933</v>
      </c>
      <c r="C21" s="3">
        <v>22.939252190000001</v>
      </c>
      <c r="D21" s="3">
        <v>35</v>
      </c>
      <c r="E21" s="13">
        <f t="shared" si="0"/>
        <v>2.2065870135532001E-3</v>
      </c>
      <c r="F21" s="13">
        <f t="shared" si="1"/>
        <v>21.288225947551556</v>
      </c>
      <c r="G21" s="14">
        <f>F21/$F$124*$D$2</f>
        <v>0</v>
      </c>
      <c r="H21" s="14">
        <f>F21/$F$124*$E$2</f>
        <v>2967.4661918064799</v>
      </c>
      <c r="I21" s="25" t="str">
        <f t="shared" si="2"/>
        <v/>
      </c>
    </row>
    <row r="22" spans="1:9" hidden="1" x14ac:dyDescent="0.25">
      <c r="A22" s="3">
        <v>3553</v>
      </c>
      <c r="B22" s="3">
        <v>113.3655718</v>
      </c>
      <c r="C22" s="3">
        <v>22.93997139</v>
      </c>
      <c r="D22" s="3">
        <v>35</v>
      </c>
      <c r="E22" s="13">
        <f t="shared" si="0"/>
        <v>2.2117630276367651E-3</v>
      </c>
      <c r="F22" s="13">
        <f t="shared" si="1"/>
        <v>21.263301781254928</v>
      </c>
      <c r="G22" s="14">
        <f>F22/$F$124*$D$2</f>
        <v>0</v>
      </c>
      <c r="H22" s="14">
        <f>F22/$F$124*$E$2</f>
        <v>2963.9918947454453</v>
      </c>
      <c r="I22" s="25" t="str">
        <f t="shared" si="2"/>
        <v/>
      </c>
    </row>
    <row r="23" spans="1:9" x14ac:dyDescent="0.25">
      <c r="A23" s="3">
        <v>3605</v>
      </c>
      <c r="B23" s="3">
        <v>113.3646272</v>
      </c>
      <c r="C23" s="3">
        <v>22.93731867</v>
      </c>
      <c r="D23" s="3">
        <v>35</v>
      </c>
      <c r="E23" s="13">
        <f t="shared" si="0"/>
        <v>2.2299647525515776E-3</v>
      </c>
      <c r="F23" s="13">
        <f t="shared" si="1"/>
        <v>21.176344852020893</v>
      </c>
      <c r="G23" s="14">
        <f>F23/$F$162*$D$2</f>
        <v>0</v>
      </c>
      <c r="H23" s="14">
        <f>F23/$F$162*$E$2</f>
        <v>44.451657378397904</v>
      </c>
      <c r="I23" s="25" t="str">
        <f t="shared" si="2"/>
        <v>选中</v>
      </c>
    </row>
    <row r="24" spans="1:9" hidden="1" x14ac:dyDescent="0.25">
      <c r="A24" s="3">
        <v>3567</v>
      </c>
      <c r="B24" s="3">
        <v>113.3663272</v>
      </c>
      <c r="C24" s="3">
        <v>22.935855230000001</v>
      </c>
      <c r="D24" s="3">
        <v>35</v>
      </c>
      <c r="E24" s="13">
        <f t="shared" si="0"/>
        <v>2.2619537489519106E-3</v>
      </c>
      <c r="F24" s="13">
        <f t="shared" si="1"/>
        <v>21.026071637394885</v>
      </c>
      <c r="G24" s="14">
        <f>F24/$F$124*$D$2</f>
        <v>0</v>
      </c>
      <c r="H24" s="14">
        <f>F24/$F$124*$E$2</f>
        <v>2930.9232664193246</v>
      </c>
      <c r="I24" s="25" t="str">
        <f t="shared" si="2"/>
        <v/>
      </c>
    </row>
    <row r="25" spans="1:9" hidden="1" x14ac:dyDescent="0.25">
      <c r="A25" s="3">
        <v>3561</v>
      </c>
      <c r="B25" s="3">
        <v>113.36475609999999</v>
      </c>
      <c r="C25" s="3">
        <v>22.93696066</v>
      </c>
      <c r="D25" s="3">
        <v>35</v>
      </c>
      <c r="E25" s="13">
        <f t="shared" si="0"/>
        <v>2.2636840553724785E-3</v>
      </c>
      <c r="F25" s="13">
        <f t="shared" si="1"/>
        <v>21.01803418587345</v>
      </c>
      <c r="G25" s="14">
        <f>F25/$F$124*$D$2</f>
        <v>0</v>
      </c>
      <c r="H25" s="14">
        <f>F25/$F$124*$E$2</f>
        <v>2929.8028881540381</v>
      </c>
      <c r="I25" s="25" t="str">
        <f t="shared" si="2"/>
        <v/>
      </c>
    </row>
    <row r="26" spans="1:9" x14ac:dyDescent="0.25">
      <c r="A26" s="3">
        <v>3558</v>
      </c>
      <c r="B26" s="3">
        <v>113.3645013</v>
      </c>
      <c r="C26" s="3">
        <v>22.938723230000001</v>
      </c>
      <c r="D26" s="3">
        <v>35</v>
      </c>
      <c r="E26" s="13">
        <f t="shared" si="0"/>
        <v>2.3115992888965496E-3</v>
      </c>
      <c r="F26" s="13">
        <f t="shared" si="1"/>
        <v>20.799060773598832</v>
      </c>
      <c r="G26" s="14">
        <f>F26/$F$162*$D$2</f>
        <v>0</v>
      </c>
      <c r="H26" s="14">
        <f>F26/$F$162*$E$2</f>
        <v>43.659693387183353</v>
      </c>
      <c r="I26" s="25" t="str">
        <f t="shared" si="2"/>
        <v>选中</v>
      </c>
    </row>
    <row r="27" spans="1:9" hidden="1" x14ac:dyDescent="0.25">
      <c r="A27" s="3">
        <v>3638</v>
      </c>
      <c r="B27" s="3">
        <v>113.36608750000001</v>
      </c>
      <c r="C27" s="3">
        <v>22.93579454</v>
      </c>
      <c r="D27" s="3">
        <v>35</v>
      </c>
      <c r="E27" s="13">
        <f t="shared" si="0"/>
        <v>2.3743041458288787E-3</v>
      </c>
      <c r="F27" s="13">
        <f t="shared" si="1"/>
        <v>20.522573729011729</v>
      </c>
      <c r="G27" s="14">
        <f>F27/$F$124*$D$2</f>
        <v>0</v>
      </c>
      <c r="H27" s="14">
        <f>F27/$F$124*$E$2</f>
        <v>2860.7383189063949</v>
      </c>
      <c r="I27" s="25" t="str">
        <f t="shared" si="2"/>
        <v/>
      </c>
    </row>
    <row r="28" spans="1:9" hidden="1" x14ac:dyDescent="0.25">
      <c r="A28" s="3">
        <v>3556</v>
      </c>
      <c r="B28" s="3">
        <v>113.36614609999999</v>
      </c>
      <c r="C28" s="3">
        <v>22.940495479999999</v>
      </c>
      <c r="D28" s="3">
        <v>35</v>
      </c>
      <c r="E28" s="13">
        <f t="shared" si="0"/>
        <v>2.4809097655719889E-3</v>
      </c>
      <c r="F28" s="13">
        <f t="shared" si="1"/>
        <v>20.076801063770855</v>
      </c>
      <c r="G28" s="14">
        <f>F28/$F$124*$D$2</f>
        <v>0</v>
      </c>
      <c r="H28" s="14">
        <f>F28/$F$124*$E$2</f>
        <v>2798.5999652177024</v>
      </c>
      <c r="I28" s="25" t="str">
        <f t="shared" si="2"/>
        <v/>
      </c>
    </row>
    <row r="29" spans="1:9" x14ac:dyDescent="0.25">
      <c r="A29" s="3">
        <v>3619</v>
      </c>
      <c r="B29" s="3">
        <v>113.36511969999999</v>
      </c>
      <c r="C29" s="3">
        <v>22.93618854</v>
      </c>
      <c r="D29" s="3">
        <v>35</v>
      </c>
      <c r="E29" s="13">
        <f t="shared" si="0"/>
        <v>2.4809414215051008E-3</v>
      </c>
      <c r="F29" s="13">
        <f t="shared" si="1"/>
        <v>20.076672976929821</v>
      </c>
      <c r="G29" s="14">
        <f>F29/$F$162*$D$2</f>
        <v>0</v>
      </c>
      <c r="H29" s="14">
        <f>F29/$F$162*$E$2</f>
        <v>42.143315794342911</v>
      </c>
      <c r="I29" s="25" t="str">
        <f t="shared" si="2"/>
        <v>选中</v>
      </c>
    </row>
    <row r="30" spans="1:9" hidden="1" x14ac:dyDescent="0.25">
      <c r="A30" s="3">
        <v>3615</v>
      </c>
      <c r="B30" s="3">
        <v>113.36783509999999</v>
      </c>
      <c r="C30" s="3">
        <v>22.9403136</v>
      </c>
      <c r="D30" s="3">
        <v>35</v>
      </c>
      <c r="E30" s="13">
        <f t="shared" si="0"/>
        <v>2.4932975466379105E-3</v>
      </c>
      <c r="F30" s="13">
        <f t="shared" si="1"/>
        <v>20.026863841626263</v>
      </c>
      <c r="G30" s="14">
        <f>F30/$F$124*$D$2</f>
        <v>0</v>
      </c>
      <c r="H30" s="14">
        <f>F30/$F$124*$E$2</f>
        <v>2791.6389803619472</v>
      </c>
      <c r="I30" s="25" t="str">
        <f t="shared" si="2"/>
        <v/>
      </c>
    </row>
    <row r="31" spans="1:9" hidden="1" x14ac:dyDescent="0.25">
      <c r="A31" s="3">
        <v>3554</v>
      </c>
      <c r="B31" s="3">
        <v>113.3653461</v>
      </c>
      <c r="C31" s="3">
        <v>22.940174580000001</v>
      </c>
      <c r="D31" s="3">
        <v>35</v>
      </c>
      <c r="E31" s="13">
        <f t="shared" si="0"/>
        <v>2.5042167935167476E-3</v>
      </c>
      <c r="F31" s="13">
        <f t="shared" si="1"/>
        <v>19.983154133602174</v>
      </c>
      <c r="G31" s="14">
        <f>F31/$F$124*$D$2</f>
        <v>0</v>
      </c>
      <c r="H31" s="14">
        <f>F31/$F$124*$E$2</f>
        <v>2785.5460780630528</v>
      </c>
      <c r="I31" s="25" t="str">
        <f t="shared" si="2"/>
        <v/>
      </c>
    </row>
    <row r="32" spans="1:9" x14ac:dyDescent="0.25">
      <c r="A32" s="3">
        <v>3632</v>
      </c>
      <c r="B32" s="3">
        <v>113.3652455</v>
      </c>
      <c r="C32" s="3">
        <v>22.936044450000001</v>
      </c>
      <c r="D32" s="3">
        <v>35</v>
      </c>
      <c r="E32" s="13">
        <f t="shared" si="0"/>
        <v>2.5167874764497446E-3</v>
      </c>
      <c r="F32" s="13">
        <f t="shared" si="1"/>
        <v>19.933186396077613</v>
      </c>
      <c r="G32" s="14">
        <f>F32/$F$162*$D$2</f>
        <v>0</v>
      </c>
      <c r="H32" s="14">
        <f>F32/$F$162*$E$2</f>
        <v>41.842120457045048</v>
      </c>
      <c r="I32" s="25" t="str">
        <f t="shared" si="2"/>
        <v>选中</v>
      </c>
    </row>
    <row r="33" spans="1:9" hidden="1" x14ac:dyDescent="0.25">
      <c r="A33" s="3">
        <v>3624</v>
      </c>
      <c r="B33" s="3">
        <v>113.3650877</v>
      </c>
      <c r="C33" s="3">
        <v>22.93606763</v>
      </c>
      <c r="D33" s="3">
        <v>35</v>
      </c>
      <c r="E33" s="13">
        <f t="shared" si="0"/>
        <v>2.5944663436644308E-3</v>
      </c>
      <c r="F33" s="13">
        <f t="shared" si="1"/>
        <v>19.632516873085219</v>
      </c>
      <c r="G33" s="14">
        <f>F33/$F$124*$D$2</f>
        <v>0</v>
      </c>
      <c r="H33" s="14">
        <f>F33/$F$124*$E$2</f>
        <v>2736.669097015631</v>
      </c>
      <c r="I33" s="25" t="str">
        <f t="shared" si="2"/>
        <v/>
      </c>
    </row>
    <row r="34" spans="1:9" hidden="1" x14ac:dyDescent="0.25">
      <c r="A34" s="3">
        <v>3559</v>
      </c>
      <c r="B34" s="3">
        <v>113.3667853</v>
      </c>
      <c r="C34" s="3">
        <v>22.94083758</v>
      </c>
      <c r="D34" s="3">
        <v>35</v>
      </c>
      <c r="E34" s="13">
        <f t="shared" si="0"/>
        <v>2.7558901881064948E-3</v>
      </c>
      <c r="F34" s="13">
        <f t="shared" si="1"/>
        <v>19.048862445527007</v>
      </c>
      <c r="G34" s="14">
        <f>F34/$F$124*$D$2</f>
        <v>0</v>
      </c>
      <c r="H34" s="14">
        <f>F34/$F$124*$E$2</f>
        <v>2655.3107543456372</v>
      </c>
      <c r="I34" s="25" t="str">
        <f t="shared" si="2"/>
        <v/>
      </c>
    </row>
    <row r="35" spans="1:9" x14ac:dyDescent="0.25">
      <c r="A35" s="3">
        <v>3571</v>
      </c>
      <c r="B35" s="3">
        <v>113.3663921</v>
      </c>
      <c r="C35" s="3">
        <v>22.93534537</v>
      </c>
      <c r="D35" s="3">
        <v>35</v>
      </c>
      <c r="E35" s="13">
        <f t="shared" si="0"/>
        <v>2.7568859246625385E-3</v>
      </c>
      <c r="F35" s="13">
        <f t="shared" si="1"/>
        <v>19.045422085242365</v>
      </c>
      <c r="G35" s="14">
        <f>F35/$F$162*$D$2</f>
        <v>0</v>
      </c>
      <c r="H35" s="14">
        <f>F35/$F$162*$E$2</f>
        <v>39.978597962781741</v>
      </c>
      <c r="I35" s="25" t="str">
        <f t="shared" si="2"/>
        <v>选中</v>
      </c>
    </row>
    <row r="36" spans="1:9" hidden="1" x14ac:dyDescent="0.25">
      <c r="A36" s="3">
        <v>3570</v>
      </c>
      <c r="B36" s="3">
        <v>113.36545529999999</v>
      </c>
      <c r="C36" s="3">
        <v>22.935555399999998</v>
      </c>
      <c r="D36" s="3">
        <v>35</v>
      </c>
      <c r="E36" s="13">
        <f t="shared" si="0"/>
        <v>2.8268478098651992E-3</v>
      </c>
      <c r="F36" s="13">
        <f t="shared" si="1"/>
        <v>18.808267204760217</v>
      </c>
      <c r="G36" s="14">
        <f>F36/$F$124*$D$2</f>
        <v>0</v>
      </c>
      <c r="H36" s="14">
        <f>F36/$F$124*$E$2</f>
        <v>2621.7730492947799</v>
      </c>
      <c r="I36" s="25" t="str">
        <f t="shared" si="2"/>
        <v/>
      </c>
    </row>
    <row r="37" spans="1:9" hidden="1" x14ac:dyDescent="0.25">
      <c r="A37" s="3">
        <v>3569</v>
      </c>
      <c r="B37" s="3">
        <v>113.3645054</v>
      </c>
      <c r="C37" s="3">
        <v>22.936185300000002</v>
      </c>
      <c r="D37" s="3">
        <v>35</v>
      </c>
      <c r="E37" s="13">
        <f t="shared" ref="E37:E68" si="3">SQRT((B37-$B$2)^2+(C37-$C$2)^2)</f>
        <v>2.9178197274894084E-3</v>
      </c>
      <c r="F37" s="13">
        <f t="shared" ref="F37:F68" si="4">SQRT(1/E37)</f>
        <v>18.512742988135503</v>
      </c>
      <c r="G37" s="14">
        <f>F37/$F$124*$D$2</f>
        <v>0</v>
      </c>
      <c r="H37" s="14">
        <f>F37/$F$124*$E$2</f>
        <v>2580.5785353012457</v>
      </c>
      <c r="I37" s="25" t="str">
        <f t="shared" si="2"/>
        <v/>
      </c>
    </row>
    <row r="38" spans="1:9" x14ac:dyDescent="0.25">
      <c r="A38" s="3">
        <v>3641</v>
      </c>
      <c r="B38" s="3">
        <v>113.3664677</v>
      </c>
      <c r="C38" s="3">
        <v>22.941041869999999</v>
      </c>
      <c r="D38" s="3">
        <v>35</v>
      </c>
      <c r="E38" s="13">
        <f t="shared" si="3"/>
        <v>2.9703913297072781E-3</v>
      </c>
      <c r="F38" s="13">
        <f t="shared" si="4"/>
        <v>18.348187338927726</v>
      </c>
      <c r="G38" s="14">
        <f>F38/$F$162*$D$2</f>
        <v>0</v>
      </c>
      <c r="H38" s="14">
        <f>F38/$F$162*$E$2</f>
        <v>38.515019603434482</v>
      </c>
      <c r="I38" s="25" t="str">
        <f t="shared" si="2"/>
        <v>选中</v>
      </c>
    </row>
    <row r="39" spans="1:9" hidden="1" x14ac:dyDescent="0.25">
      <c r="A39" s="3">
        <v>3625</v>
      </c>
      <c r="B39" s="3">
        <v>113.36626889999999</v>
      </c>
      <c r="C39" s="3">
        <v>22.9410591</v>
      </c>
      <c r="D39" s="3">
        <v>35</v>
      </c>
      <c r="E39" s="13">
        <f t="shared" si="3"/>
        <v>3.0110222377316056E-3</v>
      </c>
      <c r="F39" s="13">
        <f t="shared" si="4"/>
        <v>18.22397112047846</v>
      </c>
      <c r="G39" s="14">
        <f>F39/$F$124*$D$2</f>
        <v>0</v>
      </c>
      <c r="H39" s="14">
        <f>F39/$F$124*$E$2</f>
        <v>2540.3252630685893</v>
      </c>
      <c r="I39" s="25" t="str">
        <f t="shared" si="2"/>
        <v/>
      </c>
    </row>
    <row r="40" spans="1:9" hidden="1" x14ac:dyDescent="0.25">
      <c r="A40" s="3">
        <v>3564</v>
      </c>
      <c r="B40" s="3">
        <v>113.3696841</v>
      </c>
      <c r="C40" s="3">
        <v>22.938635260000002</v>
      </c>
      <c r="D40" s="3">
        <v>35</v>
      </c>
      <c r="E40" s="13">
        <f t="shared" si="3"/>
        <v>3.0129557518270835E-3</v>
      </c>
      <c r="F40" s="13">
        <f t="shared" si="4"/>
        <v>18.218122717310237</v>
      </c>
      <c r="G40" s="14">
        <f>F40/$F$124*$D$2</f>
        <v>0</v>
      </c>
      <c r="H40" s="14">
        <f>F40/$F$124*$E$2</f>
        <v>2539.5100265749279</v>
      </c>
      <c r="I40" s="25" t="str">
        <f t="shared" si="2"/>
        <v/>
      </c>
    </row>
    <row r="41" spans="1:9" x14ac:dyDescent="0.25">
      <c r="A41" s="3">
        <v>3590</v>
      </c>
      <c r="B41" s="3">
        <v>113.3662673</v>
      </c>
      <c r="C41" s="3">
        <v>22.93506863</v>
      </c>
      <c r="D41" s="3">
        <v>35</v>
      </c>
      <c r="E41" s="13">
        <f t="shared" si="3"/>
        <v>3.0479328877784091E-3</v>
      </c>
      <c r="F41" s="13">
        <f t="shared" si="4"/>
        <v>18.113288314378082</v>
      </c>
      <c r="G41" s="14">
        <f>F41/$F$162*$D$2</f>
        <v>0</v>
      </c>
      <c r="H41" s="14">
        <f>F41/$F$162*$E$2</f>
        <v>38.021938713849131</v>
      </c>
      <c r="I41" s="25" t="str">
        <f t="shared" si="2"/>
        <v>选中</v>
      </c>
    </row>
    <row r="42" spans="1:9" hidden="1" x14ac:dyDescent="0.25">
      <c r="A42" s="3">
        <v>3555</v>
      </c>
      <c r="B42" s="3">
        <v>113.36367629999999</v>
      </c>
      <c r="C42" s="3">
        <v>22.938699270000001</v>
      </c>
      <c r="D42" s="3">
        <v>35</v>
      </c>
      <c r="E42" s="13">
        <f t="shared" si="3"/>
        <v>3.1078340141766723E-3</v>
      </c>
      <c r="F42" s="13">
        <f t="shared" si="4"/>
        <v>17.937879084863859</v>
      </c>
      <c r="G42" s="14">
        <f>F42/$F$124*$D$2</f>
        <v>0</v>
      </c>
      <c r="H42" s="14">
        <f>F42/$F$124*$E$2</f>
        <v>2500.4455452601137</v>
      </c>
      <c r="I42" s="25" t="str">
        <f t="shared" si="2"/>
        <v/>
      </c>
    </row>
    <row r="43" spans="1:9" hidden="1" x14ac:dyDescent="0.25">
      <c r="A43" s="3">
        <v>3591</v>
      </c>
      <c r="B43" s="3">
        <v>113.3635195</v>
      </c>
      <c r="C43" s="3">
        <v>22.939180270000001</v>
      </c>
      <c r="D43" s="3">
        <v>35</v>
      </c>
      <c r="E43" s="13">
        <f t="shared" si="3"/>
        <v>3.3857383861831711E-3</v>
      </c>
      <c r="F43" s="13">
        <f t="shared" si="4"/>
        <v>17.185940397832464</v>
      </c>
      <c r="G43" s="14">
        <f>F43/$F$124*$D$2</f>
        <v>0</v>
      </c>
      <c r="H43" s="14">
        <f>F43/$F$124*$E$2</f>
        <v>2395.6292661782181</v>
      </c>
      <c r="I43" s="25" t="str">
        <f t="shared" si="2"/>
        <v/>
      </c>
    </row>
    <row r="44" spans="1:9" x14ac:dyDescent="0.25">
      <c r="A44" s="3">
        <v>3565</v>
      </c>
      <c r="B44" s="3">
        <v>113.3674015</v>
      </c>
      <c r="C44" s="3">
        <v>22.94140363</v>
      </c>
      <c r="D44" s="3">
        <v>35</v>
      </c>
      <c r="E44" s="13">
        <f t="shared" si="3"/>
        <v>3.3899579537793336E-3</v>
      </c>
      <c r="F44" s="13">
        <f t="shared" si="4"/>
        <v>17.175241177034934</v>
      </c>
      <c r="G44" s="14">
        <f>F44/$F$162*$D$2</f>
        <v>0</v>
      </c>
      <c r="H44" s="14">
        <f>F44/$F$162*$E$2</f>
        <v>36.052866607905159</v>
      </c>
      <c r="I44" s="25" t="str">
        <f t="shared" si="2"/>
        <v>选中</v>
      </c>
    </row>
    <row r="45" spans="1:9" hidden="1" x14ac:dyDescent="0.25">
      <c r="A45" s="3">
        <v>3581</v>
      </c>
      <c r="B45" s="3">
        <v>113.3701397</v>
      </c>
      <c r="C45" s="3">
        <v>22.937840120000001</v>
      </c>
      <c r="D45" s="3">
        <v>35</v>
      </c>
      <c r="E45" s="13">
        <f t="shared" si="3"/>
        <v>3.4259782842316539E-3</v>
      </c>
      <c r="F45" s="13">
        <f t="shared" si="4"/>
        <v>17.084713371506265</v>
      </c>
      <c r="G45" s="14">
        <f>F45/$F$124*$D$2</f>
        <v>0</v>
      </c>
      <c r="H45" s="14">
        <f>F45/$F$124*$E$2</f>
        <v>2381.5187536789531</v>
      </c>
      <c r="I45" s="25" t="str">
        <f t="shared" si="2"/>
        <v/>
      </c>
    </row>
    <row r="46" spans="1:9" hidden="1" x14ac:dyDescent="0.25">
      <c r="A46" s="3">
        <v>3620</v>
      </c>
      <c r="B46" s="3">
        <v>113.3646469</v>
      </c>
      <c r="C46" s="3">
        <v>22.940824159999998</v>
      </c>
      <c r="D46" s="3">
        <v>35</v>
      </c>
      <c r="E46" s="13">
        <f t="shared" si="3"/>
        <v>3.438673904651514E-3</v>
      </c>
      <c r="F46" s="13">
        <f t="shared" si="4"/>
        <v>17.053145736333246</v>
      </c>
      <c r="G46" s="14">
        <f>F46/$F$124*$D$2</f>
        <v>0</v>
      </c>
      <c r="H46" s="14">
        <f>F46/$F$124*$E$2</f>
        <v>2377.1183921663496</v>
      </c>
      <c r="I46" s="25" t="str">
        <f t="shared" si="2"/>
        <v/>
      </c>
    </row>
    <row r="47" spans="1:9" x14ac:dyDescent="0.25">
      <c r="A47" s="3">
        <v>3568</v>
      </c>
      <c r="B47" s="3">
        <v>113.3646779</v>
      </c>
      <c r="C47" s="3">
        <v>22.940859110000002</v>
      </c>
      <c r="D47" s="3">
        <v>35</v>
      </c>
      <c r="E47" s="13">
        <f t="shared" si="3"/>
        <v>3.4481348944060994E-3</v>
      </c>
      <c r="F47" s="13">
        <f t="shared" si="4"/>
        <v>17.029734462554671</v>
      </c>
      <c r="G47" s="14">
        <f>F47/$F$162*$D$2</f>
        <v>0</v>
      </c>
      <c r="H47" s="14">
        <f>F47/$F$162*$E$2</f>
        <v>35.747430770723099</v>
      </c>
      <c r="I47" s="25" t="str">
        <f t="shared" si="2"/>
        <v>选中</v>
      </c>
    </row>
    <row r="48" spans="1:9" hidden="1" x14ac:dyDescent="0.25">
      <c r="A48" s="3">
        <v>3623</v>
      </c>
      <c r="B48" s="3">
        <v>113.3677541</v>
      </c>
      <c r="C48" s="3">
        <v>22.941381239999998</v>
      </c>
      <c r="D48" s="3">
        <v>35</v>
      </c>
      <c r="E48" s="13">
        <f t="shared" si="3"/>
        <v>3.4564274343424667E-3</v>
      </c>
      <c r="F48" s="13">
        <f t="shared" si="4"/>
        <v>17.009293622994868</v>
      </c>
      <c r="G48" s="14">
        <f>F48/$F$124*$D$2</f>
        <v>0</v>
      </c>
      <c r="H48" s="14">
        <f>F48/$F$124*$E$2</f>
        <v>2371.0056393192353</v>
      </c>
      <c r="I48" s="25" t="str">
        <f t="shared" si="2"/>
        <v/>
      </c>
    </row>
    <row r="49" spans="1:9" hidden="1" x14ac:dyDescent="0.25">
      <c r="A49" s="3">
        <v>3596</v>
      </c>
      <c r="B49" s="3">
        <v>113.3663248</v>
      </c>
      <c r="C49" s="3">
        <v>22.941556819999999</v>
      </c>
      <c r="D49" s="3">
        <v>35</v>
      </c>
      <c r="E49" s="13">
        <f t="shared" si="3"/>
        <v>3.4970746486309959E-3</v>
      </c>
      <c r="F49" s="13">
        <f t="shared" si="4"/>
        <v>16.910153449058004</v>
      </c>
      <c r="G49" s="14">
        <f>F49/$F$124*$D$2</f>
        <v>0</v>
      </c>
      <c r="H49" s="14">
        <f>F49/$F$124*$E$2</f>
        <v>2357.1860230143225</v>
      </c>
      <c r="I49" s="25" t="str">
        <f t="shared" si="2"/>
        <v/>
      </c>
    </row>
    <row r="50" spans="1:9" x14ac:dyDescent="0.25">
      <c r="A50" s="3">
        <v>3575</v>
      </c>
      <c r="B50" s="3">
        <v>113.36651999999999</v>
      </c>
      <c r="C50" s="3">
        <v>22.934547550000001</v>
      </c>
      <c r="D50" s="3">
        <v>35</v>
      </c>
      <c r="E50" s="13">
        <f t="shared" si="3"/>
        <v>3.5406440811798848E-3</v>
      </c>
      <c r="F50" s="13">
        <f t="shared" si="4"/>
        <v>16.805787351145565</v>
      </c>
      <c r="G50" s="14">
        <f>F50/$F$162*$D$2</f>
        <v>0</v>
      </c>
      <c r="H50" s="14">
        <f>F50/$F$162*$E$2</f>
        <v>35.277339244692364</v>
      </c>
      <c r="I50" s="25" t="str">
        <f t="shared" si="2"/>
        <v>选中</v>
      </c>
    </row>
    <row r="51" spans="1:9" hidden="1" x14ac:dyDescent="0.25">
      <c r="A51" s="3">
        <v>3626</v>
      </c>
      <c r="B51" s="3">
        <v>113.363174</v>
      </c>
      <c r="C51" s="3">
        <v>22.938001209999999</v>
      </c>
      <c r="D51" s="3">
        <v>35</v>
      </c>
      <c r="E51" s="13">
        <f t="shared" si="3"/>
        <v>3.5492289768398817E-3</v>
      </c>
      <c r="F51" s="13">
        <f t="shared" si="4"/>
        <v>16.785450077702045</v>
      </c>
      <c r="G51" s="14">
        <f>F51/$F$124*$D$2</f>
        <v>0</v>
      </c>
      <c r="H51" s="14">
        <f>F51/$F$124*$E$2</f>
        <v>2339.8030320870935</v>
      </c>
      <c r="I51" s="25" t="str">
        <f t="shared" si="2"/>
        <v/>
      </c>
    </row>
    <row r="52" spans="1:9" hidden="1" x14ac:dyDescent="0.25">
      <c r="A52" s="3">
        <v>3604</v>
      </c>
      <c r="B52" s="3">
        <v>113.36411560000001</v>
      </c>
      <c r="C52" s="3">
        <v>22.94058892</v>
      </c>
      <c r="D52" s="3">
        <v>35</v>
      </c>
      <c r="E52" s="13">
        <f t="shared" si="3"/>
        <v>3.6162794789819132E-3</v>
      </c>
      <c r="F52" s="13">
        <f t="shared" si="4"/>
        <v>16.629110015216146</v>
      </c>
      <c r="G52" s="14">
        <f>F52/$F$124*$D$2</f>
        <v>0</v>
      </c>
      <c r="H52" s="14">
        <f>F52/$F$124*$E$2</f>
        <v>2318.0100536118161</v>
      </c>
      <c r="I52" s="25" t="str">
        <f t="shared" si="2"/>
        <v/>
      </c>
    </row>
    <row r="53" spans="1:9" x14ac:dyDescent="0.25">
      <c r="A53" s="3">
        <v>3646</v>
      </c>
      <c r="B53" s="3">
        <v>113.3695075</v>
      </c>
      <c r="C53" s="3">
        <v>22.935764670000001</v>
      </c>
      <c r="D53" s="3">
        <v>35</v>
      </c>
      <c r="E53" s="13">
        <f t="shared" si="3"/>
        <v>3.6234317638868664E-3</v>
      </c>
      <c r="F53" s="13">
        <f t="shared" si="4"/>
        <v>16.612689824324423</v>
      </c>
      <c r="G53" s="14">
        <f>F53/$F$162*$D$2</f>
        <v>0</v>
      </c>
      <c r="H53" s="14">
        <f>F53/$F$162*$E$2</f>
        <v>34.872004652587336</v>
      </c>
      <c r="I53" s="25" t="str">
        <f t="shared" si="2"/>
        <v>选中</v>
      </c>
    </row>
    <row r="54" spans="1:9" hidden="1" x14ac:dyDescent="0.25">
      <c r="A54" s="3">
        <v>3616</v>
      </c>
      <c r="B54" s="3">
        <v>113.3660821</v>
      </c>
      <c r="C54" s="3">
        <v>22.941659059999999</v>
      </c>
      <c r="D54" s="3">
        <v>35</v>
      </c>
      <c r="E54" s="13">
        <f t="shared" si="3"/>
        <v>3.6334943597732608E-3</v>
      </c>
      <c r="F54" s="13">
        <f t="shared" si="4"/>
        <v>16.58967029186493</v>
      </c>
      <c r="G54" s="14">
        <f>F54/$F$124*$D$2</f>
        <v>0</v>
      </c>
      <c r="H54" s="14">
        <f>F54/$F$124*$E$2</f>
        <v>2312.5123646100519</v>
      </c>
      <c r="I54" s="25" t="str">
        <f t="shared" si="2"/>
        <v/>
      </c>
    </row>
    <row r="55" spans="1:9" hidden="1" x14ac:dyDescent="0.25">
      <c r="A55" s="3">
        <v>3629</v>
      </c>
      <c r="B55" s="3">
        <v>113.3662719</v>
      </c>
      <c r="C55" s="3">
        <v>22.941701819999999</v>
      </c>
      <c r="D55" s="3">
        <v>35</v>
      </c>
      <c r="E55" s="13">
        <f t="shared" si="3"/>
        <v>3.6473262683912383E-3</v>
      </c>
      <c r="F55" s="13">
        <f t="shared" si="4"/>
        <v>16.558183559635946</v>
      </c>
      <c r="G55" s="14">
        <f>F55/$F$124*$D$2</f>
        <v>0</v>
      </c>
      <c r="H55" s="14">
        <f>F55/$F$124*$E$2</f>
        <v>2308.123280540286</v>
      </c>
      <c r="I55" s="25" t="str">
        <f t="shared" si="2"/>
        <v/>
      </c>
    </row>
    <row r="56" spans="1:9" x14ac:dyDescent="0.25">
      <c r="A56" s="3">
        <v>3612</v>
      </c>
      <c r="B56" s="3">
        <v>113.36302019999999</v>
      </c>
      <c r="C56" s="3">
        <v>22.937995409999999</v>
      </c>
      <c r="D56" s="3">
        <v>35</v>
      </c>
      <c r="E56" s="13">
        <f t="shared" si="3"/>
        <v>3.7031221165513377E-3</v>
      </c>
      <c r="F56" s="13">
        <f t="shared" si="4"/>
        <v>16.432966998144376</v>
      </c>
      <c r="G56" s="14">
        <f>F56/$F$162*$D$2</f>
        <v>0</v>
      </c>
      <c r="H56" s="14">
        <f>F56/$F$162*$E$2</f>
        <v>34.494745142116606</v>
      </c>
      <c r="I56" s="25" t="str">
        <f t="shared" si="2"/>
        <v>选中</v>
      </c>
    </row>
    <row r="57" spans="1:9" hidden="1" x14ac:dyDescent="0.25">
      <c r="A57" s="3">
        <v>3543</v>
      </c>
      <c r="B57" s="3">
        <v>113.3632439</v>
      </c>
      <c r="C57" s="3">
        <v>22.939379540000001</v>
      </c>
      <c r="D57" s="3">
        <v>35</v>
      </c>
      <c r="E57" s="13">
        <f t="shared" si="3"/>
        <v>3.7123864018907987E-3</v>
      </c>
      <c r="F57" s="13">
        <f t="shared" si="4"/>
        <v>16.412449899943152</v>
      </c>
      <c r="G57" s="14">
        <f>F57/$F$124*$D$2</f>
        <v>0</v>
      </c>
      <c r="H57" s="14">
        <f>F57/$F$124*$E$2</f>
        <v>2287.8087785610201</v>
      </c>
      <c r="I57" s="25" t="str">
        <f t="shared" si="2"/>
        <v/>
      </c>
    </row>
    <row r="58" spans="1:9" hidden="1" x14ac:dyDescent="0.25">
      <c r="A58" s="3">
        <v>3580</v>
      </c>
      <c r="B58" s="3">
        <v>113.36706890000001</v>
      </c>
      <c r="C58" s="3">
        <v>22.941816840000001</v>
      </c>
      <c r="D58" s="3">
        <v>35</v>
      </c>
      <c r="E58" s="13">
        <f t="shared" si="3"/>
        <v>3.7504798339561152E-3</v>
      </c>
      <c r="F58" s="13">
        <f t="shared" si="4"/>
        <v>16.328886964713313</v>
      </c>
      <c r="G58" s="14">
        <f>F58/$F$124*$D$2</f>
        <v>0</v>
      </c>
      <c r="H58" s="14">
        <f>F58/$F$124*$E$2</f>
        <v>2276.1605470083487</v>
      </c>
      <c r="I58" s="25" t="str">
        <f t="shared" si="2"/>
        <v/>
      </c>
    </row>
    <row r="59" spans="1:9" x14ac:dyDescent="0.25">
      <c r="A59" s="3">
        <v>3637</v>
      </c>
      <c r="B59" s="3">
        <v>113.36706890000001</v>
      </c>
      <c r="C59" s="3">
        <v>22.941816840000001</v>
      </c>
      <c r="D59" s="3">
        <v>35</v>
      </c>
      <c r="E59" s="13">
        <f t="shared" si="3"/>
        <v>3.7504798339561152E-3</v>
      </c>
      <c r="F59" s="13">
        <f t="shared" si="4"/>
        <v>16.328886964713313</v>
      </c>
      <c r="G59" s="14">
        <f>F59/$F$162*$D$2</f>
        <v>0</v>
      </c>
      <c r="H59" s="14">
        <f>F59/$F$162*$E$2</f>
        <v>34.2762688177868</v>
      </c>
      <c r="I59" s="25" t="str">
        <f t="shared" si="2"/>
        <v>选中</v>
      </c>
    </row>
    <row r="60" spans="1:9" hidden="1" x14ac:dyDescent="0.25">
      <c r="A60" s="3">
        <v>3634</v>
      </c>
      <c r="B60" s="3">
        <v>113.3634438</v>
      </c>
      <c r="C60" s="3">
        <v>22.936205619999999</v>
      </c>
      <c r="D60" s="3">
        <v>35</v>
      </c>
      <c r="E60" s="13">
        <f t="shared" si="3"/>
        <v>3.7776848669723662E-3</v>
      </c>
      <c r="F60" s="13">
        <f t="shared" si="4"/>
        <v>16.269984409926433</v>
      </c>
      <c r="G60" s="14">
        <f>F60/$F$124*$D$2</f>
        <v>0</v>
      </c>
      <c r="H60" s="14">
        <f>F60/$F$124*$E$2</f>
        <v>2267.9498421627818</v>
      </c>
      <c r="I60" s="25" t="str">
        <f t="shared" si="2"/>
        <v/>
      </c>
    </row>
    <row r="61" spans="1:9" hidden="1" x14ac:dyDescent="0.25">
      <c r="A61" s="3">
        <v>3542</v>
      </c>
      <c r="B61" s="3">
        <v>113.3695092</v>
      </c>
      <c r="C61" s="3">
        <v>22.940733560000002</v>
      </c>
      <c r="D61" s="3">
        <v>35</v>
      </c>
      <c r="E61" s="13">
        <f t="shared" si="3"/>
        <v>3.8464799404718452E-3</v>
      </c>
      <c r="F61" s="13">
        <f t="shared" si="4"/>
        <v>16.123831985385262</v>
      </c>
      <c r="G61" s="14">
        <f>F61/$F$124*$D$2</f>
        <v>0</v>
      </c>
      <c r="H61" s="14">
        <f>F61/$F$124*$E$2</f>
        <v>2247.5769665767652</v>
      </c>
      <c r="I61" s="25" t="str">
        <f t="shared" si="2"/>
        <v/>
      </c>
    </row>
    <row r="62" spans="1:9" x14ac:dyDescent="0.25">
      <c r="A62" s="3">
        <v>3572</v>
      </c>
      <c r="B62" s="3">
        <v>113.36345780000001</v>
      </c>
      <c r="C62" s="3">
        <v>22.93600769</v>
      </c>
      <c r="D62" s="3">
        <v>35</v>
      </c>
      <c r="E62" s="13">
        <f t="shared" si="3"/>
        <v>3.8679999131850462E-3</v>
      </c>
      <c r="F62" s="13">
        <f t="shared" si="4"/>
        <v>16.07891621504913</v>
      </c>
      <c r="G62" s="14">
        <f>F62/$F$162*$D$2</f>
        <v>0</v>
      </c>
      <c r="H62" s="14">
        <f>F62/$F$162*$E$2</f>
        <v>33.751550591089</v>
      </c>
      <c r="I62" s="25" t="str">
        <f t="shared" si="2"/>
        <v>选中</v>
      </c>
    </row>
    <row r="63" spans="1:9" hidden="1" x14ac:dyDescent="0.25">
      <c r="A63" s="3">
        <v>3627</v>
      </c>
      <c r="B63" s="3">
        <v>113.364929</v>
      </c>
      <c r="C63" s="3">
        <v>22.934551460000002</v>
      </c>
      <c r="D63" s="3">
        <v>35</v>
      </c>
      <c r="E63" s="13">
        <f t="shared" si="3"/>
        <v>3.9602440319376321E-3</v>
      </c>
      <c r="F63" s="13">
        <f t="shared" si="4"/>
        <v>15.89055354009944</v>
      </c>
      <c r="G63" s="14">
        <f>F63/$F$124*$D$2</f>
        <v>0</v>
      </c>
      <c r="H63" s="14">
        <f>F63/$F$124*$E$2</f>
        <v>2215.0591841477194</v>
      </c>
      <c r="I63" s="25" t="str">
        <f t="shared" si="2"/>
        <v/>
      </c>
    </row>
    <row r="64" spans="1:9" hidden="1" x14ac:dyDescent="0.25">
      <c r="A64" s="3">
        <v>3579</v>
      </c>
      <c r="B64" s="3">
        <v>113.3647722</v>
      </c>
      <c r="C64" s="3">
        <v>22.93461563</v>
      </c>
      <c r="D64" s="3">
        <v>35</v>
      </c>
      <c r="E64" s="13">
        <f t="shared" si="3"/>
        <v>3.9776190841266344E-3</v>
      </c>
      <c r="F64" s="13">
        <f t="shared" si="4"/>
        <v>15.85580896476659</v>
      </c>
      <c r="G64" s="14">
        <f>F64/$F$124*$D$2</f>
        <v>0</v>
      </c>
      <c r="H64" s="14">
        <f>F64/$F$124*$E$2</f>
        <v>2210.2159739665171</v>
      </c>
      <c r="I64" s="25" t="str">
        <f t="shared" si="2"/>
        <v/>
      </c>
    </row>
    <row r="65" spans="1:9" x14ac:dyDescent="0.25">
      <c r="A65" s="3">
        <v>3633</v>
      </c>
      <c r="B65" s="3">
        <v>113.3636372</v>
      </c>
      <c r="C65" s="3">
        <v>22.940635499999999</v>
      </c>
      <c r="D65" s="3">
        <v>35</v>
      </c>
      <c r="E65" s="13">
        <f t="shared" si="3"/>
        <v>4.0045112758161977E-3</v>
      </c>
      <c r="F65" s="13">
        <f t="shared" si="4"/>
        <v>15.802479643940391</v>
      </c>
      <c r="G65" s="14">
        <f>F65/$F$162*$D$2</f>
        <v>0</v>
      </c>
      <c r="H65" s="14">
        <f>F65/$F$162*$E$2</f>
        <v>33.171277468807844</v>
      </c>
      <c r="I65" s="25" t="str">
        <f t="shared" si="2"/>
        <v>选中</v>
      </c>
    </row>
    <row r="66" spans="1:9" hidden="1" x14ac:dyDescent="0.25">
      <c r="A66" s="3">
        <v>3613</v>
      </c>
      <c r="B66" s="3">
        <v>113.3636103</v>
      </c>
      <c r="C66" s="3">
        <v>22.94060455</v>
      </c>
      <c r="D66" s="3">
        <v>35</v>
      </c>
      <c r="E66" s="13">
        <f t="shared" si="3"/>
        <v>4.0057126930933837E-3</v>
      </c>
      <c r="F66" s="13">
        <f t="shared" si="4"/>
        <v>15.800109679181757</v>
      </c>
      <c r="G66" s="14">
        <f>F66/$F$124*$D$2</f>
        <v>0</v>
      </c>
      <c r="H66" s="14">
        <f>F66/$F$124*$E$2</f>
        <v>2202.4517879188879</v>
      </c>
      <c r="I66" s="25" t="str">
        <f t="shared" si="2"/>
        <v/>
      </c>
    </row>
    <row r="67" spans="1:9" hidden="1" x14ac:dyDescent="0.25">
      <c r="A67" s="3">
        <v>3573</v>
      </c>
      <c r="B67" s="3">
        <v>113.36372849999999</v>
      </c>
      <c r="C67" s="3">
        <v>22.93538161</v>
      </c>
      <c r="D67" s="3">
        <v>35</v>
      </c>
      <c r="E67" s="13">
        <f t="shared" si="3"/>
        <v>4.0320167509665323E-3</v>
      </c>
      <c r="F67" s="13">
        <f t="shared" si="4"/>
        <v>15.748486995163164</v>
      </c>
      <c r="G67" s="14">
        <f>F67/$F$124*$D$2</f>
        <v>0</v>
      </c>
      <c r="H67" s="14">
        <f>F67/$F$124*$E$2</f>
        <v>2195.2558585853258</v>
      </c>
      <c r="I67" s="25" t="str">
        <f t="shared" si="2"/>
        <v/>
      </c>
    </row>
    <row r="68" spans="1:9" x14ac:dyDescent="0.25">
      <c r="A68" s="3">
        <v>3599</v>
      </c>
      <c r="B68" s="3">
        <v>113.3642389</v>
      </c>
      <c r="C68" s="3">
        <v>22.93489417</v>
      </c>
      <c r="D68" s="3">
        <v>35</v>
      </c>
      <c r="E68" s="13">
        <f t="shared" si="3"/>
        <v>4.0413054645267489E-3</v>
      </c>
      <c r="F68" s="13">
        <f t="shared" si="4"/>
        <v>15.730378077308783</v>
      </c>
      <c r="G68" s="14">
        <f>F68/$F$162*$D$2</f>
        <v>0</v>
      </c>
      <c r="H68" s="14">
        <f>F68/$F$162*$E$2</f>
        <v>33.019927735945508</v>
      </c>
      <c r="I68" s="25" t="str">
        <f t="shared" si="2"/>
        <v>选中</v>
      </c>
    </row>
    <row r="69" spans="1:9" hidden="1" x14ac:dyDescent="0.25">
      <c r="A69" s="3">
        <v>3628</v>
      </c>
      <c r="B69" s="3">
        <v>113.3630873</v>
      </c>
      <c r="C69" s="3">
        <v>22.93627305</v>
      </c>
      <c r="D69" s="3">
        <v>35</v>
      </c>
      <c r="E69" s="13">
        <f t="shared" ref="E69:E100" si="5">SQRT((B69-$B$2)^2+(C69-$C$2)^2)</f>
        <v>4.0604197578104281E-3</v>
      </c>
      <c r="F69" s="13">
        <f t="shared" ref="F69:F100" si="6">SQRT(1/E69)</f>
        <v>15.693309280505719</v>
      </c>
      <c r="G69" s="14">
        <f>F69/$F$124*$D$2</f>
        <v>0</v>
      </c>
      <c r="H69" s="14">
        <f>F69/$F$124*$E$2</f>
        <v>2187.5643767685451</v>
      </c>
      <c r="I69" s="25" t="str">
        <f t="shared" si="2"/>
        <v/>
      </c>
    </row>
    <row r="70" spans="1:9" hidden="1" x14ac:dyDescent="0.25">
      <c r="A70" s="3">
        <v>3586</v>
      </c>
      <c r="B70" s="3">
        <v>113.3668407</v>
      </c>
      <c r="C70" s="3">
        <v>22.934014399999999</v>
      </c>
      <c r="D70" s="3">
        <v>35</v>
      </c>
      <c r="E70" s="13">
        <f t="shared" si="5"/>
        <v>4.0697326595374884E-3</v>
      </c>
      <c r="F70" s="13">
        <f t="shared" si="6"/>
        <v>15.675343241305097</v>
      </c>
      <c r="G70" s="14">
        <f>F70/$F$124*$D$2</f>
        <v>0</v>
      </c>
      <c r="H70" s="14">
        <f>F70/$F$124*$E$2</f>
        <v>2185.0600058519703</v>
      </c>
      <c r="I70" s="25" t="str">
        <f t="shared" ref="I70:I133" si="7">IF(MOD(ROW()-1,3)=1,"选中","")</f>
        <v/>
      </c>
    </row>
    <row r="71" spans="1:9" x14ac:dyDescent="0.25">
      <c r="A71" s="3">
        <v>3622</v>
      </c>
      <c r="B71" s="3">
        <v>113.3688439</v>
      </c>
      <c r="C71" s="3">
        <v>22.941570939999998</v>
      </c>
      <c r="D71" s="3">
        <v>35</v>
      </c>
      <c r="E71" s="13">
        <f t="shared" si="5"/>
        <v>4.0830170365637039E-3</v>
      </c>
      <c r="F71" s="13">
        <f t="shared" si="6"/>
        <v>15.649822061456675</v>
      </c>
      <c r="G71" s="14">
        <f>F71/$F$162*$D$2</f>
        <v>0</v>
      </c>
      <c r="H71" s="14">
        <f>F71/$F$162*$E$2</f>
        <v>32.850831112262362</v>
      </c>
      <c r="I71" s="25" t="str">
        <f t="shared" si="7"/>
        <v>选中</v>
      </c>
    </row>
    <row r="72" spans="1:9" hidden="1" x14ac:dyDescent="0.25">
      <c r="A72" s="3">
        <v>3577</v>
      </c>
      <c r="B72" s="3">
        <v>113.3631652</v>
      </c>
      <c r="C72" s="3">
        <v>22.935967080000001</v>
      </c>
      <c r="D72" s="3">
        <v>35</v>
      </c>
      <c r="E72" s="13">
        <f t="shared" si="5"/>
        <v>4.1385482260037207E-3</v>
      </c>
      <c r="F72" s="13">
        <f t="shared" si="6"/>
        <v>15.544472533444237</v>
      </c>
      <c r="G72" s="14">
        <f>F72/$F$124*$D$2</f>
        <v>0</v>
      </c>
      <c r="H72" s="14">
        <f>F72/$F$124*$E$2</f>
        <v>2166.8173208094645</v>
      </c>
      <c r="I72" s="25" t="str">
        <f t="shared" si="7"/>
        <v/>
      </c>
    </row>
    <row r="73" spans="1:9" hidden="1" x14ac:dyDescent="0.25">
      <c r="A73" s="3">
        <v>3610</v>
      </c>
      <c r="B73" s="3">
        <v>113.3634548</v>
      </c>
      <c r="C73" s="3">
        <v>22.935494909999999</v>
      </c>
      <c r="D73" s="3">
        <v>35</v>
      </c>
      <c r="E73" s="13">
        <f t="shared" si="5"/>
        <v>4.1679386391894144E-3</v>
      </c>
      <c r="F73" s="13">
        <f t="shared" si="6"/>
        <v>15.489569288456943</v>
      </c>
      <c r="G73" s="14">
        <f>F73/$F$124*$D$2</f>
        <v>0</v>
      </c>
      <c r="H73" s="14">
        <f>F73/$F$124*$E$2</f>
        <v>2159.1640986141692</v>
      </c>
      <c r="I73" s="25" t="str">
        <f t="shared" si="7"/>
        <v/>
      </c>
    </row>
    <row r="74" spans="1:9" x14ac:dyDescent="0.25">
      <c r="A74" s="3">
        <v>3618</v>
      </c>
      <c r="B74" s="3">
        <v>113.3629455</v>
      </c>
      <c r="C74" s="3">
        <v>22.936202260000002</v>
      </c>
      <c r="D74" s="3">
        <v>35</v>
      </c>
      <c r="E74" s="13">
        <f t="shared" si="5"/>
        <v>4.2189077096540656E-3</v>
      </c>
      <c r="F74" s="13">
        <f t="shared" si="6"/>
        <v>15.395719411765908</v>
      </c>
      <c r="G74" s="14">
        <f>F74/$F$162*$D$2</f>
        <v>0</v>
      </c>
      <c r="H74" s="14">
        <f>F74/$F$162*$E$2</f>
        <v>32.317439537751845</v>
      </c>
      <c r="I74" s="25" t="str">
        <f t="shared" si="7"/>
        <v>选中</v>
      </c>
    </row>
    <row r="75" spans="1:9" hidden="1" x14ac:dyDescent="0.25">
      <c r="A75" s="3">
        <v>3578</v>
      </c>
      <c r="B75" s="3">
        <v>113.3690596</v>
      </c>
      <c r="C75" s="3">
        <v>22.941601689999999</v>
      </c>
      <c r="D75" s="3">
        <v>35</v>
      </c>
      <c r="E75" s="13">
        <f t="shared" si="5"/>
        <v>4.2247251991535378E-3</v>
      </c>
      <c r="F75" s="13">
        <f t="shared" si="6"/>
        <v>15.385115729180351</v>
      </c>
      <c r="G75" s="14">
        <f>F75/$F$124*$D$2</f>
        <v>0</v>
      </c>
      <c r="H75" s="14">
        <f>F75/$F$124*$E$2</f>
        <v>2144.6038244733927</v>
      </c>
      <c r="I75" s="25" t="str">
        <f t="shared" si="7"/>
        <v/>
      </c>
    </row>
    <row r="76" spans="1:9" hidden="1" x14ac:dyDescent="0.25">
      <c r="A76" s="3">
        <v>3592</v>
      </c>
      <c r="B76" s="3">
        <v>113.36683170000001</v>
      </c>
      <c r="C76" s="3">
        <v>22.93384648</v>
      </c>
      <c r="D76" s="3">
        <v>35</v>
      </c>
      <c r="E76" s="13">
        <f t="shared" si="5"/>
        <v>4.2373424837863676E-3</v>
      </c>
      <c r="F76" s="13">
        <f t="shared" si="6"/>
        <v>15.362192976976253</v>
      </c>
      <c r="G76" s="14">
        <f>F76/$F$124*$D$2</f>
        <v>0</v>
      </c>
      <c r="H76" s="14">
        <f>F76/$F$124*$E$2</f>
        <v>2141.408513959665</v>
      </c>
      <c r="I76" s="25" t="str">
        <f t="shared" si="7"/>
        <v/>
      </c>
    </row>
    <row r="77" spans="1:9" x14ac:dyDescent="0.25">
      <c r="A77" s="3">
        <v>3583</v>
      </c>
      <c r="B77" s="3">
        <v>113.3689567</v>
      </c>
      <c r="C77" s="3">
        <v>22.941713750000002</v>
      </c>
      <c r="D77" s="3">
        <v>35</v>
      </c>
      <c r="E77" s="13">
        <f t="shared" si="5"/>
        <v>4.2637042059196868E-3</v>
      </c>
      <c r="F77" s="13">
        <f t="shared" si="6"/>
        <v>15.314628493612878</v>
      </c>
      <c r="G77" s="14">
        <f>F77/$F$162*$D$2</f>
        <v>0</v>
      </c>
      <c r="H77" s="14">
        <f>F77/$F$162*$E$2</f>
        <v>32.147220090749677</v>
      </c>
      <c r="I77" s="25" t="str">
        <f t="shared" si="7"/>
        <v>选中</v>
      </c>
    </row>
    <row r="78" spans="1:9" hidden="1" x14ac:dyDescent="0.25">
      <c r="A78" s="3">
        <v>3630</v>
      </c>
      <c r="B78" s="3">
        <v>113.36347379999999</v>
      </c>
      <c r="C78" s="3">
        <v>22.93526898</v>
      </c>
      <c r="D78" s="3">
        <v>35</v>
      </c>
      <c r="E78" s="13">
        <f t="shared" si="5"/>
        <v>4.2974574593564099E-3</v>
      </c>
      <c r="F78" s="13">
        <f t="shared" si="6"/>
        <v>15.254367566340047</v>
      </c>
      <c r="G78" s="14">
        <f>F78/$F$124*$D$2</f>
        <v>0</v>
      </c>
      <c r="H78" s="14">
        <f>F78/$F$124*$E$2</f>
        <v>2126.3782215591191</v>
      </c>
      <c r="I78" s="25" t="str">
        <f t="shared" si="7"/>
        <v/>
      </c>
    </row>
    <row r="79" spans="1:9" hidden="1" x14ac:dyDescent="0.25">
      <c r="A79" s="3">
        <v>3566</v>
      </c>
      <c r="B79" s="3">
        <v>113.36260470000001</v>
      </c>
      <c r="C79" s="3">
        <v>22.939367359999999</v>
      </c>
      <c r="D79" s="3">
        <v>35</v>
      </c>
      <c r="E79" s="13">
        <f t="shared" si="5"/>
        <v>4.3134355521443311E-3</v>
      </c>
      <c r="F79" s="13">
        <f t="shared" si="6"/>
        <v>15.226088271140489</v>
      </c>
      <c r="G79" s="14">
        <f>F79/$F$124*$D$2</f>
        <v>0</v>
      </c>
      <c r="H79" s="14">
        <f>F79/$F$124*$E$2</f>
        <v>2122.4362372604014</v>
      </c>
      <c r="I79" s="25" t="str">
        <f t="shared" si="7"/>
        <v/>
      </c>
    </row>
    <row r="80" spans="1:9" x14ac:dyDescent="0.25">
      <c r="A80" s="3">
        <v>3560</v>
      </c>
      <c r="B80" s="3">
        <v>113.3689737</v>
      </c>
      <c r="C80" s="3">
        <v>22.941808689999998</v>
      </c>
      <c r="D80" s="3">
        <v>35</v>
      </c>
      <c r="E80" s="13">
        <f t="shared" si="5"/>
        <v>4.353615118307075E-3</v>
      </c>
      <c r="F80" s="13">
        <f t="shared" si="6"/>
        <v>15.15566453345499</v>
      </c>
      <c r="G80" s="14">
        <f>F80/$F$162*$D$2</f>
        <v>0</v>
      </c>
      <c r="H80" s="14">
        <f>F80/$F$162*$E$2</f>
        <v>31.813535900119522</v>
      </c>
      <c r="I80" s="25" t="str">
        <f t="shared" si="7"/>
        <v>选中</v>
      </c>
    </row>
    <row r="81" spans="1:9" hidden="1" x14ac:dyDescent="0.25">
      <c r="A81" s="3">
        <v>3640</v>
      </c>
      <c r="B81" s="3">
        <v>113.3710217</v>
      </c>
      <c r="C81" s="3">
        <v>22.938844769999999</v>
      </c>
      <c r="D81" s="3">
        <v>35</v>
      </c>
      <c r="E81" s="13">
        <f t="shared" si="5"/>
        <v>4.3664668932152052E-3</v>
      </c>
      <c r="F81" s="13">
        <f t="shared" si="6"/>
        <v>15.133344345687517</v>
      </c>
      <c r="G81" s="14">
        <f>F81/$F$124*$D$2</f>
        <v>0</v>
      </c>
      <c r="H81" s="14">
        <f>F81/$F$124*$E$2</f>
        <v>2109.5082241908685</v>
      </c>
      <c r="I81" s="25" t="str">
        <f t="shared" si="7"/>
        <v/>
      </c>
    </row>
    <row r="82" spans="1:9" hidden="1" x14ac:dyDescent="0.25">
      <c r="A82" s="3">
        <v>3574</v>
      </c>
      <c r="B82" s="3">
        <v>113.362421</v>
      </c>
      <c r="C82" s="3">
        <v>22.938939779999998</v>
      </c>
      <c r="D82" s="3">
        <v>35</v>
      </c>
      <c r="E82" s="13">
        <f t="shared" si="5"/>
        <v>4.3859166666698661E-3</v>
      </c>
      <c r="F82" s="13">
        <f t="shared" si="6"/>
        <v>15.099751919399933</v>
      </c>
      <c r="G82" s="14">
        <f>F82/$F$124*$D$2</f>
        <v>0</v>
      </c>
      <c r="H82" s="14">
        <f>F82/$F$124*$E$2</f>
        <v>2104.8256174976309</v>
      </c>
      <c r="I82" s="25" t="str">
        <f t="shared" si="7"/>
        <v/>
      </c>
    </row>
    <row r="83" spans="1:9" x14ac:dyDescent="0.25">
      <c r="A83" s="3">
        <v>3582</v>
      </c>
      <c r="B83" s="3">
        <v>113.37108569999999</v>
      </c>
      <c r="C83" s="3">
        <v>22.938599809999999</v>
      </c>
      <c r="D83" s="3">
        <v>35</v>
      </c>
      <c r="E83" s="13">
        <f t="shared" si="5"/>
        <v>4.3939688574110396E-3</v>
      </c>
      <c r="F83" s="13">
        <f t="shared" si="6"/>
        <v>15.085910010075034</v>
      </c>
      <c r="G83" s="14">
        <f>F83/$F$162*$D$2</f>
        <v>0</v>
      </c>
      <c r="H83" s="14">
        <f>F83/$F$162*$E$2</f>
        <v>31.667112889182235</v>
      </c>
      <c r="I83" s="25" t="str">
        <f t="shared" si="7"/>
        <v>选中</v>
      </c>
    </row>
    <row r="84" spans="1:9" hidden="1" x14ac:dyDescent="0.25">
      <c r="A84" s="3">
        <v>3611</v>
      </c>
      <c r="B84" s="3">
        <v>113.3634169</v>
      </c>
      <c r="C84" s="3">
        <v>22.93507713</v>
      </c>
      <c r="D84" s="3">
        <v>35</v>
      </c>
      <c r="E84" s="13">
        <f t="shared" si="5"/>
        <v>4.467368021376125E-3</v>
      </c>
      <c r="F84" s="13">
        <f t="shared" si="6"/>
        <v>14.961465465228308</v>
      </c>
      <c r="G84" s="14">
        <f>F84/$F$124*$D$2</f>
        <v>0</v>
      </c>
      <c r="H84" s="14">
        <f>F84/$F$124*$E$2</f>
        <v>2085.5492166105819</v>
      </c>
      <c r="I84" s="25" t="str">
        <f t="shared" si="7"/>
        <v/>
      </c>
    </row>
    <row r="85" spans="1:9" hidden="1" x14ac:dyDescent="0.25">
      <c r="A85" s="3">
        <v>3639</v>
      </c>
      <c r="B85" s="3">
        <v>113.3625837</v>
      </c>
      <c r="C85" s="3">
        <v>22.94009308</v>
      </c>
      <c r="D85" s="3">
        <v>35</v>
      </c>
      <c r="E85" s="13">
        <f t="shared" si="5"/>
        <v>4.6011741772008872E-3</v>
      </c>
      <c r="F85" s="13">
        <f t="shared" si="6"/>
        <v>14.742314204104705</v>
      </c>
      <c r="G85" s="14">
        <f>F85/$F$124*$D$2</f>
        <v>0</v>
      </c>
      <c r="H85" s="14">
        <f>F85/$F$124*$E$2</f>
        <v>2055.0006889935657</v>
      </c>
      <c r="I85" s="25" t="str">
        <f t="shared" si="7"/>
        <v/>
      </c>
    </row>
    <row r="86" spans="1:9" x14ac:dyDescent="0.25">
      <c r="A86" s="3">
        <v>3598</v>
      </c>
      <c r="B86" s="3">
        <v>113.3646079</v>
      </c>
      <c r="C86" s="3">
        <v>22.942225610000001</v>
      </c>
      <c r="D86" s="3">
        <v>35</v>
      </c>
      <c r="E86" s="13">
        <f t="shared" si="5"/>
        <v>4.6515366923262011E-3</v>
      </c>
      <c r="F86" s="13">
        <f t="shared" si="6"/>
        <v>14.662288968183605</v>
      </c>
      <c r="G86" s="14">
        <f>F86/$F$162*$D$2</f>
        <v>0</v>
      </c>
      <c r="H86" s="14">
        <f>F86/$F$162*$E$2</f>
        <v>30.777882120415228</v>
      </c>
      <c r="I86" s="25" t="str">
        <f t="shared" si="7"/>
        <v>选中</v>
      </c>
    </row>
    <row r="87" spans="1:9" hidden="1" x14ac:dyDescent="0.25">
      <c r="A87" s="3">
        <v>3600</v>
      </c>
      <c r="B87" s="3">
        <v>113.36191770000001</v>
      </c>
      <c r="C87" s="3">
        <v>22.93789688</v>
      </c>
      <c r="D87" s="3">
        <v>35</v>
      </c>
      <c r="E87" s="13">
        <f t="shared" si="5"/>
        <v>4.808180793283383E-3</v>
      </c>
      <c r="F87" s="13">
        <f t="shared" si="6"/>
        <v>14.421472473588592</v>
      </c>
      <c r="G87" s="14">
        <f>F87/$F$124*$D$2</f>
        <v>0</v>
      </c>
      <c r="H87" s="14">
        <f>F87/$F$124*$E$2</f>
        <v>2010.2770473630733</v>
      </c>
      <c r="I87" s="25" t="str">
        <f t="shared" si="7"/>
        <v/>
      </c>
    </row>
    <row r="88" spans="1:9" hidden="1" x14ac:dyDescent="0.25">
      <c r="A88" s="3">
        <v>3645</v>
      </c>
      <c r="B88" s="3">
        <v>113.3647277</v>
      </c>
      <c r="C88" s="3">
        <v>22.942460369999999</v>
      </c>
      <c r="D88" s="3">
        <v>35</v>
      </c>
      <c r="E88" s="13">
        <f t="shared" si="5"/>
        <v>4.8109212134067846E-3</v>
      </c>
      <c r="F88" s="13">
        <f t="shared" si="6"/>
        <v>14.417364474179927</v>
      </c>
      <c r="G88" s="14">
        <f>F88/$F$124*$D$2</f>
        <v>0</v>
      </c>
      <c r="H88" s="14">
        <f>F88/$F$124*$E$2</f>
        <v>2009.7044139557049</v>
      </c>
      <c r="I88" s="25" t="str">
        <f t="shared" si="7"/>
        <v/>
      </c>
    </row>
    <row r="89" spans="1:9" x14ac:dyDescent="0.25">
      <c r="A89" s="3">
        <v>3597</v>
      </c>
      <c r="B89" s="3">
        <v>113.3621665</v>
      </c>
      <c r="C89" s="3">
        <v>22.936043340000001</v>
      </c>
      <c r="D89" s="3">
        <v>35</v>
      </c>
      <c r="E89" s="13">
        <f t="shared" si="5"/>
        <v>4.9913044492342707E-3</v>
      </c>
      <c r="F89" s="13">
        <f t="shared" si="6"/>
        <v>14.154449052692797</v>
      </c>
      <c r="G89" s="14">
        <f>F89/$F$162*$D$2</f>
        <v>0</v>
      </c>
      <c r="H89" s="14">
        <f>F89/$F$162*$E$2</f>
        <v>29.711865955481194</v>
      </c>
      <c r="I89" s="25" t="str">
        <f t="shared" si="7"/>
        <v>选中</v>
      </c>
    </row>
    <row r="90" spans="1:9" hidden="1" x14ac:dyDescent="0.25">
      <c r="A90" s="3">
        <v>3607</v>
      </c>
      <c r="B90" s="3">
        <v>113.36431229999999</v>
      </c>
      <c r="C90" s="3">
        <v>22.942492869999999</v>
      </c>
      <c r="D90" s="3">
        <v>35</v>
      </c>
      <c r="E90" s="13">
        <f t="shared" si="5"/>
        <v>5.0259583575322292E-3</v>
      </c>
      <c r="F90" s="13">
        <f t="shared" si="6"/>
        <v>14.105567289094383</v>
      </c>
      <c r="G90" s="14">
        <f>F90/$F$124*$D$2</f>
        <v>0</v>
      </c>
      <c r="H90" s="14">
        <f>F90/$F$124*$E$2</f>
        <v>1966.2415341590822</v>
      </c>
      <c r="I90" s="25" t="str">
        <f t="shared" si="7"/>
        <v/>
      </c>
    </row>
    <row r="91" spans="1:9" hidden="1" x14ac:dyDescent="0.25">
      <c r="A91" s="3">
        <v>3589</v>
      </c>
      <c r="B91" s="3">
        <v>113.3710925</v>
      </c>
      <c r="C91" s="3">
        <v>22.940605949999998</v>
      </c>
      <c r="D91" s="3">
        <v>35</v>
      </c>
      <c r="E91" s="13">
        <f t="shared" si="5"/>
        <v>5.0464742317349095E-3</v>
      </c>
      <c r="F91" s="13">
        <f t="shared" si="6"/>
        <v>14.076865788919951</v>
      </c>
      <c r="G91" s="14">
        <f>F91/$F$124*$D$2</f>
        <v>0</v>
      </c>
      <c r="H91" s="14">
        <f>F91/$F$124*$E$2</f>
        <v>1962.2406967181612</v>
      </c>
      <c r="I91" s="25" t="str">
        <f t="shared" si="7"/>
        <v/>
      </c>
    </row>
    <row r="92" spans="1:9" x14ac:dyDescent="0.25">
      <c r="A92" s="3">
        <v>4057</v>
      </c>
      <c r="B92" s="3">
        <v>113.36459549999999</v>
      </c>
      <c r="C92" s="3">
        <v>22.933495319999999</v>
      </c>
      <c r="D92" s="3">
        <v>35</v>
      </c>
      <c r="E92" s="13">
        <f t="shared" si="5"/>
        <v>5.0561519862606392E-3</v>
      </c>
      <c r="F92" s="13">
        <f t="shared" si="6"/>
        <v>14.063387386417284</v>
      </c>
      <c r="G92" s="14">
        <f>F92/$F$162*$D$2</f>
        <v>0</v>
      </c>
      <c r="H92" s="14">
        <f>F92/$F$162*$E$2</f>
        <v>29.520716726571706</v>
      </c>
      <c r="I92" s="25" t="str">
        <f t="shared" si="7"/>
        <v>选中</v>
      </c>
    </row>
    <row r="93" spans="1:9" hidden="1" x14ac:dyDescent="0.25">
      <c r="A93" s="3">
        <v>3608</v>
      </c>
      <c r="B93" s="3">
        <v>113.3662937</v>
      </c>
      <c r="C93" s="3">
        <v>22.943177169999998</v>
      </c>
      <c r="D93" s="3">
        <v>35</v>
      </c>
      <c r="E93" s="13">
        <f t="shared" si="5"/>
        <v>5.1127563424821741E-3</v>
      </c>
      <c r="F93" s="13">
        <f t="shared" si="6"/>
        <v>13.985321415519101</v>
      </c>
      <c r="G93" s="14">
        <f>F93/$F$124*$D$2</f>
        <v>0</v>
      </c>
      <c r="H93" s="14">
        <f>F93/$F$124*$E$2</f>
        <v>1949.4798948652301</v>
      </c>
      <c r="I93" s="25" t="str">
        <f t="shared" si="7"/>
        <v/>
      </c>
    </row>
    <row r="94" spans="1:9" hidden="1" x14ac:dyDescent="0.25">
      <c r="A94" s="3">
        <v>3587</v>
      </c>
      <c r="B94" s="3">
        <v>113.36601709999999</v>
      </c>
      <c r="C94" s="3">
        <v>22.943161499999999</v>
      </c>
      <c r="D94" s="3">
        <v>35</v>
      </c>
      <c r="E94" s="13">
        <f t="shared" si="5"/>
        <v>5.1278126202218537E-3</v>
      </c>
      <c r="F94" s="13">
        <f t="shared" si="6"/>
        <v>13.964774479328543</v>
      </c>
      <c r="G94" s="14">
        <f>F94/$F$124*$D$2</f>
        <v>0</v>
      </c>
      <c r="H94" s="14">
        <f>F94/$F$124*$E$2</f>
        <v>1946.6157605479361</v>
      </c>
      <c r="I94" s="25" t="str">
        <f t="shared" si="7"/>
        <v/>
      </c>
    </row>
    <row r="95" spans="1:9" x14ac:dyDescent="0.25">
      <c r="A95" s="3">
        <v>3588</v>
      </c>
      <c r="B95" s="3">
        <v>113.36601210000001</v>
      </c>
      <c r="C95" s="3">
        <v>22.943161509999999</v>
      </c>
      <c r="D95" s="3">
        <v>35</v>
      </c>
      <c r="E95" s="13">
        <f t="shared" si="5"/>
        <v>5.1285125377634709E-3</v>
      </c>
      <c r="F95" s="13">
        <f t="shared" si="6"/>
        <v>13.963821520350811</v>
      </c>
      <c r="G95" s="14">
        <f>F95/$F$162*$D$2</f>
        <v>0</v>
      </c>
      <c r="H95" s="14">
        <f>F95/$F$162*$E$2</f>
        <v>29.311716174498244</v>
      </c>
      <c r="I95" s="25" t="str">
        <f t="shared" si="7"/>
        <v>选中</v>
      </c>
    </row>
    <row r="96" spans="1:9" hidden="1" x14ac:dyDescent="0.25">
      <c r="A96" s="3">
        <v>3631</v>
      </c>
      <c r="B96" s="3">
        <v>113.3648635</v>
      </c>
      <c r="C96" s="3">
        <v>22.942906010000002</v>
      </c>
      <c r="D96" s="3">
        <v>35</v>
      </c>
      <c r="E96" s="13">
        <f t="shared" si="5"/>
        <v>5.1693572521200283E-3</v>
      </c>
      <c r="F96" s="13">
        <f t="shared" si="6"/>
        <v>13.908545847602133</v>
      </c>
      <c r="G96" s="14">
        <f>F96/$F$124*$D$2</f>
        <v>0</v>
      </c>
      <c r="H96" s="14">
        <f>F96/$F$124*$E$2</f>
        <v>1938.7777864456907</v>
      </c>
      <c r="I96" s="25" t="str">
        <f t="shared" si="7"/>
        <v/>
      </c>
    </row>
    <row r="97" spans="1:9" hidden="1" x14ac:dyDescent="0.25">
      <c r="A97" s="3">
        <v>3652</v>
      </c>
      <c r="B97" s="3">
        <v>113.36571739999999</v>
      </c>
      <c r="C97" s="3">
        <v>22.943155869999998</v>
      </c>
      <c r="D97" s="3">
        <v>35</v>
      </c>
      <c r="E97" s="13">
        <f t="shared" si="5"/>
        <v>5.1720228519998518E-3</v>
      </c>
      <c r="F97" s="13">
        <f t="shared" si="6"/>
        <v>13.904961235025187</v>
      </c>
      <c r="G97" s="14">
        <f>F97/$F$124*$D$2</f>
        <v>0</v>
      </c>
      <c r="H97" s="14">
        <f>F97/$F$124*$E$2</f>
        <v>1938.2781103966383</v>
      </c>
      <c r="I97" s="25" t="str">
        <f t="shared" si="7"/>
        <v/>
      </c>
    </row>
    <row r="98" spans="1:9" x14ac:dyDescent="0.25">
      <c r="A98" s="3">
        <v>3653</v>
      </c>
      <c r="B98" s="3">
        <v>113.3657903</v>
      </c>
      <c r="C98" s="3">
        <v>22.943171769999999</v>
      </c>
      <c r="D98" s="3">
        <v>35</v>
      </c>
      <c r="E98" s="13">
        <f t="shared" si="5"/>
        <v>5.1739935455705618E-3</v>
      </c>
      <c r="F98" s="13">
        <f t="shared" si="6"/>
        <v>13.9023128912216</v>
      </c>
      <c r="G98" s="14">
        <f>F98/$F$162*$D$2</f>
        <v>0</v>
      </c>
      <c r="H98" s="14">
        <f>F98/$F$162*$E$2</f>
        <v>29.182602272785147</v>
      </c>
      <c r="I98" s="25" t="str">
        <f t="shared" si="7"/>
        <v>选中</v>
      </c>
    </row>
    <row r="99" spans="1:9" hidden="1" x14ac:dyDescent="0.25">
      <c r="A99" s="3">
        <v>3510</v>
      </c>
      <c r="B99" s="3">
        <v>113.36145140000001</v>
      </c>
      <c r="C99" s="3">
        <v>22.938044439999999</v>
      </c>
      <c r="D99" s="3">
        <v>35</v>
      </c>
      <c r="E99" s="13">
        <f t="shared" si="5"/>
        <v>5.271036760533236E-3</v>
      </c>
      <c r="F99" s="13">
        <f t="shared" si="6"/>
        <v>13.773743067561773</v>
      </c>
      <c r="G99" s="14">
        <f>F99/$F$124*$D$2</f>
        <v>0</v>
      </c>
      <c r="H99" s="14">
        <f>F99/$F$124*$E$2</f>
        <v>1919.9869913218113</v>
      </c>
      <c r="I99" s="25" t="str">
        <f t="shared" si="7"/>
        <v/>
      </c>
    </row>
    <row r="100" spans="1:9" hidden="1" x14ac:dyDescent="0.25">
      <c r="A100" s="3">
        <v>3649</v>
      </c>
      <c r="B100" s="3">
        <v>113.36381249999999</v>
      </c>
      <c r="C100" s="3">
        <v>22.933685220000001</v>
      </c>
      <c r="D100" s="3">
        <v>35</v>
      </c>
      <c r="E100" s="13">
        <f t="shared" si="5"/>
        <v>5.2727806645221477E-3</v>
      </c>
      <c r="F100" s="13">
        <f t="shared" si="6"/>
        <v>13.771465135535221</v>
      </c>
      <c r="G100" s="14">
        <f>F100/$F$124*$D$2</f>
        <v>0</v>
      </c>
      <c r="H100" s="14">
        <f>F100/$F$124*$E$2</f>
        <v>1919.6694596358609</v>
      </c>
      <c r="I100" s="25" t="str">
        <f t="shared" si="7"/>
        <v/>
      </c>
    </row>
    <row r="101" spans="1:9" x14ac:dyDescent="0.25">
      <c r="A101" s="3">
        <v>3585</v>
      </c>
      <c r="B101" s="3">
        <v>113.3642613</v>
      </c>
      <c r="C101" s="3">
        <v>22.94278581</v>
      </c>
      <c r="D101" s="3">
        <v>35</v>
      </c>
      <c r="E101" s="13">
        <f t="shared" ref="E101:E132" si="8">SQRT((B101-$B$2)^2+(C101-$C$2)^2)</f>
        <v>5.3083417900562074E-3</v>
      </c>
      <c r="F101" s="13">
        <f t="shared" ref="F101:F132" si="9">SQRT(1/E101)</f>
        <v>13.72525939327728</v>
      </c>
      <c r="G101" s="14">
        <f>F101/$F$162*$D$2</f>
        <v>0</v>
      </c>
      <c r="H101" s="14">
        <f>F101/$F$162*$E$2</f>
        <v>28.810945998613889</v>
      </c>
      <c r="I101" s="25" t="str">
        <f t="shared" si="7"/>
        <v>选中</v>
      </c>
    </row>
    <row r="102" spans="1:9" hidden="1" x14ac:dyDescent="0.25">
      <c r="A102" s="3">
        <v>3584</v>
      </c>
      <c r="B102" s="3">
        <v>113.3715131</v>
      </c>
      <c r="C102" s="3">
        <v>22.940428600000001</v>
      </c>
      <c r="D102" s="3">
        <v>35</v>
      </c>
      <c r="E102" s="13">
        <f t="shared" si="8"/>
        <v>5.3344514390943464E-3</v>
      </c>
      <c r="F102" s="13">
        <f t="shared" si="9"/>
        <v>13.691628823241453</v>
      </c>
      <c r="G102" s="14">
        <f>F102/$F$124*$D$2</f>
        <v>0</v>
      </c>
      <c r="H102" s="14">
        <f>F102/$F$124*$E$2</f>
        <v>1908.5406996257996</v>
      </c>
      <c r="I102" s="25" t="str">
        <f t="shared" si="7"/>
        <v/>
      </c>
    </row>
    <row r="103" spans="1:9" hidden="1" x14ac:dyDescent="0.25">
      <c r="A103" s="3">
        <v>3531</v>
      </c>
      <c r="B103" s="3">
        <v>113.3613295</v>
      </c>
      <c r="C103" s="3">
        <v>22.938378459999999</v>
      </c>
      <c r="D103" s="3">
        <v>35</v>
      </c>
      <c r="E103" s="13">
        <f t="shared" si="8"/>
        <v>5.400920055194847E-3</v>
      </c>
      <c r="F103" s="13">
        <f t="shared" si="9"/>
        <v>13.607117203827443</v>
      </c>
      <c r="G103" s="14">
        <f>F103/$F$124*$D$2</f>
        <v>0</v>
      </c>
      <c r="H103" s="14">
        <f>F103/$F$124*$E$2</f>
        <v>1896.7602265115174</v>
      </c>
      <c r="I103" s="25" t="str">
        <f t="shared" si="7"/>
        <v/>
      </c>
    </row>
    <row r="104" spans="1:9" x14ac:dyDescent="0.25">
      <c r="A104" s="3">
        <v>3594</v>
      </c>
      <c r="B104" s="3">
        <v>113.3709056</v>
      </c>
      <c r="C104" s="3">
        <v>22.94156774</v>
      </c>
      <c r="D104" s="3">
        <v>35</v>
      </c>
      <c r="E104" s="13">
        <f t="shared" si="8"/>
        <v>5.444954003373313E-3</v>
      </c>
      <c r="F104" s="13">
        <f t="shared" si="9"/>
        <v>13.5519843766638</v>
      </c>
      <c r="G104" s="14">
        <f>F104/$F$162*$D$2</f>
        <v>0</v>
      </c>
      <c r="H104" s="14">
        <f>F104/$F$162*$E$2</f>
        <v>28.447221204530571</v>
      </c>
      <c r="I104" s="25" t="str">
        <f t="shared" si="7"/>
        <v>选中</v>
      </c>
    </row>
    <row r="105" spans="1:9" hidden="1" x14ac:dyDescent="0.25">
      <c r="A105" s="3">
        <v>3644</v>
      </c>
      <c r="B105" s="3">
        <v>113.3638978</v>
      </c>
      <c r="C105" s="3">
        <v>22.942853230000001</v>
      </c>
      <c r="D105" s="3">
        <v>35</v>
      </c>
      <c r="E105" s="13">
        <f t="shared" si="8"/>
        <v>5.5442333755375221E-3</v>
      </c>
      <c r="F105" s="13">
        <f t="shared" si="9"/>
        <v>13.430100065661259</v>
      </c>
      <c r="G105" s="14">
        <f>F105/$F$124*$D$2</f>
        <v>0</v>
      </c>
      <c r="H105" s="14">
        <f>F105/$F$124*$E$2</f>
        <v>1872.0849729618478</v>
      </c>
      <c r="I105" s="25" t="str">
        <f t="shared" si="7"/>
        <v/>
      </c>
    </row>
    <row r="106" spans="1:9" hidden="1" x14ac:dyDescent="0.25">
      <c r="A106" s="3">
        <v>3651</v>
      </c>
      <c r="B106" s="3">
        <v>113.367734</v>
      </c>
      <c r="C106" s="3">
        <v>22.94356333</v>
      </c>
      <c r="D106" s="3">
        <v>35</v>
      </c>
      <c r="E106" s="13">
        <f t="shared" si="8"/>
        <v>5.5735106473734858E-3</v>
      </c>
      <c r="F106" s="13">
        <f t="shared" si="9"/>
        <v>13.394779920528062</v>
      </c>
      <c r="G106" s="14">
        <f>F106/$F$124*$D$2</f>
        <v>0</v>
      </c>
      <c r="H106" s="14">
        <f>F106/$F$124*$E$2</f>
        <v>1867.1615313922835</v>
      </c>
      <c r="I106" s="25" t="str">
        <f t="shared" si="7"/>
        <v/>
      </c>
    </row>
    <row r="107" spans="1:9" x14ac:dyDescent="0.25">
      <c r="A107" s="3">
        <v>3768</v>
      </c>
      <c r="B107" s="3">
        <v>113.371871</v>
      </c>
      <c r="C107" s="3">
        <v>22.935931140000001</v>
      </c>
      <c r="D107" s="3">
        <v>35</v>
      </c>
      <c r="E107" s="13">
        <f t="shared" si="8"/>
        <v>5.5800604210721671E-3</v>
      </c>
      <c r="F107" s="13">
        <f t="shared" si="9"/>
        <v>13.386916337474574</v>
      </c>
      <c r="G107" s="14">
        <f>F107/$F$162*$D$2</f>
        <v>0</v>
      </c>
      <c r="H107" s="14">
        <f>F107/$F$162*$E$2</f>
        <v>28.100723828640731</v>
      </c>
      <c r="I107" s="25" t="str">
        <f t="shared" si="7"/>
        <v>选中</v>
      </c>
    </row>
    <row r="108" spans="1:9" hidden="1" x14ac:dyDescent="0.25">
      <c r="A108" s="3">
        <v>3492</v>
      </c>
      <c r="B108" s="3">
        <v>113.3614165</v>
      </c>
      <c r="C108" s="3">
        <v>22.936251240000001</v>
      </c>
      <c r="D108" s="3">
        <v>35</v>
      </c>
      <c r="E108" s="13">
        <f t="shared" si="8"/>
        <v>5.6129045251918719E-3</v>
      </c>
      <c r="F108" s="13">
        <f t="shared" si="9"/>
        <v>13.347691871482493</v>
      </c>
      <c r="G108" s="14">
        <f>F108/$F$124*$D$2</f>
        <v>0</v>
      </c>
      <c r="H108" s="14">
        <f>F108/$F$124*$E$2</f>
        <v>1860.5977062090524</v>
      </c>
      <c r="I108" s="25" t="str">
        <f t="shared" si="7"/>
        <v/>
      </c>
    </row>
    <row r="109" spans="1:9" hidden="1" x14ac:dyDescent="0.25">
      <c r="A109" s="3">
        <v>4098</v>
      </c>
      <c r="B109" s="3">
        <v>113.3662715</v>
      </c>
      <c r="C109" s="3">
        <v>22.932442730000002</v>
      </c>
      <c r="D109" s="3">
        <v>35</v>
      </c>
      <c r="E109" s="13">
        <f t="shared" si="8"/>
        <v>5.6576683485678927E-3</v>
      </c>
      <c r="F109" s="13">
        <f t="shared" si="9"/>
        <v>13.294783125769737</v>
      </c>
      <c r="G109" s="14">
        <f>F109/$F$124*$D$2</f>
        <v>0</v>
      </c>
      <c r="H109" s="14">
        <f>F109/$F$124*$E$2</f>
        <v>1853.2225066719791</v>
      </c>
      <c r="I109" s="25" t="str">
        <f t="shared" si="7"/>
        <v/>
      </c>
    </row>
    <row r="110" spans="1:9" x14ac:dyDescent="0.25">
      <c r="A110" s="3">
        <v>4060</v>
      </c>
      <c r="B110" s="3">
        <v>113.36622060000001</v>
      </c>
      <c r="C110" s="3">
        <v>22.932437790000002</v>
      </c>
      <c r="D110" s="3">
        <v>35</v>
      </c>
      <c r="E110" s="13">
        <f t="shared" si="8"/>
        <v>5.6668719620599122E-3</v>
      </c>
      <c r="F110" s="13">
        <f t="shared" si="9"/>
        <v>13.283982655241717</v>
      </c>
      <c r="G110" s="14">
        <f>F110/$F$162*$D$2</f>
        <v>0</v>
      </c>
      <c r="H110" s="14">
        <f>F110/$F$162*$E$2</f>
        <v>27.884653831326009</v>
      </c>
      <c r="I110" s="25" t="str">
        <f t="shared" si="7"/>
        <v>选中</v>
      </c>
    </row>
    <row r="111" spans="1:9" hidden="1" x14ac:dyDescent="0.25">
      <c r="A111" s="3">
        <v>3601</v>
      </c>
      <c r="B111" s="3">
        <v>113.3711983</v>
      </c>
      <c r="C111" s="3">
        <v>22.941608420000001</v>
      </c>
      <c r="D111" s="3">
        <v>35</v>
      </c>
      <c r="E111" s="13">
        <f t="shared" si="8"/>
        <v>5.6980104001381933E-3</v>
      </c>
      <c r="F111" s="13">
        <f t="shared" si="9"/>
        <v>13.247635833357705</v>
      </c>
      <c r="G111" s="14">
        <f>F111/$F$124*$D$2</f>
        <v>0</v>
      </c>
      <c r="H111" s="14">
        <f>F111/$F$124*$E$2</f>
        <v>1846.650423276556</v>
      </c>
      <c r="I111" s="25" t="str">
        <f t="shared" si="7"/>
        <v/>
      </c>
    </row>
    <row r="112" spans="1:9" hidden="1" x14ac:dyDescent="0.25">
      <c r="A112" s="3">
        <v>3609</v>
      </c>
      <c r="B112" s="3">
        <v>113.3639177</v>
      </c>
      <c r="C112" s="3">
        <v>22.94305013</v>
      </c>
      <c r="D112" s="3">
        <v>35</v>
      </c>
      <c r="E112" s="13">
        <f t="shared" si="8"/>
        <v>5.7047369052764972E-3</v>
      </c>
      <c r="F112" s="13">
        <f t="shared" si="9"/>
        <v>13.239823328139522</v>
      </c>
      <c r="G112" s="14">
        <f>F112/$F$124*$D$2</f>
        <v>0</v>
      </c>
      <c r="H112" s="14">
        <f>F112/$F$124*$E$2</f>
        <v>1845.5614013371335</v>
      </c>
      <c r="I112" s="25" t="str">
        <f t="shared" si="7"/>
        <v/>
      </c>
    </row>
    <row r="113" spans="1:9" x14ac:dyDescent="0.25">
      <c r="A113" s="3">
        <v>3636</v>
      </c>
      <c r="B113" s="3">
        <v>113.3617461</v>
      </c>
      <c r="C113" s="3">
        <v>22.935287209999998</v>
      </c>
      <c r="D113" s="3">
        <v>35</v>
      </c>
      <c r="E113" s="13">
        <f t="shared" si="8"/>
        <v>5.7075134235516928E-3</v>
      </c>
      <c r="F113" s="13">
        <f t="shared" si="9"/>
        <v>13.236602566268404</v>
      </c>
      <c r="G113" s="14">
        <f>F113/$F$162*$D$2</f>
        <v>0</v>
      </c>
      <c r="H113" s="14">
        <f>F113/$F$162*$E$2</f>
        <v>27.785197409723644</v>
      </c>
      <c r="I113" s="25" t="str">
        <f t="shared" si="7"/>
        <v>选中</v>
      </c>
    </row>
    <row r="114" spans="1:9" hidden="1" x14ac:dyDescent="0.25">
      <c r="A114" s="3">
        <v>3621</v>
      </c>
      <c r="B114" s="3">
        <v>113.3618101</v>
      </c>
      <c r="C114" s="3">
        <v>22.93517318</v>
      </c>
      <c r="D114" s="3">
        <v>35</v>
      </c>
      <c r="E114" s="13">
        <f t="shared" si="8"/>
        <v>5.7090566675211821E-3</v>
      </c>
      <c r="F114" s="13">
        <f t="shared" si="9"/>
        <v>13.234813418873712</v>
      </c>
      <c r="G114" s="14">
        <f>F114/$F$124*$D$2</f>
        <v>0</v>
      </c>
      <c r="H114" s="14">
        <f>F114/$F$124*$E$2</f>
        <v>1844.8630464621458</v>
      </c>
      <c r="I114" s="25" t="str">
        <f t="shared" si="7"/>
        <v/>
      </c>
    </row>
    <row r="115" spans="1:9" hidden="1" x14ac:dyDescent="0.25">
      <c r="A115" s="3">
        <v>3602</v>
      </c>
      <c r="B115" s="3">
        <v>113.3707098</v>
      </c>
      <c r="C115" s="3">
        <v>22.942211669999999</v>
      </c>
      <c r="D115" s="3">
        <v>35</v>
      </c>
      <c r="E115" s="13">
        <f t="shared" si="8"/>
        <v>5.7402913164353898E-3</v>
      </c>
      <c r="F115" s="13">
        <f t="shared" si="9"/>
        <v>13.198757006354366</v>
      </c>
      <c r="G115" s="14">
        <f>F115/$F$124*$D$2</f>
        <v>0</v>
      </c>
      <c r="H115" s="14">
        <f>F115/$F$124*$E$2</f>
        <v>1839.836973110022</v>
      </c>
      <c r="I115" s="25" t="str">
        <f t="shared" si="7"/>
        <v/>
      </c>
    </row>
    <row r="116" spans="1:9" x14ac:dyDescent="0.25">
      <c r="A116" s="3">
        <v>3603</v>
      </c>
      <c r="B116" s="3">
        <v>113.3690505</v>
      </c>
      <c r="C116" s="3">
        <v>22.94335895</v>
      </c>
      <c r="D116" s="3">
        <v>35</v>
      </c>
      <c r="E116" s="13">
        <f t="shared" si="8"/>
        <v>5.767355512847884E-3</v>
      </c>
      <c r="F116" s="13">
        <f t="shared" si="9"/>
        <v>13.167751998304158</v>
      </c>
      <c r="G116" s="14">
        <f>F116/$F$162*$D$2</f>
        <v>0</v>
      </c>
      <c r="H116" s="14">
        <f>F116/$F$162*$E$2</f>
        <v>27.6406719083285</v>
      </c>
      <c r="I116" s="25" t="str">
        <f t="shared" si="7"/>
        <v>选中</v>
      </c>
    </row>
    <row r="117" spans="1:9" hidden="1" x14ac:dyDescent="0.25">
      <c r="A117" s="3">
        <v>3493</v>
      </c>
      <c r="B117" s="3">
        <v>113.3614705</v>
      </c>
      <c r="C117" s="3">
        <v>22.935657419999998</v>
      </c>
      <c r="D117" s="3">
        <v>35</v>
      </c>
      <c r="E117" s="13">
        <f t="shared" si="8"/>
        <v>5.7846330687623074E-3</v>
      </c>
      <c r="F117" s="13">
        <f t="shared" si="9"/>
        <v>13.148072556049371</v>
      </c>
      <c r="G117" s="14">
        <f>F117/$F$124*$D$2</f>
        <v>0</v>
      </c>
      <c r="H117" s="14">
        <f>F117/$F$124*$E$2</f>
        <v>1832.7718285977019</v>
      </c>
      <c r="I117" s="25" t="str">
        <f t="shared" si="7"/>
        <v/>
      </c>
    </row>
    <row r="118" spans="1:9" hidden="1" x14ac:dyDescent="0.25">
      <c r="A118" s="3">
        <v>4079</v>
      </c>
      <c r="B118" s="3">
        <v>113.3629866</v>
      </c>
      <c r="C118" s="3">
        <v>22.93359731</v>
      </c>
      <c r="D118" s="3">
        <v>35</v>
      </c>
      <c r="E118" s="13">
        <f t="shared" si="8"/>
        <v>5.8370863022619707E-3</v>
      </c>
      <c r="F118" s="13">
        <f t="shared" si="9"/>
        <v>13.08886362557395</v>
      </c>
      <c r="G118" s="14">
        <f>F118/$F$124*$D$2</f>
        <v>0</v>
      </c>
      <c r="H118" s="14">
        <f>F118/$F$124*$E$2</f>
        <v>1824.5184166003044</v>
      </c>
      <c r="I118" s="25" t="str">
        <f t="shared" si="7"/>
        <v/>
      </c>
    </row>
    <row r="119" spans="1:9" x14ac:dyDescent="0.25">
      <c r="A119" s="3">
        <v>3698</v>
      </c>
      <c r="B119" s="3">
        <v>113.3725992</v>
      </c>
      <c r="C119" s="3">
        <v>22.93821346</v>
      </c>
      <c r="D119" s="3">
        <v>35</v>
      </c>
      <c r="E119" s="13">
        <f t="shared" si="8"/>
        <v>5.8783609715958134E-3</v>
      </c>
      <c r="F119" s="13">
        <f t="shared" si="9"/>
        <v>13.042831221277781</v>
      </c>
      <c r="G119" s="14">
        <f>F119/$F$162*$D$2</f>
        <v>0</v>
      </c>
      <c r="H119" s="14">
        <f>F119/$F$162*$E$2</f>
        <v>27.37844839342905</v>
      </c>
      <c r="I119" s="25" t="str">
        <f t="shared" si="7"/>
        <v>选中</v>
      </c>
    </row>
    <row r="120" spans="1:9" hidden="1" x14ac:dyDescent="0.25">
      <c r="A120" s="3">
        <v>3766</v>
      </c>
      <c r="B120" s="3">
        <v>113.3718317</v>
      </c>
      <c r="C120" s="3">
        <v>22.941182959999999</v>
      </c>
      <c r="D120" s="3">
        <v>35</v>
      </c>
      <c r="E120" s="13">
        <f t="shared" si="8"/>
        <v>5.9765691380961449E-3</v>
      </c>
      <c r="F120" s="13">
        <f t="shared" si="9"/>
        <v>12.935226151772968</v>
      </c>
      <c r="G120" s="14">
        <f>F120/$F$124*$D$2</f>
        <v>0</v>
      </c>
      <c r="H120" s="14">
        <f>F120/$F$124*$E$2</f>
        <v>1803.102164704904</v>
      </c>
      <c r="I120" s="25" t="str">
        <f t="shared" si="7"/>
        <v/>
      </c>
    </row>
    <row r="121" spans="1:9" hidden="1" x14ac:dyDescent="0.25">
      <c r="A121" s="3">
        <v>4025</v>
      </c>
      <c r="B121" s="3">
        <v>113.3641002</v>
      </c>
      <c r="C121" s="3">
        <v>22.93264529</v>
      </c>
      <c r="D121" s="3">
        <v>35</v>
      </c>
      <c r="E121" s="13">
        <f t="shared" si="8"/>
        <v>6.0363633343639995E-3</v>
      </c>
      <c r="F121" s="13">
        <f t="shared" si="9"/>
        <v>12.871000694993473</v>
      </c>
      <c r="G121" s="14">
        <f>F121/$F$124*$D$2</f>
        <v>0</v>
      </c>
      <c r="H121" s="14">
        <f>F121/$F$124*$E$2</f>
        <v>1794.1494754523549</v>
      </c>
      <c r="I121" s="25" t="str">
        <f t="shared" si="7"/>
        <v/>
      </c>
    </row>
    <row r="122" spans="1:9" x14ac:dyDescent="0.25">
      <c r="A122" s="3">
        <v>3557</v>
      </c>
      <c r="B122" s="3">
        <v>113.3703491</v>
      </c>
      <c r="C122" s="3">
        <v>22.942931739999999</v>
      </c>
      <c r="D122" s="3">
        <v>35</v>
      </c>
      <c r="E122" s="13">
        <f t="shared" si="8"/>
        <v>6.0555494952013473E-3</v>
      </c>
      <c r="F122" s="13">
        <f t="shared" si="9"/>
        <v>12.850594536734107</v>
      </c>
      <c r="G122" s="14">
        <f>F122/$F$162*$D$2</f>
        <v>0</v>
      </c>
      <c r="H122" s="14">
        <f>F122/$F$162*$E$2</f>
        <v>26.974920811279809</v>
      </c>
      <c r="I122" s="25" t="str">
        <f t="shared" si="7"/>
        <v>选中</v>
      </c>
    </row>
    <row r="123" spans="1:9" hidden="1" x14ac:dyDescent="0.25">
      <c r="A123" s="3">
        <v>3754</v>
      </c>
      <c r="B123" s="3">
        <v>113.3720046</v>
      </c>
      <c r="C123" s="3">
        <v>22.94105484</v>
      </c>
      <c r="D123" s="3">
        <v>35</v>
      </c>
      <c r="E123" s="13">
        <f t="shared" si="8"/>
        <v>6.0611907571695486E-3</v>
      </c>
      <c r="F123" s="13">
        <f t="shared" si="9"/>
        <v>12.844613002018939</v>
      </c>
      <c r="G123" s="14">
        <f>F123/$F$124*$D$2</f>
        <v>0</v>
      </c>
      <c r="H123" s="14">
        <f>F123/$F$124*$E$2</f>
        <v>1790.4711705069535</v>
      </c>
      <c r="I123" s="25" t="str">
        <f t="shared" si="7"/>
        <v/>
      </c>
    </row>
    <row r="124" spans="1:9" hidden="1" x14ac:dyDescent="0.25">
      <c r="A124" s="3">
        <v>3721</v>
      </c>
      <c r="B124" s="3">
        <v>113.372715</v>
      </c>
      <c r="C124" s="3">
        <v>22.93921293</v>
      </c>
      <c r="D124" s="3">
        <v>35</v>
      </c>
      <c r="E124" s="13">
        <f t="shared" si="8"/>
        <v>6.0984037879036517E-3</v>
      </c>
      <c r="F124" s="13">
        <f t="shared" si="9"/>
        <v>12.805363518984828</v>
      </c>
      <c r="G124" s="14">
        <f>F124/$F$124*$D$2</f>
        <v>0</v>
      </c>
      <c r="H124" s="14">
        <f>F124/$F$124*$E$2</f>
        <v>1785</v>
      </c>
      <c r="I124" s="25" t="str">
        <f t="shared" si="7"/>
        <v/>
      </c>
    </row>
    <row r="125" spans="1:9" x14ac:dyDescent="0.25">
      <c r="A125" s="3">
        <v>3734</v>
      </c>
      <c r="B125" s="3">
        <v>113.37264399999999</v>
      </c>
      <c r="C125" s="3">
        <v>22.939753769999999</v>
      </c>
      <c r="D125" s="3">
        <v>35</v>
      </c>
      <c r="E125" s="13">
        <f t="shared" si="8"/>
        <v>6.153046004984169E-3</v>
      </c>
      <c r="F125" s="13">
        <f t="shared" si="9"/>
        <v>12.748377609661404</v>
      </c>
      <c r="G125" s="14">
        <f>F125/$F$162*$D$2</f>
        <v>0</v>
      </c>
      <c r="H125" s="14">
        <f>F125/$F$162*$E$2</f>
        <v>26.760355367986374</v>
      </c>
      <c r="I125" s="25" t="str">
        <f t="shared" si="7"/>
        <v>选中</v>
      </c>
    </row>
    <row r="126" spans="1:9" hidden="1" x14ac:dyDescent="0.25">
      <c r="A126" s="3">
        <v>3769</v>
      </c>
      <c r="B126" s="3">
        <v>113.3728349</v>
      </c>
      <c r="C126" s="3">
        <v>22.93896891</v>
      </c>
      <c r="D126" s="3">
        <v>35</v>
      </c>
      <c r="E126" s="13">
        <f t="shared" si="8"/>
        <v>6.1765492801346966E-3</v>
      </c>
      <c r="F126" s="13">
        <f t="shared" si="9"/>
        <v>12.724099149579427</v>
      </c>
      <c r="G126" s="14">
        <f>F126/$F$124*$D$2</f>
        <v>0</v>
      </c>
      <c r="H126" s="14">
        <f>F126/$F$124*$E$2</f>
        <v>1773.6721763756582</v>
      </c>
      <c r="I126" s="25" t="str">
        <f t="shared" si="7"/>
        <v/>
      </c>
    </row>
    <row r="127" spans="1:9" hidden="1" x14ac:dyDescent="0.25">
      <c r="A127" s="3">
        <v>3694</v>
      </c>
      <c r="B127" s="3">
        <v>113.3728559</v>
      </c>
      <c r="C127" s="3">
        <v>22.938889929999998</v>
      </c>
      <c r="D127" s="3">
        <v>35</v>
      </c>
      <c r="E127" s="13">
        <f t="shared" si="8"/>
        <v>6.1865287124830241E-3</v>
      </c>
      <c r="F127" s="13">
        <f t="shared" si="9"/>
        <v>12.713832444195699</v>
      </c>
      <c r="G127" s="14">
        <f>F127/$F$124*$D$2</f>
        <v>0</v>
      </c>
      <c r="H127" s="14">
        <f>F127/$F$124*$E$2</f>
        <v>1772.2410519032615</v>
      </c>
      <c r="I127" s="25" t="str">
        <f t="shared" si="7"/>
        <v/>
      </c>
    </row>
    <row r="128" spans="1:9" x14ac:dyDescent="0.25">
      <c r="A128" s="3">
        <v>3735</v>
      </c>
      <c r="B128" s="3">
        <v>113.372653</v>
      </c>
      <c r="C128" s="3">
        <v>22.940011649999999</v>
      </c>
      <c r="D128" s="3">
        <v>35</v>
      </c>
      <c r="E128" s="13">
        <f t="shared" si="8"/>
        <v>6.2365991908665108E-3</v>
      </c>
      <c r="F128" s="13">
        <f t="shared" si="9"/>
        <v>12.662693151969677</v>
      </c>
      <c r="G128" s="14">
        <f>F128/$F$162*$D$2</f>
        <v>0</v>
      </c>
      <c r="H128" s="14">
        <f>F128/$F$162*$E$2</f>
        <v>26.580493537128298</v>
      </c>
      <c r="I128" s="25" t="str">
        <f t="shared" si="7"/>
        <v>选中</v>
      </c>
    </row>
    <row r="129" spans="1:9" hidden="1" x14ac:dyDescent="0.25">
      <c r="A129" s="3">
        <v>3701</v>
      </c>
      <c r="B129" s="3">
        <v>113.37277690000001</v>
      </c>
      <c r="C129" s="3">
        <v>22.939638689999999</v>
      </c>
      <c r="D129" s="3">
        <v>35</v>
      </c>
      <c r="E129" s="13">
        <f t="shared" si="8"/>
        <v>6.2514149277089733E-3</v>
      </c>
      <c r="F129" s="13">
        <f t="shared" si="9"/>
        <v>12.647679077564781</v>
      </c>
      <c r="G129" s="14">
        <f>F129/$F$124*$D$2</f>
        <v>0</v>
      </c>
      <c r="H129" s="14">
        <f>F129/$F$124*$E$2</f>
        <v>1763.0196222061568</v>
      </c>
      <c r="I129" s="25" t="str">
        <f t="shared" si="7"/>
        <v/>
      </c>
    </row>
    <row r="130" spans="1:9" hidden="1" x14ac:dyDescent="0.25">
      <c r="A130" s="3">
        <v>3743</v>
      </c>
      <c r="B130" s="3">
        <v>113.3727719</v>
      </c>
      <c r="C130" s="3">
        <v>22.939873590000001</v>
      </c>
      <c r="D130" s="3">
        <v>35</v>
      </c>
      <c r="E130" s="13">
        <f t="shared" si="8"/>
        <v>6.3091985190174083E-3</v>
      </c>
      <c r="F130" s="13">
        <f t="shared" si="9"/>
        <v>12.589628172256356</v>
      </c>
      <c r="G130" s="14">
        <f>F130/$F$124*$D$2</f>
        <v>0</v>
      </c>
      <c r="H130" s="14">
        <f>F130/$F$124*$E$2</f>
        <v>1754.9276327970383</v>
      </c>
      <c r="I130" s="25" t="str">
        <f t="shared" si="7"/>
        <v/>
      </c>
    </row>
    <row r="131" spans="1:9" x14ac:dyDescent="0.25">
      <c r="A131" s="3">
        <v>3709</v>
      </c>
      <c r="B131" s="3">
        <v>113.3727179</v>
      </c>
      <c r="C131" s="3">
        <v>22.940151530000001</v>
      </c>
      <c r="D131" s="3">
        <v>35</v>
      </c>
      <c r="E131" s="13">
        <f t="shared" si="8"/>
        <v>6.3425922881976222E-3</v>
      </c>
      <c r="F131" s="13">
        <f t="shared" si="9"/>
        <v>12.55644221677845</v>
      </c>
      <c r="G131" s="14">
        <f>F131/$F$162*$D$2</f>
        <v>0</v>
      </c>
      <c r="H131" s="14">
        <f>F131/$F$162*$E$2</f>
        <v>26.357460232737996</v>
      </c>
      <c r="I131" s="25" t="str">
        <f t="shared" si="7"/>
        <v>选中</v>
      </c>
    </row>
    <row r="132" spans="1:9" hidden="1" x14ac:dyDescent="0.25">
      <c r="A132" s="3">
        <v>3714</v>
      </c>
      <c r="B132" s="3">
        <v>113.3722573</v>
      </c>
      <c r="C132" s="3">
        <v>22.941191539999998</v>
      </c>
      <c r="D132" s="3">
        <v>35</v>
      </c>
      <c r="E132" s="13">
        <f t="shared" si="8"/>
        <v>6.3484576360587682E-3</v>
      </c>
      <c r="F132" s="13">
        <f t="shared" si="9"/>
        <v>12.550640420150643</v>
      </c>
      <c r="G132" s="14">
        <f>F132/$F$124*$D$2</f>
        <v>0</v>
      </c>
      <c r="H132" s="14">
        <f>F132/$F$124*$E$2</f>
        <v>1749.4929461982922</v>
      </c>
      <c r="I132" s="25" t="str">
        <f t="shared" si="7"/>
        <v/>
      </c>
    </row>
    <row r="133" spans="1:9" hidden="1" x14ac:dyDescent="0.25">
      <c r="A133" s="3">
        <v>3738</v>
      </c>
      <c r="B133" s="3">
        <v>113.3730247</v>
      </c>
      <c r="C133" s="3">
        <v>22.938850779999999</v>
      </c>
      <c r="D133" s="3">
        <v>35</v>
      </c>
      <c r="E133" s="13">
        <f t="shared" ref="E133:E160" si="10">SQRT((B133-$B$2)^2+(C133-$C$2)^2)</f>
        <v>6.3490659326269116E-3</v>
      </c>
      <c r="F133" s="13">
        <f t="shared" ref="F133:F160" si="11">SQRT(1/E133)</f>
        <v>12.550039174672271</v>
      </c>
      <c r="G133" s="14">
        <f>F133/$F$124*$D$2</f>
        <v>0</v>
      </c>
      <c r="H133" s="14">
        <f>F133/$F$124*$E$2</f>
        <v>1749.4091357561051</v>
      </c>
      <c r="I133" s="25" t="str">
        <f t="shared" si="7"/>
        <v/>
      </c>
    </row>
    <row r="134" spans="1:9" x14ac:dyDescent="0.25">
      <c r="A134" s="3">
        <v>3614</v>
      </c>
      <c r="B134" s="3">
        <v>113.36184110000001</v>
      </c>
      <c r="C134" s="3">
        <v>22.933980640000001</v>
      </c>
      <c r="D134" s="3">
        <v>35</v>
      </c>
      <c r="E134" s="13">
        <f t="shared" si="10"/>
        <v>6.3757847025197219E-3</v>
      </c>
      <c r="F134" s="13">
        <f t="shared" si="11"/>
        <v>12.52371506967356</v>
      </c>
      <c r="G134" s="14">
        <f>F134/$F$162*$D$2</f>
        <v>0</v>
      </c>
      <c r="H134" s="14">
        <f>F134/$F$162*$E$2</f>
        <v>26.288762072585953</v>
      </c>
      <c r="I134" s="25" t="str">
        <f t="shared" ref="I134:I160" si="12">IF(MOD(ROW()-1,3)=1,"选中","")</f>
        <v>选中</v>
      </c>
    </row>
    <row r="135" spans="1:9" hidden="1" x14ac:dyDescent="0.25">
      <c r="A135" s="3">
        <v>3744</v>
      </c>
      <c r="B135" s="3">
        <v>113.37275390000001</v>
      </c>
      <c r="C135" s="3">
        <v>22.94015649</v>
      </c>
      <c r="D135" s="3">
        <v>35</v>
      </c>
      <c r="E135" s="13">
        <f t="shared" si="10"/>
        <v>6.3782447747322895E-3</v>
      </c>
      <c r="F135" s="13">
        <f t="shared" si="11"/>
        <v>12.521299654785663</v>
      </c>
      <c r="G135" s="14">
        <f>F135/$F$124*$D$2</f>
        <v>0</v>
      </c>
      <c r="H135" s="14">
        <f>F135/$F$124*$E$2</f>
        <v>1745.4029985682353</v>
      </c>
      <c r="I135" s="25" t="str">
        <f t="shared" si="12"/>
        <v/>
      </c>
    </row>
    <row r="136" spans="1:9" hidden="1" x14ac:dyDescent="0.25">
      <c r="A136" s="3">
        <v>3115</v>
      </c>
      <c r="B136" s="3">
        <v>113.36833729999999</v>
      </c>
      <c r="C136" s="3">
        <v>22.944275350000002</v>
      </c>
      <c r="D136" s="3">
        <v>35</v>
      </c>
      <c r="E136" s="13">
        <f t="shared" si="10"/>
        <v>6.4000570968999861E-3</v>
      </c>
      <c r="F136" s="13">
        <f t="shared" si="11"/>
        <v>12.499944241681689</v>
      </c>
      <c r="G136" s="14">
        <f>F136/$F$124*$D$2</f>
        <v>0</v>
      </c>
      <c r="H136" s="14">
        <f>F136/$F$124*$E$2</f>
        <v>1742.4261668418983</v>
      </c>
      <c r="I136" s="25" t="str">
        <f t="shared" si="12"/>
        <v/>
      </c>
    </row>
    <row r="137" spans="1:9" x14ac:dyDescent="0.25">
      <c r="A137" s="3">
        <v>4090</v>
      </c>
      <c r="B137" s="3">
        <v>113.36254820000001</v>
      </c>
      <c r="C137" s="3">
        <v>22.933227030000001</v>
      </c>
      <c r="D137" s="3">
        <v>35</v>
      </c>
      <c r="E137" s="13">
        <f t="shared" si="10"/>
        <v>6.4029544551236833E-3</v>
      </c>
      <c r="F137" s="13">
        <f t="shared" si="11"/>
        <v>12.497115788466616</v>
      </c>
      <c r="G137" s="14">
        <f>F137/$F$162*$D$2</f>
        <v>0</v>
      </c>
      <c r="H137" s="14">
        <f>F137/$F$162*$E$2</f>
        <v>26.232927029145497</v>
      </c>
      <c r="I137" s="25" t="str">
        <f t="shared" si="12"/>
        <v>选中</v>
      </c>
    </row>
    <row r="138" spans="1:9" hidden="1" x14ac:dyDescent="0.25">
      <c r="A138" s="3">
        <v>3755</v>
      </c>
      <c r="B138" s="3">
        <v>113.3722278</v>
      </c>
      <c r="C138" s="3">
        <v>22.934674319999999</v>
      </c>
      <c r="D138" s="3">
        <v>35</v>
      </c>
      <c r="E138" s="13">
        <f t="shared" si="10"/>
        <v>6.4749986639445851E-3</v>
      </c>
      <c r="F138" s="13">
        <f t="shared" si="11"/>
        <v>12.427396602162331</v>
      </c>
      <c r="G138" s="14">
        <f>F138/$F$124*$D$2</f>
        <v>0</v>
      </c>
      <c r="H138" s="14">
        <f>F138/$F$124*$E$2</f>
        <v>1732.3134092969783</v>
      </c>
      <c r="I138" s="25" t="str">
        <f t="shared" si="12"/>
        <v/>
      </c>
    </row>
    <row r="139" spans="1:9" hidden="1" x14ac:dyDescent="0.25">
      <c r="A139" s="3">
        <v>3765</v>
      </c>
      <c r="B139" s="3">
        <v>113.3722028</v>
      </c>
      <c r="C139" s="3">
        <v>22.934628360000001</v>
      </c>
      <c r="D139" s="3">
        <v>35</v>
      </c>
      <c r="E139" s="13">
        <f t="shared" si="10"/>
        <v>6.4781433800420061E-3</v>
      </c>
      <c r="F139" s="13">
        <f t="shared" si="11"/>
        <v>12.424379890754668</v>
      </c>
      <c r="G139" s="14">
        <f>F139/$F$124*$D$2</f>
        <v>0</v>
      </c>
      <c r="H139" s="14">
        <f>F139/$F$124*$E$2</f>
        <v>1731.8928956696461</v>
      </c>
      <c r="I139" s="25" t="str">
        <f t="shared" si="12"/>
        <v/>
      </c>
    </row>
    <row r="140" spans="1:9" x14ac:dyDescent="0.25">
      <c r="A140" s="3">
        <v>4072</v>
      </c>
      <c r="B140" s="3">
        <v>113.3629107</v>
      </c>
      <c r="C140" s="3">
        <v>22.93274276</v>
      </c>
      <c r="D140" s="3">
        <v>35</v>
      </c>
      <c r="E140" s="13">
        <f t="shared" si="10"/>
        <v>6.560499728110885E-3</v>
      </c>
      <c r="F140" s="13">
        <f t="shared" si="11"/>
        <v>12.346149714173334</v>
      </c>
      <c r="G140" s="14">
        <f>F140/$F$162*$D$2</f>
        <v>0</v>
      </c>
      <c r="H140" s="14">
        <f>F140/$F$162*$E$2</f>
        <v>25.916031348746415</v>
      </c>
      <c r="I140" s="25" t="str">
        <f t="shared" si="12"/>
        <v>选中</v>
      </c>
    </row>
    <row r="141" spans="1:9" hidden="1" x14ac:dyDescent="0.25">
      <c r="A141" s="3">
        <v>3685</v>
      </c>
      <c r="B141" s="3">
        <v>113.3732814</v>
      </c>
      <c r="C141" s="3">
        <v>22.939259360000001</v>
      </c>
      <c r="D141" s="3">
        <v>35</v>
      </c>
      <c r="E141" s="13">
        <f t="shared" si="10"/>
        <v>6.6638580501365589E-3</v>
      </c>
      <c r="F141" s="13">
        <f t="shared" si="11"/>
        <v>12.250029408383119</v>
      </c>
      <c r="G141" s="14">
        <f>F141/$F$124*$D$2</f>
        <v>0</v>
      </c>
      <c r="H141" s="14">
        <f>F141/$F$124*$E$2</f>
        <v>1707.5893598448476</v>
      </c>
      <c r="I141" s="25" t="str">
        <f t="shared" si="12"/>
        <v/>
      </c>
    </row>
    <row r="142" spans="1:9" hidden="1" x14ac:dyDescent="0.25">
      <c r="A142" s="3">
        <v>4049</v>
      </c>
      <c r="B142" s="3">
        <v>113.3622965</v>
      </c>
      <c r="C142" s="3">
        <v>22.93300945</v>
      </c>
      <c r="D142" s="3">
        <v>35</v>
      </c>
      <c r="E142" s="13">
        <f t="shared" si="10"/>
        <v>6.7322083153790631E-3</v>
      </c>
      <c r="F142" s="13">
        <f t="shared" si="11"/>
        <v>12.187685168710104</v>
      </c>
      <c r="G142" s="14">
        <f>F142/$F$124*$D$2</f>
        <v>0</v>
      </c>
      <c r="H142" s="14">
        <f>F142/$F$124*$E$2</f>
        <v>1698.8989023149738</v>
      </c>
      <c r="I142" s="25" t="str">
        <f t="shared" si="12"/>
        <v/>
      </c>
    </row>
    <row r="143" spans="1:9" x14ac:dyDescent="0.25">
      <c r="A143" s="3">
        <v>3674</v>
      </c>
      <c r="B143" s="3">
        <v>113.3734973</v>
      </c>
      <c r="C143" s="3">
        <v>22.938569449999999</v>
      </c>
      <c r="D143" s="3">
        <v>35</v>
      </c>
      <c r="E143" s="13">
        <f t="shared" si="10"/>
        <v>6.7924835635774453E-3</v>
      </c>
      <c r="F143" s="13">
        <f t="shared" si="11"/>
        <v>12.133489032343745</v>
      </c>
      <c r="G143" s="14">
        <f>F143/$F$162*$D$2</f>
        <v>0</v>
      </c>
      <c r="H143" s="14">
        <f>F143/$F$162*$E$2</f>
        <v>25.469631375918087</v>
      </c>
      <c r="I143" s="25" t="str">
        <f t="shared" si="12"/>
        <v>选中</v>
      </c>
    </row>
    <row r="144" spans="1:9" hidden="1" x14ac:dyDescent="0.25">
      <c r="A144" s="3">
        <v>3498</v>
      </c>
      <c r="B144" s="3">
        <v>113.3608095</v>
      </c>
      <c r="C144" s="3">
        <v>22.934700710000001</v>
      </c>
      <c r="D144" s="3">
        <v>35</v>
      </c>
      <c r="E144" s="13">
        <f t="shared" si="10"/>
        <v>6.8115415824937598E-3</v>
      </c>
      <c r="F144" s="13">
        <f t="shared" si="11"/>
        <v>12.116502992237443</v>
      </c>
      <c r="G144" s="14">
        <f>F144/$F$124*$D$2</f>
        <v>0</v>
      </c>
      <c r="H144" s="14">
        <f>F144/$F$124*$E$2</f>
        <v>1688.9764831024834</v>
      </c>
      <c r="I144" s="25" t="str">
        <f t="shared" si="12"/>
        <v/>
      </c>
    </row>
    <row r="145" spans="1:9" hidden="1" x14ac:dyDescent="0.25">
      <c r="A145" s="3">
        <v>3533</v>
      </c>
      <c r="B145" s="3">
        <v>113.3613618</v>
      </c>
      <c r="C145" s="3">
        <v>22.933678400000002</v>
      </c>
      <c r="D145" s="3">
        <v>35</v>
      </c>
      <c r="E145" s="13">
        <f t="shared" si="10"/>
        <v>6.9375978789621975E-3</v>
      </c>
      <c r="F145" s="13">
        <f t="shared" si="11"/>
        <v>12.005919810216245</v>
      </c>
      <c r="G145" s="14">
        <f>F145/$F$124*$D$2</f>
        <v>0</v>
      </c>
      <c r="H145" s="14">
        <f>F145/$F$124*$E$2</f>
        <v>1673.5617719453035</v>
      </c>
      <c r="I145" s="25" t="str">
        <f t="shared" si="12"/>
        <v/>
      </c>
    </row>
    <row r="146" spans="1:9" x14ac:dyDescent="0.25">
      <c r="A146" s="3">
        <v>3762</v>
      </c>
      <c r="B146" s="3">
        <v>113.3723167</v>
      </c>
      <c r="C146" s="3">
        <v>22.933946540000001</v>
      </c>
      <c r="D146" s="3">
        <v>35</v>
      </c>
      <c r="E146" s="13">
        <f t="shared" si="10"/>
        <v>6.9572071995023929E-3</v>
      </c>
      <c r="F146" s="13">
        <f t="shared" si="11"/>
        <v>11.988988155786243</v>
      </c>
      <c r="G146" s="14">
        <f>F146/$F$162*$D$2</f>
        <v>0</v>
      </c>
      <c r="H146" s="14">
        <f>F146/$F$162*$E$2</f>
        <v>25.16630691173421</v>
      </c>
      <c r="I146" s="25" t="str">
        <f t="shared" si="12"/>
        <v>选中</v>
      </c>
    </row>
    <row r="147" spans="1:9" hidden="1" x14ac:dyDescent="0.25">
      <c r="A147" s="3">
        <v>3753</v>
      </c>
      <c r="B147" s="3">
        <v>113.37233670000001</v>
      </c>
      <c r="C147" s="3">
        <v>22.933906539999999</v>
      </c>
      <c r="D147" s="3">
        <v>35</v>
      </c>
      <c r="E147" s="13">
        <f t="shared" si="10"/>
        <v>6.9970977995806125E-3</v>
      </c>
      <c r="F147" s="13">
        <f t="shared" si="11"/>
        <v>11.954764573319224</v>
      </c>
      <c r="G147" s="14">
        <f>F147/$F$124*$D$2</f>
        <v>0</v>
      </c>
      <c r="H147" s="14">
        <f>F147/$F$124*$E$2</f>
        <v>1666.4310022700963</v>
      </c>
      <c r="I147" s="25" t="str">
        <f t="shared" si="12"/>
        <v/>
      </c>
    </row>
    <row r="148" spans="1:9" hidden="1" x14ac:dyDescent="0.25">
      <c r="A148" s="3">
        <v>3668</v>
      </c>
      <c r="B148" s="3">
        <v>113.3736971</v>
      </c>
      <c r="C148" s="3">
        <v>22.93879317</v>
      </c>
      <c r="D148" s="3">
        <v>35</v>
      </c>
      <c r="E148" s="13">
        <f t="shared" si="10"/>
        <v>7.0109211104909148E-3</v>
      </c>
      <c r="F148" s="13">
        <f t="shared" si="11"/>
        <v>11.942973257836407</v>
      </c>
      <c r="G148" s="14">
        <f>F148/$F$124*$D$2</f>
        <v>0</v>
      </c>
      <c r="H148" s="14">
        <f>F148/$F$124*$E$2</f>
        <v>1664.7873552072367</v>
      </c>
      <c r="I148" s="25" t="str">
        <f t="shared" si="12"/>
        <v/>
      </c>
    </row>
    <row r="149" spans="1:9" x14ac:dyDescent="0.25">
      <c r="A149" s="3">
        <v>3760</v>
      </c>
      <c r="B149" s="3">
        <v>113.3723207</v>
      </c>
      <c r="C149" s="3">
        <v>22.933814590000001</v>
      </c>
      <c r="D149" s="3">
        <v>35</v>
      </c>
      <c r="E149" s="13">
        <f t="shared" si="10"/>
        <v>7.0396285493166825E-3</v>
      </c>
      <c r="F149" s="13">
        <f t="shared" si="11"/>
        <v>11.918596799470789</v>
      </c>
      <c r="G149" s="14">
        <f>F149/$F$162*$D$2</f>
        <v>0</v>
      </c>
      <c r="H149" s="14">
        <f>F149/$F$162*$E$2</f>
        <v>25.018547112996487</v>
      </c>
      <c r="I149" s="25" t="str">
        <f t="shared" si="12"/>
        <v>选中</v>
      </c>
    </row>
    <row r="150" spans="1:9" hidden="1" x14ac:dyDescent="0.25">
      <c r="A150" s="3">
        <v>3732</v>
      </c>
      <c r="B150" s="3">
        <v>113.3737271</v>
      </c>
      <c r="C150" s="3">
        <v>22.938801139999999</v>
      </c>
      <c r="D150" s="3">
        <v>35</v>
      </c>
      <c r="E150" s="13">
        <f t="shared" si="10"/>
        <v>7.0415762335402721E-3</v>
      </c>
      <c r="F150" s="13">
        <f t="shared" si="11"/>
        <v>11.916948356876578</v>
      </c>
      <c r="G150" s="14">
        <f>F150/$F$124*$D$2</f>
        <v>0</v>
      </c>
      <c r="H150" s="14">
        <f>F150/$F$124*$E$2</f>
        <v>1661.1596215513805</v>
      </c>
      <c r="I150" s="25" t="str">
        <f t="shared" si="12"/>
        <v/>
      </c>
    </row>
    <row r="151" spans="1:9" hidden="1" x14ac:dyDescent="0.25">
      <c r="A151" s="3">
        <v>4138</v>
      </c>
      <c r="B151" s="3">
        <v>113.3720261</v>
      </c>
      <c r="C151" s="3">
        <v>22.933327089999999</v>
      </c>
      <c r="D151" s="3">
        <v>35</v>
      </c>
      <c r="E151" s="13">
        <f t="shared" si="10"/>
        <v>7.1234375649917121E-3</v>
      </c>
      <c r="F151" s="13">
        <f t="shared" si="11"/>
        <v>11.848276725521082</v>
      </c>
      <c r="G151" s="14">
        <f>F151/$F$124*$D$2</f>
        <v>0</v>
      </c>
      <c r="H151" s="14">
        <f>F151/$F$124*$E$2</f>
        <v>1651.5871590603447</v>
      </c>
      <c r="I151" s="25" t="str">
        <f t="shared" si="12"/>
        <v/>
      </c>
    </row>
    <row r="152" spans="1:9" x14ac:dyDescent="0.25">
      <c r="A152" s="3">
        <v>3468</v>
      </c>
      <c r="B152" s="3">
        <v>113.3598707</v>
      </c>
      <c r="C152" s="3">
        <v>22.936073409999999</v>
      </c>
      <c r="D152" s="3">
        <v>35</v>
      </c>
      <c r="E152" s="13">
        <f t="shared" si="10"/>
        <v>7.1400632742340568E-3</v>
      </c>
      <c r="F152" s="13">
        <f t="shared" si="11"/>
        <v>11.834474270209029</v>
      </c>
      <c r="G152" s="14">
        <f>F152/$F$162*$D$2</f>
        <v>0</v>
      </c>
      <c r="H152" s="14">
        <f>F152/$F$162*$E$2</f>
        <v>24.841963955011543</v>
      </c>
      <c r="I152" s="25" t="str">
        <f t="shared" si="12"/>
        <v>选中</v>
      </c>
    </row>
    <row r="153" spans="1:9" hidden="1" x14ac:dyDescent="0.25">
      <c r="A153" s="3">
        <v>4040</v>
      </c>
      <c r="B153" s="3">
        <v>113.3711311</v>
      </c>
      <c r="C153" s="3">
        <v>22.931851609999999</v>
      </c>
      <c r="D153" s="3">
        <v>35</v>
      </c>
      <c r="E153" s="13">
        <f t="shared" si="10"/>
        <v>7.6328491456303556E-3</v>
      </c>
      <c r="F153" s="13">
        <f t="shared" si="11"/>
        <v>11.446076927860133</v>
      </c>
      <c r="G153" s="14">
        <f>F153/$F$124*$D$2</f>
        <v>0</v>
      </c>
      <c r="H153" s="14">
        <f>F153/$F$124*$E$2</f>
        <v>1595.5226328358124</v>
      </c>
      <c r="I153" s="25" t="str">
        <f t="shared" si="12"/>
        <v/>
      </c>
    </row>
    <row r="154" spans="1:9" hidden="1" x14ac:dyDescent="0.25">
      <c r="A154" s="3">
        <v>3528</v>
      </c>
      <c r="B154" s="3">
        <v>113.36042209999999</v>
      </c>
      <c r="C154" s="3">
        <v>22.933751640000001</v>
      </c>
      <c r="D154" s="3">
        <v>35</v>
      </c>
      <c r="E154" s="13">
        <f t="shared" si="10"/>
        <v>7.645134978079289E-3</v>
      </c>
      <c r="F154" s="13">
        <f t="shared" si="11"/>
        <v>11.436876231890329</v>
      </c>
      <c r="G154" s="14">
        <f>F154/$F$124*$D$2</f>
        <v>0</v>
      </c>
      <c r="H154" s="14">
        <f>F154/$F$124*$E$2</f>
        <v>1594.2401044420069</v>
      </c>
      <c r="I154" s="25" t="str">
        <f t="shared" si="12"/>
        <v/>
      </c>
    </row>
    <row r="155" spans="1:9" x14ac:dyDescent="0.25">
      <c r="A155" s="3">
        <v>4011</v>
      </c>
      <c r="B155" s="3">
        <v>113.3605489</v>
      </c>
      <c r="C155" s="3">
        <v>22.933498570000001</v>
      </c>
      <c r="D155" s="3">
        <v>35</v>
      </c>
      <c r="E155" s="13">
        <f t="shared" si="10"/>
        <v>7.6891128685755879E-3</v>
      </c>
      <c r="F155" s="13">
        <f t="shared" si="11"/>
        <v>11.404122717462592</v>
      </c>
      <c r="G155" s="14">
        <f>F155/$F$162*$D$2</f>
        <v>0</v>
      </c>
      <c r="H155" s="14">
        <f>F155/$F$162*$E$2</f>
        <v>23.938605046350752</v>
      </c>
      <c r="I155" s="25" t="str">
        <f t="shared" si="12"/>
        <v>选中</v>
      </c>
    </row>
    <row r="156" spans="1:9" hidden="1" x14ac:dyDescent="0.25">
      <c r="A156" s="3">
        <v>4134</v>
      </c>
      <c r="B156" s="3">
        <v>113.3722109</v>
      </c>
      <c r="C156" s="3">
        <v>22.932523239999998</v>
      </c>
      <c r="D156" s="3">
        <v>35</v>
      </c>
      <c r="E156" s="13">
        <f t="shared" si="10"/>
        <v>7.8121124575133028E-3</v>
      </c>
      <c r="F156" s="13">
        <f t="shared" si="11"/>
        <v>11.313989120159485</v>
      </c>
      <c r="G156" s="14">
        <f>F156/$F$124*$D$2</f>
        <v>0</v>
      </c>
      <c r="H156" s="14">
        <f>F156/$F$124*$E$2</f>
        <v>1577.1102905078417</v>
      </c>
      <c r="I156" s="25" t="str">
        <f t="shared" si="12"/>
        <v/>
      </c>
    </row>
    <row r="157" spans="1:9" hidden="1" x14ac:dyDescent="0.25">
      <c r="A157" s="3">
        <v>4116</v>
      </c>
      <c r="B157" s="3">
        <v>113.37212599999999</v>
      </c>
      <c r="C157" s="3">
        <v>22.932368390000001</v>
      </c>
      <c r="D157" s="3">
        <v>35</v>
      </c>
      <c r="E157" s="13">
        <f t="shared" si="10"/>
        <v>7.8644769851695471E-3</v>
      </c>
      <c r="F157" s="13">
        <f t="shared" si="11"/>
        <v>11.27625989903227</v>
      </c>
      <c r="G157" s="14">
        <f>F157/$F$124*$D$2</f>
        <v>0</v>
      </c>
      <c r="H157" s="14">
        <f>F157/$F$124*$E$2</f>
        <v>1571.851036476339</v>
      </c>
      <c r="I157" s="25" t="str">
        <f t="shared" si="12"/>
        <v/>
      </c>
    </row>
    <row r="158" spans="1:9" x14ac:dyDescent="0.25">
      <c r="A158" s="3">
        <v>3503</v>
      </c>
      <c r="B158" s="3">
        <v>113.3600936</v>
      </c>
      <c r="C158" s="3">
        <v>22.933751090000001</v>
      </c>
      <c r="D158" s="3">
        <v>35</v>
      </c>
      <c r="E158" s="13">
        <f t="shared" si="10"/>
        <v>7.9183329452912898E-3</v>
      </c>
      <c r="F158" s="13">
        <f t="shared" si="11"/>
        <v>11.237847145342117</v>
      </c>
      <c r="G158" s="14">
        <f>F158/$F$162*$D$2</f>
        <v>0</v>
      </c>
      <c r="H158" s="14">
        <f>F158/$F$162*$E$2</f>
        <v>23.589572915737754</v>
      </c>
      <c r="I158" s="25" t="str">
        <f t="shared" si="12"/>
        <v>选中</v>
      </c>
    </row>
    <row r="159" spans="1:9" hidden="1" x14ac:dyDescent="0.25">
      <c r="A159" s="3">
        <v>4132</v>
      </c>
      <c r="B159" s="3">
        <v>113.372129</v>
      </c>
      <c r="C159" s="3">
        <v>22.932262430000002</v>
      </c>
      <c r="D159" s="3">
        <v>35</v>
      </c>
      <c r="E159" s="13">
        <f t="shared" si="10"/>
        <v>7.9438386243882268E-3</v>
      </c>
      <c r="F159" s="13">
        <f t="shared" si="11"/>
        <v>11.219791682477315</v>
      </c>
      <c r="G159" s="14">
        <f>F159/$F$124*$D$2</f>
        <v>0</v>
      </c>
      <c r="H159" s="14">
        <f>F159/$F$124*$E$2</f>
        <v>1563.9796655151665</v>
      </c>
      <c r="I159" s="25" t="str">
        <f t="shared" si="12"/>
        <v/>
      </c>
    </row>
    <row r="160" spans="1:9" hidden="1" x14ac:dyDescent="0.25">
      <c r="A160" s="3">
        <v>4059</v>
      </c>
      <c r="B160" s="3">
        <v>113.3711291</v>
      </c>
      <c r="C160" s="3">
        <v>22.930907009999999</v>
      </c>
      <c r="D160" s="3">
        <v>35</v>
      </c>
      <c r="E160" s="13">
        <f t="shared" si="10"/>
        <v>8.4205849796793845E-3</v>
      </c>
      <c r="F160" s="13">
        <f t="shared" si="11"/>
        <v>10.897549953486509</v>
      </c>
      <c r="G160" s="14">
        <f>F160/$F$124*$D$2</f>
        <v>0</v>
      </c>
      <c r="H160" s="14">
        <f>F160/$F$124*$E$2</f>
        <v>1519.0608714960968</v>
      </c>
      <c r="I160" s="25" t="str">
        <f t="shared" si="12"/>
        <v/>
      </c>
    </row>
    <row r="161" spans="1:8" x14ac:dyDescent="0.25">
      <c r="A161" s="3"/>
      <c r="B161" s="3"/>
      <c r="C161" s="3"/>
      <c r="D161" s="3"/>
      <c r="G161" s="14"/>
      <c r="H161" s="14"/>
    </row>
    <row r="162" spans="1:8" x14ac:dyDescent="0.25">
      <c r="A162" s="3"/>
      <c r="B162" s="3"/>
      <c r="C162" s="3"/>
      <c r="D162" s="3"/>
      <c r="F162" s="13">
        <f>SUBTOTAL(9,F5:F159)</f>
        <v>850.35694482849112</v>
      </c>
      <c r="G162" s="13">
        <f>SUBTOTAL(9,G5:G159)</f>
        <v>0</v>
      </c>
      <c r="H162" s="13">
        <f>SUBTOTAL(9,H5:H159)</f>
        <v>1785.0000000000002</v>
      </c>
    </row>
    <row r="163" spans="1:8" x14ac:dyDescent="0.25">
      <c r="A163" s="3"/>
      <c r="B163" s="3"/>
      <c r="C163" s="3"/>
      <c r="D163" s="3"/>
      <c r="G163" s="14"/>
      <c r="H163" s="14"/>
    </row>
    <row r="164" spans="1:8" x14ac:dyDescent="0.25">
      <c r="A164" s="3"/>
      <c r="B164" s="3"/>
      <c r="C164" s="3"/>
      <c r="D164" s="3"/>
      <c r="G164" s="14"/>
      <c r="H164" s="14"/>
    </row>
    <row r="165" spans="1:8" x14ac:dyDescent="0.25">
      <c r="A165" s="3"/>
      <c r="B165" s="3"/>
      <c r="C165" s="3"/>
      <c r="D165" s="3"/>
      <c r="G165" s="14"/>
      <c r="H165" s="14"/>
    </row>
    <row r="166" spans="1:8" x14ac:dyDescent="0.25">
      <c r="A166" s="3"/>
      <c r="B166" s="3"/>
      <c r="C166" s="3"/>
      <c r="D166" s="3"/>
      <c r="G166" s="14"/>
      <c r="H166" s="14"/>
    </row>
    <row r="167" spans="1:8" x14ac:dyDescent="0.25">
      <c r="A167" s="3"/>
      <c r="B167" s="3"/>
      <c r="C167" s="3"/>
      <c r="D167" s="3"/>
      <c r="G167" s="14"/>
      <c r="H167" s="14"/>
    </row>
    <row r="168" spans="1:8" x14ac:dyDescent="0.25">
      <c r="A168" s="3"/>
      <c r="B168" s="3"/>
      <c r="C168" s="3"/>
      <c r="D168" s="3"/>
      <c r="G168" s="14"/>
      <c r="H168" s="14"/>
    </row>
    <row r="169" spans="1:8" x14ac:dyDescent="0.25">
      <c r="A169" s="3"/>
      <c r="B169" s="3"/>
      <c r="C169" s="3"/>
      <c r="D169" s="3"/>
      <c r="G169" s="14"/>
      <c r="H169" s="14"/>
    </row>
    <row r="170" spans="1:8" x14ac:dyDescent="0.25">
      <c r="A170" s="3"/>
      <c r="B170" s="3"/>
      <c r="C170" s="3"/>
      <c r="D170" s="3"/>
      <c r="G170" s="14"/>
      <c r="H170" s="14"/>
    </row>
    <row r="171" spans="1:8" x14ac:dyDescent="0.25">
      <c r="A171" s="3"/>
      <c r="B171" s="3"/>
      <c r="C171" s="3"/>
      <c r="D171" s="3"/>
      <c r="G171" s="14"/>
      <c r="H171" s="14"/>
    </row>
    <row r="172" spans="1:8" x14ac:dyDescent="0.25">
      <c r="A172" s="3"/>
      <c r="B172" s="3"/>
      <c r="C172" s="3"/>
      <c r="D172" s="3"/>
      <c r="G172" s="14"/>
      <c r="H172" s="14"/>
    </row>
    <row r="173" spans="1:8" x14ac:dyDescent="0.25">
      <c r="A173" s="3"/>
      <c r="B173" s="3"/>
      <c r="C173" s="3"/>
      <c r="D173" s="3"/>
      <c r="G173" s="14"/>
      <c r="H173" s="14"/>
    </row>
    <row r="174" spans="1:8" x14ac:dyDescent="0.25">
      <c r="A174" s="3"/>
      <c r="B174" s="3"/>
      <c r="C174" s="3"/>
      <c r="D174" s="3"/>
      <c r="G174" s="14"/>
      <c r="H174" s="14"/>
    </row>
    <row r="175" spans="1:8" x14ac:dyDescent="0.25">
      <c r="A175" s="3"/>
      <c r="B175" s="3"/>
      <c r="C175" s="3"/>
      <c r="D175" s="3"/>
      <c r="G175" s="14"/>
      <c r="H175" s="14"/>
    </row>
    <row r="176" spans="1:8" x14ac:dyDescent="0.25">
      <c r="A176" s="3"/>
      <c r="B176" s="3"/>
      <c r="C176" s="3"/>
      <c r="D176" s="3"/>
      <c r="G176" s="14"/>
      <c r="H176" s="14"/>
    </row>
    <row r="177" spans="1:8" x14ac:dyDescent="0.25">
      <c r="A177" s="3"/>
      <c r="B177" s="3"/>
      <c r="C177" s="3"/>
      <c r="D177" s="3"/>
      <c r="G177" s="14"/>
      <c r="H177" s="14"/>
    </row>
    <row r="178" spans="1:8" x14ac:dyDescent="0.25">
      <c r="A178" s="3"/>
      <c r="B178" s="3"/>
      <c r="C178" s="3"/>
      <c r="D178" s="3"/>
      <c r="G178" s="14"/>
      <c r="H178" s="14"/>
    </row>
    <row r="179" spans="1:8" x14ac:dyDescent="0.25">
      <c r="A179" s="3"/>
      <c r="B179" s="3"/>
      <c r="C179" s="3"/>
      <c r="D179" s="3"/>
      <c r="G179" s="14"/>
      <c r="H179" s="14"/>
    </row>
    <row r="180" spans="1:8" x14ac:dyDescent="0.25">
      <c r="A180" s="3"/>
      <c r="B180" s="3"/>
      <c r="C180" s="3"/>
      <c r="D180" s="3"/>
      <c r="G180" s="14"/>
      <c r="H180" s="14"/>
    </row>
    <row r="181" spans="1:8" x14ac:dyDescent="0.25">
      <c r="A181" s="3"/>
      <c r="B181" s="3"/>
      <c r="C181" s="3"/>
      <c r="D181" s="3"/>
      <c r="G181" s="14"/>
      <c r="H181" s="14"/>
    </row>
    <row r="182" spans="1:8" x14ac:dyDescent="0.25">
      <c r="A182" s="3"/>
      <c r="B182" s="3"/>
      <c r="C182" s="3"/>
      <c r="D182" s="3"/>
      <c r="G182" s="14"/>
      <c r="H182" s="14"/>
    </row>
    <row r="183" spans="1:8" x14ac:dyDescent="0.25">
      <c r="A183" s="3"/>
      <c r="B183" s="3"/>
      <c r="C183" s="3"/>
      <c r="D183" s="3"/>
      <c r="G183" s="14"/>
      <c r="H183" s="14"/>
    </row>
    <row r="184" spans="1:8" x14ac:dyDescent="0.25">
      <c r="A184" s="3"/>
      <c r="B184" s="3"/>
      <c r="C184" s="3"/>
      <c r="D184" s="3"/>
      <c r="G184" s="14"/>
      <c r="H184" s="14"/>
    </row>
    <row r="185" spans="1:8" x14ac:dyDescent="0.25">
      <c r="A185" s="3"/>
      <c r="B185" s="3"/>
      <c r="C185" s="3"/>
      <c r="D185" s="3"/>
      <c r="G185" s="14"/>
      <c r="H185" s="14"/>
    </row>
    <row r="186" spans="1:8" x14ac:dyDescent="0.25">
      <c r="A186" s="3"/>
      <c r="B186" s="3"/>
      <c r="C186" s="3"/>
      <c r="D186" s="3"/>
      <c r="G186" s="14"/>
      <c r="H186" s="14"/>
    </row>
    <row r="187" spans="1:8" x14ac:dyDescent="0.25">
      <c r="A187" s="3"/>
      <c r="B187" s="3"/>
      <c r="C187" s="3"/>
      <c r="D187" s="3"/>
      <c r="G187" s="14"/>
      <c r="H187" s="14"/>
    </row>
    <row r="188" spans="1:8" x14ac:dyDescent="0.25">
      <c r="A188" s="3"/>
      <c r="B188" s="3"/>
      <c r="C188" s="3"/>
      <c r="D188" s="3"/>
      <c r="G188" s="14"/>
      <c r="H188" s="14"/>
    </row>
    <row r="189" spans="1:8" x14ac:dyDescent="0.25">
      <c r="A189" s="3"/>
      <c r="B189" s="3"/>
      <c r="C189" s="3"/>
      <c r="D189" s="3"/>
      <c r="G189" s="14"/>
      <c r="H189" s="14"/>
    </row>
    <row r="190" spans="1:8" x14ac:dyDescent="0.25">
      <c r="A190" s="3"/>
      <c r="B190" s="3"/>
      <c r="C190" s="3"/>
      <c r="D190" s="3"/>
      <c r="G190" s="14"/>
      <c r="H190" s="14"/>
    </row>
    <row r="191" spans="1:8" x14ac:dyDescent="0.25">
      <c r="A191" s="3"/>
      <c r="B191" s="3"/>
      <c r="C191" s="3"/>
      <c r="D191" s="3"/>
      <c r="G191" s="14"/>
      <c r="H191" s="14"/>
    </row>
    <row r="192" spans="1:8" x14ac:dyDescent="0.25">
      <c r="A192" s="3"/>
      <c r="B192" s="3"/>
      <c r="C192" s="3"/>
      <c r="D192" s="3"/>
      <c r="G192" s="14"/>
      <c r="H192" s="14"/>
    </row>
    <row r="193" spans="1:8" x14ac:dyDescent="0.25">
      <c r="A193" s="3"/>
      <c r="B193" s="3"/>
      <c r="C193" s="3"/>
      <c r="D193" s="3"/>
      <c r="G193" s="14"/>
      <c r="H193" s="14"/>
    </row>
    <row r="194" spans="1:8" x14ac:dyDescent="0.25">
      <c r="A194" s="3"/>
      <c r="B194" s="3"/>
      <c r="C194" s="3"/>
      <c r="D194" s="3"/>
      <c r="G194" s="14"/>
      <c r="H194" s="14"/>
    </row>
    <row r="195" spans="1:8" x14ac:dyDescent="0.25">
      <c r="A195" s="3"/>
      <c r="B195" s="3"/>
      <c r="C195" s="3"/>
      <c r="D195" s="3"/>
      <c r="G195" s="14"/>
      <c r="H195" s="14"/>
    </row>
    <row r="196" spans="1:8" x14ac:dyDescent="0.25">
      <c r="A196" s="3"/>
      <c r="B196" s="3"/>
      <c r="C196" s="3"/>
      <c r="D196" s="3"/>
      <c r="G196" s="14"/>
      <c r="H196" s="14"/>
    </row>
    <row r="197" spans="1:8" x14ac:dyDescent="0.25">
      <c r="A197" s="3"/>
      <c r="B197" s="3"/>
      <c r="C197" s="3"/>
      <c r="D197" s="3"/>
      <c r="G197" s="14"/>
      <c r="H197" s="14"/>
    </row>
    <row r="198" spans="1:8" x14ac:dyDescent="0.25">
      <c r="A198" s="3"/>
      <c r="B198" s="3"/>
      <c r="C198" s="3"/>
      <c r="D198" s="3"/>
      <c r="G198" s="14"/>
      <c r="H198" s="14"/>
    </row>
    <row r="199" spans="1:8" x14ac:dyDescent="0.25">
      <c r="A199" s="3"/>
      <c r="B199" s="3"/>
      <c r="C199" s="3"/>
      <c r="D199" s="3"/>
      <c r="G199" s="14"/>
      <c r="H199" s="14"/>
    </row>
    <row r="200" spans="1:8" x14ac:dyDescent="0.25">
      <c r="A200" s="3"/>
      <c r="B200" s="3"/>
      <c r="C200" s="3"/>
      <c r="D200" s="3"/>
      <c r="G200" s="14"/>
      <c r="H200" s="14"/>
    </row>
    <row r="201" spans="1:8" x14ac:dyDescent="0.25">
      <c r="A201" s="3"/>
      <c r="B201" s="3"/>
      <c r="C201" s="3"/>
      <c r="D201" s="3"/>
      <c r="G201" s="14"/>
      <c r="H201" s="14"/>
    </row>
    <row r="202" spans="1:8" x14ac:dyDescent="0.25">
      <c r="A202" s="3"/>
      <c r="B202" s="3"/>
      <c r="C202" s="3"/>
      <c r="D202" s="3"/>
      <c r="G202" s="14"/>
      <c r="H202" s="14"/>
    </row>
    <row r="203" spans="1:8" x14ac:dyDescent="0.25">
      <c r="A203" s="3"/>
      <c r="B203" s="3"/>
      <c r="C203" s="3"/>
      <c r="D203" s="3"/>
      <c r="G203" s="14"/>
      <c r="H203" s="14"/>
    </row>
    <row r="204" spans="1:8" x14ac:dyDescent="0.25">
      <c r="A204" s="3"/>
      <c r="B204" s="3"/>
      <c r="C204" s="3"/>
      <c r="D204" s="3"/>
      <c r="G204" s="14"/>
      <c r="H204" s="14"/>
    </row>
    <row r="205" spans="1:8" x14ac:dyDescent="0.25">
      <c r="A205" s="3"/>
      <c r="B205" s="3"/>
      <c r="C205" s="3"/>
      <c r="D205" s="3"/>
      <c r="G205" s="14"/>
      <c r="H205" s="14"/>
    </row>
    <row r="206" spans="1:8" x14ac:dyDescent="0.25">
      <c r="A206" s="3"/>
      <c r="B206" s="3"/>
      <c r="C206" s="3"/>
      <c r="D206" s="3"/>
      <c r="G206" s="14"/>
      <c r="H206" s="14"/>
    </row>
    <row r="207" spans="1:8" x14ac:dyDescent="0.25">
      <c r="A207" s="3"/>
      <c r="B207" s="3"/>
      <c r="C207" s="3"/>
      <c r="D207" s="3"/>
      <c r="G207" s="14"/>
      <c r="H207" s="14"/>
    </row>
    <row r="208" spans="1:8" x14ac:dyDescent="0.25">
      <c r="A208" s="3"/>
      <c r="B208" s="3"/>
      <c r="C208" s="3"/>
      <c r="D208" s="3"/>
      <c r="G208" s="14"/>
      <c r="H208" s="14"/>
    </row>
    <row r="209" spans="1:8" x14ac:dyDescent="0.25">
      <c r="A209" s="3"/>
      <c r="B209" s="3"/>
      <c r="C209" s="3"/>
      <c r="D209" s="3"/>
      <c r="G209" s="14"/>
      <c r="H209" s="14"/>
    </row>
    <row r="210" spans="1:8" x14ac:dyDescent="0.25">
      <c r="A210" s="3"/>
      <c r="B210" s="3"/>
      <c r="C210" s="3"/>
      <c r="D210" s="3"/>
      <c r="G210" s="14"/>
      <c r="H210" s="14"/>
    </row>
    <row r="211" spans="1:8" x14ac:dyDescent="0.25">
      <c r="A211" s="3"/>
      <c r="B211" s="3"/>
      <c r="C211" s="3"/>
      <c r="D211" s="3"/>
      <c r="G211" s="14"/>
      <c r="H211" s="14"/>
    </row>
    <row r="212" spans="1:8" x14ac:dyDescent="0.25">
      <c r="A212" s="3"/>
      <c r="B212" s="3"/>
      <c r="C212" s="3"/>
      <c r="D212" s="3"/>
      <c r="G212" s="14"/>
      <c r="H212" s="14"/>
    </row>
    <row r="213" spans="1:8" x14ac:dyDescent="0.25">
      <c r="A213" s="3"/>
      <c r="B213" s="3"/>
      <c r="C213" s="3"/>
      <c r="D213" s="3"/>
      <c r="G213" s="14"/>
      <c r="H213" s="14"/>
    </row>
    <row r="214" spans="1:8" x14ac:dyDescent="0.25">
      <c r="A214" s="3"/>
      <c r="B214" s="3"/>
      <c r="C214" s="3"/>
      <c r="D214" s="3"/>
      <c r="G214" s="14"/>
      <c r="H214" s="14"/>
    </row>
    <row r="215" spans="1:8" x14ac:dyDescent="0.25">
      <c r="A215" s="3"/>
      <c r="B215" s="3"/>
      <c r="C215" s="3"/>
      <c r="D215" s="3"/>
      <c r="G215" s="14"/>
      <c r="H215" s="14"/>
    </row>
    <row r="216" spans="1:8" x14ac:dyDescent="0.25">
      <c r="A216" s="3"/>
      <c r="B216" s="3"/>
      <c r="C216" s="3"/>
      <c r="D216" s="3"/>
      <c r="G216" s="14"/>
      <c r="H216" s="14"/>
    </row>
    <row r="217" spans="1:8" x14ac:dyDescent="0.25">
      <c r="A217" s="3"/>
      <c r="B217" s="3"/>
      <c r="C217" s="3"/>
      <c r="D217" s="3"/>
      <c r="G217" s="14"/>
      <c r="H217" s="14"/>
    </row>
    <row r="218" spans="1:8" x14ac:dyDescent="0.25">
      <c r="A218" s="3"/>
      <c r="B218" s="3"/>
      <c r="C218" s="3"/>
      <c r="D218" s="3"/>
      <c r="G218" s="14"/>
      <c r="H218" s="14"/>
    </row>
    <row r="219" spans="1:8" x14ac:dyDescent="0.25">
      <c r="A219" s="3"/>
      <c r="B219" s="3"/>
      <c r="C219" s="3"/>
      <c r="D219" s="3"/>
      <c r="G219" s="14"/>
      <c r="H219" s="14"/>
    </row>
    <row r="220" spans="1:8" x14ac:dyDescent="0.25">
      <c r="A220" s="3"/>
      <c r="B220" s="3"/>
      <c r="C220" s="3"/>
      <c r="D220" s="3"/>
      <c r="G220" s="14"/>
      <c r="H220" s="14"/>
    </row>
    <row r="221" spans="1:8" x14ac:dyDescent="0.25">
      <c r="A221" s="3"/>
      <c r="B221" s="3"/>
      <c r="C221" s="3"/>
      <c r="D221" s="3"/>
      <c r="G221" s="14"/>
      <c r="H221" s="14"/>
    </row>
    <row r="222" spans="1:8" x14ac:dyDescent="0.25">
      <c r="A222" s="3"/>
      <c r="B222" s="3"/>
      <c r="C222" s="3"/>
      <c r="D222" s="3"/>
      <c r="G222" s="14"/>
      <c r="H222" s="14"/>
    </row>
    <row r="223" spans="1:8" x14ac:dyDescent="0.25">
      <c r="A223" s="3"/>
      <c r="B223" s="3"/>
      <c r="C223" s="3"/>
      <c r="D223" s="3"/>
      <c r="G223" s="14"/>
      <c r="H223" s="14"/>
    </row>
    <row r="224" spans="1:8" x14ac:dyDescent="0.25">
      <c r="A224" s="3"/>
      <c r="B224" s="3"/>
      <c r="C224" s="3"/>
      <c r="D224" s="3"/>
      <c r="G224" s="14"/>
      <c r="H224" s="14"/>
    </row>
    <row r="225" spans="1:8" x14ac:dyDescent="0.25">
      <c r="A225" s="3"/>
      <c r="B225" s="3"/>
      <c r="C225" s="3"/>
      <c r="D225" s="3"/>
      <c r="G225" s="14"/>
      <c r="H225" s="14"/>
    </row>
    <row r="226" spans="1:8" x14ac:dyDescent="0.25">
      <c r="A226" s="3"/>
      <c r="B226" s="3"/>
      <c r="C226" s="3"/>
      <c r="D226" s="3"/>
      <c r="G226" s="14"/>
      <c r="H226" s="14"/>
    </row>
    <row r="227" spans="1:8" x14ac:dyDescent="0.25">
      <c r="A227" s="3"/>
      <c r="B227" s="3"/>
      <c r="C227" s="3"/>
      <c r="D227" s="3"/>
      <c r="G227" s="14"/>
      <c r="H227" s="14"/>
    </row>
    <row r="228" spans="1:8" x14ac:dyDescent="0.25">
      <c r="A228" s="3"/>
      <c r="B228" s="3"/>
      <c r="C228" s="3"/>
      <c r="D228" s="3"/>
      <c r="G228" s="14"/>
      <c r="H228" s="14"/>
    </row>
    <row r="229" spans="1:8" x14ac:dyDescent="0.25">
      <c r="A229" s="3"/>
      <c r="B229" s="3"/>
      <c r="C229" s="3"/>
      <c r="D229" s="3"/>
      <c r="G229" s="14"/>
      <c r="H229" s="14"/>
    </row>
    <row r="230" spans="1:8" x14ac:dyDescent="0.25">
      <c r="A230" s="3"/>
      <c r="B230" s="3"/>
      <c r="C230" s="3"/>
      <c r="D230" s="3"/>
      <c r="G230" s="14"/>
      <c r="H230" s="14"/>
    </row>
    <row r="231" spans="1:8" x14ac:dyDescent="0.25">
      <c r="A231" s="3"/>
      <c r="B231" s="3"/>
      <c r="C231" s="3"/>
      <c r="D231" s="3"/>
      <c r="G231" s="14"/>
      <c r="H231" s="14"/>
    </row>
    <row r="232" spans="1:8" x14ac:dyDescent="0.25">
      <c r="A232" s="3"/>
      <c r="B232" s="3"/>
      <c r="C232" s="3"/>
      <c r="D232" s="3"/>
      <c r="G232" s="14"/>
      <c r="H232" s="14"/>
    </row>
    <row r="233" spans="1:8" x14ac:dyDescent="0.25">
      <c r="A233" s="3"/>
      <c r="B233" s="3"/>
      <c r="C233" s="3"/>
      <c r="D233" s="3"/>
      <c r="G233" s="14"/>
      <c r="H233" s="14"/>
    </row>
    <row r="234" spans="1:8" x14ac:dyDescent="0.25">
      <c r="A234" s="3"/>
      <c r="B234" s="3"/>
      <c r="C234" s="3"/>
      <c r="D234" s="3"/>
      <c r="G234" s="14"/>
      <c r="H234" s="14"/>
    </row>
    <row r="235" spans="1:8" x14ac:dyDescent="0.25">
      <c r="A235" s="3"/>
      <c r="B235" s="3"/>
      <c r="C235" s="3"/>
      <c r="D235" s="3"/>
      <c r="G235" s="14"/>
      <c r="H235" s="14"/>
    </row>
    <row r="236" spans="1:8" x14ac:dyDescent="0.25">
      <c r="A236" s="3"/>
      <c r="B236" s="3"/>
      <c r="C236" s="3"/>
      <c r="D236" s="3"/>
      <c r="G236" s="14"/>
      <c r="H236" s="14"/>
    </row>
    <row r="237" spans="1:8" x14ac:dyDescent="0.25">
      <c r="A237" s="3"/>
      <c r="B237" s="3"/>
      <c r="C237" s="3"/>
      <c r="D237" s="3"/>
      <c r="G237" s="14"/>
      <c r="H237" s="14"/>
    </row>
    <row r="238" spans="1:8" x14ac:dyDescent="0.25">
      <c r="A238" s="3"/>
      <c r="B238" s="3"/>
      <c r="C238" s="3"/>
      <c r="D238" s="3"/>
      <c r="G238" s="14"/>
      <c r="H238" s="14"/>
    </row>
    <row r="239" spans="1:8" x14ac:dyDescent="0.25">
      <c r="A239" s="3"/>
      <c r="B239" s="3"/>
      <c r="C239" s="3"/>
      <c r="D239" s="3"/>
      <c r="G239" s="14"/>
      <c r="H239" s="14"/>
    </row>
    <row r="240" spans="1:8" x14ac:dyDescent="0.25">
      <c r="A240" s="3"/>
      <c r="B240" s="3"/>
      <c r="C240" s="3"/>
      <c r="D240" s="3"/>
      <c r="G240" s="14"/>
      <c r="H240" s="14"/>
    </row>
    <row r="241" spans="1:8" x14ac:dyDescent="0.25">
      <c r="A241" s="3"/>
      <c r="B241" s="3"/>
      <c r="C241" s="3"/>
      <c r="D241" s="3"/>
      <c r="G241" s="14"/>
      <c r="H241" s="14"/>
    </row>
    <row r="242" spans="1:8" x14ac:dyDescent="0.25">
      <c r="A242" s="3"/>
      <c r="B242" s="3"/>
      <c r="C242" s="3"/>
      <c r="D242" s="3"/>
      <c r="G242" s="14"/>
      <c r="H242" s="14"/>
    </row>
    <row r="243" spans="1:8" x14ac:dyDescent="0.25">
      <c r="A243" s="3"/>
      <c r="B243" s="3"/>
      <c r="C243" s="3"/>
      <c r="D243" s="3"/>
      <c r="G243" s="14"/>
      <c r="H243" s="14"/>
    </row>
    <row r="244" spans="1:8" x14ac:dyDescent="0.25">
      <c r="A244" s="3"/>
      <c r="B244" s="3"/>
      <c r="C244" s="3"/>
      <c r="D244" s="3"/>
      <c r="G244" s="14"/>
      <c r="H244" s="14"/>
    </row>
    <row r="245" spans="1:8" x14ac:dyDescent="0.25">
      <c r="A245" s="3"/>
      <c r="B245" s="3"/>
      <c r="C245" s="3"/>
      <c r="D245" s="3"/>
      <c r="G245" s="14"/>
      <c r="H245" s="14"/>
    </row>
    <row r="247" spans="1:8" x14ac:dyDescent="0.25">
      <c r="A247" s="3"/>
      <c r="G247" s="14"/>
      <c r="H247" s="14"/>
    </row>
  </sheetData>
  <phoneticPr fontId="1" type="noConversion"/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302CEE-5BCA-4D70-937F-C57DF9C93EBF}">
  <sheetPr/>
  <dimension ref="A1:I247"/>
  <sheetViews>
    <sheetView zoomScale="115" zoomScaleNormal="115" workbookViewId="0">
      <selection activeCell="A5" sqref="A5:H32"/>
    </sheetView>
  </sheetViews>
  <sheetFormatPr defaultRowHeight="15" x14ac:dyDescent="0.25"/>
  <cols>
    <col min="1" max="1" width="8.875" style="4" customWidth="1"/>
    <col min="2" max="3" width="15.125" style="4" customWidth="1"/>
    <col min="4" max="4" width="10.25" style="4" customWidth="1"/>
    <col min="5" max="5" width="12" style="13" customWidth="1"/>
    <col min="6" max="6" width="15" style="13" customWidth="1"/>
    <col min="7" max="7" width="13.875" customWidth="1"/>
    <col min="8" max="8" width="11.125" customWidth="1"/>
    <col min="11" max="12" width="15.125" customWidth="1"/>
    <col min="13" max="13" width="11.125" customWidth="1"/>
  </cols>
  <sheetData>
    <row r="1" spans="1:9" ht="14.25" x14ac:dyDescent="0.2">
      <c r="A1" s="2" t="s">
        <v>12</v>
      </c>
      <c r="B1" s="2" t="s">
        <v>4</v>
      </c>
      <c r="C1" s="2" t="s">
        <v>5</v>
      </c>
      <c r="D1" s="2" t="s">
        <v>13</v>
      </c>
      <c r="E1" s="2" t="s">
        <v>14</v>
      </c>
      <c r="F1" s="2" t="s">
        <v>15</v>
      </c>
      <c r="G1" s="2" t="s">
        <v>16</v>
      </c>
    </row>
    <row r="2" spans="1:9" x14ac:dyDescent="0.25">
      <c r="A2" s="11">
        <v>36</v>
      </c>
      <c r="B2" s="3">
        <v>113.2637658</v>
      </c>
      <c r="C2" s="8">
        <v>23.044136179999999</v>
      </c>
      <c r="D2" s="3">
        <v>1505</v>
      </c>
      <c r="E2" s="13">
        <v>1785</v>
      </c>
      <c r="F2" s="13">
        <v>5</v>
      </c>
      <c r="G2" s="19">
        <f>SUBTOTAL(2,A5:A250)</f>
        <v>10</v>
      </c>
    </row>
    <row r="3" spans="1:9" x14ac:dyDescent="0.25">
      <c r="A3" s="3"/>
      <c r="B3" s="3"/>
      <c r="C3" s="3"/>
      <c r="D3" s="3"/>
    </row>
    <row r="4" spans="1:9" ht="14.25" x14ac:dyDescent="0.2">
      <c r="A4" s="2" t="s">
        <v>0</v>
      </c>
      <c r="B4" s="2" t="s">
        <v>1</v>
      </c>
      <c r="C4" s="2" t="s">
        <v>2</v>
      </c>
      <c r="D4" s="2" t="s">
        <v>3</v>
      </c>
      <c r="E4" s="2" t="s">
        <v>7</v>
      </c>
      <c r="F4" s="2" t="s">
        <v>8</v>
      </c>
      <c r="G4" s="2" t="s">
        <v>13</v>
      </c>
      <c r="H4" s="2" t="s">
        <v>14</v>
      </c>
      <c r="I4" s="24" t="s">
        <v>20</v>
      </c>
    </row>
    <row r="5" spans="1:9" x14ac:dyDescent="0.25">
      <c r="A5" s="3">
        <v>154</v>
      </c>
      <c r="B5" s="3">
        <v>113.2666701</v>
      </c>
      <c r="C5" s="3">
        <v>23.044563969999999</v>
      </c>
      <c r="D5" s="3">
        <v>36</v>
      </c>
      <c r="E5" s="13">
        <f t="shared" ref="E5:E34" si="0">SQRT((B5-$B$2)^2+(C5-$C$2)^2)</f>
        <v>2.9356366897291971E-3</v>
      </c>
      <c r="F5" s="13">
        <f t="shared" ref="F5:F34" si="1">SQRT(1/E5)</f>
        <v>18.456478731077851</v>
      </c>
      <c r="G5" s="14">
        <f>F5/$F$36*$D$2</f>
        <v>245.88854731079502</v>
      </c>
      <c r="H5" s="14">
        <f>F5/$F$36*$E$2</f>
        <v>291.63525378722198</v>
      </c>
      <c r="I5" s="25" t="str">
        <f>IF(MOD(ROW()-1,3)=1,"选中","")</f>
        <v>选中</v>
      </c>
    </row>
    <row r="6" spans="1:9" hidden="1" x14ac:dyDescent="0.25">
      <c r="A6" s="3">
        <v>152</v>
      </c>
      <c r="B6" s="3">
        <v>113.26848219999999</v>
      </c>
      <c r="C6" s="3">
        <v>23.045513020000001</v>
      </c>
      <c r="D6" s="3">
        <v>36</v>
      </c>
      <c r="E6" s="13">
        <f t="shared" si="0"/>
        <v>4.913259340349866E-3</v>
      </c>
      <c r="F6" s="13">
        <f t="shared" si="1"/>
        <v>14.266424939974517</v>
      </c>
      <c r="G6" s="14" t="e">
        <f>F6/$F$124*$D$2</f>
        <v>#DIV/0!</v>
      </c>
      <c r="H6" s="14" t="e">
        <f>F6/$F$124*$E$2</f>
        <v>#DIV/0!</v>
      </c>
      <c r="I6" s="25" t="str">
        <f t="shared" ref="I6:I34" si="2">IF(MOD(ROW()-1,3)=1,"选中","")</f>
        <v/>
      </c>
    </row>
    <row r="7" spans="1:9" hidden="1" x14ac:dyDescent="0.25">
      <c r="A7" s="3">
        <v>156</v>
      </c>
      <c r="B7" s="3">
        <v>113.2691287</v>
      </c>
      <c r="C7" s="3">
        <v>23.04394512</v>
      </c>
      <c r="D7" s="3">
        <v>36</v>
      </c>
      <c r="E7" s="13">
        <f t="shared" si="0"/>
        <v>5.3663022961383238E-3</v>
      </c>
      <c r="F7" s="13">
        <f t="shared" si="1"/>
        <v>13.650936079701388</v>
      </c>
      <c r="G7" s="14" t="e">
        <f>F7/$F$124*$D$2</f>
        <v>#DIV/0!</v>
      </c>
      <c r="H7" s="14" t="e">
        <f>F7/$F$124*$E$2</f>
        <v>#DIV/0!</v>
      </c>
      <c r="I7" s="25" t="str">
        <f t="shared" si="2"/>
        <v/>
      </c>
    </row>
    <row r="8" spans="1:9" x14ac:dyDescent="0.25">
      <c r="A8" s="3">
        <v>395</v>
      </c>
      <c r="B8" s="3">
        <v>113.26947939999999</v>
      </c>
      <c r="C8" s="3">
        <v>23.043091159999999</v>
      </c>
      <c r="D8" s="3">
        <v>36</v>
      </c>
      <c r="E8" s="13">
        <f t="shared" si="0"/>
        <v>5.8083811652057905E-3</v>
      </c>
      <c r="F8" s="13">
        <f t="shared" si="1"/>
        <v>13.121166478649608</v>
      </c>
      <c r="G8" s="14">
        <f>F8/$F$36*$D$2</f>
        <v>174.8082400477393</v>
      </c>
      <c r="H8" s="14">
        <f>F8/$F$36*$E$2</f>
        <v>207.33070331243499</v>
      </c>
      <c r="I8" s="25" t="str">
        <f t="shared" si="2"/>
        <v>选中</v>
      </c>
    </row>
    <row r="9" spans="1:9" hidden="1" x14ac:dyDescent="0.25">
      <c r="A9" s="3">
        <v>394</v>
      </c>
      <c r="B9" s="3">
        <v>113.27026859999999</v>
      </c>
      <c r="C9" s="3">
        <v>23.041820980000001</v>
      </c>
      <c r="D9" s="3">
        <v>36</v>
      </c>
      <c r="E9" s="13">
        <f t="shared" si="0"/>
        <v>6.9026486858231968E-3</v>
      </c>
      <c r="F9" s="13">
        <f t="shared" si="1"/>
        <v>12.036275362703705</v>
      </c>
      <c r="G9" s="14" t="e">
        <f>F9/$F$124*$D$2</f>
        <v>#DIV/0!</v>
      </c>
      <c r="H9" s="14" t="e">
        <f>F9/$F$124*$E$2</f>
        <v>#DIV/0!</v>
      </c>
      <c r="I9" s="25" t="str">
        <f t="shared" si="2"/>
        <v/>
      </c>
    </row>
    <row r="10" spans="1:9" hidden="1" x14ac:dyDescent="0.25">
      <c r="A10" s="3">
        <v>396</v>
      </c>
      <c r="B10" s="3">
        <v>113.2704564</v>
      </c>
      <c r="C10" s="3">
        <v>23.042237620000002</v>
      </c>
      <c r="D10" s="3">
        <v>36</v>
      </c>
      <c r="E10" s="13">
        <f t="shared" si="0"/>
        <v>6.9547579708839945E-3</v>
      </c>
      <c r="F10" s="13">
        <f t="shared" si="1"/>
        <v>11.991099026376199</v>
      </c>
      <c r="G10" s="14" t="e">
        <f>F10/$F$124*$D$2</f>
        <v>#DIV/0!</v>
      </c>
      <c r="H10" s="14" t="e">
        <f>F10/$F$124*$E$2</f>
        <v>#DIV/0!</v>
      </c>
      <c r="I10" s="25" t="str">
        <f t="shared" si="2"/>
        <v/>
      </c>
    </row>
    <row r="11" spans="1:9" x14ac:dyDescent="0.25">
      <c r="A11" s="3">
        <v>153</v>
      </c>
      <c r="B11" s="3">
        <v>113.27047899999999</v>
      </c>
      <c r="C11" s="3">
        <v>23.047094510000001</v>
      </c>
      <c r="D11" s="3">
        <v>36</v>
      </c>
      <c r="E11" s="13">
        <f t="shared" si="0"/>
        <v>7.3361277680270556E-3</v>
      </c>
      <c r="F11" s="13">
        <f t="shared" si="1"/>
        <v>11.675259891254385</v>
      </c>
      <c r="G11" s="14">
        <f>F11/$F$36*$D$2</f>
        <v>155.54498428253962</v>
      </c>
      <c r="H11" s="14">
        <f>F11/$F$36*$E$2</f>
        <v>184.48358600952375</v>
      </c>
      <c r="I11" s="25" t="str">
        <f t="shared" si="2"/>
        <v>选中</v>
      </c>
    </row>
    <row r="12" spans="1:9" hidden="1" x14ac:dyDescent="0.25">
      <c r="A12" s="3">
        <v>158</v>
      </c>
      <c r="B12" s="3">
        <v>113.2705709</v>
      </c>
      <c r="C12" s="3">
        <v>23.047334320000001</v>
      </c>
      <c r="D12" s="3">
        <v>36</v>
      </c>
      <c r="E12" s="13">
        <f t="shared" si="0"/>
        <v>7.519141272082322E-3</v>
      </c>
      <c r="F12" s="13">
        <f t="shared" si="1"/>
        <v>11.53229857040553</v>
      </c>
      <c r="G12" s="14" t="e">
        <f>F12/$F$124*$D$2</f>
        <v>#DIV/0!</v>
      </c>
      <c r="H12" s="14" t="e">
        <f>F12/$F$124*$E$2</f>
        <v>#DIV/0!</v>
      </c>
      <c r="I12" s="25" t="str">
        <f t="shared" si="2"/>
        <v/>
      </c>
    </row>
    <row r="13" spans="1:9" hidden="1" x14ac:dyDescent="0.25">
      <c r="A13" s="3">
        <v>157</v>
      </c>
      <c r="B13" s="3">
        <v>113.27063390000001</v>
      </c>
      <c r="C13" s="3">
        <v>23.047250300000002</v>
      </c>
      <c r="D13" s="3">
        <v>36</v>
      </c>
      <c r="E13" s="13">
        <f t="shared" si="0"/>
        <v>7.5411233237822929E-3</v>
      </c>
      <c r="F13" s="13">
        <f t="shared" si="1"/>
        <v>11.515478225460299</v>
      </c>
      <c r="G13" s="14" t="e">
        <f>F13/$F$124*$D$2</f>
        <v>#DIV/0!</v>
      </c>
      <c r="H13" s="14" t="e">
        <f>F13/$F$124*$E$2</f>
        <v>#DIV/0!</v>
      </c>
      <c r="I13" s="25" t="str">
        <f t="shared" si="2"/>
        <v/>
      </c>
    </row>
    <row r="14" spans="1:9" x14ac:dyDescent="0.25">
      <c r="A14" s="3">
        <v>145</v>
      </c>
      <c r="B14" s="3">
        <v>113.2562789</v>
      </c>
      <c r="C14" s="3">
        <v>23.045866</v>
      </c>
      <c r="D14" s="3">
        <v>36</v>
      </c>
      <c r="E14" s="13">
        <f t="shared" si="0"/>
        <v>7.6841361806293642E-3</v>
      </c>
      <c r="F14" s="13">
        <f t="shared" si="1"/>
        <v>11.407815102155896</v>
      </c>
      <c r="G14" s="14">
        <f>F14/$F$36*$D$2</f>
        <v>151.981920513147</v>
      </c>
      <c r="H14" s="14">
        <f>F14/$F$36*$E$2</f>
        <v>180.25762665512784</v>
      </c>
      <c r="I14" s="25" t="str">
        <f t="shared" si="2"/>
        <v>选中</v>
      </c>
    </row>
    <row r="15" spans="1:9" hidden="1" x14ac:dyDescent="0.25">
      <c r="A15" s="3">
        <v>393</v>
      </c>
      <c r="B15" s="3">
        <v>113.2634255</v>
      </c>
      <c r="C15" s="3">
        <v>23.03632898</v>
      </c>
      <c r="D15" s="3">
        <v>36</v>
      </c>
      <c r="E15" s="13">
        <f t="shared" si="0"/>
        <v>7.8146129737805478E-3</v>
      </c>
      <c r="F15" s="13">
        <f t="shared" si="1"/>
        <v>11.312178852816761</v>
      </c>
      <c r="G15" s="14" t="e">
        <f>F15/$F$124*$D$2</f>
        <v>#DIV/0!</v>
      </c>
      <c r="H15" s="14" t="e">
        <f>F15/$F$124*$E$2</f>
        <v>#DIV/0!</v>
      </c>
      <c r="I15" s="25" t="str">
        <f t="shared" si="2"/>
        <v/>
      </c>
    </row>
    <row r="16" spans="1:9" hidden="1" x14ac:dyDescent="0.25">
      <c r="A16" s="3">
        <v>392</v>
      </c>
      <c r="B16" s="3">
        <v>113.26921400000001</v>
      </c>
      <c r="C16" s="3">
        <v>23.037421850000001</v>
      </c>
      <c r="D16" s="3">
        <v>36</v>
      </c>
      <c r="E16" s="13">
        <f t="shared" si="0"/>
        <v>8.6466820566566127E-3</v>
      </c>
      <c r="F16" s="13">
        <f t="shared" si="1"/>
        <v>10.754129328989713</v>
      </c>
      <c r="G16" s="14" t="e">
        <f>F16/$F$124*$D$2</f>
        <v>#DIV/0!</v>
      </c>
      <c r="H16" s="14" t="e">
        <f>F16/$F$124*$E$2</f>
        <v>#DIV/0!</v>
      </c>
      <c r="I16" s="25" t="str">
        <f t="shared" si="2"/>
        <v/>
      </c>
    </row>
    <row r="17" spans="1:9" x14ac:dyDescent="0.25">
      <c r="A17" s="3">
        <v>146</v>
      </c>
      <c r="B17" s="3">
        <v>113.2558939</v>
      </c>
      <c r="C17" s="3">
        <v>23.048896859999999</v>
      </c>
      <c r="D17" s="3">
        <v>36</v>
      </c>
      <c r="E17" s="13">
        <f t="shared" si="0"/>
        <v>9.1995045340697336E-3</v>
      </c>
      <c r="F17" s="13">
        <f t="shared" si="1"/>
        <v>10.42600145274834</v>
      </c>
      <c r="G17" s="14">
        <f>F17/$F$36*$D$2</f>
        <v>138.90159595609992</v>
      </c>
      <c r="H17" s="14">
        <f>F17/$F$36*$E$2</f>
        <v>164.7437533432813</v>
      </c>
      <c r="I17" s="25" t="str">
        <f t="shared" si="2"/>
        <v>选中</v>
      </c>
    </row>
    <row r="18" spans="1:9" hidden="1" x14ac:dyDescent="0.25">
      <c r="A18" s="3">
        <v>161</v>
      </c>
      <c r="B18" s="3">
        <v>113.2718055</v>
      </c>
      <c r="C18" s="3">
        <v>23.048729519999998</v>
      </c>
      <c r="D18" s="3">
        <v>36</v>
      </c>
      <c r="E18" s="13">
        <f t="shared" si="0"/>
        <v>9.2593492452525076E-3</v>
      </c>
      <c r="F18" s="13">
        <f t="shared" si="1"/>
        <v>10.392254347040161</v>
      </c>
      <c r="G18" s="14" t="e">
        <f>F18/$F$124*$D$2</f>
        <v>#DIV/0!</v>
      </c>
      <c r="H18" s="14" t="e">
        <f>F18/$F$124*$E$2</f>
        <v>#DIV/0!</v>
      </c>
      <c r="I18" s="25" t="str">
        <f t="shared" si="2"/>
        <v/>
      </c>
    </row>
    <row r="19" spans="1:9" hidden="1" x14ac:dyDescent="0.25">
      <c r="A19" s="3">
        <v>155</v>
      </c>
      <c r="B19" s="3">
        <v>113.2671591</v>
      </c>
      <c r="C19" s="3">
        <v>23.052883990000002</v>
      </c>
      <c r="D19" s="3">
        <v>36</v>
      </c>
      <c r="E19" s="13">
        <f t="shared" si="0"/>
        <v>9.3828921280243067E-3</v>
      </c>
      <c r="F19" s="13">
        <f t="shared" si="1"/>
        <v>10.323611156760176</v>
      </c>
      <c r="G19" s="14" t="e">
        <f>F19/$F$124*$D$2</f>
        <v>#DIV/0!</v>
      </c>
      <c r="H19" s="14" t="e">
        <f>F19/$F$124*$E$2</f>
        <v>#DIV/0!</v>
      </c>
      <c r="I19" s="25" t="str">
        <f t="shared" si="2"/>
        <v/>
      </c>
    </row>
    <row r="20" spans="1:9" x14ac:dyDescent="0.25">
      <c r="A20" s="3">
        <v>147</v>
      </c>
      <c r="B20" s="3">
        <v>113.2553442</v>
      </c>
      <c r="C20" s="3">
        <v>23.048650200000001</v>
      </c>
      <c r="D20" s="3">
        <v>36</v>
      </c>
      <c r="E20" s="13">
        <f t="shared" si="0"/>
        <v>9.5550888598960829E-3</v>
      </c>
      <c r="F20" s="13">
        <f t="shared" si="1"/>
        <v>10.230164916979971</v>
      </c>
      <c r="G20" s="14">
        <f>F20/$F$36*$D$2</f>
        <v>136.29254132590231</v>
      </c>
      <c r="H20" s="14">
        <f>F20/$F$36*$E$2</f>
        <v>161.64929320048878</v>
      </c>
      <c r="I20" s="25" t="str">
        <f t="shared" si="2"/>
        <v>选中</v>
      </c>
    </row>
    <row r="21" spans="1:9" hidden="1" x14ac:dyDescent="0.25">
      <c r="A21" s="3">
        <v>150</v>
      </c>
      <c r="B21" s="3">
        <v>113.2553082</v>
      </c>
      <c r="C21" s="3">
        <v>23.048693199999999</v>
      </c>
      <c r="D21" s="3">
        <v>36</v>
      </c>
      <c r="E21" s="13">
        <f t="shared" si="0"/>
        <v>9.6071550960936166E-3</v>
      </c>
      <c r="F21" s="13">
        <f t="shared" si="1"/>
        <v>10.20240592837343</v>
      </c>
      <c r="G21" s="14" t="e">
        <f>F21/$F$124*$D$2</f>
        <v>#DIV/0!</v>
      </c>
      <c r="H21" s="14" t="e">
        <f>F21/$F$124*$E$2</f>
        <v>#DIV/0!</v>
      </c>
      <c r="I21" s="25" t="str">
        <f t="shared" si="2"/>
        <v/>
      </c>
    </row>
    <row r="22" spans="1:9" hidden="1" x14ac:dyDescent="0.25">
      <c r="A22" s="3">
        <v>148</v>
      </c>
      <c r="B22" s="3">
        <v>113.25373020000001</v>
      </c>
      <c r="C22" s="3">
        <v>23.046207859999999</v>
      </c>
      <c r="D22" s="3">
        <v>36</v>
      </c>
      <c r="E22" s="13">
        <f t="shared" si="0"/>
        <v>1.0247200855955589E-2</v>
      </c>
      <c r="F22" s="13">
        <f t="shared" si="1"/>
        <v>9.8786449244568661</v>
      </c>
      <c r="G22" s="14" t="e">
        <f>F22/$F$124*$D$2</f>
        <v>#DIV/0!</v>
      </c>
      <c r="H22" s="14" t="e">
        <f>F22/$F$124*$E$2</f>
        <v>#DIV/0!</v>
      </c>
      <c r="I22" s="25" t="str">
        <f t="shared" si="2"/>
        <v/>
      </c>
    </row>
    <row r="23" spans="1:9" x14ac:dyDescent="0.25">
      <c r="A23" s="3">
        <v>149</v>
      </c>
      <c r="B23" s="3">
        <v>113.2544527</v>
      </c>
      <c r="C23" s="3">
        <v>23.04846263</v>
      </c>
      <c r="D23" s="3">
        <v>36</v>
      </c>
      <c r="E23" s="13">
        <f t="shared" si="0"/>
        <v>1.0268982481848186E-2</v>
      </c>
      <c r="F23" s="13">
        <f t="shared" si="1"/>
        <v>9.8681625241356219</v>
      </c>
      <c r="G23" s="14">
        <f>F23/$F$36*$D$2</f>
        <v>131.46972307348852</v>
      </c>
      <c r="H23" s="14">
        <f>F23/$F$36*$E$2</f>
        <v>155.92920643599803</v>
      </c>
      <c r="I23" s="25" t="str">
        <f t="shared" si="2"/>
        <v>选中</v>
      </c>
    </row>
    <row r="24" spans="1:9" hidden="1" x14ac:dyDescent="0.25">
      <c r="A24" s="3">
        <v>160</v>
      </c>
      <c r="B24" s="3">
        <v>113.27360849999999</v>
      </c>
      <c r="C24" s="3">
        <v>23.047442239999999</v>
      </c>
      <c r="D24" s="3">
        <v>36</v>
      </c>
      <c r="E24" s="13">
        <f t="shared" si="0"/>
        <v>1.0383100500980486E-2</v>
      </c>
      <c r="F24" s="13">
        <f t="shared" si="1"/>
        <v>9.8137834613582697</v>
      </c>
      <c r="G24" s="14" t="e">
        <f>F24/$F$124*$D$2</f>
        <v>#DIV/0!</v>
      </c>
      <c r="H24" s="14" t="e">
        <f>F24/$F$124*$E$2</f>
        <v>#DIV/0!</v>
      </c>
      <c r="I24" s="25" t="str">
        <f t="shared" si="2"/>
        <v/>
      </c>
    </row>
    <row r="25" spans="1:9" hidden="1" x14ac:dyDescent="0.25">
      <c r="A25" s="3">
        <v>679</v>
      </c>
      <c r="B25" s="3">
        <v>113.2636595</v>
      </c>
      <c r="C25" s="3">
        <v>23.033673960000002</v>
      </c>
      <c r="D25" s="3">
        <v>36</v>
      </c>
      <c r="E25" s="13">
        <f t="shared" si="0"/>
        <v>1.0462760009593229E-2</v>
      </c>
      <c r="F25" s="13">
        <f t="shared" si="1"/>
        <v>9.7763528566332596</v>
      </c>
      <c r="G25" s="14" t="e">
        <f>F25/$F$124*$D$2</f>
        <v>#DIV/0!</v>
      </c>
      <c r="H25" s="14" t="e">
        <f>F25/$F$124*$E$2</f>
        <v>#DIV/0!</v>
      </c>
      <c r="I25" s="25" t="str">
        <f t="shared" si="2"/>
        <v/>
      </c>
    </row>
    <row r="26" spans="1:9" x14ac:dyDescent="0.25">
      <c r="A26" s="3">
        <v>390</v>
      </c>
      <c r="B26" s="3">
        <v>113.25286079999999</v>
      </c>
      <c r="C26" s="3">
        <v>23.042859589999999</v>
      </c>
      <c r="D26" s="3">
        <v>36</v>
      </c>
      <c r="E26" s="13">
        <f t="shared" si="0"/>
        <v>1.0979467520252402E-2</v>
      </c>
      <c r="F26" s="13">
        <f t="shared" si="1"/>
        <v>9.5435369836362387</v>
      </c>
      <c r="G26" s="14">
        <f>F26/$F$36*$D$2</f>
        <v>127.14486220829177</v>
      </c>
      <c r="H26" s="14">
        <f>F26/$F$36*$E$2</f>
        <v>150.79972029355534</v>
      </c>
      <c r="I26" s="25" t="str">
        <f t="shared" si="2"/>
        <v>选中</v>
      </c>
    </row>
    <row r="27" spans="1:9" hidden="1" x14ac:dyDescent="0.25">
      <c r="A27" s="3">
        <v>159</v>
      </c>
      <c r="B27" s="3">
        <v>113.2742307</v>
      </c>
      <c r="C27" s="3">
        <v>23.048148269999999</v>
      </c>
      <c r="D27" s="3">
        <v>36</v>
      </c>
      <c r="E27" s="13">
        <f t="shared" si="0"/>
        <v>1.1207631247420089E-2</v>
      </c>
      <c r="F27" s="13">
        <f t="shared" si="1"/>
        <v>9.4458943394189188</v>
      </c>
      <c r="G27" s="14" t="e">
        <f>F27/$F$124*$D$2</f>
        <v>#DIV/0!</v>
      </c>
      <c r="H27" s="14" t="e">
        <f>F27/$F$124*$E$2</f>
        <v>#DIV/0!</v>
      </c>
      <c r="I27" s="25" t="str">
        <f t="shared" si="2"/>
        <v/>
      </c>
    </row>
    <row r="28" spans="1:9" hidden="1" x14ac:dyDescent="0.25">
      <c r="A28" s="3">
        <v>680</v>
      </c>
      <c r="B28" s="3">
        <v>113.26270940000001</v>
      </c>
      <c r="C28" s="3">
        <v>23.03270204</v>
      </c>
      <c r="D28" s="3">
        <v>36</v>
      </c>
      <c r="E28" s="13">
        <f t="shared" si="0"/>
        <v>1.1482836692192421E-2</v>
      </c>
      <c r="F28" s="13">
        <f t="shared" si="1"/>
        <v>9.3320145190782267</v>
      </c>
      <c r="G28" s="14" t="e">
        <f>F28/$F$124*$D$2</f>
        <v>#DIV/0!</v>
      </c>
      <c r="H28" s="14" t="e">
        <f>F28/$F$124*$E$2</f>
        <v>#DIV/0!</v>
      </c>
      <c r="I28" s="25" t="str">
        <f t="shared" si="2"/>
        <v/>
      </c>
    </row>
    <row r="29" spans="1:9" x14ac:dyDescent="0.25">
      <c r="A29" s="3">
        <v>397</v>
      </c>
      <c r="B29" s="3">
        <v>113.27380580000001</v>
      </c>
      <c r="C29" s="3">
        <v>23.03801108</v>
      </c>
      <c r="D29" s="3">
        <v>36</v>
      </c>
      <c r="E29" s="13">
        <f t="shared" si="0"/>
        <v>1.1760886446609933E-2</v>
      </c>
      <c r="F29" s="13">
        <f t="shared" si="1"/>
        <v>9.2210413937398155</v>
      </c>
      <c r="G29" s="14">
        <f>F29/$F$36*$D$2</f>
        <v>122.84837785343791</v>
      </c>
      <c r="H29" s="14">
        <f>F29/$F$36*$E$2</f>
        <v>145.70389001221704</v>
      </c>
      <c r="I29" s="25" t="str">
        <f t="shared" si="2"/>
        <v>选中</v>
      </c>
    </row>
    <row r="30" spans="1:9" hidden="1" x14ac:dyDescent="0.25">
      <c r="A30" s="3">
        <v>151</v>
      </c>
      <c r="B30" s="3">
        <v>113.251985</v>
      </c>
      <c r="C30" s="3">
        <v>23.044733050000001</v>
      </c>
      <c r="D30" s="3">
        <v>36</v>
      </c>
      <c r="E30" s="13">
        <f t="shared" si="0"/>
        <v>1.1795910411529411E-2</v>
      </c>
      <c r="F30" s="13">
        <f t="shared" si="1"/>
        <v>9.2073418358514285</v>
      </c>
      <c r="G30" s="14" t="e">
        <f>F30/$F$124*$D$2</f>
        <v>#DIV/0!</v>
      </c>
      <c r="H30" s="14" t="e">
        <f>F30/$F$124*$E$2</f>
        <v>#DIV/0!</v>
      </c>
      <c r="I30" s="25" t="str">
        <f t="shared" si="2"/>
        <v/>
      </c>
    </row>
    <row r="31" spans="1:9" hidden="1" x14ac:dyDescent="0.25">
      <c r="A31" s="3">
        <v>391</v>
      </c>
      <c r="B31" s="3">
        <v>113.25198210000001</v>
      </c>
      <c r="C31" s="3">
        <v>23.04292783</v>
      </c>
      <c r="D31" s="3">
        <v>36</v>
      </c>
      <c r="E31" s="13">
        <f t="shared" si="0"/>
        <v>1.1845492620080585E-2</v>
      </c>
      <c r="F31" s="13">
        <f t="shared" si="1"/>
        <v>9.1880518375541484</v>
      </c>
      <c r="G31" s="14" t="e">
        <f>F31/$F$124*$D$2</f>
        <v>#DIV/0!</v>
      </c>
      <c r="H31" s="14" t="e">
        <f>F31/$F$124*$E$2</f>
        <v>#DIV/0!</v>
      </c>
      <c r="I31" s="25" t="str">
        <f t="shared" si="2"/>
        <v/>
      </c>
    </row>
    <row r="32" spans="1:9" x14ac:dyDescent="0.25">
      <c r="A32" s="3">
        <v>389</v>
      </c>
      <c r="B32" s="3">
        <v>113.2515033</v>
      </c>
      <c r="C32" s="3">
        <v>23.043158859999998</v>
      </c>
      <c r="D32" s="3">
        <v>36</v>
      </c>
      <c r="E32" s="13">
        <f t="shared" si="0"/>
        <v>1.2301384500638078E-2</v>
      </c>
      <c r="F32" s="13">
        <f t="shared" si="1"/>
        <v>9.0161889252081764</v>
      </c>
      <c r="G32" s="14">
        <f>F32/$F$36*$D$2</f>
        <v>120.11920742855841</v>
      </c>
      <c r="H32" s="14">
        <f>F32/$F$36*$E$2</f>
        <v>142.46696695015066</v>
      </c>
      <c r="I32" s="25" t="str">
        <f t="shared" si="2"/>
        <v>选中</v>
      </c>
    </row>
    <row r="33" spans="1:9" hidden="1" x14ac:dyDescent="0.25">
      <c r="A33" s="3">
        <v>388</v>
      </c>
      <c r="B33" s="3">
        <v>113.2504677</v>
      </c>
      <c r="C33" s="3">
        <v>23.04244242</v>
      </c>
      <c r="D33" s="3">
        <v>36</v>
      </c>
      <c r="E33" s="13">
        <f t="shared" si="0"/>
        <v>1.3405531938255831E-2</v>
      </c>
      <c r="F33" s="13">
        <f t="shared" si="1"/>
        <v>8.6369016484810253</v>
      </c>
      <c r="G33" s="14" t="e">
        <f>F33/$F$124*$D$2</f>
        <v>#DIV/0!</v>
      </c>
      <c r="H33" s="14" t="e">
        <f>F33/$F$124*$E$2</f>
        <v>#DIV/0!</v>
      </c>
      <c r="I33" s="25" t="str">
        <f t="shared" si="2"/>
        <v/>
      </c>
    </row>
    <row r="34" spans="1:9" hidden="1" x14ac:dyDescent="0.25">
      <c r="A34" s="3">
        <v>398</v>
      </c>
      <c r="B34" s="3">
        <v>113.27737999999999</v>
      </c>
      <c r="C34" s="3">
        <v>23.04299396</v>
      </c>
      <c r="D34" s="3">
        <v>36</v>
      </c>
      <c r="E34" s="13">
        <f t="shared" si="0"/>
        <v>1.3662031626671865E-2</v>
      </c>
      <c r="F34" s="13">
        <f t="shared" si="1"/>
        <v>8.555440136341554</v>
      </c>
      <c r="G34" s="14" t="e">
        <f>F34/$F$124*$D$2</f>
        <v>#DIV/0!</v>
      </c>
      <c r="H34" s="14" t="e">
        <f>F34/$F$124*$E$2</f>
        <v>#DIV/0!</v>
      </c>
      <c r="I34" s="25" t="str">
        <f t="shared" si="2"/>
        <v/>
      </c>
    </row>
    <row r="35" spans="1:9" x14ac:dyDescent="0.25">
      <c r="A35" s="3"/>
      <c r="B35" s="3"/>
      <c r="C35" s="3"/>
      <c r="D35" s="3"/>
      <c r="G35" s="14"/>
      <c r="H35" s="14"/>
    </row>
    <row r="36" spans="1:9" x14ac:dyDescent="0.25">
      <c r="A36" s="3"/>
      <c r="B36" s="3"/>
      <c r="C36" s="3"/>
      <c r="D36" s="3"/>
      <c r="F36" s="13">
        <f>SUBTOTAL(9,F5:F32)</f>
        <v>112.96581639958592</v>
      </c>
      <c r="G36" s="13">
        <f>SUBTOTAL(9,G5:G32)</f>
        <v>1504.9999999999998</v>
      </c>
      <c r="H36" s="13">
        <f>SUBTOTAL(9,H5:H32)</f>
        <v>1784.9999999999998</v>
      </c>
    </row>
    <row r="37" spans="1:9" x14ac:dyDescent="0.25">
      <c r="A37" s="3"/>
      <c r="B37" s="3"/>
      <c r="C37" s="3"/>
      <c r="D37" s="3"/>
      <c r="G37" s="14"/>
      <c r="H37" s="14"/>
    </row>
    <row r="38" spans="1:9" x14ac:dyDescent="0.25">
      <c r="A38" s="3"/>
      <c r="B38" s="3"/>
      <c r="C38" s="3"/>
      <c r="D38" s="3"/>
      <c r="G38" s="14"/>
      <c r="H38" s="14"/>
    </row>
    <row r="39" spans="1:9" x14ac:dyDescent="0.25">
      <c r="A39" s="3"/>
      <c r="B39" s="3"/>
      <c r="C39" s="3"/>
      <c r="D39" s="3"/>
      <c r="G39" s="14"/>
      <c r="H39" s="14"/>
    </row>
    <row r="40" spans="1:9" x14ac:dyDescent="0.25">
      <c r="A40" s="3"/>
      <c r="B40" s="3"/>
      <c r="C40" s="3"/>
      <c r="D40" s="3"/>
      <c r="G40" s="14"/>
      <c r="H40" s="14"/>
    </row>
    <row r="41" spans="1:9" x14ac:dyDescent="0.25">
      <c r="A41" s="3"/>
      <c r="B41" s="3"/>
      <c r="C41" s="3"/>
      <c r="D41" s="3"/>
      <c r="G41" s="14"/>
      <c r="H41" s="14"/>
    </row>
    <row r="42" spans="1:9" x14ac:dyDescent="0.25">
      <c r="A42" s="3"/>
      <c r="B42" s="3"/>
      <c r="C42" s="3"/>
      <c r="D42" s="3"/>
      <c r="G42" s="14"/>
      <c r="H42" s="14"/>
    </row>
    <row r="43" spans="1:9" x14ac:dyDescent="0.25">
      <c r="A43" s="3"/>
      <c r="B43" s="3"/>
      <c r="C43" s="3"/>
      <c r="D43" s="3"/>
      <c r="G43" s="14"/>
      <c r="H43" s="14"/>
    </row>
    <row r="44" spans="1:9" x14ac:dyDescent="0.25">
      <c r="A44" s="3"/>
      <c r="B44" s="3"/>
      <c r="C44" s="3"/>
      <c r="D44" s="3"/>
      <c r="G44" s="14"/>
      <c r="H44" s="14"/>
    </row>
    <row r="45" spans="1:9" x14ac:dyDescent="0.25">
      <c r="A45" s="3"/>
      <c r="B45" s="3"/>
      <c r="C45" s="3"/>
      <c r="D45" s="3"/>
      <c r="G45" s="14"/>
      <c r="H45" s="14"/>
    </row>
    <row r="46" spans="1:9" x14ac:dyDescent="0.25">
      <c r="A46" s="3"/>
      <c r="B46" s="3"/>
      <c r="C46" s="3"/>
      <c r="D46" s="3"/>
      <c r="G46" s="14"/>
      <c r="H46" s="14"/>
    </row>
    <row r="47" spans="1:9" x14ac:dyDescent="0.25">
      <c r="A47" s="3"/>
      <c r="B47" s="3"/>
      <c r="C47" s="3"/>
      <c r="D47" s="3"/>
      <c r="G47" s="14"/>
      <c r="H47" s="14"/>
    </row>
    <row r="48" spans="1:9" x14ac:dyDescent="0.25">
      <c r="A48" s="3"/>
      <c r="B48" s="3"/>
      <c r="C48" s="3"/>
      <c r="D48" s="3"/>
      <c r="G48" s="14"/>
      <c r="H48" s="14"/>
    </row>
    <row r="49" spans="1:8" x14ac:dyDescent="0.25">
      <c r="A49" s="3"/>
      <c r="B49" s="3"/>
      <c r="C49" s="3"/>
      <c r="D49" s="3"/>
      <c r="G49" s="14"/>
      <c r="H49" s="14"/>
    </row>
    <row r="50" spans="1:8" x14ac:dyDescent="0.25">
      <c r="A50" s="3"/>
      <c r="B50" s="3"/>
      <c r="C50" s="3"/>
      <c r="D50" s="3"/>
      <c r="G50" s="14"/>
      <c r="H50" s="14"/>
    </row>
    <row r="51" spans="1:8" x14ac:dyDescent="0.25">
      <c r="A51" s="3"/>
      <c r="B51" s="3"/>
      <c r="C51" s="3"/>
      <c r="D51" s="3"/>
      <c r="G51" s="14"/>
      <c r="H51" s="14"/>
    </row>
    <row r="52" spans="1:8" x14ac:dyDescent="0.25">
      <c r="A52" s="3"/>
      <c r="B52" s="3"/>
      <c r="C52" s="3"/>
      <c r="D52" s="3"/>
      <c r="G52" s="14"/>
      <c r="H52" s="14"/>
    </row>
    <row r="53" spans="1:8" x14ac:dyDescent="0.25">
      <c r="A53" s="3"/>
      <c r="B53" s="3"/>
      <c r="C53" s="3"/>
      <c r="D53" s="3"/>
      <c r="G53" s="14"/>
      <c r="H53" s="14"/>
    </row>
    <row r="54" spans="1:8" x14ac:dyDescent="0.25">
      <c r="A54" s="3"/>
      <c r="B54" s="3"/>
      <c r="C54" s="3"/>
      <c r="D54" s="3"/>
      <c r="G54" s="14"/>
      <c r="H54" s="14"/>
    </row>
    <row r="55" spans="1:8" x14ac:dyDescent="0.25">
      <c r="A55" s="3"/>
      <c r="B55" s="3"/>
      <c r="C55" s="3"/>
      <c r="D55" s="3"/>
      <c r="G55" s="14"/>
      <c r="H55" s="14"/>
    </row>
    <row r="56" spans="1:8" x14ac:dyDescent="0.25">
      <c r="A56" s="3"/>
      <c r="B56" s="3"/>
      <c r="C56" s="3"/>
      <c r="D56" s="3"/>
      <c r="G56" s="14"/>
      <c r="H56" s="14"/>
    </row>
    <row r="57" spans="1:8" x14ac:dyDescent="0.25">
      <c r="A57" s="3"/>
      <c r="B57" s="3"/>
      <c r="C57" s="3"/>
      <c r="D57" s="3"/>
      <c r="G57" s="14"/>
      <c r="H57" s="14"/>
    </row>
    <row r="58" spans="1:8" x14ac:dyDescent="0.25">
      <c r="A58" s="3"/>
      <c r="B58" s="3"/>
      <c r="C58" s="3"/>
      <c r="D58" s="3"/>
      <c r="G58" s="14"/>
      <c r="H58" s="14"/>
    </row>
    <row r="59" spans="1:8" x14ac:dyDescent="0.25">
      <c r="A59" s="3"/>
      <c r="B59" s="3"/>
      <c r="C59" s="3"/>
      <c r="D59" s="3"/>
      <c r="G59" s="14"/>
      <c r="H59" s="14"/>
    </row>
    <row r="60" spans="1:8" x14ac:dyDescent="0.25">
      <c r="A60" s="3"/>
      <c r="B60" s="3"/>
      <c r="C60" s="3"/>
      <c r="D60" s="3"/>
      <c r="G60" s="14"/>
      <c r="H60" s="14"/>
    </row>
    <row r="61" spans="1:8" x14ac:dyDescent="0.25">
      <c r="A61" s="3"/>
      <c r="B61" s="3"/>
      <c r="C61" s="3"/>
      <c r="D61" s="3"/>
      <c r="G61" s="14"/>
      <c r="H61" s="14"/>
    </row>
    <row r="62" spans="1:8" x14ac:dyDescent="0.25">
      <c r="A62" s="3"/>
      <c r="B62" s="3"/>
      <c r="C62" s="3"/>
      <c r="D62" s="3"/>
      <c r="G62" s="14"/>
      <c r="H62" s="14"/>
    </row>
    <row r="63" spans="1:8" x14ac:dyDescent="0.25">
      <c r="A63" s="3"/>
      <c r="B63" s="3"/>
      <c r="C63" s="3"/>
      <c r="D63" s="3"/>
      <c r="G63" s="14"/>
      <c r="H63" s="14"/>
    </row>
    <row r="64" spans="1:8" x14ac:dyDescent="0.25">
      <c r="A64" s="3"/>
      <c r="B64" s="3"/>
      <c r="C64" s="3"/>
      <c r="D64" s="3"/>
      <c r="G64" s="14"/>
      <c r="H64" s="14"/>
    </row>
    <row r="65" spans="1:8" x14ac:dyDescent="0.25">
      <c r="A65" s="3"/>
      <c r="B65" s="3"/>
      <c r="C65" s="3"/>
      <c r="D65" s="3"/>
      <c r="G65" s="14"/>
      <c r="H65" s="14"/>
    </row>
    <row r="66" spans="1:8" x14ac:dyDescent="0.25">
      <c r="A66" s="3"/>
      <c r="B66" s="3"/>
      <c r="C66" s="3"/>
      <c r="D66" s="3"/>
      <c r="G66" s="14"/>
      <c r="H66" s="14"/>
    </row>
    <row r="67" spans="1:8" x14ac:dyDescent="0.25">
      <c r="A67" s="3"/>
      <c r="B67" s="3"/>
      <c r="C67" s="3"/>
      <c r="D67" s="3"/>
      <c r="G67" s="14"/>
      <c r="H67" s="14"/>
    </row>
    <row r="68" spans="1:8" x14ac:dyDescent="0.25">
      <c r="A68" s="3"/>
      <c r="B68" s="3"/>
      <c r="C68" s="3"/>
      <c r="D68" s="3"/>
      <c r="G68" s="14"/>
      <c r="H68" s="14"/>
    </row>
    <row r="69" spans="1:8" x14ac:dyDescent="0.25">
      <c r="A69" s="3"/>
      <c r="B69" s="3"/>
      <c r="C69" s="3"/>
      <c r="D69" s="3"/>
      <c r="G69" s="14"/>
      <c r="H69" s="14"/>
    </row>
    <row r="70" spans="1:8" x14ac:dyDescent="0.25">
      <c r="A70" s="3"/>
      <c r="B70" s="3"/>
      <c r="C70" s="3"/>
      <c r="D70" s="3"/>
      <c r="G70" s="14"/>
      <c r="H70" s="14"/>
    </row>
    <row r="71" spans="1:8" x14ac:dyDescent="0.25">
      <c r="A71" s="3"/>
      <c r="B71" s="3"/>
      <c r="C71" s="3"/>
      <c r="D71" s="3"/>
      <c r="G71" s="14"/>
      <c r="H71" s="14"/>
    </row>
    <row r="72" spans="1:8" x14ac:dyDescent="0.25">
      <c r="A72" s="3"/>
      <c r="B72" s="3"/>
      <c r="C72" s="3"/>
      <c r="D72" s="3"/>
      <c r="G72" s="14"/>
      <c r="H72" s="14"/>
    </row>
    <row r="73" spans="1:8" x14ac:dyDescent="0.25">
      <c r="A73" s="3"/>
      <c r="B73" s="3"/>
      <c r="C73" s="3"/>
      <c r="D73" s="3"/>
      <c r="G73" s="14"/>
      <c r="H73" s="14"/>
    </row>
    <row r="74" spans="1:8" x14ac:dyDescent="0.25">
      <c r="A74" s="3"/>
      <c r="B74" s="3"/>
      <c r="C74" s="3"/>
      <c r="D74" s="3"/>
      <c r="G74" s="14"/>
      <c r="H74" s="14"/>
    </row>
    <row r="75" spans="1:8" x14ac:dyDescent="0.25">
      <c r="A75" s="3"/>
      <c r="B75" s="3"/>
      <c r="C75" s="3"/>
      <c r="D75" s="3"/>
      <c r="G75" s="14"/>
      <c r="H75" s="14"/>
    </row>
    <row r="76" spans="1:8" x14ac:dyDescent="0.25">
      <c r="A76" s="3"/>
      <c r="B76" s="3"/>
      <c r="C76" s="3"/>
      <c r="D76" s="3"/>
      <c r="G76" s="14"/>
      <c r="H76" s="14"/>
    </row>
    <row r="77" spans="1:8" x14ac:dyDescent="0.25">
      <c r="A77" s="3"/>
      <c r="B77" s="3"/>
      <c r="C77" s="3"/>
      <c r="D77" s="3"/>
      <c r="G77" s="14"/>
      <c r="H77" s="14"/>
    </row>
    <row r="78" spans="1:8" x14ac:dyDescent="0.25">
      <c r="A78" s="3"/>
      <c r="B78" s="3"/>
      <c r="C78" s="3"/>
      <c r="D78" s="3"/>
      <c r="G78" s="14"/>
      <c r="H78" s="14"/>
    </row>
    <row r="79" spans="1:8" x14ac:dyDescent="0.25">
      <c r="A79" s="3"/>
      <c r="B79" s="3"/>
      <c r="C79" s="3"/>
      <c r="D79" s="3"/>
      <c r="G79" s="14"/>
      <c r="H79" s="14"/>
    </row>
    <row r="80" spans="1:8" x14ac:dyDescent="0.25">
      <c r="A80" s="3"/>
      <c r="B80" s="3"/>
      <c r="C80" s="3"/>
      <c r="D80" s="3"/>
      <c r="G80" s="14"/>
      <c r="H80" s="14"/>
    </row>
    <row r="81" spans="1:8" x14ac:dyDescent="0.25">
      <c r="A81" s="3"/>
      <c r="B81" s="3"/>
      <c r="C81" s="3"/>
      <c r="D81" s="3"/>
      <c r="G81" s="14"/>
      <c r="H81" s="14"/>
    </row>
    <row r="82" spans="1:8" x14ac:dyDescent="0.25">
      <c r="A82" s="3"/>
      <c r="B82" s="3"/>
      <c r="C82" s="3"/>
      <c r="D82" s="3"/>
      <c r="G82" s="14"/>
      <c r="H82" s="14"/>
    </row>
    <row r="83" spans="1:8" x14ac:dyDescent="0.25">
      <c r="A83" s="3"/>
      <c r="B83" s="3"/>
      <c r="C83" s="3"/>
      <c r="D83" s="3"/>
      <c r="G83" s="14"/>
      <c r="H83" s="14"/>
    </row>
    <row r="84" spans="1:8" x14ac:dyDescent="0.25">
      <c r="A84" s="3"/>
      <c r="B84" s="3"/>
      <c r="C84" s="3"/>
      <c r="D84" s="3"/>
      <c r="G84" s="14"/>
      <c r="H84" s="14"/>
    </row>
    <row r="85" spans="1:8" x14ac:dyDescent="0.25">
      <c r="A85" s="3"/>
      <c r="B85" s="3"/>
      <c r="C85" s="3"/>
      <c r="D85" s="3"/>
      <c r="G85" s="14"/>
      <c r="H85" s="14"/>
    </row>
    <row r="86" spans="1:8" x14ac:dyDescent="0.25">
      <c r="A86" s="3"/>
      <c r="B86" s="3"/>
      <c r="C86" s="3"/>
      <c r="D86" s="3"/>
      <c r="G86" s="14"/>
      <c r="H86" s="14"/>
    </row>
    <row r="87" spans="1:8" x14ac:dyDescent="0.25">
      <c r="A87" s="3"/>
      <c r="B87" s="3"/>
      <c r="C87" s="3"/>
      <c r="D87" s="3"/>
      <c r="G87" s="14"/>
      <c r="H87" s="14"/>
    </row>
    <row r="88" spans="1:8" x14ac:dyDescent="0.25">
      <c r="A88" s="3"/>
      <c r="B88" s="3"/>
      <c r="C88" s="3"/>
      <c r="D88" s="3"/>
      <c r="G88" s="14"/>
      <c r="H88" s="14"/>
    </row>
    <row r="89" spans="1:8" x14ac:dyDescent="0.25">
      <c r="A89" s="3"/>
      <c r="B89" s="3"/>
      <c r="C89" s="3"/>
      <c r="D89" s="3"/>
      <c r="G89" s="14"/>
      <c r="H89" s="14"/>
    </row>
    <row r="90" spans="1:8" x14ac:dyDescent="0.25">
      <c r="A90" s="3"/>
      <c r="B90" s="3"/>
      <c r="C90" s="3"/>
      <c r="D90" s="3"/>
      <c r="G90" s="14"/>
      <c r="H90" s="14"/>
    </row>
    <row r="91" spans="1:8" x14ac:dyDescent="0.25">
      <c r="A91" s="3"/>
      <c r="B91" s="3"/>
      <c r="C91" s="3"/>
      <c r="D91" s="3"/>
      <c r="G91" s="14"/>
      <c r="H91" s="14"/>
    </row>
    <row r="92" spans="1:8" x14ac:dyDescent="0.25">
      <c r="A92" s="3"/>
      <c r="B92" s="3"/>
      <c r="C92" s="3"/>
      <c r="D92" s="3"/>
      <c r="G92" s="14"/>
      <c r="H92" s="14"/>
    </row>
    <row r="93" spans="1:8" x14ac:dyDescent="0.25">
      <c r="A93" s="3"/>
      <c r="B93" s="3"/>
      <c r="C93" s="3"/>
      <c r="D93" s="3"/>
      <c r="G93" s="14"/>
      <c r="H93" s="14"/>
    </row>
    <row r="94" spans="1:8" x14ac:dyDescent="0.25">
      <c r="A94" s="3"/>
      <c r="B94" s="3"/>
      <c r="C94" s="3"/>
      <c r="D94" s="3"/>
      <c r="G94" s="14"/>
      <c r="H94" s="14"/>
    </row>
    <row r="95" spans="1:8" x14ac:dyDescent="0.25">
      <c r="A95" s="3"/>
      <c r="B95" s="3"/>
      <c r="C95" s="3"/>
      <c r="D95" s="3"/>
      <c r="G95" s="14"/>
      <c r="H95" s="14"/>
    </row>
    <row r="96" spans="1:8" x14ac:dyDescent="0.25">
      <c r="A96" s="3"/>
      <c r="B96" s="3"/>
      <c r="C96" s="3"/>
      <c r="D96" s="3"/>
      <c r="G96" s="14"/>
      <c r="H96" s="14"/>
    </row>
    <row r="97" spans="1:8" x14ac:dyDescent="0.25">
      <c r="A97" s="3"/>
      <c r="B97" s="3"/>
      <c r="C97" s="3"/>
      <c r="D97" s="3"/>
      <c r="G97" s="14"/>
      <c r="H97" s="14"/>
    </row>
    <row r="98" spans="1:8" x14ac:dyDescent="0.25">
      <c r="A98" s="3"/>
      <c r="B98" s="3"/>
      <c r="C98" s="3"/>
      <c r="D98" s="3"/>
      <c r="G98" s="14"/>
      <c r="H98" s="14"/>
    </row>
    <row r="99" spans="1:8" x14ac:dyDescent="0.25">
      <c r="A99" s="3"/>
      <c r="B99" s="3"/>
      <c r="C99" s="3"/>
      <c r="D99" s="3"/>
      <c r="G99" s="14"/>
      <c r="H99" s="14"/>
    </row>
    <row r="100" spans="1:8" x14ac:dyDescent="0.25">
      <c r="A100" s="3"/>
      <c r="B100" s="3"/>
      <c r="C100" s="3"/>
      <c r="D100" s="3"/>
      <c r="G100" s="14"/>
      <c r="H100" s="14"/>
    </row>
    <row r="101" spans="1:8" x14ac:dyDescent="0.25">
      <c r="A101" s="3"/>
      <c r="B101" s="3"/>
      <c r="C101" s="3"/>
      <c r="D101" s="3"/>
      <c r="G101" s="14"/>
      <c r="H101" s="14"/>
    </row>
    <row r="102" spans="1:8" x14ac:dyDescent="0.25">
      <c r="A102" s="3"/>
      <c r="B102" s="3"/>
      <c r="C102" s="3"/>
      <c r="D102" s="3"/>
      <c r="G102" s="14"/>
      <c r="H102" s="14"/>
    </row>
    <row r="103" spans="1:8" x14ac:dyDescent="0.25">
      <c r="A103" s="3"/>
      <c r="B103" s="3"/>
      <c r="C103" s="3"/>
      <c r="D103" s="3"/>
      <c r="G103" s="14"/>
      <c r="H103" s="14"/>
    </row>
    <row r="104" spans="1:8" x14ac:dyDescent="0.25">
      <c r="A104" s="3"/>
      <c r="B104" s="3"/>
      <c r="C104" s="3"/>
      <c r="D104" s="3"/>
      <c r="G104" s="14"/>
      <c r="H104" s="14"/>
    </row>
    <row r="105" spans="1:8" x14ac:dyDescent="0.25">
      <c r="A105" s="3"/>
      <c r="B105" s="3"/>
      <c r="C105" s="3"/>
      <c r="D105" s="3"/>
      <c r="G105" s="14"/>
      <c r="H105" s="14"/>
    </row>
    <row r="106" spans="1:8" x14ac:dyDescent="0.25">
      <c r="A106" s="3"/>
      <c r="B106" s="3"/>
      <c r="C106" s="3"/>
      <c r="D106" s="3"/>
      <c r="G106" s="14"/>
      <c r="H106" s="14"/>
    </row>
    <row r="107" spans="1:8" x14ac:dyDescent="0.25">
      <c r="A107" s="3"/>
      <c r="B107" s="3"/>
      <c r="C107" s="3"/>
      <c r="D107" s="3"/>
      <c r="G107" s="14"/>
      <c r="H107" s="14"/>
    </row>
    <row r="108" spans="1:8" x14ac:dyDescent="0.25">
      <c r="A108" s="3"/>
      <c r="B108" s="3"/>
      <c r="C108" s="3"/>
      <c r="D108" s="3"/>
      <c r="G108" s="14"/>
      <c r="H108" s="14"/>
    </row>
    <row r="109" spans="1:8" x14ac:dyDescent="0.25">
      <c r="A109" s="3"/>
      <c r="B109" s="3"/>
      <c r="C109" s="3"/>
      <c r="D109" s="3"/>
      <c r="G109" s="14"/>
      <c r="H109" s="14"/>
    </row>
    <row r="110" spans="1:8" x14ac:dyDescent="0.25">
      <c r="A110" s="3"/>
      <c r="B110" s="3"/>
      <c r="C110" s="3"/>
      <c r="D110" s="3"/>
      <c r="G110" s="14"/>
      <c r="H110" s="14"/>
    </row>
    <row r="111" spans="1:8" x14ac:dyDescent="0.25">
      <c r="A111" s="3"/>
      <c r="B111" s="3"/>
      <c r="C111" s="3"/>
      <c r="D111" s="3"/>
      <c r="G111" s="14"/>
      <c r="H111" s="14"/>
    </row>
    <row r="112" spans="1:8" x14ac:dyDescent="0.25">
      <c r="A112" s="3"/>
      <c r="B112" s="3"/>
      <c r="C112" s="3"/>
      <c r="D112" s="3"/>
      <c r="G112" s="14"/>
      <c r="H112" s="14"/>
    </row>
    <row r="113" spans="1:8" x14ac:dyDescent="0.25">
      <c r="A113" s="3"/>
      <c r="B113" s="3"/>
      <c r="C113" s="3"/>
      <c r="D113" s="3"/>
      <c r="G113" s="14"/>
      <c r="H113" s="14"/>
    </row>
    <row r="114" spans="1:8" x14ac:dyDescent="0.25">
      <c r="A114" s="3"/>
      <c r="B114" s="3"/>
      <c r="C114" s="3"/>
      <c r="D114" s="3"/>
      <c r="G114" s="14"/>
      <c r="H114" s="14"/>
    </row>
    <row r="115" spans="1:8" x14ac:dyDescent="0.25">
      <c r="A115" s="3"/>
      <c r="B115" s="3"/>
      <c r="C115" s="3"/>
      <c r="D115" s="3"/>
      <c r="G115" s="14"/>
      <c r="H115" s="14"/>
    </row>
    <row r="116" spans="1:8" x14ac:dyDescent="0.25">
      <c r="A116" s="3"/>
      <c r="B116" s="3"/>
      <c r="C116" s="3"/>
      <c r="D116" s="3"/>
      <c r="G116" s="14"/>
      <c r="H116" s="14"/>
    </row>
    <row r="117" spans="1:8" x14ac:dyDescent="0.25">
      <c r="A117" s="3"/>
      <c r="B117" s="3"/>
      <c r="C117" s="3"/>
      <c r="D117" s="3"/>
      <c r="G117" s="14"/>
      <c r="H117" s="14"/>
    </row>
    <row r="118" spans="1:8" x14ac:dyDescent="0.25">
      <c r="A118" s="3"/>
      <c r="B118" s="3"/>
      <c r="C118" s="3"/>
      <c r="D118" s="3"/>
      <c r="G118" s="14"/>
      <c r="H118" s="14"/>
    </row>
    <row r="119" spans="1:8" x14ac:dyDescent="0.25">
      <c r="A119" s="3"/>
      <c r="B119" s="3"/>
      <c r="C119" s="3"/>
      <c r="D119" s="3"/>
      <c r="G119" s="14"/>
      <c r="H119" s="14"/>
    </row>
    <row r="120" spans="1:8" x14ac:dyDescent="0.25">
      <c r="A120" s="3"/>
      <c r="B120" s="3"/>
      <c r="C120" s="3"/>
      <c r="D120" s="3"/>
      <c r="G120" s="14"/>
      <c r="H120" s="14"/>
    </row>
    <row r="121" spans="1:8" x14ac:dyDescent="0.25">
      <c r="A121" s="3"/>
      <c r="B121" s="3"/>
      <c r="C121" s="3"/>
      <c r="D121" s="3"/>
      <c r="G121" s="14"/>
      <c r="H121" s="14"/>
    </row>
    <row r="122" spans="1:8" x14ac:dyDescent="0.25">
      <c r="A122" s="3"/>
      <c r="B122" s="3"/>
      <c r="C122" s="3"/>
      <c r="D122" s="3"/>
      <c r="G122" s="14"/>
      <c r="H122" s="14"/>
    </row>
    <row r="123" spans="1:8" x14ac:dyDescent="0.25">
      <c r="A123" s="3"/>
      <c r="B123" s="3"/>
      <c r="C123" s="3"/>
      <c r="D123" s="3"/>
      <c r="G123" s="14"/>
      <c r="H123" s="14"/>
    </row>
    <row r="124" spans="1:8" x14ac:dyDescent="0.25">
      <c r="A124" s="3"/>
      <c r="B124" s="3"/>
      <c r="C124" s="3"/>
      <c r="D124" s="3"/>
      <c r="G124" s="14"/>
      <c r="H124" s="14"/>
    </row>
    <row r="125" spans="1:8" x14ac:dyDescent="0.25">
      <c r="A125" s="3"/>
      <c r="B125" s="3"/>
      <c r="C125" s="3"/>
      <c r="D125" s="3"/>
      <c r="G125" s="14"/>
      <c r="H125" s="14"/>
    </row>
    <row r="126" spans="1:8" x14ac:dyDescent="0.25">
      <c r="A126" s="18"/>
      <c r="B126" s="3"/>
      <c r="C126" s="3"/>
      <c r="D126" s="3"/>
      <c r="G126" s="14"/>
      <c r="H126" s="14"/>
    </row>
    <row r="127" spans="1:8" x14ac:dyDescent="0.25">
      <c r="A127" s="3"/>
      <c r="B127" s="3"/>
      <c r="C127" s="3"/>
      <c r="D127" s="3"/>
      <c r="G127" s="14"/>
      <c r="H127" s="14"/>
    </row>
    <row r="128" spans="1:8" x14ac:dyDescent="0.25">
      <c r="A128" s="3"/>
      <c r="B128" s="3"/>
      <c r="C128" s="3"/>
      <c r="D128" s="3"/>
      <c r="G128" s="14"/>
      <c r="H128" s="14"/>
    </row>
    <row r="129" spans="1:8" x14ac:dyDescent="0.25">
      <c r="A129" s="3"/>
      <c r="B129" s="3"/>
      <c r="C129" s="3"/>
      <c r="D129" s="3"/>
      <c r="G129" s="14"/>
      <c r="H129" s="14"/>
    </row>
    <row r="130" spans="1:8" x14ac:dyDescent="0.25">
      <c r="A130" s="3"/>
      <c r="B130" s="3"/>
      <c r="C130" s="3"/>
      <c r="D130" s="3"/>
      <c r="G130" s="14"/>
      <c r="H130" s="14"/>
    </row>
    <row r="131" spans="1:8" x14ac:dyDescent="0.25">
      <c r="A131" s="3"/>
      <c r="B131" s="3"/>
      <c r="C131" s="3"/>
      <c r="D131" s="3"/>
      <c r="G131" s="14"/>
      <c r="H131" s="14"/>
    </row>
    <row r="132" spans="1:8" x14ac:dyDescent="0.25">
      <c r="A132" s="3"/>
      <c r="B132" s="3"/>
      <c r="C132" s="3"/>
      <c r="D132" s="3"/>
      <c r="G132" s="14"/>
      <c r="H132" s="14"/>
    </row>
    <row r="133" spans="1:8" x14ac:dyDescent="0.25">
      <c r="A133" s="3"/>
      <c r="B133" s="3"/>
      <c r="C133" s="3"/>
      <c r="D133" s="3"/>
      <c r="G133" s="14"/>
      <c r="H133" s="14"/>
    </row>
    <row r="134" spans="1:8" x14ac:dyDescent="0.25">
      <c r="A134" s="3"/>
      <c r="B134" s="3"/>
      <c r="C134" s="3"/>
      <c r="D134" s="3"/>
      <c r="G134" s="14"/>
      <c r="H134" s="14"/>
    </row>
    <row r="135" spans="1:8" x14ac:dyDescent="0.25">
      <c r="A135" s="3"/>
      <c r="B135" s="3"/>
      <c r="C135" s="3"/>
      <c r="D135" s="3"/>
      <c r="G135" s="14"/>
      <c r="H135" s="14"/>
    </row>
    <row r="136" spans="1:8" x14ac:dyDescent="0.25">
      <c r="A136" s="3"/>
      <c r="B136" s="3"/>
      <c r="C136" s="3"/>
      <c r="D136" s="3"/>
      <c r="G136" s="14"/>
      <c r="H136" s="14"/>
    </row>
    <row r="137" spans="1:8" x14ac:dyDescent="0.25">
      <c r="A137" s="3"/>
      <c r="B137" s="3"/>
      <c r="C137" s="3"/>
      <c r="D137" s="3"/>
      <c r="G137" s="14"/>
      <c r="H137" s="14"/>
    </row>
    <row r="138" spans="1:8" x14ac:dyDescent="0.25">
      <c r="A138" s="3"/>
      <c r="B138" s="3"/>
      <c r="C138" s="3"/>
      <c r="D138" s="3"/>
      <c r="G138" s="14"/>
      <c r="H138" s="14"/>
    </row>
    <row r="139" spans="1:8" x14ac:dyDescent="0.25">
      <c r="A139" s="3"/>
      <c r="B139" s="3"/>
      <c r="C139" s="3"/>
      <c r="D139" s="3"/>
      <c r="G139" s="14"/>
      <c r="H139" s="14"/>
    </row>
    <row r="140" spans="1:8" x14ac:dyDescent="0.25">
      <c r="A140" s="3"/>
      <c r="B140" s="3"/>
      <c r="C140" s="3"/>
      <c r="D140" s="3"/>
      <c r="G140" s="14"/>
      <c r="H140" s="14"/>
    </row>
    <row r="141" spans="1:8" x14ac:dyDescent="0.25">
      <c r="A141" s="3"/>
      <c r="B141" s="3"/>
      <c r="C141" s="3"/>
      <c r="D141" s="3"/>
      <c r="G141" s="14"/>
      <c r="H141" s="14"/>
    </row>
    <row r="142" spans="1:8" x14ac:dyDescent="0.25">
      <c r="A142" s="3"/>
      <c r="B142" s="3"/>
      <c r="C142" s="3"/>
      <c r="D142" s="3"/>
      <c r="G142" s="14"/>
      <c r="H142" s="14"/>
    </row>
    <row r="143" spans="1:8" x14ac:dyDescent="0.25">
      <c r="A143" s="3"/>
      <c r="B143" s="3"/>
      <c r="C143" s="3"/>
      <c r="D143" s="3"/>
      <c r="G143" s="14"/>
      <c r="H143" s="14"/>
    </row>
    <row r="144" spans="1:8" x14ac:dyDescent="0.25">
      <c r="A144" s="3"/>
      <c r="B144" s="3"/>
      <c r="C144" s="3"/>
      <c r="D144" s="3"/>
      <c r="G144" s="14"/>
      <c r="H144" s="14"/>
    </row>
    <row r="145" spans="1:8" x14ac:dyDescent="0.25">
      <c r="A145" s="3"/>
      <c r="B145" s="3"/>
      <c r="C145" s="3"/>
      <c r="D145" s="3"/>
      <c r="G145" s="14"/>
      <c r="H145" s="14"/>
    </row>
    <row r="146" spans="1:8" x14ac:dyDescent="0.25">
      <c r="A146" s="3"/>
      <c r="B146" s="3"/>
      <c r="C146" s="3"/>
      <c r="D146" s="3"/>
      <c r="G146" s="14"/>
      <c r="H146" s="14"/>
    </row>
    <row r="147" spans="1:8" x14ac:dyDescent="0.25">
      <c r="A147" s="3"/>
      <c r="B147" s="3"/>
      <c r="C147" s="3"/>
      <c r="D147" s="3"/>
      <c r="G147" s="14"/>
      <c r="H147" s="14"/>
    </row>
    <row r="148" spans="1:8" x14ac:dyDescent="0.25">
      <c r="A148" s="3"/>
      <c r="B148" s="3"/>
      <c r="C148" s="3"/>
      <c r="D148" s="3"/>
      <c r="G148" s="14"/>
      <c r="H148" s="14"/>
    </row>
    <row r="149" spans="1:8" x14ac:dyDescent="0.25">
      <c r="A149" s="3"/>
      <c r="B149" s="3"/>
      <c r="C149" s="3"/>
      <c r="D149" s="3"/>
      <c r="G149" s="14"/>
      <c r="H149" s="14"/>
    </row>
    <row r="150" spans="1:8" x14ac:dyDescent="0.25">
      <c r="A150" s="3"/>
      <c r="B150" s="3"/>
      <c r="C150" s="3"/>
      <c r="D150" s="3"/>
      <c r="G150" s="14"/>
      <c r="H150" s="14"/>
    </row>
    <row r="151" spans="1:8" x14ac:dyDescent="0.25">
      <c r="A151" s="3"/>
      <c r="B151" s="3"/>
      <c r="C151" s="3"/>
      <c r="D151" s="3"/>
      <c r="G151" s="14"/>
      <c r="H151" s="14"/>
    </row>
    <row r="152" spans="1:8" x14ac:dyDescent="0.25">
      <c r="A152" s="3"/>
      <c r="B152" s="3"/>
      <c r="C152" s="3"/>
      <c r="D152" s="3"/>
      <c r="G152" s="14"/>
      <c r="H152" s="14"/>
    </row>
    <row r="153" spans="1:8" x14ac:dyDescent="0.25">
      <c r="A153" s="3"/>
      <c r="B153" s="3"/>
      <c r="C153" s="3"/>
      <c r="D153" s="3"/>
      <c r="G153" s="14"/>
      <c r="H153" s="14"/>
    </row>
    <row r="154" spans="1:8" x14ac:dyDescent="0.25">
      <c r="A154" s="3"/>
      <c r="B154" s="3"/>
      <c r="C154" s="3"/>
      <c r="D154" s="3"/>
      <c r="G154" s="14"/>
      <c r="H154" s="14"/>
    </row>
    <row r="155" spans="1:8" x14ac:dyDescent="0.25">
      <c r="A155" s="3"/>
      <c r="B155" s="3"/>
      <c r="C155" s="3"/>
      <c r="D155" s="3"/>
      <c r="G155" s="14"/>
      <c r="H155" s="14"/>
    </row>
    <row r="156" spans="1:8" x14ac:dyDescent="0.25">
      <c r="A156" s="3"/>
      <c r="B156" s="3"/>
      <c r="C156" s="3"/>
      <c r="D156" s="3"/>
      <c r="G156" s="14"/>
      <c r="H156" s="14"/>
    </row>
    <row r="157" spans="1:8" x14ac:dyDescent="0.25">
      <c r="A157" s="3"/>
      <c r="B157" s="3"/>
      <c r="C157" s="3"/>
      <c r="D157" s="3"/>
      <c r="G157" s="14"/>
      <c r="H157" s="14"/>
    </row>
    <row r="158" spans="1:8" x14ac:dyDescent="0.25">
      <c r="A158" s="3"/>
      <c r="B158" s="3"/>
      <c r="C158" s="3"/>
      <c r="D158" s="3"/>
      <c r="G158" s="14"/>
      <c r="H158" s="14"/>
    </row>
    <row r="159" spans="1:8" x14ac:dyDescent="0.25">
      <c r="A159" s="3"/>
      <c r="B159" s="3"/>
      <c r="C159" s="3"/>
      <c r="D159" s="3"/>
      <c r="G159" s="14"/>
      <c r="H159" s="14"/>
    </row>
    <row r="160" spans="1:8" x14ac:dyDescent="0.25">
      <c r="A160" s="3"/>
      <c r="B160" s="3"/>
      <c r="C160" s="3"/>
      <c r="D160" s="3"/>
      <c r="G160" s="14"/>
      <c r="H160" s="14"/>
    </row>
    <row r="161" spans="1:8" x14ac:dyDescent="0.25">
      <c r="A161" s="3"/>
      <c r="B161" s="3"/>
      <c r="C161" s="3"/>
      <c r="D161" s="3"/>
      <c r="G161" s="14"/>
      <c r="H161" s="14"/>
    </row>
    <row r="162" spans="1:8" x14ac:dyDescent="0.25">
      <c r="A162" s="3"/>
      <c r="B162" s="3"/>
      <c r="C162" s="3"/>
      <c r="D162" s="3"/>
      <c r="G162" s="14"/>
      <c r="H162" s="14"/>
    </row>
    <row r="163" spans="1:8" x14ac:dyDescent="0.25">
      <c r="A163" s="3"/>
      <c r="B163" s="3"/>
      <c r="C163" s="3"/>
      <c r="D163" s="3"/>
      <c r="G163" s="14"/>
      <c r="H163" s="14"/>
    </row>
    <row r="164" spans="1:8" x14ac:dyDescent="0.25">
      <c r="A164" s="3"/>
      <c r="B164" s="3"/>
      <c r="C164" s="3"/>
      <c r="D164" s="3"/>
      <c r="G164" s="14"/>
      <c r="H164" s="14"/>
    </row>
    <row r="165" spans="1:8" x14ac:dyDescent="0.25">
      <c r="A165" s="3"/>
      <c r="B165" s="3"/>
      <c r="C165" s="3"/>
      <c r="D165" s="3"/>
      <c r="G165" s="14"/>
      <c r="H165" s="14"/>
    </row>
    <row r="166" spans="1:8" x14ac:dyDescent="0.25">
      <c r="A166" s="3"/>
      <c r="B166" s="3"/>
      <c r="C166" s="3"/>
      <c r="D166" s="3"/>
      <c r="G166" s="14"/>
      <c r="H166" s="14"/>
    </row>
    <row r="167" spans="1:8" x14ac:dyDescent="0.25">
      <c r="A167" s="3"/>
      <c r="B167" s="3"/>
      <c r="C167" s="3"/>
      <c r="D167" s="3"/>
      <c r="G167" s="14"/>
      <c r="H167" s="14"/>
    </row>
    <row r="168" spans="1:8" x14ac:dyDescent="0.25">
      <c r="A168" s="3"/>
      <c r="B168" s="3"/>
      <c r="C168" s="3"/>
      <c r="D168" s="3"/>
      <c r="G168" s="14"/>
      <c r="H168" s="14"/>
    </row>
    <row r="169" spans="1:8" x14ac:dyDescent="0.25">
      <c r="A169" s="3"/>
      <c r="B169" s="3"/>
      <c r="C169" s="3"/>
      <c r="D169" s="3"/>
      <c r="G169" s="14"/>
      <c r="H169" s="14"/>
    </row>
    <row r="170" spans="1:8" x14ac:dyDescent="0.25">
      <c r="A170" s="3"/>
      <c r="B170" s="3"/>
      <c r="C170" s="3"/>
      <c r="D170" s="3"/>
      <c r="G170" s="14"/>
      <c r="H170" s="14"/>
    </row>
    <row r="171" spans="1:8" x14ac:dyDescent="0.25">
      <c r="A171" s="3"/>
      <c r="B171" s="3"/>
      <c r="C171" s="3"/>
      <c r="D171" s="3"/>
      <c r="G171" s="14"/>
      <c r="H171" s="14"/>
    </row>
    <row r="172" spans="1:8" x14ac:dyDescent="0.25">
      <c r="A172" s="3"/>
      <c r="B172" s="3"/>
      <c r="C172" s="3"/>
      <c r="D172" s="3"/>
      <c r="G172" s="14"/>
      <c r="H172" s="14"/>
    </row>
    <row r="173" spans="1:8" x14ac:dyDescent="0.25">
      <c r="A173" s="3"/>
      <c r="B173" s="3"/>
      <c r="C173" s="3"/>
      <c r="D173" s="3"/>
      <c r="G173" s="14"/>
      <c r="H173" s="14"/>
    </row>
    <row r="174" spans="1:8" x14ac:dyDescent="0.25">
      <c r="A174" s="3"/>
      <c r="B174" s="3"/>
      <c r="C174" s="3"/>
      <c r="D174" s="3"/>
      <c r="G174" s="14"/>
      <c r="H174" s="14"/>
    </row>
    <row r="175" spans="1:8" x14ac:dyDescent="0.25">
      <c r="A175" s="3"/>
      <c r="B175" s="3"/>
      <c r="C175" s="3"/>
      <c r="D175" s="3"/>
      <c r="G175" s="14"/>
      <c r="H175" s="14"/>
    </row>
    <row r="176" spans="1:8" x14ac:dyDescent="0.25">
      <c r="A176" s="3"/>
      <c r="B176" s="3"/>
      <c r="C176" s="3"/>
      <c r="D176" s="3"/>
      <c r="G176" s="14"/>
      <c r="H176" s="14"/>
    </row>
    <row r="177" spans="1:8" x14ac:dyDescent="0.25">
      <c r="A177" s="3"/>
      <c r="B177" s="3"/>
      <c r="C177" s="3"/>
      <c r="D177" s="3"/>
      <c r="G177" s="14"/>
      <c r="H177" s="14"/>
    </row>
    <row r="178" spans="1:8" x14ac:dyDescent="0.25">
      <c r="A178" s="3"/>
      <c r="B178" s="3"/>
      <c r="C178" s="3"/>
      <c r="D178" s="3"/>
      <c r="G178" s="14"/>
      <c r="H178" s="14"/>
    </row>
    <row r="179" spans="1:8" x14ac:dyDescent="0.25">
      <c r="A179" s="3"/>
      <c r="B179" s="3"/>
      <c r="C179" s="3"/>
      <c r="D179" s="3"/>
      <c r="G179" s="14"/>
      <c r="H179" s="14"/>
    </row>
    <row r="180" spans="1:8" x14ac:dyDescent="0.25">
      <c r="A180" s="3"/>
      <c r="B180" s="3"/>
      <c r="C180" s="3"/>
      <c r="D180" s="3"/>
      <c r="G180" s="14"/>
      <c r="H180" s="14"/>
    </row>
    <row r="181" spans="1:8" x14ac:dyDescent="0.25">
      <c r="A181" s="3"/>
      <c r="B181" s="3"/>
      <c r="C181" s="3"/>
      <c r="D181" s="3"/>
      <c r="G181" s="14"/>
      <c r="H181" s="14"/>
    </row>
    <row r="182" spans="1:8" x14ac:dyDescent="0.25">
      <c r="A182" s="3"/>
      <c r="B182" s="3"/>
      <c r="C182" s="3"/>
      <c r="D182" s="3"/>
      <c r="G182" s="14"/>
      <c r="H182" s="14"/>
    </row>
    <row r="183" spans="1:8" x14ac:dyDescent="0.25">
      <c r="A183" s="3"/>
      <c r="B183" s="3"/>
      <c r="C183" s="3"/>
      <c r="D183" s="3"/>
      <c r="G183" s="14"/>
      <c r="H183" s="14"/>
    </row>
    <row r="184" spans="1:8" x14ac:dyDescent="0.25">
      <c r="A184" s="3"/>
      <c r="B184" s="3"/>
      <c r="C184" s="3"/>
      <c r="D184" s="3"/>
      <c r="G184" s="14"/>
      <c r="H184" s="14"/>
    </row>
    <row r="185" spans="1:8" x14ac:dyDescent="0.25">
      <c r="A185" s="3"/>
      <c r="B185" s="3"/>
      <c r="C185" s="3"/>
      <c r="D185" s="3"/>
      <c r="G185" s="14"/>
      <c r="H185" s="14"/>
    </row>
    <row r="186" spans="1:8" x14ac:dyDescent="0.25">
      <c r="A186" s="3"/>
      <c r="B186" s="3"/>
      <c r="C186" s="3"/>
      <c r="D186" s="3"/>
      <c r="G186" s="14"/>
      <c r="H186" s="14"/>
    </row>
    <row r="187" spans="1:8" x14ac:dyDescent="0.25">
      <c r="A187" s="3"/>
      <c r="B187" s="3"/>
      <c r="C187" s="3"/>
      <c r="D187" s="3"/>
      <c r="G187" s="14"/>
      <c r="H187" s="14"/>
    </row>
    <row r="188" spans="1:8" x14ac:dyDescent="0.25">
      <c r="A188" s="3"/>
      <c r="B188" s="3"/>
      <c r="C188" s="3"/>
      <c r="D188" s="3"/>
      <c r="G188" s="14"/>
      <c r="H188" s="14"/>
    </row>
    <row r="189" spans="1:8" x14ac:dyDescent="0.25">
      <c r="A189" s="3"/>
      <c r="B189" s="3"/>
      <c r="C189" s="3"/>
      <c r="D189" s="3"/>
      <c r="G189" s="14"/>
      <c r="H189" s="14"/>
    </row>
    <row r="190" spans="1:8" x14ac:dyDescent="0.25">
      <c r="A190" s="3"/>
      <c r="B190" s="3"/>
      <c r="C190" s="3"/>
      <c r="D190" s="3"/>
      <c r="G190" s="14"/>
      <c r="H190" s="14"/>
    </row>
    <row r="191" spans="1:8" x14ac:dyDescent="0.25">
      <c r="A191" s="3"/>
      <c r="B191" s="3"/>
      <c r="C191" s="3"/>
      <c r="D191" s="3"/>
      <c r="G191" s="14"/>
      <c r="H191" s="14"/>
    </row>
    <row r="192" spans="1:8" x14ac:dyDescent="0.25">
      <c r="A192" s="3"/>
      <c r="B192" s="3"/>
      <c r="C192" s="3"/>
      <c r="D192" s="3"/>
      <c r="G192" s="14"/>
      <c r="H192" s="14"/>
    </row>
    <row r="193" spans="1:8" x14ac:dyDescent="0.25">
      <c r="A193" s="3"/>
      <c r="B193" s="3"/>
      <c r="C193" s="3"/>
      <c r="D193" s="3"/>
      <c r="G193" s="14"/>
      <c r="H193" s="14"/>
    </row>
    <row r="194" spans="1:8" x14ac:dyDescent="0.25">
      <c r="A194" s="3"/>
      <c r="B194" s="3"/>
      <c r="C194" s="3"/>
      <c r="D194" s="3"/>
      <c r="G194" s="14"/>
      <c r="H194" s="14"/>
    </row>
    <row r="195" spans="1:8" x14ac:dyDescent="0.25">
      <c r="A195" s="3"/>
      <c r="B195" s="3"/>
      <c r="C195" s="3"/>
      <c r="D195" s="3"/>
      <c r="G195" s="14"/>
      <c r="H195" s="14"/>
    </row>
    <row r="196" spans="1:8" x14ac:dyDescent="0.25">
      <c r="A196" s="3"/>
      <c r="B196" s="3"/>
      <c r="C196" s="3"/>
      <c r="D196" s="3"/>
      <c r="G196" s="14"/>
      <c r="H196" s="14"/>
    </row>
    <row r="197" spans="1:8" x14ac:dyDescent="0.25">
      <c r="A197" s="3"/>
      <c r="B197" s="3"/>
      <c r="C197" s="3"/>
      <c r="D197" s="3"/>
      <c r="G197" s="14"/>
      <c r="H197" s="14"/>
    </row>
    <row r="198" spans="1:8" x14ac:dyDescent="0.25">
      <c r="A198" s="3"/>
      <c r="B198" s="3"/>
      <c r="C198" s="3"/>
      <c r="D198" s="3"/>
      <c r="G198" s="14"/>
      <c r="H198" s="14"/>
    </row>
    <row r="199" spans="1:8" x14ac:dyDescent="0.25">
      <c r="A199" s="3"/>
      <c r="B199" s="3"/>
      <c r="C199" s="3"/>
      <c r="D199" s="3"/>
      <c r="G199" s="14"/>
      <c r="H199" s="14"/>
    </row>
    <row r="200" spans="1:8" x14ac:dyDescent="0.25">
      <c r="A200" s="3"/>
      <c r="B200" s="3"/>
      <c r="C200" s="3"/>
      <c r="D200" s="3"/>
      <c r="G200" s="14"/>
      <c r="H200" s="14"/>
    </row>
    <row r="201" spans="1:8" x14ac:dyDescent="0.25">
      <c r="A201" s="3"/>
      <c r="B201" s="3"/>
      <c r="C201" s="3"/>
      <c r="D201" s="3"/>
      <c r="G201" s="14"/>
      <c r="H201" s="14"/>
    </row>
    <row r="202" spans="1:8" x14ac:dyDescent="0.25">
      <c r="A202" s="3"/>
      <c r="B202" s="3"/>
      <c r="C202" s="3"/>
      <c r="D202" s="3"/>
      <c r="G202" s="14"/>
      <c r="H202" s="14"/>
    </row>
    <row r="203" spans="1:8" x14ac:dyDescent="0.25">
      <c r="A203" s="3"/>
      <c r="B203" s="3"/>
      <c r="C203" s="3"/>
      <c r="D203" s="3"/>
      <c r="G203" s="14"/>
      <c r="H203" s="14"/>
    </row>
    <row r="204" spans="1:8" x14ac:dyDescent="0.25">
      <c r="A204" s="3"/>
      <c r="B204" s="3"/>
      <c r="C204" s="3"/>
      <c r="D204" s="3"/>
      <c r="G204" s="14"/>
      <c r="H204" s="14"/>
    </row>
    <row r="205" spans="1:8" x14ac:dyDescent="0.25">
      <c r="A205" s="3"/>
      <c r="B205" s="3"/>
      <c r="C205" s="3"/>
      <c r="D205" s="3"/>
      <c r="G205" s="14"/>
      <c r="H205" s="14"/>
    </row>
    <row r="206" spans="1:8" x14ac:dyDescent="0.25">
      <c r="A206" s="3"/>
      <c r="B206" s="3"/>
      <c r="C206" s="3"/>
      <c r="D206" s="3"/>
      <c r="G206" s="14"/>
      <c r="H206" s="14"/>
    </row>
    <row r="207" spans="1:8" x14ac:dyDescent="0.25">
      <c r="A207" s="3"/>
      <c r="B207" s="3"/>
      <c r="C207" s="3"/>
      <c r="D207" s="3"/>
      <c r="G207" s="14"/>
      <c r="H207" s="14"/>
    </row>
    <row r="208" spans="1:8" x14ac:dyDescent="0.25">
      <c r="A208" s="3"/>
      <c r="B208" s="3"/>
      <c r="C208" s="3"/>
      <c r="D208" s="3"/>
      <c r="G208" s="14"/>
      <c r="H208" s="14"/>
    </row>
    <row r="209" spans="1:8" x14ac:dyDescent="0.25">
      <c r="A209" s="3"/>
      <c r="B209" s="3"/>
      <c r="C209" s="3"/>
      <c r="D209" s="3"/>
      <c r="G209" s="14"/>
      <c r="H209" s="14"/>
    </row>
    <row r="210" spans="1:8" x14ac:dyDescent="0.25">
      <c r="A210" s="3"/>
      <c r="B210" s="3"/>
      <c r="C210" s="3"/>
      <c r="D210" s="3"/>
      <c r="G210" s="14"/>
      <c r="H210" s="14"/>
    </row>
    <row r="211" spans="1:8" x14ac:dyDescent="0.25">
      <c r="A211" s="3"/>
      <c r="B211" s="3"/>
      <c r="C211" s="3"/>
      <c r="D211" s="3"/>
      <c r="G211" s="14"/>
      <c r="H211" s="14"/>
    </row>
    <row r="212" spans="1:8" x14ac:dyDescent="0.25">
      <c r="A212" s="3"/>
      <c r="B212" s="3"/>
      <c r="C212" s="3"/>
      <c r="D212" s="3"/>
      <c r="G212" s="14"/>
      <c r="H212" s="14"/>
    </row>
    <row r="213" spans="1:8" x14ac:dyDescent="0.25">
      <c r="A213" s="3"/>
      <c r="B213" s="3"/>
      <c r="C213" s="3"/>
      <c r="D213" s="3"/>
      <c r="G213" s="14"/>
      <c r="H213" s="14"/>
    </row>
    <row r="214" spans="1:8" x14ac:dyDescent="0.25">
      <c r="A214" s="3"/>
      <c r="B214" s="3"/>
      <c r="C214" s="3"/>
      <c r="D214" s="3"/>
      <c r="G214" s="14"/>
      <c r="H214" s="14"/>
    </row>
    <row r="215" spans="1:8" x14ac:dyDescent="0.25">
      <c r="A215" s="3"/>
      <c r="B215" s="3"/>
      <c r="C215" s="3"/>
      <c r="D215" s="3"/>
      <c r="G215" s="14"/>
      <c r="H215" s="14"/>
    </row>
    <row r="216" spans="1:8" x14ac:dyDescent="0.25">
      <c r="A216" s="3"/>
      <c r="B216" s="3"/>
      <c r="C216" s="3"/>
      <c r="D216" s="3"/>
      <c r="G216" s="14"/>
      <c r="H216" s="14"/>
    </row>
    <row r="217" spans="1:8" x14ac:dyDescent="0.25">
      <c r="A217" s="3"/>
      <c r="B217" s="3"/>
      <c r="C217" s="3"/>
      <c r="D217" s="3"/>
      <c r="G217" s="14"/>
      <c r="H217" s="14"/>
    </row>
    <row r="218" spans="1:8" x14ac:dyDescent="0.25">
      <c r="A218" s="3"/>
      <c r="B218" s="3"/>
      <c r="C218" s="3"/>
      <c r="D218" s="3"/>
      <c r="G218" s="14"/>
      <c r="H218" s="14"/>
    </row>
    <row r="219" spans="1:8" x14ac:dyDescent="0.25">
      <c r="A219" s="3"/>
      <c r="B219" s="3"/>
      <c r="C219" s="3"/>
      <c r="D219" s="3"/>
      <c r="G219" s="14"/>
      <c r="H219" s="14"/>
    </row>
    <row r="220" spans="1:8" x14ac:dyDescent="0.25">
      <c r="A220" s="3"/>
      <c r="B220" s="3"/>
      <c r="C220" s="3"/>
      <c r="D220" s="3"/>
      <c r="G220" s="14"/>
      <c r="H220" s="14"/>
    </row>
    <row r="221" spans="1:8" x14ac:dyDescent="0.25">
      <c r="A221" s="3"/>
      <c r="B221" s="3"/>
      <c r="C221" s="3"/>
      <c r="D221" s="3"/>
      <c r="G221" s="14"/>
      <c r="H221" s="14"/>
    </row>
    <row r="222" spans="1:8" x14ac:dyDescent="0.25">
      <c r="A222" s="3"/>
      <c r="B222" s="3"/>
      <c r="C222" s="3"/>
      <c r="D222" s="3"/>
      <c r="G222" s="14"/>
      <c r="H222" s="14"/>
    </row>
    <row r="223" spans="1:8" x14ac:dyDescent="0.25">
      <c r="A223" s="3"/>
      <c r="B223" s="3"/>
      <c r="C223" s="3"/>
      <c r="D223" s="3"/>
      <c r="G223" s="14"/>
      <c r="H223" s="14"/>
    </row>
    <row r="224" spans="1:8" x14ac:dyDescent="0.25">
      <c r="A224" s="3"/>
      <c r="B224" s="3"/>
      <c r="C224" s="3"/>
      <c r="D224" s="3"/>
      <c r="G224" s="14"/>
      <c r="H224" s="14"/>
    </row>
    <row r="225" spans="1:8" x14ac:dyDescent="0.25">
      <c r="A225" s="3"/>
      <c r="B225" s="3"/>
      <c r="C225" s="3"/>
      <c r="D225" s="3"/>
      <c r="G225" s="14"/>
      <c r="H225" s="14"/>
    </row>
    <row r="226" spans="1:8" x14ac:dyDescent="0.25">
      <c r="A226" s="3"/>
      <c r="B226" s="3"/>
      <c r="C226" s="3"/>
      <c r="D226" s="3"/>
      <c r="G226" s="14"/>
      <c r="H226" s="14"/>
    </row>
    <row r="227" spans="1:8" x14ac:dyDescent="0.25">
      <c r="A227" s="3"/>
      <c r="B227" s="3"/>
      <c r="C227" s="3"/>
      <c r="D227" s="3"/>
      <c r="G227" s="14"/>
      <c r="H227" s="14"/>
    </row>
    <row r="228" spans="1:8" x14ac:dyDescent="0.25">
      <c r="A228" s="3"/>
      <c r="B228" s="3"/>
      <c r="C228" s="3"/>
      <c r="D228" s="3"/>
      <c r="G228" s="14"/>
      <c r="H228" s="14"/>
    </row>
    <row r="229" spans="1:8" x14ac:dyDescent="0.25">
      <c r="A229" s="3"/>
      <c r="B229" s="3"/>
      <c r="C229" s="3"/>
      <c r="D229" s="3"/>
      <c r="G229" s="14"/>
      <c r="H229" s="14"/>
    </row>
    <row r="230" spans="1:8" x14ac:dyDescent="0.25">
      <c r="A230" s="3"/>
      <c r="B230" s="3"/>
      <c r="C230" s="3"/>
      <c r="D230" s="3"/>
      <c r="G230" s="14"/>
      <c r="H230" s="14"/>
    </row>
    <row r="231" spans="1:8" x14ac:dyDescent="0.25">
      <c r="A231" s="3"/>
      <c r="B231" s="3"/>
      <c r="C231" s="3"/>
      <c r="D231" s="3"/>
      <c r="G231" s="14"/>
      <c r="H231" s="14"/>
    </row>
    <row r="232" spans="1:8" x14ac:dyDescent="0.25">
      <c r="A232" s="3"/>
      <c r="B232" s="3"/>
      <c r="C232" s="3"/>
      <c r="D232" s="3"/>
      <c r="G232" s="14"/>
      <c r="H232" s="14"/>
    </row>
    <row r="233" spans="1:8" x14ac:dyDescent="0.25">
      <c r="A233" s="3"/>
      <c r="B233" s="3"/>
      <c r="C233" s="3"/>
      <c r="D233" s="3"/>
      <c r="G233" s="14"/>
      <c r="H233" s="14"/>
    </row>
    <row r="234" spans="1:8" x14ac:dyDescent="0.25">
      <c r="A234" s="3"/>
      <c r="B234" s="3"/>
      <c r="C234" s="3"/>
      <c r="D234" s="3"/>
      <c r="G234" s="14"/>
      <c r="H234" s="14"/>
    </row>
    <row r="235" spans="1:8" x14ac:dyDescent="0.25">
      <c r="A235" s="3"/>
      <c r="B235" s="3"/>
      <c r="C235" s="3"/>
      <c r="D235" s="3"/>
      <c r="G235" s="14"/>
      <c r="H235" s="14"/>
    </row>
    <row r="236" spans="1:8" x14ac:dyDescent="0.25">
      <c r="A236" s="3"/>
      <c r="B236" s="3"/>
      <c r="C236" s="3"/>
      <c r="D236" s="3"/>
      <c r="G236" s="14"/>
      <c r="H236" s="14"/>
    </row>
    <row r="237" spans="1:8" x14ac:dyDescent="0.25">
      <c r="A237" s="3"/>
      <c r="B237" s="3"/>
      <c r="C237" s="3"/>
      <c r="D237" s="3"/>
      <c r="G237" s="14"/>
      <c r="H237" s="14"/>
    </row>
    <row r="238" spans="1:8" x14ac:dyDescent="0.25">
      <c r="A238" s="3"/>
      <c r="B238" s="3"/>
      <c r="C238" s="3"/>
      <c r="D238" s="3"/>
      <c r="G238" s="14"/>
      <c r="H238" s="14"/>
    </row>
    <row r="239" spans="1:8" x14ac:dyDescent="0.25">
      <c r="A239" s="3"/>
      <c r="B239" s="3"/>
      <c r="C239" s="3"/>
      <c r="D239" s="3"/>
      <c r="G239" s="14"/>
      <c r="H239" s="14"/>
    </row>
    <row r="240" spans="1:8" x14ac:dyDescent="0.25">
      <c r="A240" s="3"/>
      <c r="B240" s="3"/>
      <c r="C240" s="3"/>
      <c r="D240" s="3"/>
      <c r="G240" s="14"/>
      <c r="H240" s="14"/>
    </row>
    <row r="241" spans="1:8" x14ac:dyDescent="0.25">
      <c r="A241" s="3"/>
      <c r="B241" s="3"/>
      <c r="C241" s="3"/>
      <c r="D241" s="3"/>
      <c r="G241" s="14"/>
      <c r="H241" s="14"/>
    </row>
    <row r="242" spans="1:8" x14ac:dyDescent="0.25">
      <c r="A242" s="3"/>
      <c r="B242" s="3"/>
      <c r="C242" s="3"/>
      <c r="D242" s="3"/>
      <c r="G242" s="14"/>
      <c r="H242" s="14"/>
    </row>
    <row r="243" spans="1:8" x14ac:dyDescent="0.25">
      <c r="A243" s="3"/>
      <c r="B243" s="3"/>
      <c r="C243" s="3"/>
      <c r="D243" s="3"/>
      <c r="G243" s="14"/>
      <c r="H243" s="14"/>
    </row>
    <row r="244" spans="1:8" x14ac:dyDescent="0.25">
      <c r="A244" s="3"/>
      <c r="B244" s="3"/>
      <c r="C244" s="3"/>
      <c r="D244" s="3"/>
      <c r="G244" s="14"/>
      <c r="H244" s="14"/>
    </row>
    <row r="245" spans="1:8" x14ac:dyDescent="0.25">
      <c r="A245" s="3"/>
      <c r="B245" s="3"/>
      <c r="C245" s="3"/>
      <c r="D245" s="3"/>
      <c r="G245" s="14"/>
      <c r="H245" s="14"/>
    </row>
    <row r="247" spans="1:8" x14ac:dyDescent="0.25">
      <c r="A247" s="3"/>
      <c r="G247" s="14"/>
      <c r="H247" s="14"/>
    </row>
  </sheetData>
  <phoneticPr fontId="1" type="noConversion"/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179C92-9E2C-47E8-A63F-CF0F5FAF034D}">
  <sheetPr/>
  <dimension ref="A1:J247"/>
  <sheetViews>
    <sheetView topLeftCell="A92" zoomScale="115" zoomScaleNormal="115" workbookViewId="0">
      <selection activeCell="A5" sqref="A5:H146"/>
    </sheetView>
  </sheetViews>
  <sheetFormatPr defaultRowHeight="15" x14ac:dyDescent="0.25"/>
  <cols>
    <col min="1" max="1" width="8.875" style="4" customWidth="1"/>
    <col min="2" max="3" width="15.125" style="4" customWidth="1"/>
    <col min="4" max="4" width="10.25" style="4" customWidth="1"/>
    <col min="5" max="5" width="12" style="13" customWidth="1"/>
    <col min="6" max="6" width="15" style="13" customWidth="1"/>
    <col min="7" max="7" width="13.875" customWidth="1"/>
    <col min="8" max="8" width="11.125" customWidth="1"/>
    <col min="11" max="12" width="15.125" customWidth="1"/>
    <col min="13" max="13" width="11.125" customWidth="1"/>
  </cols>
  <sheetData>
    <row r="1" spans="1:10" ht="14.25" x14ac:dyDescent="0.2">
      <c r="A1" s="2" t="s">
        <v>12</v>
      </c>
      <c r="B1" s="2" t="s">
        <v>4</v>
      </c>
      <c r="C1" s="2" t="s">
        <v>5</v>
      </c>
      <c r="D1" s="2" t="s">
        <v>13</v>
      </c>
      <c r="E1" s="2" t="s">
        <v>14</v>
      </c>
      <c r="F1" s="2" t="s">
        <v>15</v>
      </c>
      <c r="G1" s="2" t="s">
        <v>16</v>
      </c>
    </row>
    <row r="2" spans="1:10" x14ac:dyDescent="0.25">
      <c r="A2" s="11">
        <v>37</v>
      </c>
      <c r="B2" s="3">
        <v>113.29338559999999</v>
      </c>
      <c r="C2" s="8">
        <v>23.044805440000001</v>
      </c>
      <c r="D2" s="3">
        <v>1225</v>
      </c>
      <c r="E2" s="13">
        <v>1715</v>
      </c>
      <c r="F2" s="13">
        <v>29</v>
      </c>
      <c r="G2" s="19">
        <f>SUBTOTAL(2,A5:A250)</f>
        <v>48</v>
      </c>
    </row>
    <row r="3" spans="1:10" x14ac:dyDescent="0.25">
      <c r="A3" s="3"/>
      <c r="B3" s="3"/>
      <c r="C3" s="3"/>
      <c r="D3" s="3"/>
    </row>
    <row r="4" spans="1:10" ht="14.25" x14ac:dyDescent="0.2">
      <c r="A4" s="2" t="s">
        <v>0</v>
      </c>
      <c r="B4" s="2" t="s">
        <v>1</v>
      </c>
      <c r="C4" s="2" t="s">
        <v>2</v>
      </c>
      <c r="D4" s="2" t="s">
        <v>3</v>
      </c>
      <c r="E4" s="2" t="s">
        <v>7</v>
      </c>
      <c r="F4" s="2" t="s">
        <v>8</v>
      </c>
      <c r="G4" s="2" t="s">
        <v>13</v>
      </c>
      <c r="H4" s="2" t="s">
        <v>14</v>
      </c>
      <c r="I4" s="24" t="s">
        <v>20</v>
      </c>
    </row>
    <row r="5" spans="1:10" x14ac:dyDescent="0.25">
      <c r="A5" s="3">
        <v>236</v>
      </c>
      <c r="B5" s="3">
        <v>113.2932644</v>
      </c>
      <c r="C5" s="3">
        <v>23.045053029999998</v>
      </c>
      <c r="D5" s="3">
        <v>37</v>
      </c>
      <c r="E5" s="13">
        <f t="shared" ref="E5:E36" si="0">SQRT((B5-$B$2)^2+(C5-$C$2)^2)</f>
        <v>2.756632875401823E-4</v>
      </c>
      <c r="F5" s="13">
        <f t="shared" ref="F5:F36" si="1">SQRT(1/E5)</f>
        <v>60.229677035223531</v>
      </c>
      <c r="G5" s="14">
        <f>F5/$F$150*$D$2</f>
        <v>96.740801062589981</v>
      </c>
      <c r="H5" s="14">
        <f>F5/$F$150*$E$2</f>
        <v>135.43712148762597</v>
      </c>
      <c r="I5" s="25" t="str">
        <f>IF(MOD(ROW()-1,3)=1,"选中","")</f>
        <v>选中</v>
      </c>
      <c r="J5" s="25"/>
    </row>
    <row r="6" spans="1:10" hidden="1" x14ac:dyDescent="0.25">
      <c r="A6" s="3">
        <v>202</v>
      </c>
      <c r="B6" s="3">
        <v>113.29359479999999</v>
      </c>
      <c r="C6" s="3">
        <v>23.045510310000001</v>
      </c>
      <c r="D6" s="3">
        <v>37</v>
      </c>
      <c r="E6" s="13">
        <f t="shared" si="0"/>
        <v>7.3525938069499901E-4</v>
      </c>
      <c r="F6" s="13">
        <f t="shared" si="1"/>
        <v>36.879048964174267</v>
      </c>
      <c r="G6" s="14">
        <f>F6/$F$124*$D$2</f>
        <v>4266.3475516629996</v>
      </c>
      <c r="H6" s="14">
        <f>F6/$F$124*$E$2</f>
        <v>5972.8865723281997</v>
      </c>
      <c r="I6" s="25" t="str">
        <f t="shared" ref="I6:I69" si="2">IF(MOD(ROW()-1,3)=1,"选中","")</f>
        <v/>
      </c>
    </row>
    <row r="7" spans="1:10" hidden="1" x14ac:dyDescent="0.25">
      <c r="A7" s="3">
        <v>222</v>
      </c>
      <c r="B7" s="3">
        <v>113.2941359</v>
      </c>
      <c r="C7" s="3">
        <v>23.045110619999999</v>
      </c>
      <c r="D7" s="3">
        <v>37</v>
      </c>
      <c r="E7" s="13">
        <f t="shared" si="0"/>
        <v>8.0999069279185222E-4</v>
      </c>
      <c r="F7" s="13">
        <f t="shared" si="1"/>
        <v>35.136620313462409</v>
      </c>
      <c r="G7" s="14">
        <f>F7/$F$124*$D$2</f>
        <v>4064.7749402018562</v>
      </c>
      <c r="H7" s="14">
        <f>F7/$F$124*$E$2</f>
        <v>5690.6849162825984</v>
      </c>
      <c r="I7" s="25" t="str">
        <f t="shared" si="2"/>
        <v/>
      </c>
    </row>
    <row r="8" spans="1:10" x14ac:dyDescent="0.25">
      <c r="A8" s="3">
        <v>208</v>
      </c>
      <c r="B8" s="3">
        <v>113.29382440000001</v>
      </c>
      <c r="C8" s="3">
        <v>23.045686870000001</v>
      </c>
      <c r="D8" s="3">
        <v>37</v>
      </c>
      <c r="E8" s="13">
        <f t="shared" si="0"/>
        <v>9.8461377448724957E-4</v>
      </c>
      <c r="F8" s="13">
        <f t="shared" si="1"/>
        <v>31.868898017353111</v>
      </c>
      <c r="G8" s="14">
        <f>F8/$F$150*$D$2</f>
        <v>51.18776780718435</v>
      </c>
      <c r="H8" s="14">
        <f>F8/$F$150*$E$2</f>
        <v>71.662874930058095</v>
      </c>
      <c r="I8" s="25" t="str">
        <f t="shared" si="2"/>
        <v>选中</v>
      </c>
    </row>
    <row r="9" spans="1:10" hidden="1" x14ac:dyDescent="0.25">
      <c r="A9" s="3">
        <v>215</v>
      </c>
      <c r="B9" s="3">
        <v>113.293451</v>
      </c>
      <c r="C9" s="3">
        <v>23.045843399999999</v>
      </c>
      <c r="D9" s="3">
        <v>37</v>
      </c>
      <c r="E9" s="13">
        <f t="shared" si="0"/>
        <v>1.040018327529415E-3</v>
      </c>
      <c r="F9" s="13">
        <f t="shared" si="1"/>
        <v>31.008410423720186</v>
      </c>
      <c r="G9" s="14">
        <f>F9/$F$124*$D$2</f>
        <v>3587.2035642978281</v>
      </c>
      <c r="H9" s="14">
        <f>F9/$F$124*$E$2</f>
        <v>5022.0849900169587</v>
      </c>
      <c r="I9" s="25" t="str">
        <f t="shared" si="2"/>
        <v/>
      </c>
    </row>
    <row r="10" spans="1:10" hidden="1" x14ac:dyDescent="0.25">
      <c r="A10" s="3">
        <v>248</v>
      </c>
      <c r="B10" s="3">
        <v>113.29229309999999</v>
      </c>
      <c r="C10" s="3">
        <v>23.044696720000001</v>
      </c>
      <c r="D10" s="3">
        <v>37</v>
      </c>
      <c r="E10" s="13">
        <f t="shared" si="0"/>
        <v>1.0978963012948778E-3</v>
      </c>
      <c r="F10" s="13">
        <f t="shared" si="1"/>
        <v>30.180007197034165</v>
      </c>
      <c r="G10" s="14">
        <f>F10/$F$124*$D$2</f>
        <v>3491.3698544482345</v>
      </c>
      <c r="H10" s="14">
        <f>F10/$F$124*$E$2</f>
        <v>4887.917796227528</v>
      </c>
      <c r="I10" s="25" t="str">
        <f t="shared" si="2"/>
        <v/>
      </c>
    </row>
    <row r="11" spans="1:10" x14ac:dyDescent="0.25">
      <c r="A11" s="3">
        <v>207</v>
      </c>
      <c r="B11" s="3">
        <v>113.2944114</v>
      </c>
      <c r="C11" s="3">
        <v>23.045317090000001</v>
      </c>
      <c r="D11" s="3">
        <v>37</v>
      </c>
      <c r="E11" s="13">
        <f t="shared" si="0"/>
        <v>1.1463207938950054E-3</v>
      </c>
      <c r="F11" s="13">
        <f t="shared" si="1"/>
        <v>29.535675967573091</v>
      </c>
      <c r="G11" s="14">
        <f>F11/$F$150*$D$2</f>
        <v>47.440150664548618</v>
      </c>
      <c r="H11" s="14">
        <f>F11/$F$150*$E$2</f>
        <v>66.416210930368067</v>
      </c>
      <c r="I11" s="25" t="str">
        <f t="shared" si="2"/>
        <v>选中</v>
      </c>
    </row>
    <row r="12" spans="1:10" hidden="1" x14ac:dyDescent="0.25">
      <c r="A12" s="3">
        <v>204</v>
      </c>
      <c r="B12" s="3">
        <v>113.2938164</v>
      </c>
      <c r="C12" s="3">
        <v>23.045903790000001</v>
      </c>
      <c r="D12" s="3">
        <v>37</v>
      </c>
      <c r="E12" s="13">
        <f t="shared" si="0"/>
        <v>1.179814122013315E-3</v>
      </c>
      <c r="F12" s="13">
        <f t="shared" si="1"/>
        <v>29.113418604252015</v>
      </c>
      <c r="G12" s="14">
        <f>F12/$F$124*$D$2</f>
        <v>3367.9817042855698</v>
      </c>
      <c r="H12" s="14">
        <f>F12/$F$124*$E$2</f>
        <v>4715.1743859997978</v>
      </c>
      <c r="I12" s="25" t="str">
        <f t="shared" si="2"/>
        <v/>
      </c>
    </row>
    <row r="13" spans="1:10" hidden="1" x14ac:dyDescent="0.25">
      <c r="A13" s="3">
        <v>206</v>
      </c>
      <c r="B13" s="3">
        <v>113.29393810000001</v>
      </c>
      <c r="C13" s="3">
        <v>23.046160489999998</v>
      </c>
      <c r="D13" s="3">
        <v>37</v>
      </c>
      <c r="E13" s="13">
        <f t="shared" si="0"/>
        <v>1.4633580397516337E-3</v>
      </c>
      <c r="F13" s="13">
        <f t="shared" si="1"/>
        <v>26.141150716706289</v>
      </c>
      <c r="G13" s="14">
        <f>F13/$F$124*$D$2</f>
        <v>3024.1353150460909</v>
      </c>
      <c r="H13" s="14">
        <f>F13/$F$124*$E$2</f>
        <v>4233.7894410645267</v>
      </c>
      <c r="I13" s="25" t="str">
        <f t="shared" si="2"/>
        <v/>
      </c>
    </row>
    <row r="14" spans="1:10" x14ac:dyDescent="0.25">
      <c r="A14" s="3">
        <v>232</v>
      </c>
      <c r="B14" s="3">
        <v>113.2918868</v>
      </c>
      <c r="C14" s="3">
        <v>23.044745330000001</v>
      </c>
      <c r="D14" s="3">
        <v>37</v>
      </c>
      <c r="E14" s="13">
        <f t="shared" si="0"/>
        <v>1.5000048840185154E-3</v>
      </c>
      <c r="F14" s="13">
        <f t="shared" si="1"/>
        <v>25.819846939880158</v>
      </c>
      <c r="G14" s="14">
        <f>F14/$F$150*$D$2</f>
        <v>41.471792631673686</v>
      </c>
      <c r="H14" s="14">
        <f>F14/$F$150*$E$2</f>
        <v>58.06050968434316</v>
      </c>
      <c r="I14" s="25" t="str">
        <f t="shared" si="2"/>
        <v>选中</v>
      </c>
    </row>
    <row r="15" spans="1:10" hidden="1" x14ac:dyDescent="0.25">
      <c r="A15" s="3">
        <v>205</v>
      </c>
      <c r="B15" s="3">
        <v>113.29463990000001</v>
      </c>
      <c r="C15" s="3">
        <v>23.04566457</v>
      </c>
      <c r="D15" s="3">
        <v>37</v>
      </c>
      <c r="E15" s="13">
        <f t="shared" si="0"/>
        <v>1.5203199817576175E-3</v>
      </c>
      <c r="F15" s="13">
        <f t="shared" si="1"/>
        <v>25.646759439197332</v>
      </c>
      <c r="G15" s="14">
        <f>F15/$F$124*$D$2</f>
        <v>2966.9417301894723</v>
      </c>
      <c r="H15" s="14">
        <f>F15/$F$124*$E$2</f>
        <v>4153.7184222652613</v>
      </c>
      <c r="I15" s="25" t="str">
        <f t="shared" si="2"/>
        <v/>
      </c>
    </row>
    <row r="16" spans="1:10" hidden="1" x14ac:dyDescent="0.25">
      <c r="A16" s="3">
        <v>229</v>
      </c>
      <c r="B16" s="3">
        <v>113.2949584</v>
      </c>
      <c r="C16" s="3">
        <v>23.04450555</v>
      </c>
      <c r="D16" s="3">
        <v>37</v>
      </c>
      <c r="E16" s="13">
        <f t="shared" si="0"/>
        <v>1.6011351760913434E-3</v>
      </c>
      <c r="F16" s="13">
        <f t="shared" si="1"/>
        <v>24.99113615308282</v>
      </c>
      <c r="G16" s="14">
        <f>F16/$F$124*$D$2</f>
        <v>2891.0960432726238</v>
      </c>
      <c r="H16" s="14">
        <f>F16/$F$124*$E$2</f>
        <v>4047.5344605816731</v>
      </c>
      <c r="I16" s="25" t="str">
        <f t="shared" si="2"/>
        <v/>
      </c>
    </row>
    <row r="17" spans="1:9" x14ac:dyDescent="0.25">
      <c r="A17" s="3">
        <v>218</v>
      </c>
      <c r="B17" s="3">
        <v>113.2950812</v>
      </c>
      <c r="C17" s="3">
        <v>23.044813220000002</v>
      </c>
      <c r="D17" s="3">
        <v>37</v>
      </c>
      <c r="E17" s="13">
        <f t="shared" si="0"/>
        <v>1.6956178485782161E-3</v>
      </c>
      <c r="F17" s="13">
        <f t="shared" si="1"/>
        <v>24.284882710257399</v>
      </c>
      <c r="G17" s="14">
        <f>F17/$F$150*$D$2</f>
        <v>39.006335792360318</v>
      </c>
      <c r="H17" s="14">
        <f>F17/$F$150*$E$2</f>
        <v>54.608870109304448</v>
      </c>
      <c r="I17" s="25" t="str">
        <f t="shared" si="2"/>
        <v>选中</v>
      </c>
    </row>
    <row r="18" spans="1:9" hidden="1" x14ac:dyDescent="0.25">
      <c r="A18" s="3">
        <v>209</v>
      </c>
      <c r="B18" s="3">
        <v>113.29516</v>
      </c>
      <c r="C18" s="3">
        <v>23.044930050000001</v>
      </c>
      <c r="D18" s="3">
        <v>37</v>
      </c>
      <c r="E18" s="13">
        <f t="shared" si="0"/>
        <v>1.778770084105248E-3</v>
      </c>
      <c r="F18" s="13">
        <f t="shared" si="1"/>
        <v>23.710466111587564</v>
      </c>
      <c r="G18" s="14">
        <f>F18/$F$124*$D$2</f>
        <v>2742.9419110625122</v>
      </c>
      <c r="H18" s="14">
        <f>F18/$F$124*$E$2</f>
        <v>3840.1186754875171</v>
      </c>
      <c r="I18" s="25" t="str">
        <f t="shared" si="2"/>
        <v/>
      </c>
    </row>
    <row r="19" spans="1:9" hidden="1" x14ac:dyDescent="0.25">
      <c r="A19" s="3">
        <v>212</v>
      </c>
      <c r="B19" s="3">
        <v>113.2949285</v>
      </c>
      <c r="C19" s="3">
        <v>23.04391686</v>
      </c>
      <c r="D19" s="3">
        <v>37</v>
      </c>
      <c r="E19" s="13">
        <f t="shared" si="0"/>
        <v>1.7804816276544915E-3</v>
      </c>
      <c r="F19" s="13">
        <f t="shared" si="1"/>
        <v>23.699067158646969</v>
      </c>
      <c r="G19" s="14">
        <f>F19/$F$124*$D$2</f>
        <v>2741.623224807428</v>
      </c>
      <c r="H19" s="14">
        <f>F19/$F$124*$E$2</f>
        <v>3838.2725147303991</v>
      </c>
      <c r="I19" s="25" t="str">
        <f t="shared" si="2"/>
        <v/>
      </c>
    </row>
    <row r="20" spans="1:9" x14ac:dyDescent="0.25">
      <c r="A20" s="3">
        <v>217</v>
      </c>
      <c r="B20" s="3">
        <v>113.292833</v>
      </c>
      <c r="C20" s="3">
        <v>23.046581060000001</v>
      </c>
      <c r="D20" s="3">
        <v>37</v>
      </c>
      <c r="E20" s="13">
        <f t="shared" si="0"/>
        <v>1.8596217745528931E-3</v>
      </c>
      <c r="F20" s="13">
        <f t="shared" si="1"/>
        <v>23.18930264561185</v>
      </c>
      <c r="G20" s="14">
        <f>F20/$F$150*$D$2</f>
        <v>37.246617024151902</v>
      </c>
      <c r="H20" s="14">
        <f>F20/$F$150*$E$2</f>
        <v>52.145263833812656</v>
      </c>
      <c r="I20" s="25" t="str">
        <f t="shared" si="2"/>
        <v>选中</v>
      </c>
    </row>
    <row r="21" spans="1:9" hidden="1" x14ac:dyDescent="0.25">
      <c r="A21" s="3">
        <v>237</v>
      </c>
      <c r="B21" s="3">
        <v>113.29500040000001</v>
      </c>
      <c r="C21" s="3">
        <v>23.043756810000001</v>
      </c>
      <c r="D21" s="3">
        <v>37</v>
      </c>
      <c r="E21" s="13">
        <f t="shared" si="0"/>
        <v>1.9254100646202543E-3</v>
      </c>
      <c r="F21" s="13">
        <f t="shared" si="1"/>
        <v>22.789688084872818</v>
      </c>
      <c r="G21" s="14">
        <f>F21/$F$124*$D$2</f>
        <v>2636.4218355661046</v>
      </c>
      <c r="H21" s="14">
        <f>F21/$F$124*$E$2</f>
        <v>3690.9905697925465</v>
      </c>
      <c r="I21" s="25" t="str">
        <f t="shared" si="2"/>
        <v/>
      </c>
    </row>
    <row r="22" spans="1:9" hidden="1" x14ac:dyDescent="0.25">
      <c r="A22" s="3">
        <v>228</v>
      </c>
      <c r="B22" s="3">
        <v>113.2953358</v>
      </c>
      <c r="C22" s="3">
        <v>23.044391990000001</v>
      </c>
      <c r="D22" s="3">
        <v>37</v>
      </c>
      <c r="E22" s="13">
        <f t="shared" si="0"/>
        <v>1.9935448182922372E-3</v>
      </c>
      <c r="F22" s="13">
        <f t="shared" si="1"/>
        <v>22.396852925449078</v>
      </c>
      <c r="G22" s="14">
        <f>F22/$F$124*$D$2</f>
        <v>2590.9767558341759</v>
      </c>
      <c r="H22" s="14">
        <f>F22/$F$124*$E$2</f>
        <v>3627.3674581678461</v>
      </c>
      <c r="I22" s="25" t="str">
        <f t="shared" si="2"/>
        <v/>
      </c>
    </row>
    <row r="23" spans="1:9" x14ac:dyDescent="0.25">
      <c r="A23" s="3">
        <v>186</v>
      </c>
      <c r="B23" s="3">
        <v>113.2914715</v>
      </c>
      <c r="C23" s="3">
        <v>23.043966309999998</v>
      </c>
      <c r="D23" s="3">
        <v>37</v>
      </c>
      <c r="E23" s="13">
        <f t="shared" si="0"/>
        <v>2.0899564509528198E-3</v>
      </c>
      <c r="F23" s="13">
        <f t="shared" si="1"/>
        <v>21.874159858631995</v>
      </c>
      <c r="G23" s="14">
        <f>F23/$F$150*$D$2</f>
        <v>35.134236998442766</v>
      </c>
      <c r="H23" s="14">
        <f>F23/$F$150*$E$2</f>
        <v>49.187931797819871</v>
      </c>
      <c r="I23" s="25" t="str">
        <f t="shared" si="2"/>
        <v>选中</v>
      </c>
    </row>
    <row r="24" spans="1:9" hidden="1" x14ac:dyDescent="0.25">
      <c r="A24" s="3">
        <v>214</v>
      </c>
      <c r="B24" s="3">
        <v>113.29287890000001</v>
      </c>
      <c r="C24" s="3">
        <v>23.04684087</v>
      </c>
      <c r="D24" s="3">
        <v>37</v>
      </c>
      <c r="E24" s="13">
        <f t="shared" si="0"/>
        <v>2.0975509945852784E-3</v>
      </c>
      <c r="F24" s="13">
        <f t="shared" si="1"/>
        <v>21.834524372988838</v>
      </c>
      <c r="G24" s="14">
        <f>F24/$F$124*$D$2</f>
        <v>2525.9238569552076</v>
      </c>
      <c r="H24" s="14">
        <f>F24/$F$124*$E$2</f>
        <v>3536.2933997372907</v>
      </c>
      <c r="I24" s="25" t="str">
        <f t="shared" si="2"/>
        <v/>
      </c>
    </row>
    <row r="25" spans="1:9" hidden="1" x14ac:dyDescent="0.25">
      <c r="A25" s="3">
        <v>233</v>
      </c>
      <c r="B25" s="3">
        <v>113.29207630000001</v>
      </c>
      <c r="C25" s="3">
        <v>23.046526270000001</v>
      </c>
      <c r="D25" s="3">
        <v>37</v>
      </c>
      <c r="E25" s="13">
        <f t="shared" si="0"/>
        <v>2.1622956270754647E-3</v>
      </c>
      <c r="F25" s="13">
        <f t="shared" si="1"/>
        <v>21.505149448051689</v>
      </c>
      <c r="G25" s="14">
        <f>F25/$F$124*$D$2</f>
        <v>2487.8201654541099</v>
      </c>
      <c r="H25" s="14">
        <f>F25/$F$124*$E$2</f>
        <v>3482.9482316357539</v>
      </c>
      <c r="I25" s="25" t="str">
        <f t="shared" si="2"/>
        <v/>
      </c>
    </row>
    <row r="26" spans="1:9" x14ac:dyDescent="0.25">
      <c r="A26" s="3">
        <v>225</v>
      </c>
      <c r="B26" s="3">
        <v>113.29234390000001</v>
      </c>
      <c r="C26" s="3">
        <v>23.046768749999998</v>
      </c>
      <c r="D26" s="3">
        <v>37</v>
      </c>
      <c r="E26" s="13">
        <f t="shared" si="0"/>
        <v>2.2225492224162398E-3</v>
      </c>
      <c r="F26" s="13">
        <f t="shared" si="1"/>
        <v>21.211642845456232</v>
      </c>
      <c r="G26" s="14">
        <f>F26/$F$150*$D$2</f>
        <v>34.070103339968469</v>
      </c>
      <c r="H26" s="14">
        <f>F26/$F$150*$E$2</f>
        <v>47.698144675955852</v>
      </c>
      <c r="I26" s="25" t="str">
        <f t="shared" si="2"/>
        <v>选中</v>
      </c>
    </row>
    <row r="27" spans="1:9" hidden="1" x14ac:dyDescent="0.25">
      <c r="A27" s="3">
        <v>198</v>
      </c>
      <c r="B27" s="3">
        <v>113.29374540000001</v>
      </c>
      <c r="C27" s="3">
        <v>23.0470744</v>
      </c>
      <c r="D27" s="3">
        <v>37</v>
      </c>
      <c r="E27" s="13">
        <f t="shared" si="0"/>
        <v>2.2973104974300606E-3</v>
      </c>
      <c r="F27" s="13">
        <f t="shared" si="1"/>
        <v>20.863643413543219</v>
      </c>
      <c r="G27" s="14">
        <f>F27/$F$124*$D$2</f>
        <v>2413.6076307881272</v>
      </c>
      <c r="H27" s="14">
        <f>F27/$F$124*$E$2</f>
        <v>3379.0506831033781</v>
      </c>
      <c r="I27" s="25" t="str">
        <f t="shared" si="2"/>
        <v/>
      </c>
    </row>
    <row r="28" spans="1:9" hidden="1" x14ac:dyDescent="0.25">
      <c r="A28" s="3">
        <v>458</v>
      </c>
      <c r="B28" s="3">
        <v>113.2917631</v>
      </c>
      <c r="C28" s="3">
        <v>23.043124219999999</v>
      </c>
      <c r="D28" s="3">
        <v>37</v>
      </c>
      <c r="E28" s="13">
        <f t="shared" si="0"/>
        <v>2.3364517838795908E-3</v>
      </c>
      <c r="F28" s="13">
        <f t="shared" si="1"/>
        <v>20.688146761433146</v>
      </c>
      <c r="G28" s="14">
        <f>F28/$F$124*$D$2</f>
        <v>2393.3053254661486</v>
      </c>
      <c r="H28" s="14">
        <f>F28/$F$124*$E$2</f>
        <v>3350.6274556526078</v>
      </c>
      <c r="I28" s="25" t="str">
        <f t="shared" si="2"/>
        <v/>
      </c>
    </row>
    <row r="29" spans="1:9" x14ac:dyDescent="0.25">
      <c r="A29" s="3">
        <v>416</v>
      </c>
      <c r="B29" s="3">
        <v>113.2912589</v>
      </c>
      <c r="C29" s="3">
        <v>23.043684760000001</v>
      </c>
      <c r="D29" s="3">
        <v>37</v>
      </c>
      <c r="E29" s="13">
        <f t="shared" si="0"/>
        <v>2.4039085990030184E-3</v>
      </c>
      <c r="F29" s="13">
        <f t="shared" si="1"/>
        <v>20.395813143183311</v>
      </c>
      <c r="G29" s="14">
        <f>F29/$F$150*$D$2</f>
        <v>32.759719110573045</v>
      </c>
      <c r="H29" s="14">
        <f>F29/$F$150*$E$2</f>
        <v>45.863606754802262</v>
      </c>
      <c r="I29" s="25" t="str">
        <f t="shared" si="2"/>
        <v>选中</v>
      </c>
    </row>
    <row r="30" spans="1:9" hidden="1" x14ac:dyDescent="0.25">
      <c r="A30" s="3">
        <v>200</v>
      </c>
      <c r="B30" s="3">
        <v>113.29352280000001</v>
      </c>
      <c r="C30" s="3">
        <v>23.047233689999999</v>
      </c>
      <c r="D30" s="3">
        <v>37</v>
      </c>
      <c r="E30" s="13">
        <f t="shared" si="0"/>
        <v>2.4321229209256657E-3</v>
      </c>
      <c r="F30" s="13">
        <f t="shared" si="1"/>
        <v>20.277165211981835</v>
      </c>
      <c r="G30" s="14">
        <f>F30/$F$124*$D$2</f>
        <v>2345.7609831762056</v>
      </c>
      <c r="H30" s="14">
        <f>F30/$F$124*$E$2</f>
        <v>3284.0653764466879</v>
      </c>
      <c r="I30" s="25" t="str">
        <f t="shared" si="2"/>
        <v/>
      </c>
    </row>
    <row r="31" spans="1:9" hidden="1" x14ac:dyDescent="0.25">
      <c r="A31" s="3">
        <v>414</v>
      </c>
      <c r="B31" s="3">
        <v>113.2914416</v>
      </c>
      <c r="C31" s="3">
        <v>23.04326365</v>
      </c>
      <c r="D31" s="3">
        <v>37</v>
      </c>
      <c r="E31" s="13">
        <f t="shared" si="0"/>
        <v>2.4811796396234818E-3</v>
      </c>
      <c r="F31" s="13">
        <f t="shared" si="1"/>
        <v>20.075709172861771</v>
      </c>
      <c r="G31" s="14">
        <f>F31/$F$124*$D$2</f>
        <v>2322.4555698478266</v>
      </c>
      <c r="H31" s="14">
        <f>F31/$F$124*$E$2</f>
        <v>3251.4377977869572</v>
      </c>
      <c r="I31" s="25" t="str">
        <f t="shared" si="2"/>
        <v/>
      </c>
    </row>
    <row r="32" spans="1:9" x14ac:dyDescent="0.25">
      <c r="A32" s="3">
        <v>195</v>
      </c>
      <c r="B32" s="3">
        <v>113.2942355</v>
      </c>
      <c r="C32" s="3">
        <v>23.047341500000002</v>
      </c>
      <c r="D32" s="3">
        <v>37</v>
      </c>
      <c r="E32" s="13">
        <f t="shared" si="0"/>
        <v>2.67468322117085E-3</v>
      </c>
      <c r="F32" s="13">
        <f t="shared" si="1"/>
        <v>19.335874711212679</v>
      </c>
      <c r="G32" s="14">
        <f>F32/$F$150*$D$2</f>
        <v>31.05724786992705</v>
      </c>
      <c r="H32" s="14">
        <f>F32/$F$150*$E$2</f>
        <v>43.48014701789787</v>
      </c>
      <c r="I32" s="25" t="str">
        <f t="shared" si="2"/>
        <v>选中</v>
      </c>
    </row>
    <row r="33" spans="1:9" hidden="1" x14ac:dyDescent="0.25">
      <c r="A33" s="3">
        <v>213</v>
      </c>
      <c r="B33" s="3">
        <v>113.2960635</v>
      </c>
      <c r="C33" s="3">
        <v>23.044453770000001</v>
      </c>
      <c r="D33" s="3">
        <v>37</v>
      </c>
      <c r="E33" s="13">
        <f t="shared" si="0"/>
        <v>2.7008924819304876E-3</v>
      </c>
      <c r="F33" s="13">
        <f t="shared" si="1"/>
        <v>19.241829053386315</v>
      </c>
      <c r="G33" s="14">
        <f>F33/$F$124*$D$2</f>
        <v>2225.9882664322595</v>
      </c>
      <c r="H33" s="14">
        <f>F33/$F$124*$E$2</f>
        <v>3116.3835730051628</v>
      </c>
      <c r="I33" s="25" t="str">
        <f t="shared" si="2"/>
        <v/>
      </c>
    </row>
    <row r="34" spans="1:9" hidden="1" x14ac:dyDescent="0.25">
      <c r="A34" s="3">
        <v>219</v>
      </c>
      <c r="B34" s="3">
        <v>113.2961353</v>
      </c>
      <c r="C34" s="3">
        <v>23.044649570000001</v>
      </c>
      <c r="D34" s="3">
        <v>37</v>
      </c>
      <c r="E34" s="13">
        <f t="shared" si="0"/>
        <v>2.7541142944607533E-3</v>
      </c>
      <c r="F34" s="13">
        <f t="shared" si="1"/>
        <v>19.05500294998626</v>
      </c>
      <c r="G34" s="14">
        <f>F34/$F$124*$D$2</f>
        <v>2204.3753151437954</v>
      </c>
      <c r="H34" s="14">
        <f>F34/$F$124*$E$2</f>
        <v>3086.1254412013141</v>
      </c>
      <c r="I34" s="25" t="str">
        <f t="shared" si="2"/>
        <v/>
      </c>
    </row>
    <row r="35" spans="1:9" x14ac:dyDescent="0.25">
      <c r="A35" s="3">
        <v>227</v>
      </c>
      <c r="B35" s="3">
        <v>113.2961653</v>
      </c>
      <c r="C35" s="3">
        <v>23.044256690000001</v>
      </c>
      <c r="D35" s="3">
        <v>37</v>
      </c>
      <c r="E35" s="13">
        <f t="shared" si="0"/>
        <v>2.8333476053120543E-3</v>
      </c>
      <c r="F35" s="13">
        <f t="shared" si="1"/>
        <v>18.78668141676982</v>
      </c>
      <c r="G35" s="14">
        <f>F35/$F$150*$D$2</f>
        <v>30.17513456867966</v>
      </c>
      <c r="H35" s="14">
        <f>F35/$F$150*$E$2</f>
        <v>42.245188396151526</v>
      </c>
      <c r="I35" s="25" t="str">
        <f t="shared" si="2"/>
        <v>选中</v>
      </c>
    </row>
    <row r="36" spans="1:9" hidden="1" x14ac:dyDescent="0.25">
      <c r="A36" s="3">
        <v>230</v>
      </c>
      <c r="B36" s="3">
        <v>113.2918906</v>
      </c>
      <c r="C36" s="3">
        <v>23.047252239999999</v>
      </c>
      <c r="D36" s="3">
        <v>37</v>
      </c>
      <c r="E36" s="13">
        <f t="shared" si="0"/>
        <v>2.8673777637352165E-3</v>
      </c>
      <c r="F36" s="13">
        <f t="shared" si="1"/>
        <v>18.674868117589217</v>
      </c>
      <c r="G36" s="14">
        <f>F36/$F$124*$D$2</f>
        <v>2160.3994709436261</v>
      </c>
      <c r="H36" s="14">
        <f>F36/$F$124*$E$2</f>
        <v>3024.5592593210763</v>
      </c>
      <c r="I36" s="25" t="str">
        <f t="shared" si="2"/>
        <v/>
      </c>
    </row>
    <row r="37" spans="1:9" hidden="1" x14ac:dyDescent="0.25">
      <c r="A37" s="3">
        <v>224</v>
      </c>
      <c r="B37" s="3">
        <v>113.2961354</v>
      </c>
      <c r="C37" s="3">
        <v>23.043976860000001</v>
      </c>
      <c r="D37" s="3">
        <v>37</v>
      </c>
      <c r="E37" s="13">
        <f t="shared" ref="E37:E68" si="3">SQRT((B37-$B$2)^2+(C37-$C$2)^2)</f>
        <v>2.8719235464094066E-3</v>
      </c>
      <c r="F37" s="13">
        <f t="shared" ref="F37:F68" si="4">SQRT(1/E37)</f>
        <v>18.660082641992918</v>
      </c>
      <c r="G37" s="14">
        <f>F37/$F$124*$D$2</f>
        <v>2158.6890152951705</v>
      </c>
      <c r="H37" s="14">
        <f>F37/$F$124*$E$2</f>
        <v>3022.1646214132388</v>
      </c>
      <c r="I37" s="25" t="str">
        <f t="shared" si="2"/>
        <v/>
      </c>
    </row>
    <row r="38" spans="1:9" x14ac:dyDescent="0.25">
      <c r="A38" s="3">
        <v>226</v>
      </c>
      <c r="B38" s="3">
        <v>113.2920793</v>
      </c>
      <c r="C38" s="3">
        <v>23.047374900000001</v>
      </c>
      <c r="D38" s="3">
        <v>37</v>
      </c>
      <c r="E38" s="13">
        <f t="shared" si="3"/>
        <v>2.8824545758069117E-3</v>
      </c>
      <c r="F38" s="13">
        <f t="shared" si="4"/>
        <v>18.625964204179819</v>
      </c>
      <c r="G38" s="14">
        <f>F38/$F$150*$D$2</f>
        <v>29.916990865179301</v>
      </c>
      <c r="H38" s="14">
        <f>F38/$F$150*$E$2</f>
        <v>41.883787211251018</v>
      </c>
      <c r="I38" s="25" t="str">
        <f t="shared" si="2"/>
        <v>选中</v>
      </c>
    </row>
    <row r="39" spans="1:9" hidden="1" x14ac:dyDescent="0.25">
      <c r="A39" s="3">
        <v>199</v>
      </c>
      <c r="B39" s="3">
        <v>113.296279</v>
      </c>
      <c r="C39" s="3">
        <v>23.044841250000001</v>
      </c>
      <c r="D39" s="3">
        <v>37</v>
      </c>
      <c r="E39" s="13">
        <f t="shared" si="3"/>
        <v>2.8936215917304275E-3</v>
      </c>
      <c r="F39" s="13">
        <f t="shared" si="4"/>
        <v>18.589988957502488</v>
      </c>
      <c r="G39" s="14">
        <f>F39/$F$124*$D$2</f>
        <v>2150.5802373409642</v>
      </c>
      <c r="H39" s="14">
        <f>F39/$F$124*$E$2</f>
        <v>3010.8123322773499</v>
      </c>
      <c r="I39" s="25" t="str">
        <f t="shared" si="2"/>
        <v/>
      </c>
    </row>
    <row r="40" spans="1:9" hidden="1" x14ac:dyDescent="0.25">
      <c r="A40" s="3">
        <v>197</v>
      </c>
      <c r="B40" s="3">
        <v>113.2938771</v>
      </c>
      <c r="C40" s="3">
        <v>23.047822870000001</v>
      </c>
      <c r="D40" s="3">
        <v>37</v>
      </c>
      <c r="E40" s="13">
        <f t="shared" si="3"/>
        <v>3.0571974183733587E-3</v>
      </c>
      <c r="F40" s="13">
        <f t="shared" si="4"/>
        <v>18.085822237204518</v>
      </c>
      <c r="G40" s="14">
        <f>F40/$F$124*$D$2</f>
        <v>2092.2557817710085</v>
      </c>
      <c r="H40" s="14">
        <f>F40/$F$124*$E$2</f>
        <v>2929.1580944794118</v>
      </c>
      <c r="I40" s="25" t="str">
        <f t="shared" si="2"/>
        <v/>
      </c>
    </row>
    <row r="41" spans="1:9" x14ac:dyDescent="0.25">
      <c r="A41" s="3">
        <v>175</v>
      </c>
      <c r="B41" s="3">
        <v>113.2908434</v>
      </c>
      <c r="C41" s="3">
        <v>23.046552160000001</v>
      </c>
      <c r="D41" s="3">
        <v>37</v>
      </c>
      <c r="E41" s="13">
        <f t="shared" si="3"/>
        <v>3.0844467248384256E-3</v>
      </c>
      <c r="F41" s="13">
        <f t="shared" si="4"/>
        <v>18.005756110261473</v>
      </c>
      <c r="G41" s="14">
        <f>F41/$F$150*$D$2</f>
        <v>28.920813718221098</v>
      </c>
      <c r="H41" s="14">
        <f>F41/$F$150*$E$2</f>
        <v>40.489139205509538</v>
      </c>
      <c r="I41" s="25" t="str">
        <f t="shared" si="2"/>
        <v>选中</v>
      </c>
    </row>
    <row r="42" spans="1:9" hidden="1" x14ac:dyDescent="0.25">
      <c r="A42" s="3">
        <v>189</v>
      </c>
      <c r="B42" s="3">
        <v>113.2957668</v>
      </c>
      <c r="C42" s="3">
        <v>23.046866219999998</v>
      </c>
      <c r="D42" s="3">
        <v>37</v>
      </c>
      <c r="E42" s="13">
        <f t="shared" si="3"/>
        <v>3.1491153755298343E-3</v>
      </c>
      <c r="F42" s="13">
        <f t="shared" si="4"/>
        <v>17.819918515255182</v>
      </c>
      <c r="G42" s="14">
        <f>F42/$F$124*$D$2</f>
        <v>2061.4947473902503</v>
      </c>
      <c r="H42" s="14">
        <f>F42/$F$124*$E$2</f>
        <v>2886.0926463463506</v>
      </c>
      <c r="I42" s="25" t="str">
        <f t="shared" si="2"/>
        <v/>
      </c>
    </row>
    <row r="43" spans="1:9" hidden="1" x14ac:dyDescent="0.25">
      <c r="A43" s="3">
        <v>166</v>
      </c>
      <c r="B43" s="3">
        <v>113.2913495</v>
      </c>
      <c r="C43" s="3">
        <v>23.047210100000001</v>
      </c>
      <c r="D43" s="3">
        <v>37</v>
      </c>
      <c r="E43" s="13">
        <f t="shared" si="3"/>
        <v>3.1508876409023245E-3</v>
      </c>
      <c r="F43" s="13">
        <f t="shared" si="4"/>
        <v>17.814906266284837</v>
      </c>
      <c r="G43" s="14">
        <f>F43/$F$124*$D$2</f>
        <v>2060.9149060786231</v>
      </c>
      <c r="H43" s="14">
        <f>F43/$F$124*$E$2</f>
        <v>2885.2808685100722</v>
      </c>
      <c r="I43" s="25" t="str">
        <f t="shared" si="2"/>
        <v/>
      </c>
    </row>
    <row r="44" spans="1:9" x14ac:dyDescent="0.25">
      <c r="A44" s="3">
        <v>173</v>
      </c>
      <c r="B44" s="3">
        <v>113.2907436</v>
      </c>
      <c r="C44" s="3">
        <v>23.046743230000001</v>
      </c>
      <c r="D44" s="3">
        <v>37</v>
      </c>
      <c r="E44" s="13">
        <f t="shared" si="3"/>
        <v>3.2764606031614185E-3</v>
      </c>
      <c r="F44" s="13">
        <f t="shared" si="4"/>
        <v>17.470185840969016</v>
      </c>
      <c r="G44" s="14">
        <f>F44/$F$150*$D$2</f>
        <v>28.060581695951431</v>
      </c>
      <c r="H44" s="14">
        <f>F44/$F$150*$E$2</f>
        <v>39.284814374332001</v>
      </c>
      <c r="I44" s="25" t="str">
        <f t="shared" si="2"/>
        <v>选中</v>
      </c>
    </row>
    <row r="45" spans="1:9" hidden="1" x14ac:dyDescent="0.25">
      <c r="A45" s="3">
        <v>201</v>
      </c>
      <c r="B45" s="3">
        <v>113.2927411</v>
      </c>
      <c r="C45" s="3">
        <v>23.048050570000001</v>
      </c>
      <c r="D45" s="3">
        <v>37</v>
      </c>
      <c r="E45" s="13">
        <f t="shared" si="3"/>
        <v>3.3085115938877381E-3</v>
      </c>
      <c r="F45" s="13">
        <f t="shared" si="4"/>
        <v>17.385359258873823</v>
      </c>
      <c r="G45" s="14">
        <f>F45/$F$124*$D$2</f>
        <v>2011.222821416342</v>
      </c>
      <c r="H45" s="14">
        <f>F45/$F$124*$E$2</f>
        <v>2815.7119499828787</v>
      </c>
      <c r="I45" s="25" t="str">
        <f t="shared" si="2"/>
        <v/>
      </c>
    </row>
    <row r="46" spans="1:9" hidden="1" x14ac:dyDescent="0.25">
      <c r="A46" s="3">
        <v>432</v>
      </c>
      <c r="B46" s="3">
        <v>113.29444650000001</v>
      </c>
      <c r="C46" s="3">
        <v>23.041669599999999</v>
      </c>
      <c r="D46" s="3">
        <v>37</v>
      </c>
      <c r="E46" s="13">
        <f t="shared" si="3"/>
        <v>3.3104382361920383E-3</v>
      </c>
      <c r="F46" s="13">
        <f t="shared" si="4"/>
        <v>17.380299469029488</v>
      </c>
      <c r="G46" s="14">
        <f>F46/$F$124*$D$2</f>
        <v>2010.6374803454464</v>
      </c>
      <c r="H46" s="14">
        <f>F46/$F$124*$E$2</f>
        <v>2814.8924724836247</v>
      </c>
      <c r="I46" s="25" t="str">
        <f t="shared" si="2"/>
        <v/>
      </c>
    </row>
    <row r="47" spans="1:9" x14ac:dyDescent="0.25">
      <c r="A47" s="3">
        <v>174</v>
      </c>
      <c r="B47" s="3">
        <v>113.2915811</v>
      </c>
      <c r="C47" s="3">
        <v>23.04758258</v>
      </c>
      <c r="D47" s="3">
        <v>37</v>
      </c>
      <c r="E47" s="13">
        <f t="shared" si="3"/>
        <v>3.3119068268242296E-3</v>
      </c>
      <c r="F47" s="13">
        <f t="shared" si="4"/>
        <v>17.376445590203989</v>
      </c>
      <c r="G47" s="14">
        <f>F47/$F$150*$D$2</f>
        <v>27.910016270446771</v>
      </c>
      <c r="H47" s="14">
        <f>F47/$F$150*$E$2</f>
        <v>39.074022778625476</v>
      </c>
      <c r="I47" s="25" t="str">
        <f t="shared" si="2"/>
        <v>选中</v>
      </c>
    </row>
    <row r="48" spans="1:9" hidden="1" x14ac:dyDescent="0.25">
      <c r="A48" s="3">
        <v>194</v>
      </c>
      <c r="B48" s="3">
        <v>113.2966064</v>
      </c>
      <c r="C48" s="3">
        <v>23.045718340000001</v>
      </c>
      <c r="D48" s="3">
        <v>37</v>
      </c>
      <c r="E48" s="13">
        <f t="shared" si="3"/>
        <v>3.3476766645021217E-3</v>
      </c>
      <c r="F48" s="13">
        <f t="shared" si="4"/>
        <v>17.283362842230542</v>
      </c>
      <c r="G48" s="14">
        <f>F48/$F$124*$D$2</f>
        <v>1999.4233804153773</v>
      </c>
      <c r="H48" s="14">
        <f>F48/$F$124*$E$2</f>
        <v>2799.1927325815282</v>
      </c>
      <c r="I48" s="25" t="str">
        <f t="shared" si="2"/>
        <v/>
      </c>
    </row>
    <row r="49" spans="1:9" hidden="1" x14ac:dyDescent="0.25">
      <c r="A49" s="3">
        <v>196</v>
      </c>
      <c r="B49" s="3">
        <v>113.29666229999999</v>
      </c>
      <c r="C49" s="3">
        <v>23.04589017</v>
      </c>
      <c r="D49" s="3">
        <v>37</v>
      </c>
      <c r="E49" s="13">
        <f t="shared" si="3"/>
        <v>3.4515796474805286E-3</v>
      </c>
      <c r="F49" s="13">
        <f t="shared" si="4"/>
        <v>17.021234314760129</v>
      </c>
      <c r="G49" s="14">
        <f>F49/$F$124*$D$2</f>
        <v>1969.0990788727643</v>
      </c>
      <c r="H49" s="14">
        <f>F49/$F$124*$E$2</f>
        <v>2756.7387104218697</v>
      </c>
      <c r="I49" s="25" t="str">
        <f t="shared" si="2"/>
        <v/>
      </c>
    </row>
    <row r="50" spans="1:9" x14ac:dyDescent="0.25">
      <c r="A50" s="3">
        <v>211</v>
      </c>
      <c r="B50" s="3">
        <v>113.292799</v>
      </c>
      <c r="C50" s="3">
        <v>23.048228399999999</v>
      </c>
      <c r="D50" s="3">
        <v>37</v>
      </c>
      <c r="E50" s="13">
        <f t="shared" si="3"/>
        <v>3.4728597324938664E-3</v>
      </c>
      <c r="F50" s="13">
        <f t="shared" si="4"/>
        <v>16.969005040211989</v>
      </c>
      <c r="G50" s="14">
        <f>F50/$F$150*$D$2</f>
        <v>27.255585977411048</v>
      </c>
      <c r="H50" s="14">
        <f>F50/$F$150*$E$2</f>
        <v>38.157820368375468</v>
      </c>
      <c r="I50" s="25" t="str">
        <f t="shared" si="2"/>
        <v>选中</v>
      </c>
    </row>
    <row r="51" spans="1:9" hidden="1" x14ac:dyDescent="0.25">
      <c r="A51" s="3">
        <v>221</v>
      </c>
      <c r="B51" s="3">
        <v>113.2917947</v>
      </c>
      <c r="C51" s="3">
        <v>23.048119020000001</v>
      </c>
      <c r="D51" s="3">
        <v>37</v>
      </c>
      <c r="E51" s="13">
        <f t="shared" si="3"/>
        <v>3.6757006442842094E-3</v>
      </c>
      <c r="F51" s="13">
        <f t="shared" si="4"/>
        <v>16.494149734537697</v>
      </c>
      <c r="G51" s="14">
        <f>F51/$F$124*$D$2</f>
        <v>1908.1233739261481</v>
      </c>
      <c r="H51" s="14">
        <f>F51/$F$124*$E$2</f>
        <v>2671.3727234966073</v>
      </c>
      <c r="I51" s="25" t="str">
        <f t="shared" si="2"/>
        <v/>
      </c>
    </row>
    <row r="52" spans="1:9" hidden="1" x14ac:dyDescent="0.25">
      <c r="A52" s="3">
        <v>413</v>
      </c>
      <c r="B52" s="3">
        <v>113.2913619</v>
      </c>
      <c r="C52" s="3">
        <v>23.04117068</v>
      </c>
      <c r="D52" s="3">
        <v>37</v>
      </c>
      <c r="E52" s="13">
        <f t="shared" si="3"/>
        <v>4.1601492698682182E-3</v>
      </c>
      <c r="F52" s="13">
        <f t="shared" si="4"/>
        <v>15.504063666345738</v>
      </c>
      <c r="G52" s="14">
        <f>F52/$F$124*$D$2</f>
        <v>1793.5854074761505</v>
      </c>
      <c r="H52" s="14">
        <f>F52/$F$124*$E$2</f>
        <v>2511.0195704666107</v>
      </c>
      <c r="I52" s="25" t="str">
        <f t="shared" si="2"/>
        <v/>
      </c>
    </row>
    <row r="53" spans="1:9" x14ac:dyDescent="0.25">
      <c r="A53" s="3">
        <v>441</v>
      </c>
      <c r="B53" s="3">
        <v>113.2973452</v>
      </c>
      <c r="C53" s="3">
        <v>23.04351106</v>
      </c>
      <c r="D53" s="3">
        <v>37</v>
      </c>
      <c r="E53" s="13">
        <f t="shared" si="3"/>
        <v>4.1657954515813772E-3</v>
      </c>
      <c r="F53" s="13">
        <f t="shared" si="4"/>
        <v>15.493553255587965</v>
      </c>
      <c r="G53" s="14">
        <f>F53/$F$150*$D$2</f>
        <v>24.885717922327821</v>
      </c>
      <c r="H53" s="14">
        <f>F53/$F$150*$E$2</f>
        <v>34.840005091258952</v>
      </c>
      <c r="I53" s="25" t="str">
        <f t="shared" si="2"/>
        <v>选中</v>
      </c>
    </row>
    <row r="54" spans="1:9" hidden="1" x14ac:dyDescent="0.25">
      <c r="A54" s="3">
        <v>234</v>
      </c>
      <c r="B54" s="3">
        <v>113.2975079</v>
      </c>
      <c r="C54" s="3">
        <v>23.043924610000001</v>
      </c>
      <c r="D54" s="3">
        <v>37</v>
      </c>
      <c r="E54" s="13">
        <f t="shared" si="3"/>
        <v>4.215355118960728E-3</v>
      </c>
      <c r="F54" s="13">
        <f t="shared" si="4"/>
        <v>15.402205599643013</v>
      </c>
      <c r="G54" s="14">
        <f>F54/$F$124*$D$2</f>
        <v>1781.8019714684474</v>
      </c>
      <c r="H54" s="14">
        <f>F54/$F$124*$E$2</f>
        <v>2494.5227600558264</v>
      </c>
      <c r="I54" s="25" t="str">
        <f t="shared" si="2"/>
        <v/>
      </c>
    </row>
    <row r="55" spans="1:9" hidden="1" x14ac:dyDescent="0.25">
      <c r="A55" s="3">
        <v>190</v>
      </c>
      <c r="B55" s="3">
        <v>113.29179569999999</v>
      </c>
      <c r="C55" s="3">
        <v>23.04871576</v>
      </c>
      <c r="D55" s="3">
        <v>37</v>
      </c>
      <c r="E55" s="13">
        <f t="shared" si="3"/>
        <v>4.2211828333289505E-3</v>
      </c>
      <c r="F55" s="13">
        <f t="shared" si="4"/>
        <v>15.391569877370339</v>
      </c>
      <c r="G55" s="14">
        <f>F55/$F$124*$D$2</f>
        <v>1780.5715794449907</v>
      </c>
      <c r="H55" s="14">
        <f>F55/$F$124*$E$2</f>
        <v>2492.8002112229869</v>
      </c>
      <c r="I55" s="25" t="str">
        <f t="shared" si="2"/>
        <v/>
      </c>
    </row>
    <row r="56" spans="1:9" x14ac:dyDescent="0.25">
      <c r="A56" s="3">
        <v>220</v>
      </c>
      <c r="B56" s="3">
        <v>113.2977025</v>
      </c>
      <c r="C56" s="3">
        <v>23.0443411</v>
      </c>
      <c r="D56" s="3">
        <v>37</v>
      </c>
      <c r="E56" s="13">
        <f t="shared" si="3"/>
        <v>4.3418011522471682E-3</v>
      </c>
      <c r="F56" s="13">
        <f t="shared" si="4"/>
        <v>15.176269677332767</v>
      </c>
      <c r="G56" s="14">
        <f>F56/$F$150*$D$2</f>
        <v>24.376097598339332</v>
      </c>
      <c r="H56" s="14">
        <f>F56/$F$150*$E$2</f>
        <v>34.126536637675059</v>
      </c>
      <c r="I56" s="25" t="str">
        <f t="shared" si="2"/>
        <v>选中</v>
      </c>
    </row>
    <row r="57" spans="1:9" hidden="1" x14ac:dyDescent="0.25">
      <c r="A57" s="3">
        <v>244</v>
      </c>
      <c r="B57" s="3">
        <v>113.29528550000001</v>
      </c>
      <c r="C57" s="3">
        <v>23.048974099999999</v>
      </c>
      <c r="D57" s="3">
        <v>37</v>
      </c>
      <c r="E57" s="13">
        <f t="shared" si="3"/>
        <v>4.5811948447568984E-3</v>
      </c>
      <c r="F57" s="13">
        <f t="shared" si="4"/>
        <v>14.774426040526219</v>
      </c>
      <c r="G57" s="14">
        <f>F57/$F$124*$D$2</f>
        <v>1709.1773821623665</v>
      </c>
      <c r="H57" s="14">
        <f>F57/$F$124*$E$2</f>
        <v>2392.8483350273132</v>
      </c>
      <c r="I57" s="25" t="str">
        <f t="shared" si="2"/>
        <v/>
      </c>
    </row>
    <row r="58" spans="1:9" hidden="1" x14ac:dyDescent="0.25">
      <c r="A58" s="3">
        <v>435</v>
      </c>
      <c r="B58" s="3">
        <v>113.29759079999999</v>
      </c>
      <c r="C58" s="3">
        <v>23.042495089999999</v>
      </c>
      <c r="D58" s="3">
        <v>37</v>
      </c>
      <c r="E58" s="13">
        <f t="shared" si="3"/>
        <v>4.7980646267551707E-3</v>
      </c>
      <c r="F58" s="13">
        <f t="shared" si="4"/>
        <v>14.436667475256225</v>
      </c>
      <c r="G58" s="14">
        <f>F58/$F$124*$D$2</f>
        <v>1670.1038304177787</v>
      </c>
      <c r="H58" s="14">
        <f>F58/$F$124*$E$2</f>
        <v>2338.1453625848899</v>
      </c>
      <c r="I58" s="25" t="str">
        <f t="shared" si="2"/>
        <v/>
      </c>
    </row>
    <row r="59" spans="1:9" x14ac:dyDescent="0.25">
      <c r="A59" s="3">
        <v>430</v>
      </c>
      <c r="B59" s="3">
        <v>113.2972006</v>
      </c>
      <c r="C59" s="3">
        <v>23.04163711</v>
      </c>
      <c r="D59" s="3">
        <v>37</v>
      </c>
      <c r="E59" s="13">
        <f t="shared" si="3"/>
        <v>4.9590866083312497E-3</v>
      </c>
      <c r="F59" s="13">
        <f t="shared" si="4"/>
        <v>14.200353424896408</v>
      </c>
      <c r="G59" s="14">
        <f>F59/$F$150*$D$2</f>
        <v>22.808582634321162</v>
      </c>
      <c r="H59" s="14">
        <f>F59/$F$150*$E$2</f>
        <v>31.932015688049628</v>
      </c>
      <c r="I59" s="25" t="str">
        <f t="shared" si="2"/>
        <v>选中</v>
      </c>
    </row>
    <row r="60" spans="1:9" hidden="1" x14ac:dyDescent="0.25">
      <c r="A60" s="3">
        <v>167</v>
      </c>
      <c r="B60" s="3">
        <v>113.29105490000001</v>
      </c>
      <c r="C60" s="3">
        <v>23.04930066</v>
      </c>
      <c r="D60" s="3">
        <v>37</v>
      </c>
      <c r="E60" s="13">
        <f t="shared" si="3"/>
        <v>5.0635131419137077E-3</v>
      </c>
      <c r="F60" s="13">
        <f t="shared" si="4"/>
        <v>14.053161241795092</v>
      </c>
      <c r="G60" s="14">
        <f>F60/$F$124*$D$2</f>
        <v>1625.73796616342</v>
      </c>
      <c r="H60" s="14">
        <f>F60/$F$124*$E$2</f>
        <v>2276.0331526287878</v>
      </c>
      <c r="I60" s="25" t="str">
        <f t="shared" si="2"/>
        <v/>
      </c>
    </row>
    <row r="61" spans="1:9" hidden="1" x14ac:dyDescent="0.25">
      <c r="A61" s="3">
        <v>444</v>
      </c>
      <c r="B61" s="3">
        <v>113.29794219999999</v>
      </c>
      <c r="C61" s="3">
        <v>23.042560470000002</v>
      </c>
      <c r="D61" s="3">
        <v>37</v>
      </c>
      <c r="E61" s="13">
        <f t="shared" si="3"/>
        <v>5.0796155229412138E-3</v>
      </c>
      <c r="F61" s="13">
        <f t="shared" si="4"/>
        <v>14.030869301090503</v>
      </c>
      <c r="G61" s="14">
        <f>F61/$F$124*$D$2</f>
        <v>1623.1591261629844</v>
      </c>
      <c r="H61" s="14">
        <f>F61/$F$124*$E$2</f>
        <v>2272.4227766281779</v>
      </c>
      <c r="I61" s="25" t="str">
        <f t="shared" si="2"/>
        <v/>
      </c>
    </row>
    <row r="62" spans="1:9" x14ac:dyDescent="0.25">
      <c r="A62" s="3">
        <v>180</v>
      </c>
      <c r="B62" s="3">
        <v>113.2913095</v>
      </c>
      <c r="C62" s="3">
        <v>23.049507179999999</v>
      </c>
      <c r="D62" s="3">
        <v>37</v>
      </c>
      <c r="E62" s="13">
        <f t="shared" si="3"/>
        <v>5.1397033219405435E-3</v>
      </c>
      <c r="F62" s="13">
        <f t="shared" si="4"/>
        <v>13.948611375306458</v>
      </c>
      <c r="G62" s="14">
        <f>F62/$F$150*$D$2</f>
        <v>22.404234998118042</v>
      </c>
      <c r="H62" s="14">
        <f>F62/$F$150*$E$2</f>
        <v>31.365928997365259</v>
      </c>
      <c r="I62" s="25" t="str">
        <f t="shared" si="2"/>
        <v>选中</v>
      </c>
    </row>
    <row r="63" spans="1:9" hidden="1" x14ac:dyDescent="0.25">
      <c r="A63" s="3">
        <v>436</v>
      </c>
      <c r="B63" s="3">
        <v>113.2978963</v>
      </c>
      <c r="C63" s="3">
        <v>23.04203377</v>
      </c>
      <c r="D63" s="3">
        <v>37</v>
      </c>
      <c r="E63" s="13">
        <f t="shared" si="3"/>
        <v>5.2942014581059699E-3</v>
      </c>
      <c r="F63" s="13">
        <f t="shared" si="4"/>
        <v>13.743576632043116</v>
      </c>
      <c r="G63" s="14">
        <f>F63/$F$124*$D$2</f>
        <v>1589.9237144691594</v>
      </c>
      <c r="H63" s="14">
        <f>F63/$F$124*$E$2</f>
        <v>2225.8932002568231</v>
      </c>
      <c r="I63" s="25" t="str">
        <f t="shared" si="2"/>
        <v/>
      </c>
    </row>
    <row r="64" spans="1:9" hidden="1" x14ac:dyDescent="0.25">
      <c r="A64" s="3">
        <v>210</v>
      </c>
      <c r="B64" s="3">
        <v>113.2986507</v>
      </c>
      <c r="C64" s="3">
        <v>23.045443039999999</v>
      </c>
      <c r="D64" s="3">
        <v>37</v>
      </c>
      <c r="E64" s="13">
        <f t="shared" si="3"/>
        <v>5.3035659484938899E-3</v>
      </c>
      <c r="F64" s="13">
        <f t="shared" si="4"/>
        <v>13.731437775401048</v>
      </c>
      <c r="G64" s="14">
        <f>F64/$F$124*$D$2</f>
        <v>1588.5194325592549</v>
      </c>
      <c r="H64" s="14">
        <f>F64/$F$124*$E$2</f>
        <v>2223.927205582957</v>
      </c>
      <c r="I64" s="25" t="str">
        <f t="shared" si="2"/>
        <v/>
      </c>
    </row>
    <row r="65" spans="1:9" x14ac:dyDescent="0.25">
      <c r="A65" s="3">
        <v>448</v>
      </c>
      <c r="B65" s="3">
        <v>113.29837329999999</v>
      </c>
      <c r="C65" s="3">
        <v>23.04294058</v>
      </c>
      <c r="D65" s="3">
        <v>37</v>
      </c>
      <c r="E65" s="13">
        <f t="shared" si="3"/>
        <v>5.3249276154342324E-3</v>
      </c>
      <c r="F65" s="13">
        <f t="shared" si="4"/>
        <v>13.703867337570124</v>
      </c>
      <c r="G65" s="14">
        <f>F65/$F$150*$D$2</f>
        <v>22.011127556215953</v>
      </c>
      <c r="H65" s="14">
        <f>F65/$F$150*$E$2</f>
        <v>30.815578578702333</v>
      </c>
      <c r="I65" s="25" t="str">
        <f t="shared" si="2"/>
        <v>选中</v>
      </c>
    </row>
    <row r="66" spans="1:9" hidden="1" x14ac:dyDescent="0.25">
      <c r="A66" s="3">
        <v>429</v>
      </c>
      <c r="B66" s="3">
        <v>113.29704289999999</v>
      </c>
      <c r="C66" s="3">
        <v>23.04083971</v>
      </c>
      <c r="D66" s="3">
        <v>37</v>
      </c>
      <c r="E66" s="13">
        <f t="shared" si="3"/>
        <v>5.3947064538221274E-3</v>
      </c>
      <c r="F66" s="13">
        <f t="shared" si="4"/>
        <v>13.61495126032451</v>
      </c>
      <c r="G66" s="14">
        <f>F66/$F$124*$D$2</f>
        <v>1575.0437065750705</v>
      </c>
      <c r="H66" s="14">
        <f>F66/$F$124*$E$2</f>
        <v>2205.0611892050988</v>
      </c>
      <c r="I66" s="25" t="str">
        <f t="shared" si="2"/>
        <v/>
      </c>
    </row>
    <row r="67" spans="1:9" hidden="1" x14ac:dyDescent="0.25">
      <c r="A67" s="3">
        <v>231</v>
      </c>
      <c r="B67" s="3">
        <v>113.2987875</v>
      </c>
      <c r="C67" s="3">
        <v>23.044158360000001</v>
      </c>
      <c r="D67" s="3">
        <v>37</v>
      </c>
      <c r="E67" s="13">
        <f t="shared" si="3"/>
        <v>5.4405180025898486E-3</v>
      </c>
      <c r="F67" s="13">
        <f t="shared" si="4"/>
        <v>13.557508148853442</v>
      </c>
      <c r="G67" s="14">
        <f>F67/$F$124*$D$2</f>
        <v>1568.3984083673381</v>
      </c>
      <c r="H67" s="14">
        <f>F67/$F$124*$E$2</f>
        <v>2195.7577717142735</v>
      </c>
      <c r="I67" s="25" t="str">
        <f t="shared" si="2"/>
        <v/>
      </c>
    </row>
    <row r="68" spans="1:9" x14ac:dyDescent="0.25">
      <c r="A68" s="3">
        <v>442</v>
      </c>
      <c r="B68" s="3">
        <v>113.2985001</v>
      </c>
      <c r="C68" s="3">
        <v>23.042770440000002</v>
      </c>
      <c r="D68" s="3">
        <v>37</v>
      </c>
      <c r="E68" s="13">
        <f t="shared" si="3"/>
        <v>5.5044831955458253E-3</v>
      </c>
      <c r="F68" s="13">
        <f t="shared" si="4"/>
        <v>13.478505025188127</v>
      </c>
      <c r="G68" s="14">
        <f>F68/$F$150*$D$2</f>
        <v>21.649151007405941</v>
      </c>
      <c r="H68" s="14">
        <f>F68/$F$150*$E$2</f>
        <v>30.308811410368314</v>
      </c>
      <c r="I68" s="25" t="str">
        <f t="shared" si="2"/>
        <v>选中</v>
      </c>
    </row>
    <row r="69" spans="1:9" hidden="1" x14ac:dyDescent="0.25">
      <c r="A69" s="3">
        <v>418</v>
      </c>
      <c r="B69" s="3">
        <v>113.29076499999999</v>
      </c>
      <c r="C69" s="3">
        <v>23.03990014</v>
      </c>
      <c r="D69" s="3">
        <v>37</v>
      </c>
      <c r="E69" s="13">
        <f t="shared" ref="E69:E100" si="5">SQRT((B69-$B$2)^2+(C69-$C$2)^2)</f>
        <v>5.5614307916226607E-3</v>
      </c>
      <c r="F69" s="13">
        <f t="shared" ref="F69:F100" si="6">SQRT(1/E69)</f>
        <v>13.409319276162288</v>
      </c>
      <c r="G69" s="14">
        <f>F69/$F$124*$D$2</f>
        <v>1551.2551996364466</v>
      </c>
      <c r="H69" s="14">
        <f>F69/$F$124*$E$2</f>
        <v>2171.7572794910252</v>
      </c>
      <c r="I69" s="25" t="str">
        <f t="shared" si="2"/>
        <v/>
      </c>
    </row>
    <row r="70" spans="1:9" hidden="1" x14ac:dyDescent="0.25">
      <c r="A70" s="3">
        <v>431</v>
      </c>
      <c r="B70" s="3">
        <v>113.2979133</v>
      </c>
      <c r="C70" s="3">
        <v>23.04138902</v>
      </c>
      <c r="D70" s="3">
        <v>37</v>
      </c>
      <c r="E70" s="13">
        <f t="shared" si="5"/>
        <v>5.6720360459455946E-3</v>
      </c>
      <c r="F70" s="13">
        <f t="shared" si="6"/>
        <v>13.277934102183709</v>
      </c>
      <c r="G70" s="14">
        <f>F70/$F$124*$D$2</f>
        <v>1536.055924409126</v>
      </c>
      <c r="H70" s="14">
        <f>F70/$F$124*$E$2</f>
        <v>2150.4782941727763</v>
      </c>
      <c r="I70" s="25" t="str">
        <f t="shared" ref="I70:I133" si="7">IF(MOD(ROW()-1,3)=1,"选中","")</f>
        <v/>
      </c>
    </row>
    <row r="71" spans="1:9" x14ac:dyDescent="0.25">
      <c r="A71" s="3">
        <v>165</v>
      </c>
      <c r="B71" s="3">
        <v>113.2901195</v>
      </c>
      <c r="C71" s="3">
        <v>23.049481</v>
      </c>
      <c r="D71" s="3">
        <v>37</v>
      </c>
      <c r="E71" s="13">
        <f t="shared" si="5"/>
        <v>5.7033560754637114E-3</v>
      </c>
      <c r="F71" s="13">
        <f t="shared" si="6"/>
        <v>13.2414259666656</v>
      </c>
      <c r="G71" s="14">
        <f>F71/$F$150*$D$2</f>
        <v>21.268355041602888</v>
      </c>
      <c r="H71" s="14">
        <f>F71/$F$150*$E$2</f>
        <v>29.775697058244045</v>
      </c>
      <c r="I71" s="25" t="str">
        <f t="shared" si="7"/>
        <v>选中</v>
      </c>
    </row>
    <row r="72" spans="1:9" hidden="1" x14ac:dyDescent="0.25">
      <c r="A72" s="3">
        <v>187</v>
      </c>
      <c r="B72" s="3">
        <v>113.2969535</v>
      </c>
      <c r="C72" s="3">
        <v>23.049262240000001</v>
      </c>
      <c r="D72" s="3">
        <v>37</v>
      </c>
      <c r="E72" s="13">
        <f t="shared" si="5"/>
        <v>5.7090258932720166E-3</v>
      </c>
      <c r="F72" s="13">
        <f t="shared" si="6"/>
        <v>13.234849089661036</v>
      </c>
      <c r="G72" s="14">
        <f>F72/$F$124*$D$2</f>
        <v>1531.0716408429191</v>
      </c>
      <c r="H72" s="14">
        <f>F72/$F$124*$E$2</f>
        <v>2143.5002971800868</v>
      </c>
      <c r="I72" s="25" t="str">
        <f t="shared" si="7"/>
        <v/>
      </c>
    </row>
    <row r="73" spans="1:9" hidden="1" x14ac:dyDescent="0.25">
      <c r="A73" s="3">
        <v>411</v>
      </c>
      <c r="B73" s="3">
        <v>113.2900532</v>
      </c>
      <c r="C73" s="3">
        <v>23.04005016</v>
      </c>
      <c r="D73" s="3">
        <v>37</v>
      </c>
      <c r="E73" s="13">
        <f t="shared" si="5"/>
        <v>5.8066838762197617E-3</v>
      </c>
      <c r="F73" s="13">
        <f t="shared" si="6"/>
        <v>13.123083991696191</v>
      </c>
      <c r="G73" s="14">
        <f>F73/$F$124*$D$2</f>
        <v>1518.1421113280201</v>
      </c>
      <c r="H73" s="14">
        <f>F73/$F$124*$E$2</f>
        <v>2125.398955859228</v>
      </c>
      <c r="I73" s="25" t="str">
        <f t="shared" si="7"/>
        <v/>
      </c>
    </row>
    <row r="74" spans="1:9" x14ac:dyDescent="0.25">
      <c r="A74" s="3">
        <v>440</v>
      </c>
      <c r="B74" s="3">
        <v>113.2987617</v>
      </c>
      <c r="C74" s="3">
        <v>23.04246813</v>
      </c>
      <c r="D74" s="3">
        <v>37</v>
      </c>
      <c r="E74" s="13">
        <f t="shared" si="5"/>
        <v>5.8622068580166369E-3</v>
      </c>
      <c r="F74" s="13">
        <f t="shared" si="6"/>
        <v>13.060789511704868</v>
      </c>
      <c r="G74" s="14">
        <f>F74/$F$150*$D$2</f>
        <v>20.978217086126421</v>
      </c>
      <c r="H74" s="14">
        <f>F74/$F$150*$E$2</f>
        <v>29.369503920576989</v>
      </c>
      <c r="I74" s="25" t="str">
        <f t="shared" si="7"/>
        <v>选中</v>
      </c>
    </row>
    <row r="75" spans="1:9" hidden="1" x14ac:dyDescent="0.25">
      <c r="A75" s="3">
        <v>184</v>
      </c>
      <c r="B75" s="3">
        <v>113.2884473</v>
      </c>
      <c r="C75" s="3">
        <v>23.047975149999999</v>
      </c>
      <c r="D75" s="3">
        <v>37</v>
      </c>
      <c r="E75" s="13">
        <f t="shared" si="5"/>
        <v>5.8680378640572567E-3</v>
      </c>
      <c r="F75" s="13">
        <f t="shared" si="6"/>
        <v>13.054298715893642</v>
      </c>
      <c r="G75" s="14">
        <f>F75/$F$124*$D$2</f>
        <v>1510.1846964473991</v>
      </c>
      <c r="H75" s="14">
        <f>F75/$F$124*$E$2</f>
        <v>2114.2585750263588</v>
      </c>
      <c r="I75" s="25" t="str">
        <f t="shared" si="7"/>
        <v/>
      </c>
    </row>
    <row r="76" spans="1:9" hidden="1" x14ac:dyDescent="0.25">
      <c r="A76" s="3">
        <v>450</v>
      </c>
      <c r="B76" s="3">
        <v>113.2927727</v>
      </c>
      <c r="C76" s="3">
        <v>23.038845479999999</v>
      </c>
      <c r="D76" s="3">
        <v>37</v>
      </c>
      <c r="E76" s="13">
        <f t="shared" si="5"/>
        <v>5.991391291813206E-3</v>
      </c>
      <c r="F76" s="13">
        <f t="shared" si="6"/>
        <v>12.919215960878006</v>
      </c>
      <c r="G76" s="14">
        <f>F76/$F$124*$D$2</f>
        <v>1494.5576670819535</v>
      </c>
      <c r="H76" s="14">
        <f>F76/$F$124*$E$2</f>
        <v>2092.3807339147347</v>
      </c>
      <c r="I76" s="25" t="str">
        <f t="shared" si="7"/>
        <v/>
      </c>
    </row>
    <row r="77" spans="1:9" x14ac:dyDescent="0.25">
      <c r="A77" s="3">
        <v>235</v>
      </c>
      <c r="B77" s="3">
        <v>113.2993475</v>
      </c>
      <c r="C77" s="3">
        <v>23.04413641</v>
      </c>
      <c r="D77" s="3">
        <v>37</v>
      </c>
      <c r="E77" s="13">
        <f t="shared" si="5"/>
        <v>5.9993210241603701E-3</v>
      </c>
      <c r="F77" s="13">
        <f t="shared" si="6"/>
        <v>12.910675011059457</v>
      </c>
      <c r="G77" s="14">
        <f>F77/$F$150*$D$2</f>
        <v>20.737103439857737</v>
      </c>
      <c r="H77" s="14">
        <f>F77/$F$150*$E$2</f>
        <v>29.031944815800834</v>
      </c>
      <c r="I77" s="25" t="str">
        <f t="shared" si="7"/>
        <v>选中</v>
      </c>
    </row>
    <row r="78" spans="1:9" hidden="1" x14ac:dyDescent="0.25">
      <c r="A78" s="3">
        <v>415</v>
      </c>
      <c r="B78" s="3">
        <v>113.29008020000001</v>
      </c>
      <c r="C78" s="3">
        <v>23.039676279999998</v>
      </c>
      <c r="D78" s="3">
        <v>37</v>
      </c>
      <c r="E78" s="13">
        <f t="shared" si="5"/>
        <v>6.1019629190571306E-3</v>
      </c>
      <c r="F78" s="13">
        <f t="shared" si="6"/>
        <v>12.80162844089417</v>
      </c>
      <c r="G78" s="14">
        <f>F78/$F$124*$D$2</f>
        <v>1480.95457150114</v>
      </c>
      <c r="H78" s="14">
        <f>F78/$F$124*$E$2</f>
        <v>2073.3364001015962</v>
      </c>
      <c r="I78" s="25" t="str">
        <f t="shared" si="7"/>
        <v/>
      </c>
    </row>
    <row r="79" spans="1:9" hidden="1" x14ac:dyDescent="0.25">
      <c r="A79" s="3">
        <v>409</v>
      </c>
      <c r="B79" s="3">
        <v>113.28814920000001</v>
      </c>
      <c r="C79" s="3">
        <v>23.041559339999999</v>
      </c>
      <c r="D79" s="3">
        <v>37</v>
      </c>
      <c r="E79" s="13">
        <f t="shared" si="5"/>
        <v>6.16092932680416E-3</v>
      </c>
      <c r="F79" s="13">
        <f t="shared" si="6"/>
        <v>12.740218797279944</v>
      </c>
      <c r="G79" s="14">
        <f>F79/$F$124*$D$2</f>
        <v>1473.8504055846988</v>
      </c>
      <c r="H79" s="14">
        <f>F79/$F$124*$E$2</f>
        <v>2063.3905678185783</v>
      </c>
      <c r="I79" s="25" t="str">
        <f t="shared" si="7"/>
        <v/>
      </c>
    </row>
    <row r="80" spans="1:9" x14ac:dyDescent="0.25">
      <c r="A80" s="3">
        <v>171</v>
      </c>
      <c r="B80" s="3">
        <v>113.29047780000001</v>
      </c>
      <c r="C80" s="3">
        <v>23.0503231</v>
      </c>
      <c r="D80" s="3">
        <v>37</v>
      </c>
      <c r="E80" s="13">
        <f t="shared" si="5"/>
        <v>6.2369762477919111E-3</v>
      </c>
      <c r="F80" s="13">
        <f t="shared" si="6"/>
        <v>12.662310384092967</v>
      </c>
      <c r="G80" s="14">
        <f>F80/$F$150*$D$2</f>
        <v>20.338180613917661</v>
      </c>
      <c r="H80" s="14">
        <f>F80/$F$150*$E$2</f>
        <v>28.473452859484723</v>
      </c>
      <c r="I80" s="25" t="str">
        <f t="shared" si="7"/>
        <v>选中</v>
      </c>
    </row>
    <row r="81" spans="1:9" hidden="1" x14ac:dyDescent="0.25">
      <c r="A81" s="3">
        <v>250</v>
      </c>
      <c r="B81" s="3">
        <v>113.2922178</v>
      </c>
      <c r="C81" s="3">
        <v>23.050949150000001</v>
      </c>
      <c r="D81" s="3">
        <v>37</v>
      </c>
      <c r="E81" s="13">
        <f t="shared" si="5"/>
        <v>6.2537132492685096E-3</v>
      </c>
      <c r="F81" s="13">
        <f t="shared" si="6"/>
        <v>12.645354770102019</v>
      </c>
      <c r="G81" s="14">
        <f>F81/$F$124*$D$2</f>
        <v>1462.8760740479884</v>
      </c>
      <c r="H81" s="14">
        <f>F81/$F$124*$E$2</f>
        <v>2048.0265036671835</v>
      </c>
      <c r="I81" s="25" t="str">
        <f t="shared" si="7"/>
        <v/>
      </c>
    </row>
    <row r="82" spans="1:9" hidden="1" x14ac:dyDescent="0.25">
      <c r="A82" s="3">
        <v>249</v>
      </c>
      <c r="B82" s="3">
        <v>113.2922677</v>
      </c>
      <c r="C82" s="3">
        <v>23.050965059999999</v>
      </c>
      <c r="D82" s="3">
        <v>37</v>
      </c>
      <c r="E82" s="13">
        <f t="shared" si="5"/>
        <v>6.2602411258969749E-3</v>
      </c>
      <c r="F82" s="13">
        <f t="shared" si="6"/>
        <v>12.638760068355253</v>
      </c>
      <c r="G82" s="14">
        <f>F82/$F$124*$D$2</f>
        <v>1462.1131669112401</v>
      </c>
      <c r="H82" s="14">
        <f>F82/$F$124*$E$2</f>
        <v>2046.9584336757362</v>
      </c>
      <c r="I82" s="25" t="str">
        <f t="shared" si="7"/>
        <v/>
      </c>
    </row>
    <row r="83" spans="1:9" x14ac:dyDescent="0.25">
      <c r="A83" s="3">
        <v>410</v>
      </c>
      <c r="B83" s="3">
        <v>113.2882541</v>
      </c>
      <c r="C83" s="3">
        <v>23.041112380000001</v>
      </c>
      <c r="D83" s="3">
        <v>37</v>
      </c>
      <c r="E83" s="13">
        <f t="shared" si="5"/>
        <v>6.3222610206712408E-3</v>
      </c>
      <c r="F83" s="13">
        <f t="shared" si="6"/>
        <v>12.576615654246867</v>
      </c>
      <c r="G83" s="14">
        <f>F83/$F$150*$D$2</f>
        <v>20.200537889927865</v>
      </c>
      <c r="H83" s="14">
        <f>F83/$F$150*$E$2</f>
        <v>28.280753045899012</v>
      </c>
      <c r="I83" s="25" t="str">
        <f t="shared" si="7"/>
        <v>选中</v>
      </c>
    </row>
    <row r="84" spans="1:9" hidden="1" x14ac:dyDescent="0.25">
      <c r="A84" s="3">
        <v>192</v>
      </c>
      <c r="B84" s="3">
        <v>113.2958095</v>
      </c>
      <c r="C84" s="3">
        <v>23.050692510000001</v>
      </c>
      <c r="D84" s="3">
        <v>37</v>
      </c>
      <c r="E84" s="13">
        <f t="shared" si="5"/>
        <v>6.3665441485119935E-3</v>
      </c>
      <c r="F84" s="13">
        <f t="shared" si="6"/>
        <v>12.532800383568645</v>
      </c>
      <c r="G84" s="14">
        <f>F84/$F$124*$D$2</f>
        <v>1449.8552357969243</v>
      </c>
      <c r="H84" s="14">
        <f>F84/$F$124*$E$2</f>
        <v>2029.797330115694</v>
      </c>
      <c r="I84" s="25" t="str">
        <f t="shared" si="7"/>
        <v/>
      </c>
    </row>
    <row r="85" spans="1:9" hidden="1" x14ac:dyDescent="0.25">
      <c r="A85" s="3">
        <v>188</v>
      </c>
      <c r="B85" s="3">
        <v>113.2975065</v>
      </c>
      <c r="C85" s="3">
        <v>23.049707130000002</v>
      </c>
      <c r="D85" s="3">
        <v>37</v>
      </c>
      <c r="E85" s="13">
        <f t="shared" si="5"/>
        <v>6.403778702152035E-3</v>
      </c>
      <c r="F85" s="13">
        <f t="shared" si="6"/>
        <v>12.496311494431025</v>
      </c>
      <c r="G85" s="14">
        <f>F85/$F$124*$D$2</f>
        <v>1445.6340238294893</v>
      </c>
      <c r="H85" s="14">
        <f>F85/$F$124*$E$2</f>
        <v>2023.8876333612848</v>
      </c>
      <c r="I85" s="25" t="str">
        <f t="shared" si="7"/>
        <v/>
      </c>
    </row>
    <row r="86" spans="1:9" x14ac:dyDescent="0.25">
      <c r="A86" s="3">
        <v>177</v>
      </c>
      <c r="B86" s="3">
        <v>113.2908571</v>
      </c>
      <c r="C86" s="3">
        <v>23.050704360000001</v>
      </c>
      <c r="D86" s="3">
        <v>37</v>
      </c>
      <c r="E86" s="13">
        <f t="shared" si="5"/>
        <v>6.4179879570144868E-3</v>
      </c>
      <c r="F86" s="13">
        <f t="shared" si="6"/>
        <v>12.482470578469984</v>
      </c>
      <c r="G86" s="14">
        <f>F86/$F$150*$D$2</f>
        <v>20.049322235202911</v>
      </c>
      <c r="H86" s="14">
        <f>F86/$F$150*$E$2</f>
        <v>28.069051129284073</v>
      </c>
      <c r="I86" s="25" t="str">
        <f t="shared" si="7"/>
        <v>选中</v>
      </c>
    </row>
    <row r="87" spans="1:9" hidden="1" x14ac:dyDescent="0.25">
      <c r="A87" s="3">
        <v>402</v>
      </c>
      <c r="B87" s="3">
        <v>113.2887673</v>
      </c>
      <c r="C87" s="3">
        <v>23.040257990000001</v>
      </c>
      <c r="D87" s="3">
        <v>37</v>
      </c>
      <c r="E87" s="13">
        <f t="shared" si="5"/>
        <v>6.4813576041143949E-3</v>
      </c>
      <c r="F87" s="13">
        <f t="shared" si="6"/>
        <v>12.421298769816007</v>
      </c>
      <c r="G87" s="14">
        <f>F87/$F$124*$D$2</f>
        <v>1436.9561874157646</v>
      </c>
      <c r="H87" s="14">
        <f>F87/$F$124*$E$2</f>
        <v>2011.7386623820703</v>
      </c>
      <c r="I87" s="25" t="str">
        <f t="shared" si="7"/>
        <v/>
      </c>
    </row>
    <row r="88" spans="1:9" hidden="1" x14ac:dyDescent="0.25">
      <c r="A88" s="3">
        <v>191</v>
      </c>
      <c r="B88" s="3">
        <v>113.2998884</v>
      </c>
      <c r="C88" s="3">
        <v>23.044578300000001</v>
      </c>
      <c r="D88" s="3">
        <v>37</v>
      </c>
      <c r="E88" s="13">
        <f t="shared" si="5"/>
        <v>6.5067657418789735E-3</v>
      </c>
      <c r="F88" s="13">
        <f t="shared" si="6"/>
        <v>12.397023209350428</v>
      </c>
      <c r="G88" s="14">
        <f>F88/$F$124*$D$2</f>
        <v>1434.1478726444648</v>
      </c>
      <c r="H88" s="14">
        <f>F88/$F$124*$E$2</f>
        <v>2007.8070217022507</v>
      </c>
      <c r="I88" s="25" t="str">
        <f t="shared" si="7"/>
        <v/>
      </c>
    </row>
    <row r="89" spans="1:9" x14ac:dyDescent="0.25">
      <c r="A89" s="3">
        <v>404</v>
      </c>
      <c r="B89" s="3">
        <v>113.2882791</v>
      </c>
      <c r="C89" s="3">
        <v>23.040499610000001</v>
      </c>
      <c r="D89" s="3">
        <v>37</v>
      </c>
      <c r="E89" s="13">
        <f t="shared" si="5"/>
        <v>6.6795594344884485E-3</v>
      </c>
      <c r="F89" s="13">
        <f t="shared" si="6"/>
        <v>12.235623100004108</v>
      </c>
      <c r="G89" s="14">
        <f>F89/$F$150*$D$2</f>
        <v>19.652836250509623</v>
      </c>
      <c r="H89" s="14">
        <f>F89/$F$150*$E$2</f>
        <v>27.513970750713469</v>
      </c>
      <c r="I89" s="25" t="str">
        <f t="shared" si="7"/>
        <v>选中</v>
      </c>
    </row>
    <row r="90" spans="1:9" hidden="1" x14ac:dyDescent="0.25">
      <c r="A90" s="3">
        <v>238</v>
      </c>
      <c r="B90" s="3">
        <v>113.2924963</v>
      </c>
      <c r="C90" s="3">
        <v>23.051494479999999</v>
      </c>
      <c r="D90" s="3">
        <v>37</v>
      </c>
      <c r="E90" s="13">
        <f t="shared" si="5"/>
        <v>6.7478967546609888E-3</v>
      </c>
      <c r="F90" s="13">
        <f t="shared" si="6"/>
        <v>12.173509120197572</v>
      </c>
      <c r="G90" s="14">
        <f>F90/$F$124*$D$2</f>
        <v>1408.2906769248621</v>
      </c>
      <c r="H90" s="14">
        <f>F90/$F$124*$E$2</f>
        <v>1971.6069476948066</v>
      </c>
      <c r="I90" s="25" t="str">
        <f t="shared" si="7"/>
        <v/>
      </c>
    </row>
    <row r="91" spans="1:9" hidden="1" x14ac:dyDescent="0.25">
      <c r="A91" s="3">
        <v>216</v>
      </c>
      <c r="B91" s="3">
        <v>113.29391080000001</v>
      </c>
      <c r="C91" s="3">
        <v>23.05156221</v>
      </c>
      <c r="D91" s="3">
        <v>37</v>
      </c>
      <c r="E91" s="13">
        <f t="shared" si="5"/>
        <v>6.7771510144677208E-3</v>
      </c>
      <c r="F91" s="13">
        <f t="shared" si="6"/>
        <v>12.147206611658937</v>
      </c>
      <c r="G91" s="14">
        <f>F91/$F$124*$D$2</f>
        <v>1405.2478749530594</v>
      </c>
      <c r="H91" s="14">
        <f>F91/$F$124*$E$2</f>
        <v>1967.3470249342831</v>
      </c>
      <c r="I91" s="25" t="str">
        <f t="shared" si="7"/>
        <v/>
      </c>
    </row>
    <row r="92" spans="1:9" x14ac:dyDescent="0.25">
      <c r="A92" s="3">
        <v>421</v>
      </c>
      <c r="B92" s="3">
        <v>113.2900992</v>
      </c>
      <c r="C92" s="3">
        <v>23.038804630000001</v>
      </c>
      <c r="D92" s="3">
        <v>37</v>
      </c>
      <c r="E92" s="13">
        <f t="shared" si="5"/>
        <v>6.8417940349043381E-3</v>
      </c>
      <c r="F92" s="13">
        <f t="shared" si="6"/>
        <v>12.089685462674979</v>
      </c>
      <c r="G92" s="14">
        <f>F92/$F$150*$D$2</f>
        <v>19.418431474735293</v>
      </c>
      <c r="H92" s="14">
        <f>F92/$F$150*$E$2</f>
        <v>27.185804064629412</v>
      </c>
      <c r="I92" s="25" t="str">
        <f t="shared" si="7"/>
        <v>选中</v>
      </c>
    </row>
    <row r="93" spans="1:9" hidden="1" x14ac:dyDescent="0.25">
      <c r="A93" s="3">
        <v>443</v>
      </c>
      <c r="B93" s="3">
        <v>113.2925092</v>
      </c>
      <c r="C93" s="3">
        <v>23.038007260000001</v>
      </c>
      <c r="D93" s="3">
        <v>37</v>
      </c>
      <c r="E93" s="13">
        <f t="shared" si="5"/>
        <v>6.8544385818533511E-3</v>
      </c>
      <c r="F93" s="13">
        <f t="shared" si="6"/>
        <v>12.078529249164831</v>
      </c>
      <c r="G93" s="14">
        <f>F93/$F$124*$D$2</f>
        <v>1397.3029440082285</v>
      </c>
      <c r="H93" s="14">
        <f>F93/$F$124*$E$2</f>
        <v>1956.2241216115199</v>
      </c>
      <c r="I93" s="25" t="str">
        <f t="shared" si="7"/>
        <v/>
      </c>
    </row>
    <row r="94" spans="1:9" hidden="1" x14ac:dyDescent="0.25">
      <c r="A94" s="3">
        <v>176</v>
      </c>
      <c r="B94" s="3">
        <v>113.2898598</v>
      </c>
      <c r="C94" s="3">
        <v>23.050771839999999</v>
      </c>
      <c r="D94" s="3">
        <v>37</v>
      </c>
      <c r="E94" s="13">
        <f t="shared" si="5"/>
        <v>6.9303098487672023E-3</v>
      </c>
      <c r="F94" s="13">
        <f t="shared" si="6"/>
        <v>12.012230964847481</v>
      </c>
      <c r="G94" s="14">
        <f>F94/$F$124*$D$2</f>
        <v>1389.6332363850313</v>
      </c>
      <c r="H94" s="14">
        <f>F94/$F$124*$E$2</f>
        <v>1945.4865309390439</v>
      </c>
      <c r="I94" s="25" t="str">
        <f t="shared" si="7"/>
        <v/>
      </c>
    </row>
    <row r="95" spans="1:9" x14ac:dyDescent="0.25">
      <c r="A95" s="3">
        <v>403</v>
      </c>
      <c r="B95" s="3">
        <v>113.287702</v>
      </c>
      <c r="C95" s="3">
        <v>23.04078333</v>
      </c>
      <c r="D95" s="3">
        <v>37</v>
      </c>
      <c r="E95" s="13">
        <f t="shared" si="5"/>
        <v>6.9628067481498461E-3</v>
      </c>
      <c r="F95" s="13">
        <f t="shared" si="6"/>
        <v>11.984166362830599</v>
      </c>
      <c r="G95" s="14">
        <f>F95/$F$150*$D$2</f>
        <v>19.248946882606752</v>
      </c>
      <c r="H95" s="14">
        <f>F95/$F$150*$E$2</f>
        <v>26.94852563564945</v>
      </c>
      <c r="I95" s="25" t="str">
        <f t="shared" si="7"/>
        <v>选中</v>
      </c>
    </row>
    <row r="96" spans="1:9" hidden="1" x14ac:dyDescent="0.25">
      <c r="A96" s="3">
        <v>164</v>
      </c>
      <c r="B96" s="3">
        <v>113.28950639999999</v>
      </c>
      <c r="C96" s="3">
        <v>23.050883330000001</v>
      </c>
      <c r="D96" s="3">
        <v>37</v>
      </c>
      <c r="E96" s="13">
        <f t="shared" si="5"/>
        <v>7.2103356019053442E-3</v>
      </c>
      <c r="F96" s="13">
        <f t="shared" si="6"/>
        <v>11.776663349387089</v>
      </c>
      <c r="G96" s="14">
        <f>F96/$F$124*$D$2</f>
        <v>1362.3816301831782</v>
      </c>
      <c r="H96" s="14">
        <f>F96/$F$124*$E$2</f>
        <v>1907.3342822564496</v>
      </c>
      <c r="I96" s="25" t="str">
        <f t="shared" si="7"/>
        <v/>
      </c>
    </row>
    <row r="97" spans="1:9" hidden="1" x14ac:dyDescent="0.25">
      <c r="A97" s="3">
        <v>427</v>
      </c>
      <c r="B97" s="3">
        <v>113.29634040000001</v>
      </c>
      <c r="C97" s="3">
        <v>23.038062069999999</v>
      </c>
      <c r="D97" s="3">
        <v>37</v>
      </c>
      <c r="E97" s="13">
        <f t="shared" si="5"/>
        <v>7.3623285716546373E-3</v>
      </c>
      <c r="F97" s="13">
        <f t="shared" si="6"/>
        <v>11.654466616968646</v>
      </c>
      <c r="G97" s="14">
        <f>F97/$F$124*$D$2</f>
        <v>1348.2453185152422</v>
      </c>
      <c r="H97" s="14">
        <f>F97/$F$124*$E$2</f>
        <v>1887.5434459213388</v>
      </c>
      <c r="I97" s="25" t="str">
        <f t="shared" si="7"/>
        <v/>
      </c>
    </row>
    <row r="98" spans="1:9" x14ac:dyDescent="0.25">
      <c r="A98" s="3">
        <v>246</v>
      </c>
      <c r="B98" s="3">
        <v>113.2923964</v>
      </c>
      <c r="C98" s="3">
        <v>23.05211237</v>
      </c>
      <c r="D98" s="3">
        <v>37</v>
      </c>
      <c r="E98" s="13">
        <f t="shared" si="5"/>
        <v>7.3735841125509806E-3</v>
      </c>
      <c r="F98" s="13">
        <f t="shared" si="6"/>
        <v>11.645568134129533</v>
      </c>
      <c r="G98" s="14">
        <f>F98/$F$150*$D$2</f>
        <v>18.705091004652125</v>
      </c>
      <c r="H98" s="14">
        <f>F98/$F$150*$E$2</f>
        <v>26.187127406512975</v>
      </c>
      <c r="I98" s="25" t="str">
        <f t="shared" si="7"/>
        <v>选中</v>
      </c>
    </row>
    <row r="99" spans="1:9" hidden="1" x14ac:dyDescent="0.25">
      <c r="A99" s="3">
        <v>401</v>
      </c>
      <c r="B99" s="3">
        <v>113.289627</v>
      </c>
      <c r="C99" s="3">
        <v>23.0384305</v>
      </c>
      <c r="D99" s="3">
        <v>37</v>
      </c>
      <c r="E99" s="13">
        <f t="shared" si="5"/>
        <v>7.4004684962230465E-3</v>
      </c>
      <c r="F99" s="13">
        <f t="shared" si="6"/>
        <v>11.624395908207322</v>
      </c>
      <c r="G99" s="14">
        <f>F99/$F$124*$D$2</f>
        <v>1344.7665928348356</v>
      </c>
      <c r="H99" s="14">
        <f>F99/$F$124*$E$2</f>
        <v>1882.6732299687699</v>
      </c>
      <c r="I99" s="25" t="str">
        <f t="shared" si="7"/>
        <v/>
      </c>
    </row>
    <row r="100" spans="1:9" hidden="1" x14ac:dyDescent="0.25">
      <c r="A100" s="3">
        <v>178</v>
      </c>
      <c r="B100" s="3">
        <v>113.28985179999999</v>
      </c>
      <c r="C100" s="3">
        <v>23.051376600000001</v>
      </c>
      <c r="D100" s="3">
        <v>37</v>
      </c>
      <c r="E100" s="13">
        <f t="shared" si="5"/>
        <v>7.4610914875504206E-3</v>
      </c>
      <c r="F100" s="13">
        <f t="shared" si="6"/>
        <v>11.577074214699206</v>
      </c>
      <c r="G100" s="14">
        <f>F100/$F$124*$D$2</f>
        <v>1339.2921894293947</v>
      </c>
      <c r="H100" s="14">
        <f>F100/$F$124*$E$2</f>
        <v>1875.0090652011525</v>
      </c>
      <c r="I100" s="25" t="str">
        <f t="shared" si="7"/>
        <v/>
      </c>
    </row>
    <row r="101" spans="1:9" x14ac:dyDescent="0.25">
      <c r="A101" s="3">
        <v>406</v>
      </c>
      <c r="B101" s="3">
        <v>113.29132420000001</v>
      </c>
      <c r="C101" s="3">
        <v>23.037610269999998</v>
      </c>
      <c r="D101" s="3">
        <v>37</v>
      </c>
      <c r="E101" s="13">
        <f t="shared" ref="E101:E132" si="8">SQRT((B101-$B$2)^2+(C101-$C$2)^2)</f>
        <v>7.4846403580193042E-3</v>
      </c>
      <c r="F101" s="13">
        <f t="shared" ref="F101:F132" si="9">SQRT(1/E101)</f>
        <v>11.558847433774293</v>
      </c>
      <c r="G101" s="14">
        <f>F101/$F$150*$D$2</f>
        <v>18.56580036863944</v>
      </c>
      <c r="H101" s="14">
        <f>F101/$F$150*$E$2</f>
        <v>25.992120516095216</v>
      </c>
      <c r="I101" s="25" t="str">
        <f t="shared" si="7"/>
        <v>选中</v>
      </c>
    </row>
    <row r="102" spans="1:9" hidden="1" x14ac:dyDescent="0.25">
      <c r="A102" s="3">
        <v>241</v>
      </c>
      <c r="B102" s="3">
        <v>113.3008945</v>
      </c>
      <c r="C102" s="3">
        <v>23.0452133</v>
      </c>
      <c r="D102" s="3">
        <v>37</v>
      </c>
      <c r="E102" s="13">
        <f t="shared" si="8"/>
        <v>7.5199686827587056E-3</v>
      </c>
      <c r="F102" s="13">
        <f t="shared" si="9"/>
        <v>11.531664112348</v>
      </c>
      <c r="G102" s="14">
        <f>F102/$F$124*$D$2</f>
        <v>1334.0389281759649</v>
      </c>
      <c r="H102" s="14">
        <f>F102/$F$124*$E$2</f>
        <v>1867.6544994463509</v>
      </c>
      <c r="I102" s="25" t="str">
        <f t="shared" si="7"/>
        <v/>
      </c>
    </row>
    <row r="103" spans="1:9" hidden="1" x14ac:dyDescent="0.25">
      <c r="A103" s="3">
        <v>193</v>
      </c>
      <c r="B103" s="3">
        <v>113.2984527</v>
      </c>
      <c r="C103" s="3">
        <v>23.050408239999999</v>
      </c>
      <c r="D103" s="3">
        <v>37</v>
      </c>
      <c r="E103" s="13">
        <f t="shared" si="8"/>
        <v>7.5542617276629495E-3</v>
      </c>
      <c r="F103" s="13">
        <f t="shared" si="9"/>
        <v>11.50545998345622</v>
      </c>
      <c r="G103" s="14">
        <f>F103/$F$124*$D$2</f>
        <v>1331.0075072396628</v>
      </c>
      <c r="H103" s="14">
        <f>F103/$F$124*$E$2</f>
        <v>1863.4105101355281</v>
      </c>
      <c r="I103" s="25" t="str">
        <f t="shared" si="7"/>
        <v/>
      </c>
    </row>
    <row r="104" spans="1:9" x14ac:dyDescent="0.25">
      <c r="A104" s="3">
        <v>242</v>
      </c>
      <c r="B104" s="3">
        <v>113.3009335</v>
      </c>
      <c r="C104" s="3">
        <v>23.04439558</v>
      </c>
      <c r="D104" s="3">
        <v>37</v>
      </c>
      <c r="E104" s="13">
        <f t="shared" si="8"/>
        <v>7.5590197532278622E-3</v>
      </c>
      <c r="F104" s="13">
        <f t="shared" si="9"/>
        <v>11.501838357122622</v>
      </c>
      <c r="G104" s="14">
        <f>F104/$F$150*$D$2</f>
        <v>18.474232490234652</v>
      </c>
      <c r="H104" s="14">
        <f>F104/$F$150*$E$2</f>
        <v>25.863925486328512</v>
      </c>
      <c r="I104" s="25" t="str">
        <f t="shared" si="7"/>
        <v>选中</v>
      </c>
    </row>
    <row r="105" spans="1:9" hidden="1" x14ac:dyDescent="0.25">
      <c r="A105" s="3">
        <v>240</v>
      </c>
      <c r="B105" s="3">
        <v>113.3009733</v>
      </c>
      <c r="C105" s="3">
        <v>23.045566010000002</v>
      </c>
      <c r="D105" s="3">
        <v>37</v>
      </c>
      <c r="E105" s="13">
        <f t="shared" si="8"/>
        <v>7.62572344206967E-3</v>
      </c>
      <c r="F105" s="13">
        <f t="shared" si="9"/>
        <v>11.45142345709745</v>
      </c>
      <c r="G105" s="14">
        <f>F105/$F$124*$D$2</f>
        <v>1324.7562993477493</v>
      </c>
      <c r="H105" s="14">
        <f>F105/$F$124*$E$2</f>
        <v>1854.6588190868492</v>
      </c>
      <c r="I105" s="25" t="str">
        <f t="shared" si="7"/>
        <v/>
      </c>
    </row>
    <row r="106" spans="1:9" hidden="1" x14ac:dyDescent="0.25">
      <c r="A106" s="3">
        <v>447</v>
      </c>
      <c r="B106" s="3">
        <v>113.2926001</v>
      </c>
      <c r="C106" s="3">
        <v>23.037092510000001</v>
      </c>
      <c r="D106" s="3">
        <v>37</v>
      </c>
      <c r="E106" s="13">
        <f t="shared" si="8"/>
        <v>7.7528252550210361E-3</v>
      </c>
      <c r="F106" s="13">
        <f t="shared" si="9"/>
        <v>11.357166751482531</v>
      </c>
      <c r="G106" s="14">
        <f>F106/$F$124*$D$2</f>
        <v>1313.8522257199647</v>
      </c>
      <c r="H106" s="14">
        <f>F106/$F$124*$E$2</f>
        <v>1839.3931160079508</v>
      </c>
      <c r="I106" s="25" t="str">
        <f t="shared" si="7"/>
        <v/>
      </c>
    </row>
    <row r="107" spans="1:9" x14ac:dyDescent="0.25">
      <c r="A107" s="3">
        <v>452</v>
      </c>
      <c r="B107" s="3">
        <v>113.30090559999999</v>
      </c>
      <c r="C107" s="3">
        <v>23.042908270000002</v>
      </c>
      <c r="D107" s="3">
        <v>37</v>
      </c>
      <c r="E107" s="13">
        <f t="shared" si="8"/>
        <v>7.7556208009991563E-3</v>
      </c>
      <c r="F107" s="13">
        <f t="shared" si="9"/>
        <v>11.355119697853697</v>
      </c>
      <c r="G107" s="14">
        <f>F107/$F$150*$D$2</f>
        <v>18.238573238397649</v>
      </c>
      <c r="H107" s="14">
        <f>F107/$F$150*$E$2</f>
        <v>25.534002533756709</v>
      </c>
      <c r="I107" s="25" t="str">
        <f t="shared" si="7"/>
        <v>选中</v>
      </c>
    </row>
    <row r="108" spans="1:9" hidden="1" x14ac:dyDescent="0.25">
      <c r="A108" s="3">
        <v>423</v>
      </c>
      <c r="B108" s="3">
        <v>113.2965391</v>
      </c>
      <c r="C108" s="3">
        <v>23.037718890000001</v>
      </c>
      <c r="D108" s="3">
        <v>37</v>
      </c>
      <c r="E108" s="13">
        <f t="shared" si="8"/>
        <v>7.7565297106741678E-3</v>
      </c>
      <c r="F108" s="13">
        <f t="shared" si="9"/>
        <v>11.354454382248392</v>
      </c>
      <c r="G108" s="14">
        <f>F108/$F$124*$D$2</f>
        <v>1313.5384456696029</v>
      </c>
      <c r="H108" s="14">
        <f>F108/$F$124*$E$2</f>
        <v>1838.9538239374442</v>
      </c>
      <c r="I108" s="25" t="str">
        <f t="shared" si="7"/>
        <v/>
      </c>
    </row>
    <row r="109" spans="1:9" hidden="1" x14ac:dyDescent="0.25">
      <c r="A109" s="3">
        <v>172</v>
      </c>
      <c r="B109" s="3">
        <v>113.2892887</v>
      </c>
      <c r="C109" s="3">
        <v>23.051422420000002</v>
      </c>
      <c r="D109" s="3">
        <v>37</v>
      </c>
      <c r="E109" s="13">
        <f t="shared" si="8"/>
        <v>7.7826097120664408E-3</v>
      </c>
      <c r="F109" s="13">
        <f t="shared" si="9"/>
        <v>11.335413681495549</v>
      </c>
      <c r="G109" s="14">
        <f>F109/$F$124*$D$2</f>
        <v>1311.3357249021083</v>
      </c>
      <c r="H109" s="14">
        <f>F109/$F$124*$E$2</f>
        <v>1835.8700148629514</v>
      </c>
      <c r="I109" s="25" t="str">
        <f t="shared" si="7"/>
        <v/>
      </c>
    </row>
    <row r="110" spans="1:9" x14ac:dyDescent="0.25">
      <c r="A110" s="3">
        <v>453</v>
      </c>
      <c r="B110" s="3">
        <v>113.301188</v>
      </c>
      <c r="C110" s="3">
        <v>23.043650459999999</v>
      </c>
      <c r="D110" s="3">
        <v>37</v>
      </c>
      <c r="E110" s="13">
        <f t="shared" si="8"/>
        <v>7.8874219210366241E-3</v>
      </c>
      <c r="F110" s="13">
        <f t="shared" si="9"/>
        <v>11.259846329167733</v>
      </c>
      <c r="G110" s="14">
        <f>F110/$F$150*$D$2</f>
        <v>18.085545321591429</v>
      </c>
      <c r="H110" s="14">
        <f>F110/$F$150*$E$2</f>
        <v>25.319763450228002</v>
      </c>
      <c r="I110" s="25" t="str">
        <f t="shared" si="7"/>
        <v>选中</v>
      </c>
    </row>
    <row r="111" spans="1:9" hidden="1" x14ac:dyDescent="0.25">
      <c r="A111" s="3">
        <v>185</v>
      </c>
      <c r="B111" s="3">
        <v>113.29145200000001</v>
      </c>
      <c r="C111" s="3">
        <v>23.052469689999999</v>
      </c>
      <c r="D111" s="3">
        <v>37</v>
      </c>
      <c r="E111" s="13">
        <f t="shared" si="8"/>
        <v>7.9043998521338543E-3</v>
      </c>
      <c r="F111" s="13">
        <f t="shared" si="9"/>
        <v>11.247747266464808</v>
      </c>
      <c r="G111" s="14">
        <f>F111/$F$124*$D$2</f>
        <v>1301.1940481063532</v>
      </c>
      <c r="H111" s="14">
        <f>F111/$F$124*$E$2</f>
        <v>1821.6716673488945</v>
      </c>
      <c r="I111" s="25" t="str">
        <f t="shared" si="7"/>
        <v/>
      </c>
    </row>
    <row r="112" spans="1:9" hidden="1" x14ac:dyDescent="0.25">
      <c r="A112" s="3">
        <v>426</v>
      </c>
      <c r="B112" s="3">
        <v>113.2941584</v>
      </c>
      <c r="C112" s="3">
        <v>23.036868129999998</v>
      </c>
      <c r="D112" s="3">
        <v>37</v>
      </c>
      <c r="E112" s="13">
        <f t="shared" si="8"/>
        <v>7.974842310425511E-3</v>
      </c>
      <c r="F112" s="13">
        <f t="shared" si="9"/>
        <v>11.197960928234503</v>
      </c>
      <c r="G112" s="14">
        <f>F112/$F$124*$D$2</f>
        <v>1295.4345226255996</v>
      </c>
      <c r="H112" s="14">
        <f>F112/$F$124*$E$2</f>
        <v>1813.6083316758393</v>
      </c>
      <c r="I112" s="25" t="str">
        <f t="shared" si="7"/>
        <v/>
      </c>
    </row>
    <row r="113" spans="1:9" x14ac:dyDescent="0.25">
      <c r="A113" s="3">
        <v>243</v>
      </c>
      <c r="B113" s="3">
        <v>113.3007885</v>
      </c>
      <c r="C113" s="3">
        <v>23.047786370000001</v>
      </c>
      <c r="D113" s="3">
        <v>37</v>
      </c>
      <c r="E113" s="13">
        <f t="shared" si="8"/>
        <v>7.9805308141084191E-3</v>
      </c>
      <c r="F113" s="13">
        <f t="shared" si="9"/>
        <v>11.193969276629387</v>
      </c>
      <c r="G113" s="14">
        <f>F113/$F$150*$D$2</f>
        <v>17.979733715952655</v>
      </c>
      <c r="H113" s="14">
        <f>F113/$F$150*$E$2</f>
        <v>25.171627202333713</v>
      </c>
      <c r="I113" s="25" t="str">
        <f t="shared" si="7"/>
        <v>选中</v>
      </c>
    </row>
    <row r="114" spans="1:9" hidden="1" x14ac:dyDescent="0.25">
      <c r="A114" s="3">
        <v>162</v>
      </c>
      <c r="B114" s="3">
        <v>113.28579259999999</v>
      </c>
      <c r="C114" s="3">
        <v>23.04751117</v>
      </c>
      <c r="D114" s="3">
        <v>37</v>
      </c>
      <c r="E114" s="13">
        <f t="shared" si="8"/>
        <v>8.0606838315922785E-3</v>
      </c>
      <c r="F114" s="13">
        <f t="shared" si="9"/>
        <v>11.138175497826847</v>
      </c>
      <c r="G114" s="14">
        <f>F114/$F$124*$D$2</f>
        <v>1288.5182535837214</v>
      </c>
      <c r="H114" s="14">
        <f>F114/$F$124*$E$2</f>
        <v>1803.9255550172099</v>
      </c>
      <c r="I114" s="25" t="str">
        <f t="shared" si="7"/>
        <v/>
      </c>
    </row>
    <row r="115" spans="1:9" hidden="1" x14ac:dyDescent="0.25">
      <c r="A115" s="3">
        <v>239</v>
      </c>
      <c r="B115" s="3">
        <v>113.3011638</v>
      </c>
      <c r="C115" s="3">
        <v>23.047328920000002</v>
      </c>
      <c r="D115" s="3">
        <v>37</v>
      </c>
      <c r="E115" s="13">
        <f t="shared" si="8"/>
        <v>8.1773068030047916E-3</v>
      </c>
      <c r="F115" s="13">
        <f t="shared" si="9"/>
        <v>11.058465155896929</v>
      </c>
      <c r="G115" s="14">
        <f>F115/$F$124*$D$2</f>
        <v>1279.2969739768291</v>
      </c>
      <c r="H115" s="14">
        <f>F115/$F$124*$E$2</f>
        <v>1791.0157635675607</v>
      </c>
      <c r="I115" s="25" t="str">
        <f t="shared" si="7"/>
        <v/>
      </c>
    </row>
    <row r="116" spans="1:9" x14ac:dyDescent="0.25">
      <c r="A116" s="3">
        <v>163</v>
      </c>
      <c r="B116" s="3">
        <v>113.28801679999999</v>
      </c>
      <c r="C116" s="3">
        <v>23.050996479999998</v>
      </c>
      <c r="D116" s="3">
        <v>37</v>
      </c>
      <c r="E116" s="13">
        <f t="shared" si="8"/>
        <v>8.1946927777410295E-3</v>
      </c>
      <c r="F116" s="13">
        <f t="shared" si="9"/>
        <v>11.046728030058235</v>
      </c>
      <c r="G116" s="14">
        <f>F116/$F$150*$D$2</f>
        <v>17.743235085312193</v>
      </c>
      <c r="H116" s="14">
        <f>F116/$F$150*$E$2</f>
        <v>24.840529119437068</v>
      </c>
      <c r="I116" s="25" t="str">
        <f t="shared" si="7"/>
        <v>选中</v>
      </c>
    </row>
    <row r="117" spans="1:9" hidden="1" x14ac:dyDescent="0.25">
      <c r="A117" s="3">
        <v>454</v>
      </c>
      <c r="B117" s="3">
        <v>113.3015613</v>
      </c>
      <c r="C117" s="3">
        <v>23.043578839999999</v>
      </c>
      <c r="D117" s="3">
        <v>37</v>
      </c>
      <c r="E117" s="13">
        <f t="shared" si="8"/>
        <v>8.2672013432698276E-3</v>
      </c>
      <c r="F117" s="13">
        <f t="shared" si="9"/>
        <v>10.998177958858557</v>
      </c>
      <c r="G117" s="14">
        <f>F117/$F$124*$D$2</f>
        <v>1272.3226581334043</v>
      </c>
      <c r="H117" s="14">
        <f>F117/$F$124*$E$2</f>
        <v>1781.2517213867661</v>
      </c>
      <c r="I117" s="25" t="str">
        <f t="shared" si="7"/>
        <v/>
      </c>
    </row>
    <row r="118" spans="1:9" hidden="1" x14ac:dyDescent="0.25">
      <c r="A118" s="3">
        <v>182</v>
      </c>
      <c r="B118" s="3">
        <v>113.2903189</v>
      </c>
      <c r="C118" s="3">
        <v>23.052817269999998</v>
      </c>
      <c r="D118" s="3">
        <v>37</v>
      </c>
      <c r="E118" s="13">
        <f t="shared" si="8"/>
        <v>8.5786985515754182E-3</v>
      </c>
      <c r="F118" s="13">
        <f t="shared" si="9"/>
        <v>10.796656798100848</v>
      </c>
      <c r="G118" s="14">
        <f>F118/$F$124*$D$2</f>
        <v>1249.0097112176054</v>
      </c>
      <c r="H118" s="14">
        <f>F118/$F$124*$E$2</f>
        <v>1748.6135957046477</v>
      </c>
      <c r="I118" s="25" t="str">
        <f t="shared" si="7"/>
        <v/>
      </c>
    </row>
    <row r="119" spans="1:9" x14ac:dyDescent="0.25">
      <c r="A119" s="3">
        <v>181</v>
      </c>
      <c r="B119" s="3">
        <v>113.2899685</v>
      </c>
      <c r="C119" s="3">
        <v>23.052782820000001</v>
      </c>
      <c r="D119" s="3">
        <v>37</v>
      </c>
      <c r="E119" s="13">
        <f t="shared" si="8"/>
        <v>8.6784309684613415E-3</v>
      </c>
      <c r="F119" s="13">
        <f t="shared" si="9"/>
        <v>10.734440012544326</v>
      </c>
      <c r="G119" s="14">
        <f>F119/$F$150*$D$2</f>
        <v>17.241638622178648</v>
      </c>
      <c r="H119" s="14">
        <f>F119/$F$150*$E$2</f>
        <v>24.138294071050108</v>
      </c>
      <c r="I119" s="25" t="str">
        <f t="shared" si="7"/>
        <v>选中</v>
      </c>
    </row>
    <row r="120" spans="1:9" hidden="1" x14ac:dyDescent="0.25">
      <c r="A120" s="3">
        <v>437</v>
      </c>
      <c r="B120" s="3">
        <v>113.2941075</v>
      </c>
      <c r="C120" s="3">
        <v>23.03615052</v>
      </c>
      <c r="D120" s="3">
        <v>37</v>
      </c>
      <c r="E120" s="13">
        <f t="shared" si="8"/>
        <v>8.6849743705107226E-3</v>
      </c>
      <c r="F120" s="13">
        <f t="shared" si="9"/>
        <v>10.730395499071276</v>
      </c>
      <c r="G120" s="14">
        <f>F120/$F$124*$D$2</f>
        <v>1241.3442822321822</v>
      </c>
      <c r="H120" s="14">
        <f>F120/$F$124*$E$2</f>
        <v>1737.8819951250553</v>
      </c>
      <c r="I120" s="25" t="str">
        <f t="shared" si="7"/>
        <v/>
      </c>
    </row>
    <row r="121" spans="1:9" hidden="1" x14ac:dyDescent="0.25">
      <c r="A121" s="3">
        <v>223</v>
      </c>
      <c r="B121" s="3">
        <v>113.3012945</v>
      </c>
      <c r="C121" s="3">
        <v>23.04839424</v>
      </c>
      <c r="D121" s="3">
        <v>37</v>
      </c>
      <c r="E121" s="13">
        <f t="shared" si="8"/>
        <v>8.6850552473807692E-3</v>
      </c>
      <c r="F121" s="13">
        <f t="shared" si="9"/>
        <v>10.730345537223137</v>
      </c>
      <c r="G121" s="14">
        <f>F121/$F$124*$D$2</f>
        <v>1241.3385024028626</v>
      </c>
      <c r="H121" s="14">
        <f>F121/$F$124*$E$2</f>
        <v>1737.8739033640077</v>
      </c>
      <c r="I121" s="25" t="str">
        <f t="shared" si="7"/>
        <v/>
      </c>
    </row>
    <row r="122" spans="1:9" x14ac:dyDescent="0.25">
      <c r="A122" s="3">
        <v>168</v>
      </c>
      <c r="B122" s="3">
        <v>113.2882094</v>
      </c>
      <c r="C122" s="3">
        <v>23.051968779999999</v>
      </c>
      <c r="D122" s="3">
        <v>37</v>
      </c>
      <c r="E122" s="13">
        <f t="shared" si="8"/>
        <v>8.8377874151572347E-3</v>
      </c>
      <c r="F122" s="13">
        <f t="shared" si="9"/>
        <v>10.637222036528692</v>
      </c>
      <c r="G122" s="14">
        <f>F122/$F$150*$D$2</f>
        <v>17.085487280508069</v>
      </c>
      <c r="H122" s="14">
        <f>F122/$F$150*$E$2</f>
        <v>23.919682192711296</v>
      </c>
      <c r="I122" s="25" t="str">
        <f t="shared" si="7"/>
        <v>选中</v>
      </c>
    </row>
    <row r="123" spans="1:9" hidden="1" x14ac:dyDescent="0.25">
      <c r="A123" s="3">
        <v>405</v>
      </c>
      <c r="B123" s="3">
        <v>113.2885519</v>
      </c>
      <c r="C123" s="3">
        <v>23.03738555</v>
      </c>
      <c r="D123" s="3">
        <v>37</v>
      </c>
      <c r="E123" s="13">
        <f t="shared" si="8"/>
        <v>8.8554741997275681E-3</v>
      </c>
      <c r="F123" s="13">
        <f t="shared" si="9"/>
        <v>10.62659401791241</v>
      </c>
      <c r="G123" s="14">
        <f>F123/$F$124*$D$2</f>
        <v>1229.3360225986075</v>
      </c>
      <c r="H123" s="14">
        <f>F123/$F$124*$E$2</f>
        <v>1721.0704316380504</v>
      </c>
      <c r="I123" s="25" t="str">
        <f t="shared" si="7"/>
        <v/>
      </c>
    </row>
    <row r="124" spans="1:9" hidden="1" x14ac:dyDescent="0.25">
      <c r="A124" s="3">
        <v>412</v>
      </c>
      <c r="B124" s="3">
        <v>113.28909899999999</v>
      </c>
      <c r="C124" s="3">
        <v>23.036984910000001</v>
      </c>
      <c r="D124" s="3">
        <v>37</v>
      </c>
      <c r="E124" s="13">
        <f t="shared" si="8"/>
        <v>8.9182750036598361E-3</v>
      </c>
      <c r="F124" s="13">
        <f t="shared" si="9"/>
        <v>10.589112685745395</v>
      </c>
      <c r="G124" s="14">
        <f>F124/$F$124*$D$2</f>
        <v>1225</v>
      </c>
      <c r="H124" s="14">
        <f>F124/$F$124*$E$2</f>
        <v>1715</v>
      </c>
      <c r="I124" s="25" t="str">
        <f t="shared" si="7"/>
        <v/>
      </c>
    </row>
    <row r="125" spans="1:9" x14ac:dyDescent="0.25">
      <c r="A125" s="3">
        <v>245</v>
      </c>
      <c r="B125" s="3">
        <v>113.3002333</v>
      </c>
      <c r="C125" s="3">
        <v>23.050990949999999</v>
      </c>
      <c r="D125" s="3">
        <v>37</v>
      </c>
      <c r="E125" s="13">
        <f t="shared" si="8"/>
        <v>9.2277586254840612E-3</v>
      </c>
      <c r="F125" s="13">
        <f t="shared" si="9"/>
        <v>10.41002774535135</v>
      </c>
      <c r="G125" s="14">
        <f>F125/$F$150*$D$2</f>
        <v>16.720568210586944</v>
      </c>
      <c r="H125" s="14">
        <f>F125/$F$150*$E$2</f>
        <v>23.408795494821721</v>
      </c>
      <c r="I125" s="25" t="str">
        <f t="shared" si="7"/>
        <v>选中</v>
      </c>
    </row>
    <row r="126" spans="1:9" hidden="1" x14ac:dyDescent="0.25">
      <c r="A126" s="3">
        <v>179</v>
      </c>
      <c r="B126" s="3">
        <v>113.2890869</v>
      </c>
      <c r="C126" s="3">
        <v>23.053008040000002</v>
      </c>
      <c r="D126" s="3">
        <v>37</v>
      </c>
      <c r="E126" s="13">
        <f t="shared" si="8"/>
        <v>9.2607488061142249E-3</v>
      </c>
      <c r="F126" s="13">
        <f t="shared" si="9"/>
        <v>10.391469035705198</v>
      </c>
      <c r="G126" s="14">
        <f>F126/$F$124*$D$2</f>
        <v>1202.1356223619034</v>
      </c>
      <c r="H126" s="14">
        <f>F126/$F$124*$E$2</f>
        <v>1682.9898713066648</v>
      </c>
      <c r="I126" s="25" t="str">
        <f t="shared" si="7"/>
        <v/>
      </c>
    </row>
    <row r="127" spans="1:9" hidden="1" x14ac:dyDescent="0.25">
      <c r="A127" s="3">
        <v>169</v>
      </c>
      <c r="B127" s="3">
        <v>113.28745670000001</v>
      </c>
      <c r="C127" s="3">
        <v>23.051973879999998</v>
      </c>
      <c r="D127" s="3">
        <v>37</v>
      </c>
      <c r="E127" s="13">
        <f t="shared" si="8"/>
        <v>9.3026011009503216E-3</v>
      </c>
      <c r="F127" s="13">
        <f t="shared" si="9"/>
        <v>10.36806713526895</v>
      </c>
      <c r="G127" s="14">
        <f>F127/$F$124*$D$2</f>
        <v>1199.4283768272521</v>
      </c>
      <c r="H127" s="14">
        <f>F127/$F$124*$E$2</f>
        <v>1679.199727558153</v>
      </c>
      <c r="I127" s="25" t="str">
        <f t="shared" si="7"/>
        <v/>
      </c>
    </row>
    <row r="128" spans="1:9" x14ac:dyDescent="0.25">
      <c r="A128" s="3">
        <v>259</v>
      </c>
      <c r="B128" s="3">
        <v>113.3018783</v>
      </c>
      <c r="C128" s="3">
        <v>23.048979970000001</v>
      </c>
      <c r="D128" s="3">
        <v>37</v>
      </c>
      <c r="E128" s="13">
        <f t="shared" si="8"/>
        <v>9.4632264059879238E-3</v>
      </c>
      <c r="F128" s="13">
        <f t="shared" si="9"/>
        <v>10.279698678576828</v>
      </c>
      <c r="G128" s="14">
        <f>F128/$F$150*$D$2</f>
        <v>16.511233893317844</v>
      </c>
      <c r="H128" s="14">
        <f>F128/$F$150*$E$2</f>
        <v>23.115727450644979</v>
      </c>
      <c r="I128" s="25" t="str">
        <f t="shared" si="7"/>
        <v>选中</v>
      </c>
    </row>
    <row r="129" spans="1:9" hidden="1" x14ac:dyDescent="0.25">
      <c r="A129" s="3">
        <v>183</v>
      </c>
      <c r="B129" s="3">
        <v>113.2839357</v>
      </c>
      <c r="C129" s="3">
        <v>23.04381532</v>
      </c>
      <c r="D129" s="3">
        <v>37</v>
      </c>
      <c r="E129" s="13">
        <f t="shared" si="8"/>
        <v>9.50162868271885E-3</v>
      </c>
      <c r="F129" s="13">
        <f t="shared" si="9"/>
        <v>10.258904163806289</v>
      </c>
      <c r="G129" s="14">
        <f>F129/$F$124*$D$2</f>
        <v>1186.7998739478962</v>
      </c>
      <c r="H129" s="14">
        <f>F129/$F$124*$E$2</f>
        <v>1661.5198235270548</v>
      </c>
      <c r="I129" s="25" t="str">
        <f t="shared" si="7"/>
        <v/>
      </c>
    </row>
    <row r="130" spans="1:9" hidden="1" x14ac:dyDescent="0.25">
      <c r="A130" s="3">
        <v>203</v>
      </c>
      <c r="B130" s="3">
        <v>113.3012674</v>
      </c>
      <c r="C130" s="3">
        <v>23.05029047</v>
      </c>
      <c r="D130" s="3">
        <v>37</v>
      </c>
      <c r="E130" s="13">
        <f t="shared" si="8"/>
        <v>9.6025166149816977E-3</v>
      </c>
      <c r="F130" s="13">
        <f t="shared" si="9"/>
        <v>10.204869759240147</v>
      </c>
      <c r="G130" s="14">
        <f>F130/$F$124*$D$2</f>
        <v>1180.548911515262</v>
      </c>
      <c r="H130" s="14">
        <f>F130/$F$124*$E$2</f>
        <v>1652.768476121367</v>
      </c>
      <c r="I130" s="25" t="str">
        <f t="shared" si="7"/>
        <v/>
      </c>
    </row>
    <row r="131" spans="1:9" x14ac:dyDescent="0.25">
      <c r="A131" s="3">
        <v>408</v>
      </c>
      <c r="B131" s="3">
        <v>113.28867169999999</v>
      </c>
      <c r="C131" s="3">
        <v>23.03635482</v>
      </c>
      <c r="D131" s="3">
        <v>37</v>
      </c>
      <c r="E131" s="13">
        <f t="shared" si="8"/>
        <v>9.6764575953399226E-3</v>
      </c>
      <c r="F131" s="13">
        <f t="shared" si="9"/>
        <v>10.165805615308384</v>
      </c>
      <c r="G131" s="14">
        <f>F131/$F$150*$D$2</f>
        <v>16.328299055901763</v>
      </c>
      <c r="H131" s="14">
        <f>F131/$F$150*$E$2</f>
        <v>22.859618678262471</v>
      </c>
      <c r="I131" s="25" t="str">
        <f t="shared" si="7"/>
        <v>选中</v>
      </c>
    </row>
    <row r="132" spans="1:9" hidden="1" x14ac:dyDescent="0.25">
      <c r="A132" s="3">
        <v>265</v>
      </c>
      <c r="B132" s="3">
        <v>113.3022946</v>
      </c>
      <c r="C132" s="3">
        <v>23.04874534</v>
      </c>
      <c r="D132" s="3">
        <v>37</v>
      </c>
      <c r="E132" s="13">
        <f t="shared" si="8"/>
        <v>9.7413085881743675E-3</v>
      </c>
      <c r="F132" s="13">
        <f t="shared" si="9"/>
        <v>10.131910606288425</v>
      </c>
      <c r="G132" s="14">
        <f>F132/$F$124*$D$2</f>
        <v>1172.1086422483033</v>
      </c>
      <c r="H132" s="14">
        <f>F132/$F$124*$E$2</f>
        <v>1640.9520991476247</v>
      </c>
      <c r="I132" s="25" t="str">
        <f t="shared" si="7"/>
        <v/>
      </c>
    </row>
    <row r="133" spans="1:9" hidden="1" x14ac:dyDescent="0.25">
      <c r="A133" s="3">
        <v>170</v>
      </c>
      <c r="B133" s="3">
        <v>113.2879957</v>
      </c>
      <c r="C133" s="3">
        <v>23.05295667</v>
      </c>
      <c r="D133" s="3">
        <v>37</v>
      </c>
      <c r="E133" s="13">
        <f t="shared" ref="E133:E148" si="10">SQRT((B133-$B$2)^2+(C133-$C$2)^2)</f>
        <v>9.7720812789732318E-3</v>
      </c>
      <c r="F133" s="13">
        <f t="shared" ref="F133:F148" si="11">SQRT(1/E133)</f>
        <v>10.115945123219154</v>
      </c>
      <c r="G133" s="14">
        <f>F133/$F$124*$D$2</f>
        <v>1170.261677602608</v>
      </c>
      <c r="H133" s="14">
        <f>F133/$F$124*$E$2</f>
        <v>1638.3663486436512</v>
      </c>
      <c r="I133" s="25" t="str">
        <f t="shared" si="7"/>
        <v/>
      </c>
    </row>
    <row r="134" spans="1:9" x14ac:dyDescent="0.25">
      <c r="A134" s="3">
        <v>247</v>
      </c>
      <c r="B134" s="3">
        <v>113.301514</v>
      </c>
      <c r="C134" s="3">
        <v>23.050360009999999</v>
      </c>
      <c r="D134" s="3">
        <v>37</v>
      </c>
      <c r="E134" s="13">
        <f t="shared" si="10"/>
        <v>9.8450055584004513E-3</v>
      </c>
      <c r="F134" s="13">
        <f t="shared" si="11"/>
        <v>10.078409889580705</v>
      </c>
      <c r="G134" s="14">
        <f>F134/$F$150*$D$2</f>
        <v>16.187924195326012</v>
      </c>
      <c r="H134" s="14">
        <f>F134/$F$150*$E$2</f>
        <v>22.663093873456415</v>
      </c>
      <c r="I134" s="25" t="str">
        <f t="shared" ref="I134:I148" si="12">IF(MOD(ROW()-1,3)=1,"选中","")</f>
        <v>选中</v>
      </c>
    </row>
    <row r="135" spans="1:9" hidden="1" x14ac:dyDescent="0.25">
      <c r="A135" s="3">
        <v>407</v>
      </c>
      <c r="B135" s="3">
        <v>113.28455700000001</v>
      </c>
      <c r="C135" s="3">
        <v>23.03992715</v>
      </c>
      <c r="D135" s="3">
        <v>37</v>
      </c>
      <c r="E135" s="13">
        <f t="shared" si="10"/>
        <v>1.0086718558771929E-2</v>
      </c>
      <c r="F135" s="13">
        <f t="shared" si="11"/>
        <v>9.95692070210856</v>
      </c>
      <c r="G135" s="14">
        <f>F135/$F$124*$D$2</f>
        <v>1151.8649599887974</v>
      </c>
      <c r="H135" s="14">
        <f>F135/$F$124*$E$2</f>
        <v>1612.6109439843165</v>
      </c>
      <c r="I135" s="25" t="str">
        <f t="shared" si="12"/>
        <v/>
      </c>
    </row>
    <row r="136" spans="1:9" hidden="1" x14ac:dyDescent="0.25">
      <c r="A136" s="3">
        <v>264</v>
      </c>
      <c r="B136" s="3">
        <v>113.3027627</v>
      </c>
      <c r="C136" s="3">
        <v>23.048958429999999</v>
      </c>
      <c r="D136" s="3">
        <v>37</v>
      </c>
      <c r="E136" s="13">
        <f t="shared" si="10"/>
        <v>1.0255599950770786E-2</v>
      </c>
      <c r="F136" s="13">
        <f t="shared" si="11"/>
        <v>9.8745989071255309</v>
      </c>
      <c r="G136" s="14">
        <f>F136/$F$124*$D$2</f>
        <v>1142.3415748056402</v>
      </c>
      <c r="H136" s="14">
        <f>F136/$F$124*$E$2</f>
        <v>1599.2782047278961</v>
      </c>
      <c r="I136" s="25" t="str">
        <f t="shared" si="12"/>
        <v/>
      </c>
    </row>
    <row r="137" spans="1:9" x14ac:dyDescent="0.25">
      <c r="A137" s="3">
        <v>255</v>
      </c>
      <c r="B137" s="3">
        <v>113.30225950000001</v>
      </c>
      <c r="C137" s="3">
        <v>23.050395689999998</v>
      </c>
      <c r="D137" s="3">
        <v>37</v>
      </c>
      <c r="E137" s="13">
        <f t="shared" si="10"/>
        <v>1.0487945283642507E-2</v>
      </c>
      <c r="F137" s="13">
        <f t="shared" si="11"/>
        <v>9.7646075570332016</v>
      </c>
      <c r="G137" s="14">
        <f>F137/$F$150*$D$2</f>
        <v>15.683895442055409</v>
      </c>
      <c r="H137" s="14">
        <f>F137/$F$150*$E$2</f>
        <v>21.957453618877572</v>
      </c>
      <c r="I137" s="25" t="str">
        <f t="shared" si="12"/>
        <v>选中</v>
      </c>
    </row>
    <row r="138" spans="1:9" hidden="1" x14ac:dyDescent="0.25">
      <c r="A138" s="3">
        <v>59</v>
      </c>
      <c r="B138" s="3">
        <v>113.28751440000001</v>
      </c>
      <c r="C138" s="3">
        <v>23.053740040000001</v>
      </c>
      <c r="D138" s="3">
        <v>37</v>
      </c>
      <c r="E138" s="13">
        <f t="shared" si="10"/>
        <v>1.0691027387480024E-2</v>
      </c>
      <c r="F138" s="13">
        <f t="shared" si="11"/>
        <v>9.6714207834941348</v>
      </c>
      <c r="G138" s="14">
        <f>F138/$F$124*$D$2</f>
        <v>1118.8369423746803</v>
      </c>
      <c r="H138" s="14">
        <f>F138/$F$124*$E$2</f>
        <v>1566.3717193245523</v>
      </c>
      <c r="I138" s="25" t="str">
        <f t="shared" si="12"/>
        <v/>
      </c>
    </row>
    <row r="139" spans="1:9" hidden="1" x14ac:dyDescent="0.25">
      <c r="A139" s="3">
        <v>400</v>
      </c>
      <c r="B139" s="3">
        <v>113.2880049</v>
      </c>
      <c r="C139" s="3">
        <v>23.03531924</v>
      </c>
      <c r="D139" s="3">
        <v>37</v>
      </c>
      <c r="E139" s="13">
        <f t="shared" si="10"/>
        <v>1.090595813901326E-2</v>
      </c>
      <c r="F139" s="13">
        <f t="shared" si="11"/>
        <v>9.5756460982588401</v>
      </c>
      <c r="G139" s="14">
        <f>F139/$F$124*$D$2</f>
        <v>1107.7572614896924</v>
      </c>
      <c r="H139" s="14">
        <f>F139/$F$124*$E$2</f>
        <v>1550.8601660855693</v>
      </c>
      <c r="I139" s="25" t="str">
        <f t="shared" si="12"/>
        <v/>
      </c>
    </row>
    <row r="140" spans="1:9" x14ac:dyDescent="0.25">
      <c r="A140" s="3">
        <v>419</v>
      </c>
      <c r="B140" s="3">
        <v>113.2885211</v>
      </c>
      <c r="C140" s="3">
        <v>23.035036609999999</v>
      </c>
      <c r="D140" s="3">
        <v>37</v>
      </c>
      <c r="E140" s="13">
        <f t="shared" si="10"/>
        <v>1.0912992248641548E-2</v>
      </c>
      <c r="F140" s="13">
        <f t="shared" si="11"/>
        <v>9.5725595478334924</v>
      </c>
      <c r="G140" s="14">
        <f>F140/$F$150*$D$2</f>
        <v>15.375428268280093</v>
      </c>
      <c r="H140" s="14">
        <f>F140/$F$150*$E$2</f>
        <v>21.525599575592128</v>
      </c>
      <c r="I140" s="25" t="str">
        <f t="shared" si="12"/>
        <v>选中</v>
      </c>
    </row>
    <row r="141" spans="1:9" hidden="1" x14ac:dyDescent="0.25">
      <c r="A141" s="3">
        <v>420</v>
      </c>
      <c r="B141" s="3">
        <v>113.286722</v>
      </c>
      <c r="C141" s="3">
        <v>23.033940690000001</v>
      </c>
      <c r="D141" s="3">
        <v>37</v>
      </c>
      <c r="E141" s="13">
        <f t="shared" si="10"/>
        <v>1.2745444579238454E-2</v>
      </c>
      <c r="F141" s="13">
        <f t="shared" si="11"/>
        <v>8.8577313769014321</v>
      </c>
      <c r="G141" s="14">
        <f>F141/$F$124*$D$2</f>
        <v>1024.7053987168374</v>
      </c>
      <c r="H141" s="14">
        <f>F141/$F$124*$E$2</f>
        <v>1434.5875582035721</v>
      </c>
      <c r="I141" s="25" t="str">
        <f t="shared" si="12"/>
        <v/>
      </c>
    </row>
    <row r="142" spans="1:9" hidden="1" x14ac:dyDescent="0.25">
      <c r="A142" s="3">
        <v>422</v>
      </c>
      <c r="B142" s="3">
        <v>113.28685280000001</v>
      </c>
      <c r="C142" s="3">
        <v>23.033758580000001</v>
      </c>
      <c r="D142" s="3">
        <v>37</v>
      </c>
      <c r="E142" s="13">
        <f t="shared" si="10"/>
        <v>1.2833962431745428E-2</v>
      </c>
      <c r="F142" s="13">
        <f t="shared" si="11"/>
        <v>8.8271319418019747</v>
      </c>
      <c r="G142" s="14">
        <f>F142/$F$124*$D$2</f>
        <v>1021.1655074049528</v>
      </c>
      <c r="H142" s="14">
        <f>F142/$F$124*$E$2</f>
        <v>1429.6317103669339</v>
      </c>
      <c r="I142" s="25" t="str">
        <f t="shared" si="12"/>
        <v/>
      </c>
    </row>
    <row r="143" spans="1:9" x14ac:dyDescent="0.25">
      <c r="A143" s="3">
        <v>688</v>
      </c>
      <c r="B143" s="3">
        <v>113.286793</v>
      </c>
      <c r="C143" s="3">
        <v>23.03342082</v>
      </c>
      <c r="D143" s="3">
        <v>37</v>
      </c>
      <c r="E143" s="13">
        <f t="shared" si="10"/>
        <v>1.3155681179790794E-2</v>
      </c>
      <c r="F143" s="13">
        <f t="shared" si="11"/>
        <v>8.7185312786501008</v>
      </c>
      <c r="G143" s="14">
        <f>F143/$F$150*$D$2</f>
        <v>14.003689568061244</v>
      </c>
      <c r="H143" s="14">
        <f>F143/$F$150*$E$2</f>
        <v>19.605165395285741</v>
      </c>
      <c r="I143" s="25" t="str">
        <f t="shared" si="12"/>
        <v>选中</v>
      </c>
    </row>
    <row r="144" spans="1:9" hidden="1" x14ac:dyDescent="0.25">
      <c r="A144" s="3">
        <v>689</v>
      </c>
      <c r="B144" s="3">
        <v>113.2865334</v>
      </c>
      <c r="C144" s="3">
        <v>23.033529139999999</v>
      </c>
      <c r="D144" s="3">
        <v>37</v>
      </c>
      <c r="E144" s="13">
        <f t="shared" si="10"/>
        <v>1.3194983384984371E-2</v>
      </c>
      <c r="F144" s="13">
        <f t="shared" si="11"/>
        <v>8.7055372098627224</v>
      </c>
      <c r="G144" s="14">
        <f>F144/$F$124*$D$2</f>
        <v>1007.0988380771158</v>
      </c>
      <c r="H144" s="14">
        <f>F144/$F$124*$E$2</f>
        <v>1409.9383733079621</v>
      </c>
      <c r="I144" s="25" t="str">
        <f t="shared" si="12"/>
        <v/>
      </c>
    </row>
    <row r="145" spans="1:9" hidden="1" x14ac:dyDescent="0.25">
      <c r="A145" s="3">
        <v>417</v>
      </c>
      <c r="B145" s="3">
        <v>113.2845883</v>
      </c>
      <c r="C145" s="3">
        <v>23.0345984</v>
      </c>
      <c r="D145" s="3">
        <v>37</v>
      </c>
      <c r="E145" s="13">
        <f t="shared" si="10"/>
        <v>1.3475019586315204E-2</v>
      </c>
      <c r="F145" s="13">
        <f t="shared" si="11"/>
        <v>8.6146035842893554</v>
      </c>
      <c r="G145" s="14">
        <f>F145/$F$124*$D$2</f>
        <v>996.57919449287783</v>
      </c>
      <c r="H145" s="14">
        <f>F145/$F$124*$E$2</f>
        <v>1395.2108722900291</v>
      </c>
      <c r="I145" s="25" t="str">
        <f t="shared" si="12"/>
        <v/>
      </c>
    </row>
    <row r="146" spans="1:9" x14ac:dyDescent="0.25">
      <c r="A146" s="3">
        <v>686</v>
      </c>
      <c r="B146" s="3">
        <v>113.2858944</v>
      </c>
      <c r="C146" s="3">
        <v>23.033254159999998</v>
      </c>
      <c r="D146" s="3">
        <v>37</v>
      </c>
      <c r="E146" s="13">
        <f t="shared" si="10"/>
        <v>1.3767721201357459E-2</v>
      </c>
      <c r="F146" s="13">
        <f t="shared" si="11"/>
        <v>8.5225384364518444</v>
      </c>
      <c r="G146" s="14">
        <f>F146/$F$150*$D$2</f>
        <v>13.688886210478824</v>
      </c>
      <c r="H146" s="14">
        <f>F146/$F$150*$E$2</f>
        <v>19.164440694670354</v>
      </c>
      <c r="I146" s="25" t="str">
        <f t="shared" si="12"/>
        <v>选中</v>
      </c>
    </row>
    <row r="147" spans="1:9" hidden="1" x14ac:dyDescent="0.25">
      <c r="A147" s="3">
        <v>685</v>
      </c>
      <c r="B147" s="3">
        <v>113.28576959999999</v>
      </c>
      <c r="C147" s="3">
        <v>23.033193369999999</v>
      </c>
      <c r="D147" s="3">
        <v>37</v>
      </c>
      <c r="E147" s="13">
        <f t="shared" si="10"/>
        <v>1.3886814814237331E-2</v>
      </c>
      <c r="F147" s="13">
        <f t="shared" si="11"/>
        <v>8.485915013059369</v>
      </c>
      <c r="G147" s="14">
        <f>F147/$F$124*$D$2</f>
        <v>981.69187537227333</v>
      </c>
      <c r="H147" s="14">
        <f>F147/$F$124*$E$2</f>
        <v>1374.3686255211826</v>
      </c>
      <c r="I147" s="25" t="str">
        <f t="shared" si="12"/>
        <v/>
      </c>
    </row>
    <row r="148" spans="1:9" hidden="1" x14ac:dyDescent="0.25">
      <c r="A148" s="3">
        <v>399</v>
      </c>
      <c r="B148" s="3">
        <v>113.2802533</v>
      </c>
      <c r="C148" s="3">
        <v>23.039609939999998</v>
      </c>
      <c r="D148" s="3">
        <v>37</v>
      </c>
      <c r="E148" s="13">
        <f t="shared" si="10"/>
        <v>1.4122695335519466E-2</v>
      </c>
      <c r="F148" s="13">
        <f t="shared" si="11"/>
        <v>8.4147497503036686</v>
      </c>
      <c r="G148" s="14">
        <f>F148/$F$124*$D$2</f>
        <v>973.45913203835016</v>
      </c>
      <c r="H148" s="14">
        <f>F148/$F$124*$E$2</f>
        <v>1362.8427848536901</v>
      </c>
      <c r="I148" s="25" t="str">
        <f t="shared" si="12"/>
        <v/>
      </c>
    </row>
    <row r="149" spans="1:9" x14ac:dyDescent="0.25">
      <c r="A149" s="3"/>
      <c r="B149" s="3"/>
      <c r="C149" s="3"/>
      <c r="D149" s="3"/>
      <c r="G149" s="14"/>
      <c r="H149" s="14"/>
    </row>
    <row r="150" spans="1:9" x14ac:dyDescent="0.25">
      <c r="A150" s="3"/>
      <c r="B150" s="3"/>
      <c r="C150" s="3"/>
      <c r="D150" s="3"/>
      <c r="F150" s="13">
        <f>SUBTOTAL(9,F5:F146)</f>
        <v>762.67049226120525</v>
      </c>
      <c r="G150" s="13">
        <f>SUBTOTAL(9,G5:G146)</f>
        <v>1224.9999999999995</v>
      </c>
      <c r="H150" s="13">
        <f>SUBTOTAL(9,H5:H146)</f>
        <v>1714.9999999999993</v>
      </c>
    </row>
    <row r="151" spans="1:9" x14ac:dyDescent="0.25">
      <c r="A151" s="3"/>
      <c r="B151" s="3"/>
      <c r="C151" s="3"/>
      <c r="D151" s="3"/>
      <c r="G151" s="14"/>
      <c r="H151" s="14"/>
    </row>
    <row r="152" spans="1:9" x14ac:dyDescent="0.25">
      <c r="A152" s="3"/>
      <c r="B152" s="3"/>
      <c r="C152" s="3"/>
      <c r="D152" s="3"/>
      <c r="G152" s="14"/>
      <c r="H152" s="14"/>
    </row>
    <row r="153" spans="1:9" x14ac:dyDescent="0.25">
      <c r="A153" s="3"/>
      <c r="B153" s="3"/>
      <c r="C153" s="3"/>
      <c r="D153" s="3"/>
      <c r="G153" s="14"/>
      <c r="H153" s="14"/>
    </row>
    <row r="154" spans="1:9" x14ac:dyDescent="0.25">
      <c r="A154" s="3"/>
      <c r="B154" s="3"/>
      <c r="C154" s="3"/>
      <c r="D154" s="3"/>
      <c r="G154" s="14"/>
      <c r="H154" s="14"/>
    </row>
    <row r="155" spans="1:9" x14ac:dyDescent="0.25">
      <c r="A155" s="3"/>
      <c r="B155" s="3"/>
      <c r="C155" s="3"/>
      <c r="D155" s="3"/>
      <c r="G155" s="14"/>
      <c r="H155" s="14"/>
    </row>
    <row r="156" spans="1:9" x14ac:dyDescent="0.25">
      <c r="A156" s="3"/>
      <c r="B156" s="3"/>
      <c r="C156" s="3"/>
      <c r="D156" s="3"/>
      <c r="G156" s="14"/>
      <c r="H156" s="14"/>
    </row>
    <row r="157" spans="1:9" x14ac:dyDescent="0.25">
      <c r="A157" s="3"/>
      <c r="B157" s="3"/>
      <c r="C157" s="3"/>
      <c r="D157" s="3"/>
      <c r="G157" s="14"/>
      <c r="H157" s="14"/>
    </row>
    <row r="158" spans="1:9" x14ac:dyDescent="0.25">
      <c r="A158" s="3"/>
      <c r="B158" s="3"/>
      <c r="C158" s="3"/>
      <c r="D158" s="3"/>
      <c r="G158" s="14"/>
      <c r="H158" s="14"/>
    </row>
    <row r="159" spans="1:9" x14ac:dyDescent="0.25">
      <c r="A159" s="3"/>
      <c r="B159" s="3"/>
      <c r="C159" s="3"/>
      <c r="D159" s="3"/>
      <c r="G159" s="14"/>
      <c r="H159" s="14"/>
    </row>
    <row r="160" spans="1:9" x14ac:dyDescent="0.25">
      <c r="A160" s="3"/>
      <c r="B160" s="3"/>
      <c r="C160" s="3"/>
      <c r="D160" s="3"/>
      <c r="G160" s="14"/>
      <c r="H160" s="14"/>
    </row>
    <row r="161" spans="1:8" x14ac:dyDescent="0.25">
      <c r="A161" s="3"/>
      <c r="B161" s="3"/>
      <c r="C161" s="3"/>
      <c r="D161" s="3"/>
      <c r="G161" s="14"/>
      <c r="H161" s="14"/>
    </row>
    <row r="162" spans="1:8" x14ac:dyDescent="0.25">
      <c r="A162" s="3"/>
      <c r="B162" s="3"/>
      <c r="C162" s="3"/>
      <c r="D162" s="3"/>
      <c r="G162" s="14"/>
      <c r="H162" s="14"/>
    </row>
    <row r="163" spans="1:8" x14ac:dyDescent="0.25">
      <c r="A163" s="3"/>
      <c r="B163" s="3"/>
      <c r="C163" s="3"/>
      <c r="D163" s="3"/>
      <c r="G163" s="14"/>
      <c r="H163" s="14"/>
    </row>
    <row r="164" spans="1:8" x14ac:dyDescent="0.25">
      <c r="A164" s="3"/>
      <c r="B164" s="3"/>
      <c r="C164" s="3"/>
      <c r="D164" s="3"/>
      <c r="G164" s="14"/>
      <c r="H164" s="14"/>
    </row>
    <row r="165" spans="1:8" x14ac:dyDescent="0.25">
      <c r="A165" s="3"/>
      <c r="B165" s="3"/>
      <c r="C165" s="3"/>
      <c r="D165" s="3"/>
      <c r="G165" s="14"/>
      <c r="H165" s="14"/>
    </row>
    <row r="166" spans="1:8" x14ac:dyDescent="0.25">
      <c r="A166" s="3"/>
      <c r="B166" s="3"/>
      <c r="C166" s="3"/>
      <c r="D166" s="3"/>
      <c r="G166" s="14"/>
      <c r="H166" s="14"/>
    </row>
    <row r="167" spans="1:8" x14ac:dyDescent="0.25">
      <c r="A167" s="3"/>
      <c r="B167" s="3"/>
      <c r="C167" s="3"/>
      <c r="D167" s="3"/>
      <c r="G167" s="14"/>
      <c r="H167" s="14"/>
    </row>
    <row r="168" spans="1:8" x14ac:dyDescent="0.25">
      <c r="A168" s="3"/>
      <c r="B168" s="3"/>
      <c r="C168" s="3"/>
      <c r="D168" s="3"/>
      <c r="G168" s="14"/>
      <c r="H168" s="14"/>
    </row>
    <row r="169" spans="1:8" x14ac:dyDescent="0.25">
      <c r="A169" s="3"/>
      <c r="B169" s="3"/>
      <c r="C169" s="3"/>
      <c r="D169" s="3"/>
      <c r="G169" s="14"/>
      <c r="H169" s="14"/>
    </row>
    <row r="170" spans="1:8" x14ac:dyDescent="0.25">
      <c r="A170" s="3"/>
      <c r="B170" s="3"/>
      <c r="C170" s="3"/>
      <c r="D170" s="3"/>
      <c r="G170" s="14"/>
      <c r="H170" s="14"/>
    </row>
    <row r="171" spans="1:8" x14ac:dyDescent="0.25">
      <c r="A171" s="3"/>
      <c r="B171" s="3"/>
      <c r="C171" s="3"/>
      <c r="D171" s="3"/>
      <c r="G171" s="14"/>
      <c r="H171" s="14"/>
    </row>
    <row r="172" spans="1:8" x14ac:dyDescent="0.25">
      <c r="A172" s="3"/>
      <c r="B172" s="3"/>
      <c r="C172" s="3"/>
      <c r="D172" s="3"/>
      <c r="G172" s="14"/>
      <c r="H172" s="14"/>
    </row>
    <row r="173" spans="1:8" x14ac:dyDescent="0.25">
      <c r="A173" s="3"/>
      <c r="B173" s="3"/>
      <c r="C173" s="3"/>
      <c r="D173" s="3"/>
      <c r="G173" s="14"/>
      <c r="H173" s="14"/>
    </row>
    <row r="174" spans="1:8" x14ac:dyDescent="0.25">
      <c r="A174" s="3"/>
      <c r="B174" s="3"/>
      <c r="C174" s="3"/>
      <c r="D174" s="3"/>
      <c r="G174" s="14"/>
      <c r="H174" s="14"/>
    </row>
    <row r="175" spans="1:8" x14ac:dyDescent="0.25">
      <c r="A175" s="3"/>
      <c r="B175" s="3"/>
      <c r="C175" s="3"/>
      <c r="D175" s="3"/>
      <c r="G175" s="14"/>
      <c r="H175" s="14"/>
    </row>
    <row r="176" spans="1:8" x14ac:dyDescent="0.25">
      <c r="A176" s="3"/>
      <c r="B176" s="3"/>
      <c r="C176" s="3"/>
      <c r="D176" s="3"/>
      <c r="G176" s="14"/>
      <c r="H176" s="14"/>
    </row>
    <row r="177" spans="1:8" x14ac:dyDescent="0.25">
      <c r="A177" s="3"/>
      <c r="B177" s="3"/>
      <c r="C177" s="3"/>
      <c r="D177" s="3"/>
      <c r="G177" s="14"/>
      <c r="H177" s="14"/>
    </row>
    <row r="178" spans="1:8" x14ac:dyDescent="0.25">
      <c r="A178" s="3"/>
      <c r="B178" s="3"/>
      <c r="C178" s="3"/>
      <c r="D178" s="3"/>
      <c r="G178" s="14"/>
      <c r="H178" s="14"/>
    </row>
    <row r="179" spans="1:8" x14ac:dyDescent="0.25">
      <c r="A179" s="3"/>
      <c r="B179" s="3"/>
      <c r="C179" s="3"/>
      <c r="D179" s="3"/>
      <c r="G179" s="14"/>
      <c r="H179" s="14"/>
    </row>
    <row r="180" spans="1:8" x14ac:dyDescent="0.25">
      <c r="A180" s="3"/>
      <c r="B180" s="3"/>
      <c r="C180" s="3"/>
      <c r="D180" s="3"/>
      <c r="G180" s="14"/>
      <c r="H180" s="14"/>
    </row>
    <row r="181" spans="1:8" x14ac:dyDescent="0.25">
      <c r="A181" s="3"/>
      <c r="B181" s="3"/>
      <c r="C181" s="3"/>
      <c r="D181" s="3"/>
      <c r="G181" s="14"/>
      <c r="H181" s="14"/>
    </row>
    <row r="182" spans="1:8" x14ac:dyDescent="0.25">
      <c r="A182" s="3"/>
      <c r="B182" s="3"/>
      <c r="C182" s="3"/>
      <c r="D182" s="3"/>
      <c r="G182" s="14"/>
      <c r="H182" s="14"/>
    </row>
    <row r="183" spans="1:8" x14ac:dyDescent="0.25">
      <c r="A183" s="3"/>
      <c r="B183" s="3"/>
      <c r="C183" s="3"/>
      <c r="D183" s="3"/>
      <c r="G183" s="14"/>
      <c r="H183" s="14"/>
    </row>
    <row r="184" spans="1:8" x14ac:dyDescent="0.25">
      <c r="A184" s="3"/>
      <c r="B184" s="3"/>
      <c r="C184" s="3"/>
      <c r="D184" s="3"/>
      <c r="G184" s="14"/>
      <c r="H184" s="14"/>
    </row>
    <row r="185" spans="1:8" x14ac:dyDescent="0.25">
      <c r="A185" s="3"/>
      <c r="B185" s="3"/>
      <c r="C185" s="3"/>
      <c r="D185" s="3"/>
      <c r="G185" s="14"/>
      <c r="H185" s="14"/>
    </row>
    <row r="186" spans="1:8" x14ac:dyDescent="0.25">
      <c r="A186" s="3"/>
      <c r="B186" s="3"/>
      <c r="C186" s="3"/>
      <c r="D186" s="3"/>
      <c r="G186" s="14"/>
      <c r="H186" s="14"/>
    </row>
    <row r="187" spans="1:8" x14ac:dyDescent="0.25">
      <c r="A187" s="3"/>
      <c r="B187" s="3"/>
      <c r="C187" s="3"/>
      <c r="D187" s="3"/>
      <c r="G187" s="14"/>
      <c r="H187" s="14"/>
    </row>
    <row r="188" spans="1:8" x14ac:dyDescent="0.25">
      <c r="A188" s="3"/>
      <c r="B188" s="3"/>
      <c r="C188" s="3"/>
      <c r="D188" s="3"/>
      <c r="G188" s="14"/>
      <c r="H188" s="14"/>
    </row>
    <row r="189" spans="1:8" x14ac:dyDescent="0.25">
      <c r="A189" s="3"/>
      <c r="B189" s="3"/>
      <c r="C189" s="3"/>
      <c r="D189" s="3"/>
      <c r="G189" s="14"/>
      <c r="H189" s="14"/>
    </row>
    <row r="190" spans="1:8" x14ac:dyDescent="0.25">
      <c r="A190" s="3"/>
      <c r="B190" s="3"/>
      <c r="C190" s="3"/>
      <c r="D190" s="3"/>
      <c r="G190" s="14"/>
      <c r="H190" s="14"/>
    </row>
    <row r="191" spans="1:8" x14ac:dyDescent="0.25">
      <c r="A191" s="3"/>
      <c r="B191" s="3"/>
      <c r="C191" s="3"/>
      <c r="D191" s="3"/>
      <c r="G191" s="14"/>
      <c r="H191" s="14"/>
    </row>
    <row r="192" spans="1:8" x14ac:dyDescent="0.25">
      <c r="A192" s="3"/>
      <c r="B192" s="3"/>
      <c r="C192" s="3"/>
      <c r="D192" s="3"/>
      <c r="G192" s="14"/>
      <c r="H192" s="14"/>
    </row>
    <row r="193" spans="1:8" x14ac:dyDescent="0.25">
      <c r="A193" s="3"/>
      <c r="B193" s="3"/>
      <c r="C193" s="3"/>
      <c r="D193" s="3"/>
      <c r="G193" s="14"/>
      <c r="H193" s="14"/>
    </row>
    <row r="194" spans="1:8" x14ac:dyDescent="0.25">
      <c r="A194" s="3"/>
      <c r="B194" s="3"/>
      <c r="C194" s="3"/>
      <c r="D194" s="3"/>
      <c r="G194" s="14"/>
      <c r="H194" s="14"/>
    </row>
    <row r="195" spans="1:8" x14ac:dyDescent="0.25">
      <c r="A195" s="3"/>
      <c r="B195" s="3"/>
      <c r="C195" s="3"/>
      <c r="D195" s="3"/>
      <c r="G195" s="14"/>
      <c r="H195" s="14"/>
    </row>
    <row r="196" spans="1:8" x14ac:dyDescent="0.25">
      <c r="A196" s="3"/>
      <c r="B196" s="3"/>
      <c r="C196" s="3"/>
      <c r="D196" s="3"/>
      <c r="G196" s="14"/>
      <c r="H196" s="14"/>
    </row>
    <row r="197" spans="1:8" x14ac:dyDescent="0.25">
      <c r="A197" s="3"/>
      <c r="B197" s="3"/>
      <c r="C197" s="3"/>
      <c r="D197" s="3"/>
      <c r="G197" s="14"/>
      <c r="H197" s="14"/>
    </row>
    <row r="198" spans="1:8" x14ac:dyDescent="0.25">
      <c r="A198" s="3"/>
      <c r="B198" s="3"/>
      <c r="C198" s="3"/>
      <c r="D198" s="3"/>
      <c r="G198" s="14"/>
      <c r="H198" s="14"/>
    </row>
    <row r="199" spans="1:8" x14ac:dyDescent="0.25">
      <c r="A199" s="3"/>
      <c r="B199" s="3"/>
      <c r="C199" s="3"/>
      <c r="D199" s="3"/>
      <c r="G199" s="14"/>
      <c r="H199" s="14"/>
    </row>
    <row r="200" spans="1:8" x14ac:dyDescent="0.25">
      <c r="A200" s="3"/>
      <c r="B200" s="3"/>
      <c r="C200" s="3"/>
      <c r="D200" s="3"/>
      <c r="G200" s="14"/>
      <c r="H200" s="14"/>
    </row>
    <row r="201" spans="1:8" x14ac:dyDescent="0.25">
      <c r="A201" s="3"/>
      <c r="B201" s="3"/>
      <c r="C201" s="3"/>
      <c r="D201" s="3"/>
      <c r="G201" s="14"/>
      <c r="H201" s="14"/>
    </row>
    <row r="202" spans="1:8" x14ac:dyDescent="0.25">
      <c r="A202" s="3"/>
      <c r="B202" s="3"/>
      <c r="C202" s="3"/>
      <c r="D202" s="3"/>
      <c r="G202" s="14"/>
      <c r="H202" s="14"/>
    </row>
    <row r="203" spans="1:8" x14ac:dyDescent="0.25">
      <c r="A203" s="3"/>
      <c r="B203" s="3"/>
      <c r="C203" s="3"/>
      <c r="D203" s="3"/>
      <c r="G203" s="14"/>
      <c r="H203" s="14"/>
    </row>
    <row r="204" spans="1:8" x14ac:dyDescent="0.25">
      <c r="A204" s="3"/>
      <c r="B204" s="3"/>
      <c r="C204" s="3"/>
      <c r="D204" s="3"/>
      <c r="G204" s="14"/>
      <c r="H204" s="14"/>
    </row>
    <row r="205" spans="1:8" x14ac:dyDescent="0.25">
      <c r="A205" s="3"/>
      <c r="B205" s="3"/>
      <c r="C205" s="3"/>
      <c r="D205" s="3"/>
      <c r="G205" s="14"/>
      <c r="H205" s="14"/>
    </row>
    <row r="206" spans="1:8" x14ac:dyDescent="0.25">
      <c r="A206" s="3"/>
      <c r="B206" s="3"/>
      <c r="C206" s="3"/>
      <c r="D206" s="3"/>
      <c r="G206" s="14"/>
      <c r="H206" s="14"/>
    </row>
    <row r="207" spans="1:8" x14ac:dyDescent="0.25">
      <c r="A207" s="3"/>
      <c r="B207" s="3"/>
      <c r="C207" s="3"/>
      <c r="D207" s="3"/>
      <c r="G207" s="14"/>
      <c r="H207" s="14"/>
    </row>
    <row r="208" spans="1:8" x14ac:dyDescent="0.25">
      <c r="A208" s="3"/>
      <c r="B208" s="3"/>
      <c r="C208" s="3"/>
      <c r="D208" s="3"/>
      <c r="G208" s="14"/>
      <c r="H208" s="14"/>
    </row>
    <row r="209" spans="1:8" x14ac:dyDescent="0.25">
      <c r="A209" s="3"/>
      <c r="B209" s="3"/>
      <c r="C209" s="3"/>
      <c r="D209" s="3"/>
      <c r="G209" s="14"/>
      <c r="H209" s="14"/>
    </row>
    <row r="210" spans="1:8" x14ac:dyDescent="0.25">
      <c r="A210" s="3"/>
      <c r="B210" s="3"/>
      <c r="C210" s="3"/>
      <c r="D210" s="3"/>
      <c r="G210" s="14"/>
      <c r="H210" s="14"/>
    </row>
    <row r="211" spans="1:8" x14ac:dyDescent="0.25">
      <c r="A211" s="3"/>
      <c r="B211" s="3"/>
      <c r="C211" s="3"/>
      <c r="D211" s="3"/>
      <c r="G211" s="14"/>
      <c r="H211" s="14"/>
    </row>
    <row r="212" spans="1:8" x14ac:dyDescent="0.25">
      <c r="A212" s="3"/>
      <c r="B212" s="3"/>
      <c r="C212" s="3"/>
      <c r="D212" s="3"/>
      <c r="G212" s="14"/>
      <c r="H212" s="14"/>
    </row>
    <row r="213" spans="1:8" x14ac:dyDescent="0.25">
      <c r="A213" s="3"/>
      <c r="B213" s="3"/>
      <c r="C213" s="3"/>
      <c r="D213" s="3"/>
      <c r="G213" s="14"/>
      <c r="H213" s="14"/>
    </row>
    <row r="214" spans="1:8" x14ac:dyDescent="0.25">
      <c r="A214" s="3"/>
      <c r="B214" s="3"/>
      <c r="C214" s="3"/>
      <c r="D214" s="3"/>
      <c r="G214" s="14"/>
      <c r="H214" s="14"/>
    </row>
    <row r="215" spans="1:8" x14ac:dyDescent="0.25">
      <c r="A215" s="3"/>
      <c r="B215" s="3"/>
      <c r="C215" s="3"/>
      <c r="D215" s="3"/>
      <c r="G215" s="14"/>
      <c r="H215" s="14"/>
    </row>
    <row r="216" spans="1:8" x14ac:dyDescent="0.25">
      <c r="A216" s="3"/>
      <c r="B216" s="3"/>
      <c r="C216" s="3"/>
      <c r="D216" s="3"/>
      <c r="G216" s="14"/>
      <c r="H216" s="14"/>
    </row>
    <row r="217" spans="1:8" x14ac:dyDescent="0.25">
      <c r="A217" s="3"/>
      <c r="B217" s="3"/>
      <c r="C217" s="3"/>
      <c r="D217" s="3"/>
      <c r="G217" s="14"/>
      <c r="H217" s="14"/>
    </row>
    <row r="218" spans="1:8" x14ac:dyDescent="0.25">
      <c r="A218" s="3"/>
      <c r="B218" s="3"/>
      <c r="C218" s="3"/>
      <c r="D218" s="3"/>
      <c r="G218" s="14"/>
      <c r="H218" s="14"/>
    </row>
    <row r="219" spans="1:8" x14ac:dyDescent="0.25">
      <c r="A219" s="3"/>
      <c r="B219" s="3"/>
      <c r="C219" s="3"/>
      <c r="D219" s="3"/>
      <c r="G219" s="14"/>
      <c r="H219" s="14"/>
    </row>
    <row r="220" spans="1:8" x14ac:dyDescent="0.25">
      <c r="A220" s="3"/>
      <c r="B220" s="3"/>
      <c r="C220" s="3"/>
      <c r="D220" s="3"/>
      <c r="G220" s="14"/>
      <c r="H220" s="14"/>
    </row>
    <row r="221" spans="1:8" x14ac:dyDescent="0.25">
      <c r="A221" s="3"/>
      <c r="B221" s="3"/>
      <c r="C221" s="3"/>
      <c r="D221" s="3"/>
      <c r="G221" s="14"/>
      <c r="H221" s="14"/>
    </row>
    <row r="222" spans="1:8" x14ac:dyDescent="0.25">
      <c r="A222" s="3"/>
      <c r="B222" s="3"/>
      <c r="C222" s="3"/>
      <c r="D222" s="3"/>
      <c r="G222" s="14"/>
      <c r="H222" s="14"/>
    </row>
    <row r="223" spans="1:8" x14ac:dyDescent="0.25">
      <c r="A223" s="3"/>
      <c r="B223" s="3"/>
      <c r="C223" s="3"/>
      <c r="D223" s="3"/>
      <c r="G223" s="14"/>
      <c r="H223" s="14"/>
    </row>
    <row r="224" spans="1:8" x14ac:dyDescent="0.25">
      <c r="A224" s="3"/>
      <c r="B224" s="3"/>
      <c r="C224" s="3"/>
      <c r="D224" s="3"/>
      <c r="G224" s="14"/>
      <c r="H224" s="14"/>
    </row>
    <row r="225" spans="1:8" x14ac:dyDescent="0.25">
      <c r="A225" s="3"/>
      <c r="B225" s="3"/>
      <c r="C225" s="3"/>
      <c r="D225" s="3"/>
      <c r="G225" s="14"/>
      <c r="H225" s="14"/>
    </row>
    <row r="226" spans="1:8" x14ac:dyDescent="0.25">
      <c r="A226" s="3"/>
      <c r="B226" s="3"/>
      <c r="C226" s="3"/>
      <c r="D226" s="3"/>
      <c r="G226" s="14"/>
      <c r="H226" s="14"/>
    </row>
    <row r="227" spans="1:8" x14ac:dyDescent="0.25">
      <c r="A227" s="3"/>
      <c r="B227" s="3"/>
      <c r="C227" s="3"/>
      <c r="D227" s="3"/>
      <c r="G227" s="14"/>
      <c r="H227" s="14"/>
    </row>
    <row r="228" spans="1:8" x14ac:dyDescent="0.25">
      <c r="A228" s="3"/>
      <c r="B228" s="3"/>
      <c r="C228" s="3"/>
      <c r="D228" s="3"/>
      <c r="G228" s="14"/>
      <c r="H228" s="14"/>
    </row>
    <row r="229" spans="1:8" x14ac:dyDescent="0.25">
      <c r="A229" s="3"/>
      <c r="B229" s="3"/>
      <c r="C229" s="3"/>
      <c r="D229" s="3"/>
      <c r="G229" s="14"/>
      <c r="H229" s="14"/>
    </row>
    <row r="230" spans="1:8" x14ac:dyDescent="0.25">
      <c r="A230" s="3"/>
      <c r="B230" s="3"/>
      <c r="C230" s="3"/>
      <c r="D230" s="3"/>
      <c r="G230" s="14"/>
      <c r="H230" s="14"/>
    </row>
    <row r="231" spans="1:8" x14ac:dyDescent="0.25">
      <c r="A231" s="3"/>
      <c r="B231" s="3"/>
      <c r="C231" s="3"/>
      <c r="D231" s="3"/>
      <c r="G231" s="14"/>
      <c r="H231" s="14"/>
    </row>
    <row r="232" spans="1:8" x14ac:dyDescent="0.25">
      <c r="A232" s="3"/>
      <c r="B232" s="3"/>
      <c r="C232" s="3"/>
      <c r="D232" s="3"/>
      <c r="G232" s="14"/>
      <c r="H232" s="14"/>
    </row>
    <row r="233" spans="1:8" x14ac:dyDescent="0.25">
      <c r="A233" s="3"/>
      <c r="B233" s="3"/>
      <c r="C233" s="3"/>
      <c r="D233" s="3"/>
      <c r="G233" s="14"/>
      <c r="H233" s="14"/>
    </row>
    <row r="234" spans="1:8" x14ac:dyDescent="0.25">
      <c r="A234" s="3"/>
      <c r="B234" s="3"/>
      <c r="C234" s="3"/>
      <c r="D234" s="3"/>
      <c r="G234" s="14"/>
      <c r="H234" s="14"/>
    </row>
    <row r="235" spans="1:8" x14ac:dyDescent="0.25">
      <c r="A235" s="3"/>
      <c r="B235" s="3"/>
      <c r="C235" s="3"/>
      <c r="D235" s="3"/>
      <c r="G235" s="14"/>
      <c r="H235" s="14"/>
    </row>
    <row r="236" spans="1:8" x14ac:dyDescent="0.25">
      <c r="A236" s="3"/>
      <c r="B236" s="3"/>
      <c r="C236" s="3"/>
      <c r="D236" s="3"/>
      <c r="G236" s="14"/>
      <c r="H236" s="14"/>
    </row>
    <row r="237" spans="1:8" x14ac:dyDescent="0.25">
      <c r="A237" s="3"/>
      <c r="B237" s="3"/>
      <c r="C237" s="3"/>
      <c r="D237" s="3"/>
      <c r="G237" s="14"/>
      <c r="H237" s="14"/>
    </row>
    <row r="238" spans="1:8" x14ac:dyDescent="0.25">
      <c r="A238" s="3"/>
      <c r="B238" s="3"/>
      <c r="C238" s="3"/>
      <c r="D238" s="3"/>
      <c r="G238" s="14"/>
      <c r="H238" s="14"/>
    </row>
    <row r="239" spans="1:8" x14ac:dyDescent="0.25">
      <c r="A239" s="3"/>
      <c r="B239" s="3"/>
      <c r="C239" s="3"/>
      <c r="D239" s="3"/>
      <c r="G239" s="14"/>
      <c r="H239" s="14"/>
    </row>
    <row r="240" spans="1:8" x14ac:dyDescent="0.25">
      <c r="A240" s="3"/>
      <c r="B240" s="3"/>
      <c r="C240" s="3"/>
      <c r="D240" s="3"/>
      <c r="G240" s="14"/>
      <c r="H240" s="14"/>
    </row>
    <row r="241" spans="1:8" x14ac:dyDescent="0.25">
      <c r="A241" s="3"/>
      <c r="B241" s="3"/>
      <c r="C241" s="3"/>
      <c r="D241" s="3"/>
      <c r="G241" s="14"/>
      <c r="H241" s="14"/>
    </row>
    <row r="242" spans="1:8" x14ac:dyDescent="0.25">
      <c r="A242" s="3"/>
      <c r="B242" s="3"/>
      <c r="C242" s="3"/>
      <c r="D242" s="3"/>
      <c r="G242" s="14"/>
      <c r="H242" s="14"/>
    </row>
    <row r="243" spans="1:8" x14ac:dyDescent="0.25">
      <c r="A243" s="3"/>
      <c r="B243" s="3"/>
      <c r="C243" s="3"/>
      <c r="D243" s="3"/>
      <c r="G243" s="14"/>
      <c r="H243" s="14"/>
    </row>
    <row r="244" spans="1:8" x14ac:dyDescent="0.25">
      <c r="A244" s="3"/>
      <c r="B244" s="3"/>
      <c r="C244" s="3"/>
      <c r="D244" s="3"/>
      <c r="G244" s="14"/>
      <c r="H244" s="14"/>
    </row>
    <row r="245" spans="1:8" x14ac:dyDescent="0.25">
      <c r="A245" s="3"/>
      <c r="B245" s="3"/>
      <c r="C245" s="3"/>
      <c r="D245" s="3"/>
      <c r="G245" s="14"/>
      <c r="H245" s="14"/>
    </row>
    <row r="247" spans="1:8" x14ac:dyDescent="0.25">
      <c r="A247" s="3"/>
      <c r="G247" s="14"/>
      <c r="H247" s="14"/>
    </row>
  </sheetData>
  <phoneticPr fontId="1" type="noConversion"/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BBF7AD-67FE-4DFB-8C6D-08BBCDB4117E}">
  <sheetPr/>
  <dimension ref="A1:J247"/>
  <sheetViews>
    <sheetView zoomScale="115" zoomScaleNormal="115" workbookViewId="0">
      <selection activeCell="A5" sqref="A5:H59"/>
    </sheetView>
  </sheetViews>
  <sheetFormatPr defaultRowHeight="15" x14ac:dyDescent="0.25"/>
  <cols>
    <col min="1" max="1" width="8.875" style="4" customWidth="1"/>
    <col min="2" max="3" width="15.125" style="4" customWidth="1"/>
    <col min="4" max="4" width="10.25" style="4" customWidth="1"/>
    <col min="5" max="5" width="12" style="13" customWidth="1"/>
    <col min="6" max="6" width="15" style="13" customWidth="1"/>
    <col min="7" max="7" width="13.875" customWidth="1"/>
    <col min="8" max="8" width="11.125" customWidth="1"/>
    <col min="11" max="12" width="15.125" customWidth="1"/>
    <col min="13" max="13" width="11.125" customWidth="1"/>
  </cols>
  <sheetData>
    <row r="1" spans="1:10" ht="14.25" x14ac:dyDescent="0.2">
      <c r="A1" s="2" t="s">
        <v>12</v>
      </c>
      <c r="B1" s="2" t="s">
        <v>4</v>
      </c>
      <c r="C1" s="2" t="s">
        <v>5</v>
      </c>
      <c r="D1" s="2" t="s">
        <v>13</v>
      </c>
      <c r="E1" s="2" t="s">
        <v>14</v>
      </c>
      <c r="F1" s="2" t="s">
        <v>15</v>
      </c>
      <c r="G1" s="2" t="s">
        <v>16</v>
      </c>
    </row>
    <row r="2" spans="1:10" x14ac:dyDescent="0.25">
      <c r="A2" s="11">
        <v>39</v>
      </c>
      <c r="B2" s="3">
        <v>113.3848428</v>
      </c>
      <c r="C2" s="8">
        <v>22.986857310000001</v>
      </c>
      <c r="D2" s="3">
        <v>0</v>
      </c>
      <c r="E2" s="13">
        <v>1365</v>
      </c>
      <c r="F2" s="13">
        <v>8</v>
      </c>
      <c r="G2" s="19">
        <f>SUBTOTAL(2,A5:A250)</f>
        <v>19</v>
      </c>
    </row>
    <row r="3" spans="1:10" x14ac:dyDescent="0.25">
      <c r="A3" s="3"/>
      <c r="B3" s="3"/>
      <c r="C3" s="3"/>
      <c r="D3" s="3"/>
    </row>
    <row r="4" spans="1:10" ht="14.25" x14ac:dyDescent="0.2">
      <c r="A4" s="2" t="s">
        <v>0</v>
      </c>
      <c r="B4" s="2" t="s">
        <v>1</v>
      </c>
      <c r="C4" s="2" t="s">
        <v>2</v>
      </c>
      <c r="D4" s="2" t="s">
        <v>3</v>
      </c>
      <c r="E4" s="2" t="s">
        <v>7</v>
      </c>
      <c r="F4" s="2" t="s">
        <v>8</v>
      </c>
      <c r="G4" s="2" t="s">
        <v>13</v>
      </c>
      <c r="H4" s="2" t="s">
        <v>14</v>
      </c>
      <c r="I4" s="24" t="s">
        <v>20</v>
      </c>
    </row>
    <row r="5" spans="1:10" x14ac:dyDescent="0.25">
      <c r="A5" s="3">
        <v>1916</v>
      </c>
      <c r="B5" s="3">
        <v>113.3800067</v>
      </c>
      <c r="C5" s="3">
        <v>22.987462189999999</v>
      </c>
      <c r="D5" s="3">
        <v>39</v>
      </c>
      <c r="E5" s="13">
        <f t="shared" ref="E5:E36" si="0">SQRT((B5-$B$2)^2+(C5-$C$2)^2)</f>
        <v>4.8737811834808171E-3</v>
      </c>
      <c r="F5" s="13">
        <f t="shared" ref="F5:F36" si="1">SQRT(1/E5)</f>
        <v>14.324088201472799</v>
      </c>
      <c r="G5" s="14">
        <f>F5/$F$63*$D$2</f>
        <v>0</v>
      </c>
      <c r="H5" s="14">
        <f>F5/$F$63*$E$2</f>
        <v>96.077426445602669</v>
      </c>
      <c r="I5" s="25" t="str">
        <f>IF(MOD(ROW()-1,3)=1,"选中","")</f>
        <v>选中</v>
      </c>
      <c r="J5" s="25" t="str">
        <f>IF(MOD(ROW()-1,3)=1,"选中","")</f>
        <v>选中</v>
      </c>
    </row>
    <row r="6" spans="1:10" hidden="1" x14ac:dyDescent="0.25">
      <c r="A6" s="3">
        <v>2144</v>
      </c>
      <c r="B6" s="3">
        <v>113.38413970000001</v>
      </c>
      <c r="C6" s="3">
        <v>22.98184307</v>
      </c>
      <c r="D6" s="3">
        <v>39</v>
      </c>
      <c r="E6" s="13">
        <f t="shared" si="0"/>
        <v>5.0632946178952032E-3</v>
      </c>
      <c r="F6" s="13">
        <f t="shared" si="1"/>
        <v>14.053464494949935</v>
      </c>
      <c r="G6" s="14" t="e">
        <f>F6/$F$124*$D$2</f>
        <v>#DIV/0!</v>
      </c>
      <c r="H6" s="14" t="e">
        <f>F6/$F$124*$E$2</f>
        <v>#DIV/0!</v>
      </c>
      <c r="I6" s="25" t="str">
        <f t="shared" ref="I6:I61" si="2">IF(MOD(ROW()-1,3)=1,"选中","")</f>
        <v/>
      </c>
    </row>
    <row r="7" spans="1:10" hidden="1" x14ac:dyDescent="0.25">
      <c r="A7" s="3">
        <v>1932</v>
      </c>
      <c r="B7" s="3">
        <v>113.3898944</v>
      </c>
      <c r="C7" s="3">
        <v>22.986400719999999</v>
      </c>
      <c r="D7" s="3">
        <v>39</v>
      </c>
      <c r="E7" s="13">
        <f t="shared" si="0"/>
        <v>5.0721925227773411E-3</v>
      </c>
      <c r="F7" s="13">
        <f t="shared" si="1"/>
        <v>14.041132423694744</v>
      </c>
      <c r="G7" s="14" t="e">
        <f>F7/$F$124*$D$2</f>
        <v>#DIV/0!</v>
      </c>
      <c r="H7" s="14" t="e">
        <f>F7/$F$124*$E$2</f>
        <v>#DIV/0!</v>
      </c>
      <c r="I7" s="25" t="str">
        <f t="shared" si="2"/>
        <v/>
      </c>
    </row>
    <row r="8" spans="1:10" x14ac:dyDescent="0.25">
      <c r="A8" s="3">
        <v>1917</v>
      </c>
      <c r="B8" s="3">
        <v>113.3796681</v>
      </c>
      <c r="C8" s="3">
        <v>22.986024050000001</v>
      </c>
      <c r="D8" s="3">
        <v>39</v>
      </c>
      <c r="E8" s="13">
        <f t="shared" si="0"/>
        <v>5.2413588235854678E-3</v>
      </c>
      <c r="F8" s="13">
        <f t="shared" si="1"/>
        <v>13.812683280881192</v>
      </c>
      <c r="G8" s="14">
        <f>F8/$F$63*$D$2</f>
        <v>0</v>
      </c>
      <c r="H8" s="14">
        <f>F8/$F$63*$E$2</f>
        <v>92.647227751558901</v>
      </c>
      <c r="I8" s="25" t="str">
        <f t="shared" si="2"/>
        <v>选中</v>
      </c>
    </row>
    <row r="9" spans="1:10" hidden="1" x14ac:dyDescent="0.25">
      <c r="A9" s="3">
        <v>1920</v>
      </c>
      <c r="B9" s="3">
        <v>113.3796871</v>
      </c>
      <c r="C9" s="3">
        <v>22.985753150000001</v>
      </c>
      <c r="D9" s="3">
        <v>39</v>
      </c>
      <c r="E9" s="13">
        <f t="shared" si="0"/>
        <v>5.2726095811877795E-3</v>
      </c>
      <c r="F9" s="13">
        <f t="shared" si="1"/>
        <v>13.77168855896781</v>
      </c>
      <c r="G9" s="14" t="e">
        <f>F9/$F$124*$D$2</f>
        <v>#DIV/0!</v>
      </c>
      <c r="H9" s="14" t="e">
        <f>F9/$F$124*$E$2</f>
        <v>#DIV/0!</v>
      </c>
      <c r="I9" s="25" t="str">
        <f t="shared" si="2"/>
        <v/>
      </c>
    </row>
    <row r="10" spans="1:10" hidden="1" x14ac:dyDescent="0.25">
      <c r="A10" s="3">
        <v>1930</v>
      </c>
      <c r="B10" s="3">
        <v>113.39009729999999</v>
      </c>
      <c r="C10" s="3">
        <v>22.98760614</v>
      </c>
      <c r="D10" s="3">
        <v>39</v>
      </c>
      <c r="E10" s="13">
        <f t="shared" si="0"/>
        <v>5.3075904720333075E-3</v>
      </c>
      <c r="F10" s="13">
        <f t="shared" si="1"/>
        <v>13.726230801103513</v>
      </c>
      <c r="G10" s="14" t="e">
        <f>F10/$F$124*$D$2</f>
        <v>#DIV/0!</v>
      </c>
      <c r="H10" s="14" t="e">
        <f>F10/$F$124*$E$2</f>
        <v>#DIV/0!</v>
      </c>
      <c r="I10" s="25" t="str">
        <f t="shared" si="2"/>
        <v/>
      </c>
    </row>
    <row r="11" spans="1:10" x14ac:dyDescent="0.25">
      <c r="A11" s="3">
        <v>1934</v>
      </c>
      <c r="B11" s="3">
        <v>113.39028039999999</v>
      </c>
      <c r="C11" s="3">
        <v>22.985331070000001</v>
      </c>
      <c r="D11" s="3">
        <v>39</v>
      </c>
      <c r="E11" s="13">
        <f t="shared" si="0"/>
        <v>5.6477342622975289E-3</v>
      </c>
      <c r="F11" s="13">
        <f t="shared" si="1"/>
        <v>13.306470422885898</v>
      </c>
      <c r="G11" s="14">
        <f>F11/$F$63*$D$2</f>
        <v>0</v>
      </c>
      <c r="H11" s="14">
        <f>F11/$F$63*$E$2</f>
        <v>89.251854311673199</v>
      </c>
      <c r="I11" s="25" t="str">
        <f t="shared" si="2"/>
        <v>选中</v>
      </c>
    </row>
    <row r="12" spans="1:10" hidden="1" x14ac:dyDescent="0.25">
      <c r="A12" s="3">
        <v>1935</v>
      </c>
      <c r="B12" s="3">
        <v>113.39077229999999</v>
      </c>
      <c r="C12" s="3">
        <v>22.985960670000001</v>
      </c>
      <c r="D12" s="3">
        <v>39</v>
      </c>
      <c r="E12" s="13">
        <f t="shared" si="0"/>
        <v>5.9969103327900198E-3</v>
      </c>
      <c r="F12" s="13">
        <f t="shared" si="1"/>
        <v>12.913269724328071</v>
      </c>
      <c r="G12" s="14" t="e">
        <f>F12/$F$124*$D$2</f>
        <v>#DIV/0!</v>
      </c>
      <c r="H12" s="14" t="e">
        <f>F12/$F$124*$E$2</f>
        <v>#DIV/0!</v>
      </c>
      <c r="I12" s="25" t="str">
        <f t="shared" si="2"/>
        <v/>
      </c>
    </row>
    <row r="13" spans="1:10" hidden="1" x14ac:dyDescent="0.25">
      <c r="A13" s="3">
        <v>1939</v>
      </c>
      <c r="B13" s="3">
        <v>113.39091620000001</v>
      </c>
      <c r="C13" s="3">
        <v>22.98610957</v>
      </c>
      <c r="D13" s="3">
        <v>39</v>
      </c>
      <c r="E13" s="13">
        <f t="shared" si="0"/>
        <v>6.1192567087569386E-3</v>
      </c>
      <c r="F13" s="13">
        <f t="shared" si="1"/>
        <v>12.783526135328476</v>
      </c>
      <c r="G13" s="14" t="e">
        <f>F13/$F$124*$D$2</f>
        <v>#DIV/0!</v>
      </c>
      <c r="H13" s="14" t="e">
        <f>F13/$F$124*$E$2</f>
        <v>#DIV/0!</v>
      </c>
      <c r="I13" s="25" t="str">
        <f t="shared" si="2"/>
        <v/>
      </c>
    </row>
    <row r="14" spans="1:10" x14ac:dyDescent="0.25">
      <c r="A14" s="3">
        <v>1931</v>
      </c>
      <c r="B14" s="3">
        <v>113.3884314</v>
      </c>
      <c r="C14" s="3">
        <v>22.992015769999998</v>
      </c>
      <c r="D14" s="3">
        <v>39</v>
      </c>
      <c r="E14" s="13">
        <f t="shared" si="0"/>
        <v>6.2839286701531225E-3</v>
      </c>
      <c r="F14" s="13">
        <f t="shared" si="1"/>
        <v>12.614916397474522</v>
      </c>
      <c r="G14" s="14">
        <f>F14/$F$63*$D$2</f>
        <v>0</v>
      </c>
      <c r="H14" s="14">
        <f>F14/$F$63*$E$2</f>
        <v>84.613323043568442</v>
      </c>
      <c r="I14" s="25" t="str">
        <f t="shared" si="2"/>
        <v>选中</v>
      </c>
    </row>
    <row r="15" spans="1:10" hidden="1" x14ac:dyDescent="0.25">
      <c r="A15" s="3">
        <v>1933</v>
      </c>
      <c r="B15" s="3">
        <v>113.3878855</v>
      </c>
      <c r="C15" s="3">
        <v>22.992436789999999</v>
      </c>
      <c r="D15" s="3">
        <v>39</v>
      </c>
      <c r="E15" s="13">
        <f t="shared" si="0"/>
        <v>6.3552041950156613E-3</v>
      </c>
      <c r="F15" s="13">
        <f t="shared" si="1"/>
        <v>12.543976895514618</v>
      </c>
      <c r="G15" s="14" t="e">
        <f>F15/$F$124*$D$2</f>
        <v>#DIV/0!</v>
      </c>
      <c r="H15" s="14" t="e">
        <f>F15/$F$124*$E$2</f>
        <v>#DIV/0!</v>
      </c>
      <c r="I15" s="25" t="str">
        <f t="shared" si="2"/>
        <v/>
      </c>
    </row>
    <row r="16" spans="1:10" hidden="1" x14ac:dyDescent="0.25">
      <c r="A16" s="3">
        <v>1937</v>
      </c>
      <c r="B16" s="3">
        <v>113.38788649999999</v>
      </c>
      <c r="C16" s="3">
        <v>22.992467779999998</v>
      </c>
      <c r="D16" s="3">
        <v>39</v>
      </c>
      <c r="E16" s="13">
        <f t="shared" si="0"/>
        <v>6.3829055539635438E-3</v>
      </c>
      <c r="F16" s="13">
        <f t="shared" si="1"/>
        <v>12.516727311503047</v>
      </c>
      <c r="G16" s="14" t="e">
        <f>F16/$F$124*$D$2</f>
        <v>#DIV/0!</v>
      </c>
      <c r="H16" s="14" t="e">
        <f>F16/$F$124*$E$2</f>
        <v>#DIV/0!</v>
      </c>
      <c r="I16" s="25" t="str">
        <f t="shared" si="2"/>
        <v/>
      </c>
    </row>
    <row r="17" spans="1:9" x14ac:dyDescent="0.25">
      <c r="A17" s="3">
        <v>2142</v>
      </c>
      <c r="B17" s="3">
        <v>113.3842858</v>
      </c>
      <c r="C17" s="3">
        <v>22.98045359</v>
      </c>
      <c r="D17" s="3">
        <v>39</v>
      </c>
      <c r="E17" s="13">
        <f t="shared" si="0"/>
        <v>6.427898477606859E-3</v>
      </c>
      <c r="F17" s="13">
        <f t="shared" si="1"/>
        <v>12.472844142859838</v>
      </c>
      <c r="G17" s="14">
        <f>F17/$F$63*$D$2</f>
        <v>0</v>
      </c>
      <c r="H17" s="14">
        <f>F17/$F$63*$E$2</f>
        <v>83.660387233573942</v>
      </c>
      <c r="I17" s="25" t="str">
        <f t="shared" si="2"/>
        <v>选中</v>
      </c>
    </row>
    <row r="18" spans="1:9" hidden="1" x14ac:dyDescent="0.25">
      <c r="A18" s="3">
        <v>1936</v>
      </c>
      <c r="B18" s="3">
        <v>113.38859530000001</v>
      </c>
      <c r="C18" s="3">
        <v>22.9925225</v>
      </c>
      <c r="D18" s="3">
        <v>39</v>
      </c>
      <c r="E18" s="13">
        <f t="shared" si="0"/>
        <v>6.7952655567031315E-3</v>
      </c>
      <c r="F18" s="13">
        <f t="shared" si="1"/>
        <v>12.131005042691562</v>
      </c>
      <c r="G18" s="14" t="e">
        <f>F18/$F$124*$D$2</f>
        <v>#DIV/0!</v>
      </c>
      <c r="H18" s="14" t="e">
        <f>F18/$F$124*$E$2</f>
        <v>#DIV/0!</v>
      </c>
      <c r="I18" s="25" t="str">
        <f t="shared" si="2"/>
        <v/>
      </c>
    </row>
    <row r="19" spans="1:9" hidden="1" x14ac:dyDescent="0.25">
      <c r="A19" s="3">
        <v>1938</v>
      </c>
      <c r="B19" s="3">
        <v>113.3886163</v>
      </c>
      <c r="C19" s="3">
        <v>22.992509500000001</v>
      </c>
      <c r="D19" s="3">
        <v>39</v>
      </c>
      <c r="E19" s="13">
        <f t="shared" si="0"/>
        <v>6.7960690142204513E-3</v>
      </c>
      <c r="F19" s="13">
        <f t="shared" si="1"/>
        <v>12.130287934370166</v>
      </c>
      <c r="G19" s="14" t="e">
        <f>F19/$F$124*$D$2</f>
        <v>#DIV/0!</v>
      </c>
      <c r="H19" s="14" t="e">
        <f>F19/$F$124*$E$2</f>
        <v>#DIV/0!</v>
      </c>
      <c r="I19" s="25" t="str">
        <f t="shared" si="2"/>
        <v/>
      </c>
    </row>
    <row r="20" spans="1:9" x14ac:dyDescent="0.25">
      <c r="A20" s="3">
        <v>1770</v>
      </c>
      <c r="B20" s="3">
        <v>113.3851205</v>
      </c>
      <c r="C20" s="3">
        <v>22.993724440000001</v>
      </c>
      <c r="D20" s="3">
        <v>39</v>
      </c>
      <c r="E20" s="13">
        <f t="shared" si="0"/>
        <v>6.8727426640968169E-3</v>
      </c>
      <c r="F20" s="13">
        <f t="shared" si="1"/>
        <v>12.062434234116475</v>
      </c>
      <c r="G20" s="14">
        <f>F20/$F$63*$D$2</f>
        <v>0</v>
      </c>
      <c r="H20" s="14">
        <f>F20/$F$63*$E$2</f>
        <v>80.90760274459106</v>
      </c>
      <c r="I20" s="25" t="str">
        <f t="shared" si="2"/>
        <v>选中</v>
      </c>
    </row>
    <row r="21" spans="1:9" hidden="1" x14ac:dyDescent="0.25">
      <c r="A21" s="3">
        <v>1927</v>
      </c>
      <c r="B21" s="3">
        <v>113.3779323</v>
      </c>
      <c r="C21" s="3">
        <v>22.986476140000001</v>
      </c>
      <c r="D21" s="3">
        <v>39</v>
      </c>
      <c r="E21" s="13">
        <f t="shared" si="0"/>
        <v>6.9210043215526323E-3</v>
      </c>
      <c r="F21" s="13">
        <f t="shared" si="1"/>
        <v>12.020303680102419</v>
      </c>
      <c r="G21" s="14" t="e">
        <f>F21/$F$124*$D$2</f>
        <v>#DIV/0!</v>
      </c>
      <c r="H21" s="14" t="e">
        <f>F21/$F$124*$E$2</f>
        <v>#DIV/0!</v>
      </c>
      <c r="I21" s="25" t="str">
        <f t="shared" si="2"/>
        <v/>
      </c>
    </row>
    <row r="22" spans="1:9" hidden="1" x14ac:dyDescent="0.25">
      <c r="A22" s="3">
        <v>2146</v>
      </c>
      <c r="B22" s="3">
        <v>113.3906315</v>
      </c>
      <c r="C22" s="3">
        <v>22.982738099999999</v>
      </c>
      <c r="D22" s="3">
        <v>39</v>
      </c>
      <c r="E22" s="13">
        <f t="shared" si="0"/>
        <v>7.1047124300762775E-3</v>
      </c>
      <c r="F22" s="13">
        <f t="shared" si="1"/>
        <v>11.863880072674306</v>
      </c>
      <c r="G22" s="14" t="e">
        <f>F22/$F$124*$D$2</f>
        <v>#DIV/0!</v>
      </c>
      <c r="H22" s="14" t="e">
        <f>F22/$F$124*$E$2</f>
        <v>#DIV/0!</v>
      </c>
      <c r="I22" s="25" t="str">
        <f t="shared" si="2"/>
        <v/>
      </c>
    </row>
    <row r="23" spans="1:9" x14ac:dyDescent="0.25">
      <c r="A23" s="3">
        <v>2145</v>
      </c>
      <c r="B23" s="3">
        <v>113.38262659999999</v>
      </c>
      <c r="C23" s="3">
        <v>22.980031700000001</v>
      </c>
      <c r="D23" s="3">
        <v>39</v>
      </c>
      <c r="E23" s="13">
        <f t="shared" si="0"/>
        <v>7.1763844874789167E-3</v>
      </c>
      <c r="F23" s="13">
        <f t="shared" si="1"/>
        <v>11.804487880392104</v>
      </c>
      <c r="G23" s="14">
        <f>F23/$F$63*$D$2</f>
        <v>0</v>
      </c>
      <c r="H23" s="14">
        <f>F23/$F$63*$E$2</f>
        <v>79.17745270095223</v>
      </c>
      <c r="I23" s="25" t="str">
        <f t="shared" si="2"/>
        <v>选中</v>
      </c>
    </row>
    <row r="24" spans="1:9" hidden="1" x14ac:dyDescent="0.25">
      <c r="A24" s="3">
        <v>2141</v>
      </c>
      <c r="B24" s="3">
        <v>113.3833563</v>
      </c>
      <c r="C24" s="3">
        <v>22.979423539999999</v>
      </c>
      <c r="D24" s="3">
        <v>39</v>
      </c>
      <c r="E24" s="13">
        <f t="shared" si="0"/>
        <v>7.5809378485072005E-3</v>
      </c>
      <c r="F24" s="13">
        <f t="shared" si="1"/>
        <v>11.485199197471323</v>
      </c>
      <c r="G24" s="14" t="e">
        <f>F24/$F$124*$D$2</f>
        <v>#DIV/0!</v>
      </c>
      <c r="H24" s="14" t="e">
        <f>F24/$F$124*$E$2</f>
        <v>#DIV/0!</v>
      </c>
      <c r="I24" s="25" t="str">
        <f t="shared" si="2"/>
        <v/>
      </c>
    </row>
    <row r="25" spans="1:9" hidden="1" x14ac:dyDescent="0.25">
      <c r="A25" s="3">
        <v>2143</v>
      </c>
      <c r="B25" s="3">
        <v>113.3834523</v>
      </c>
      <c r="C25" s="3">
        <v>22.979111620000001</v>
      </c>
      <c r="D25" s="3">
        <v>39</v>
      </c>
      <c r="E25" s="13">
        <f t="shared" si="0"/>
        <v>7.8695110283994452E-3</v>
      </c>
      <c r="F25" s="13">
        <f t="shared" si="1"/>
        <v>11.272652669782264</v>
      </c>
      <c r="G25" s="14" t="e">
        <f>F25/$F$124*$D$2</f>
        <v>#DIV/0!</v>
      </c>
      <c r="H25" s="14" t="e">
        <f>F25/$F$124*$E$2</f>
        <v>#DIV/0!</v>
      </c>
      <c r="I25" s="25" t="str">
        <f t="shared" si="2"/>
        <v/>
      </c>
    </row>
    <row r="26" spans="1:9" x14ac:dyDescent="0.25">
      <c r="A26" s="3">
        <v>1911</v>
      </c>
      <c r="B26" s="3">
        <v>113.3768371</v>
      </c>
      <c r="C26" s="3">
        <v>22.986226120000001</v>
      </c>
      <c r="D26" s="3">
        <v>39</v>
      </c>
      <c r="E26" s="13">
        <f t="shared" si="0"/>
        <v>8.030543773996356E-3</v>
      </c>
      <c r="F26" s="13">
        <f t="shared" si="1"/>
        <v>11.159057698323982</v>
      </c>
      <c r="G26" s="14">
        <f>F26/$F$63*$D$2</f>
        <v>0</v>
      </c>
      <c r="H26" s="14">
        <f>F26/$F$63*$E$2</f>
        <v>74.848292619611343</v>
      </c>
      <c r="I26" s="25" t="str">
        <f t="shared" si="2"/>
        <v>选中</v>
      </c>
    </row>
    <row r="27" spans="1:9" hidden="1" x14ac:dyDescent="0.25">
      <c r="A27" s="3">
        <v>1910</v>
      </c>
      <c r="B27" s="3">
        <v>113.37630249999999</v>
      </c>
      <c r="C27" s="3">
        <v>22.987461029999999</v>
      </c>
      <c r="D27" s="3">
        <v>39</v>
      </c>
      <c r="E27" s="13">
        <f t="shared" si="0"/>
        <v>8.5616121103748444E-3</v>
      </c>
      <c r="F27" s="13">
        <f t="shared" si="1"/>
        <v>10.807424892404464</v>
      </c>
      <c r="G27" s="14" t="e">
        <f>F27/$F$124*$D$2</f>
        <v>#DIV/0!</v>
      </c>
      <c r="H27" s="14" t="e">
        <f>F27/$F$124*$E$2</f>
        <v>#DIV/0!</v>
      </c>
      <c r="I27" s="25" t="str">
        <f t="shared" si="2"/>
        <v/>
      </c>
    </row>
    <row r="28" spans="1:9" hidden="1" x14ac:dyDescent="0.25">
      <c r="A28" s="3">
        <v>1940</v>
      </c>
      <c r="B28" s="3">
        <v>113.3932861</v>
      </c>
      <c r="C28" s="3">
        <v>22.984821650000001</v>
      </c>
      <c r="D28" s="3">
        <v>39</v>
      </c>
      <c r="E28" s="13">
        <f t="shared" si="0"/>
        <v>8.6852303668663727E-3</v>
      </c>
      <c r="F28" s="13">
        <f t="shared" si="1"/>
        <v>10.730237359202317</v>
      </c>
      <c r="G28" s="14" t="e">
        <f>F28/$F$124*$D$2</f>
        <v>#DIV/0!</v>
      </c>
      <c r="H28" s="14" t="e">
        <f>F28/$F$124*$E$2</f>
        <v>#DIV/0!</v>
      </c>
      <c r="I28" s="25" t="str">
        <f t="shared" si="2"/>
        <v/>
      </c>
    </row>
    <row r="29" spans="1:9" x14ac:dyDescent="0.25">
      <c r="A29" s="3">
        <v>1909</v>
      </c>
      <c r="B29" s="3">
        <v>113.3763603</v>
      </c>
      <c r="C29" s="3">
        <v>22.989120270000001</v>
      </c>
      <c r="D29" s="3">
        <v>39</v>
      </c>
      <c r="E29" s="13">
        <f t="shared" si="0"/>
        <v>8.7791681958821841E-3</v>
      </c>
      <c r="F29" s="13">
        <f t="shared" si="1"/>
        <v>10.672675751017625</v>
      </c>
      <c r="G29" s="14">
        <f>F29/$F$63*$D$2</f>
        <v>0</v>
      </c>
      <c r="H29" s="14">
        <f>F29/$F$63*$E$2</f>
        <v>71.585933081641542</v>
      </c>
      <c r="I29" s="25" t="str">
        <f t="shared" si="2"/>
        <v>选中</v>
      </c>
    </row>
    <row r="30" spans="1:9" hidden="1" x14ac:dyDescent="0.25">
      <c r="A30" s="3">
        <v>1774</v>
      </c>
      <c r="B30" s="3">
        <v>113.38404679999999</v>
      </c>
      <c r="C30" s="3">
        <v>22.995894060000001</v>
      </c>
      <c r="D30" s="3">
        <v>39</v>
      </c>
      <c r="E30" s="13">
        <f t="shared" si="0"/>
        <v>9.0717399964125849E-3</v>
      </c>
      <c r="F30" s="13">
        <f t="shared" si="1"/>
        <v>10.499163593276515</v>
      </c>
      <c r="G30" s="14" t="e">
        <f>F30/$F$124*$D$2</f>
        <v>#DIV/0!</v>
      </c>
      <c r="H30" s="14" t="e">
        <f>F30/$F$124*$E$2</f>
        <v>#DIV/0!</v>
      </c>
      <c r="I30" s="25" t="str">
        <f t="shared" si="2"/>
        <v/>
      </c>
    </row>
    <row r="31" spans="1:9" hidden="1" x14ac:dyDescent="0.25">
      <c r="A31" s="3">
        <v>1769</v>
      </c>
      <c r="B31" s="3">
        <v>113.38384790000001</v>
      </c>
      <c r="C31" s="3">
        <v>22.99595514</v>
      </c>
      <c r="D31" s="3">
        <v>39</v>
      </c>
      <c r="E31" s="13">
        <f t="shared" si="0"/>
        <v>9.1520673467177394E-3</v>
      </c>
      <c r="F31" s="13">
        <f t="shared" si="1"/>
        <v>10.452986665022671</v>
      </c>
      <c r="G31" s="14" t="e">
        <f>F31/$F$124*$D$2</f>
        <v>#DIV/0!</v>
      </c>
      <c r="H31" s="14" t="e">
        <f>F31/$F$124*$E$2</f>
        <v>#DIV/0!</v>
      </c>
      <c r="I31" s="25" t="str">
        <f t="shared" si="2"/>
        <v/>
      </c>
    </row>
    <row r="32" spans="1:9" x14ac:dyDescent="0.25">
      <c r="A32" s="3">
        <v>1924</v>
      </c>
      <c r="B32" s="3">
        <v>113.3766849</v>
      </c>
      <c r="C32" s="3">
        <v>22.991056159999999</v>
      </c>
      <c r="D32" s="3">
        <v>39</v>
      </c>
      <c r="E32" s="13">
        <f t="shared" si="0"/>
        <v>9.1750571514564432E-3</v>
      </c>
      <c r="F32" s="13">
        <f t="shared" si="1"/>
        <v>10.439882504257172</v>
      </c>
      <c r="G32" s="14">
        <f>F32/$F$63*$D$2</f>
        <v>0</v>
      </c>
      <c r="H32" s="14">
        <f>F32/$F$63*$E$2</f>
        <v>70.024495053051297</v>
      </c>
      <c r="I32" s="25" t="str">
        <f t="shared" si="2"/>
        <v>选中</v>
      </c>
    </row>
    <row r="33" spans="1:9" hidden="1" x14ac:dyDescent="0.25">
      <c r="A33" s="3">
        <v>1772</v>
      </c>
      <c r="B33" s="3">
        <v>113.38892300000001</v>
      </c>
      <c r="C33" s="3">
        <v>22.995108269999999</v>
      </c>
      <c r="D33" s="3">
        <v>39</v>
      </c>
      <c r="E33" s="13">
        <f t="shared" si="0"/>
        <v>9.2046929857329714E-3</v>
      </c>
      <c r="F33" s="13">
        <f t="shared" si="1"/>
        <v>10.423062602436964</v>
      </c>
      <c r="G33" s="14" t="e">
        <f>F33/$F$124*$D$2</f>
        <v>#DIV/0!</v>
      </c>
      <c r="H33" s="14" t="e">
        <f>F33/$F$124*$E$2</f>
        <v>#DIV/0!</v>
      </c>
      <c r="I33" s="25" t="str">
        <f t="shared" si="2"/>
        <v/>
      </c>
    </row>
    <row r="34" spans="1:9" hidden="1" x14ac:dyDescent="0.25">
      <c r="A34" s="3">
        <v>1912</v>
      </c>
      <c r="B34" s="3">
        <v>113.37659600000001</v>
      </c>
      <c r="C34" s="3">
        <v>22.990976270000001</v>
      </c>
      <c r="D34" s="3">
        <v>39</v>
      </c>
      <c r="E34" s="13">
        <f t="shared" si="0"/>
        <v>9.2182179254730202E-3</v>
      </c>
      <c r="F34" s="13">
        <f t="shared" si="1"/>
        <v>10.415413453714834</v>
      </c>
      <c r="G34" s="14" t="e">
        <f>F34/$F$124*$D$2</f>
        <v>#DIV/0!</v>
      </c>
      <c r="H34" s="14" t="e">
        <f>F34/$F$124*$E$2</f>
        <v>#DIV/0!</v>
      </c>
      <c r="I34" s="25" t="str">
        <f t="shared" si="2"/>
        <v/>
      </c>
    </row>
    <row r="35" spans="1:9" x14ac:dyDescent="0.25">
      <c r="A35" s="3">
        <v>1915</v>
      </c>
      <c r="B35" s="3">
        <v>113.375669</v>
      </c>
      <c r="C35" s="3">
        <v>22.988078300000002</v>
      </c>
      <c r="D35" s="3">
        <v>39</v>
      </c>
      <c r="E35" s="13">
        <f t="shared" si="0"/>
        <v>9.254697348918893E-3</v>
      </c>
      <c r="F35" s="13">
        <f t="shared" si="1"/>
        <v>10.394865864985066</v>
      </c>
      <c r="G35" s="14">
        <f>F35/$F$63*$D$2</f>
        <v>0</v>
      </c>
      <c r="H35" s="14">
        <f>F35/$F$63*$E$2</f>
        <v>69.722550329753005</v>
      </c>
      <c r="I35" s="25" t="str">
        <f t="shared" si="2"/>
        <v>选中</v>
      </c>
    </row>
    <row r="36" spans="1:9" hidden="1" x14ac:dyDescent="0.25">
      <c r="A36" s="3">
        <v>1941</v>
      </c>
      <c r="B36" s="3">
        <v>113.3937511</v>
      </c>
      <c r="C36" s="3">
        <v>22.984201859999999</v>
      </c>
      <c r="D36" s="3">
        <v>39</v>
      </c>
      <c r="E36" s="13">
        <f t="shared" si="0"/>
        <v>9.2956561679389971E-3</v>
      </c>
      <c r="F36" s="13">
        <f t="shared" si="1"/>
        <v>10.37193948630647</v>
      </c>
      <c r="G36" s="14" t="e">
        <f>F36/$F$124*$D$2</f>
        <v>#DIV/0!</v>
      </c>
      <c r="H36" s="14" t="e">
        <f>F36/$F$124*$E$2</f>
        <v>#DIV/0!</v>
      </c>
      <c r="I36" s="25" t="str">
        <f t="shared" si="2"/>
        <v/>
      </c>
    </row>
    <row r="37" spans="1:9" hidden="1" x14ac:dyDescent="0.25">
      <c r="A37" s="3">
        <v>2140</v>
      </c>
      <c r="B37" s="3">
        <v>113.38893520000001</v>
      </c>
      <c r="C37" s="3">
        <v>22.978465450000002</v>
      </c>
      <c r="D37" s="3">
        <v>39</v>
      </c>
      <c r="E37" s="13">
        <f t="shared" ref="E37:E61" si="3">SQRT((B37-$B$2)^2+(C37-$C$2)^2)</f>
        <v>9.3365439012320309E-3</v>
      </c>
      <c r="F37" s="13">
        <f t="shared" ref="F37:F61" si="4">SQRT(1/E37)</f>
        <v>10.349203534936079</v>
      </c>
      <c r="G37" s="14" t="e">
        <f>F37/$F$124*$D$2</f>
        <v>#DIV/0!</v>
      </c>
      <c r="H37" s="14" t="e">
        <f>F37/$F$124*$E$2</f>
        <v>#DIV/0!</v>
      </c>
      <c r="I37" s="25" t="str">
        <f t="shared" si="2"/>
        <v/>
      </c>
    </row>
    <row r="38" spans="1:9" x14ac:dyDescent="0.25">
      <c r="A38" s="3">
        <v>1918</v>
      </c>
      <c r="B38" s="3">
        <v>113.37677480000001</v>
      </c>
      <c r="C38" s="3">
        <v>22.991783779999999</v>
      </c>
      <c r="D38" s="3">
        <v>39</v>
      </c>
      <c r="E38" s="13">
        <f t="shared" si="3"/>
        <v>9.4531862702891736E-3</v>
      </c>
      <c r="F38" s="13">
        <f t="shared" si="4"/>
        <v>10.285156213042052</v>
      </c>
      <c r="G38" s="14">
        <f>F38/$F$63*$D$2</f>
        <v>0</v>
      </c>
      <c r="H38" s="14">
        <f>F38/$F$63*$E$2</f>
        <v>68.986683525062176</v>
      </c>
      <c r="I38" s="25" t="str">
        <f t="shared" si="2"/>
        <v>选中</v>
      </c>
    </row>
    <row r="39" spans="1:9" hidden="1" x14ac:dyDescent="0.25">
      <c r="A39" s="3">
        <v>1928</v>
      </c>
      <c r="B39" s="3">
        <v>113.3752496</v>
      </c>
      <c r="C39" s="3">
        <v>22.984573180000002</v>
      </c>
      <c r="D39" s="3">
        <v>39</v>
      </c>
      <c r="E39" s="13">
        <f t="shared" si="3"/>
        <v>9.861375973810798E-3</v>
      </c>
      <c r="F39" s="13">
        <f t="shared" si="4"/>
        <v>10.070041063260703</v>
      </c>
      <c r="G39" s="14" t="e">
        <f>F39/$F$124*$D$2</f>
        <v>#DIV/0!</v>
      </c>
      <c r="H39" s="14" t="e">
        <f>F39/$F$124*$E$2</f>
        <v>#DIV/0!</v>
      </c>
      <c r="I39" s="25" t="str">
        <f t="shared" si="2"/>
        <v/>
      </c>
    </row>
    <row r="40" spans="1:9" hidden="1" x14ac:dyDescent="0.25">
      <c r="A40" s="3">
        <v>1922</v>
      </c>
      <c r="B40" s="3">
        <v>113.3752066</v>
      </c>
      <c r="C40" s="3">
        <v>22.984577219999998</v>
      </c>
      <c r="D40" s="3">
        <v>39</v>
      </c>
      <c r="E40" s="13">
        <f t="shared" si="3"/>
        <v>9.902280588236537E-3</v>
      </c>
      <c r="F40" s="13">
        <f t="shared" si="4"/>
        <v>10.049220737699022</v>
      </c>
      <c r="G40" s="14" t="e">
        <f>F40/$F$124*$D$2</f>
        <v>#DIV/0!</v>
      </c>
      <c r="H40" s="14" t="e">
        <f>F40/$F$124*$E$2</f>
        <v>#DIV/0!</v>
      </c>
      <c r="I40" s="25" t="str">
        <f t="shared" si="2"/>
        <v/>
      </c>
    </row>
    <row r="41" spans="1:9" x14ac:dyDescent="0.25">
      <c r="A41" s="3">
        <v>1773</v>
      </c>
      <c r="B41" s="3">
        <v>113.3909786</v>
      </c>
      <c r="C41" s="3">
        <v>22.99463287</v>
      </c>
      <c r="D41" s="3">
        <v>39</v>
      </c>
      <c r="E41" s="13">
        <f t="shared" si="3"/>
        <v>9.9049167060368953E-3</v>
      </c>
      <c r="F41" s="13">
        <f t="shared" si="4"/>
        <v>10.047883387104525</v>
      </c>
      <c r="G41" s="14">
        <f>F41/$F$63*$D$2</f>
        <v>0</v>
      </c>
      <c r="H41" s="14">
        <f>F41/$F$63*$E$2</f>
        <v>67.395199155452573</v>
      </c>
      <c r="I41" s="25" t="str">
        <f t="shared" si="2"/>
        <v>选中</v>
      </c>
    </row>
    <row r="42" spans="1:9" hidden="1" x14ac:dyDescent="0.25">
      <c r="A42" s="3">
        <v>1913</v>
      </c>
      <c r="B42" s="3">
        <v>113.375421</v>
      </c>
      <c r="C42" s="3">
        <v>22.99087231</v>
      </c>
      <c r="D42" s="3">
        <v>39</v>
      </c>
      <c r="E42" s="13">
        <f t="shared" si="3"/>
        <v>1.0241608283856653E-2</v>
      </c>
      <c r="F42" s="13">
        <f t="shared" si="4"/>
        <v>9.8813417418123652</v>
      </c>
      <c r="G42" s="14" t="e">
        <f>F42/$F$124*$D$2</f>
        <v>#DIV/0!</v>
      </c>
      <c r="H42" s="14" t="e">
        <f>F42/$F$124*$E$2</f>
        <v>#DIV/0!</v>
      </c>
      <c r="I42" s="25" t="str">
        <f t="shared" si="2"/>
        <v/>
      </c>
    </row>
    <row r="43" spans="1:9" hidden="1" x14ac:dyDescent="0.25">
      <c r="A43" s="3">
        <v>1921</v>
      </c>
      <c r="B43" s="3">
        <v>113.3756367</v>
      </c>
      <c r="C43" s="3">
        <v>22.992301510000001</v>
      </c>
      <c r="D43" s="3">
        <v>39</v>
      </c>
      <c r="E43" s="13">
        <f t="shared" si="3"/>
        <v>1.0695400452998289E-2</v>
      </c>
      <c r="F43" s="13">
        <f t="shared" si="4"/>
        <v>9.6694433876495545</v>
      </c>
      <c r="G43" s="14" t="e">
        <f>F43/$F$124*$D$2</f>
        <v>#DIV/0!</v>
      </c>
      <c r="H43" s="14" t="e">
        <f>F43/$F$124*$E$2</f>
        <v>#DIV/0!</v>
      </c>
      <c r="I43" s="25" t="str">
        <f t="shared" si="2"/>
        <v/>
      </c>
    </row>
    <row r="44" spans="1:9" x14ac:dyDescent="0.25">
      <c r="A44" s="3">
        <v>2137</v>
      </c>
      <c r="B44" s="3">
        <v>113.3756605</v>
      </c>
      <c r="C44" s="3">
        <v>22.980670509999999</v>
      </c>
      <c r="D44" s="3">
        <v>39</v>
      </c>
      <c r="E44" s="13">
        <f t="shared" si="3"/>
        <v>1.107208776745092E-2</v>
      </c>
      <c r="F44" s="13">
        <f t="shared" si="4"/>
        <v>9.5035363488054276</v>
      </c>
      <c r="G44" s="14">
        <f>F44/$F$63*$D$2</f>
        <v>0</v>
      </c>
      <c r="H44" s="14">
        <f>F44/$F$63*$E$2</f>
        <v>63.744044415447156</v>
      </c>
      <c r="I44" s="25" t="str">
        <f t="shared" si="2"/>
        <v>选中</v>
      </c>
    </row>
    <row r="45" spans="1:9" hidden="1" x14ac:dyDescent="0.25">
      <c r="A45" s="3">
        <v>1919</v>
      </c>
      <c r="B45" s="3">
        <v>113.3737399</v>
      </c>
      <c r="C45" s="3">
        <v>22.9856041</v>
      </c>
      <c r="D45" s="3">
        <v>39</v>
      </c>
      <c r="E45" s="13">
        <f t="shared" si="3"/>
        <v>1.1173402512844748E-2</v>
      </c>
      <c r="F45" s="13">
        <f t="shared" si="4"/>
        <v>9.4603516084553654</v>
      </c>
      <c r="G45" s="14" t="e">
        <f>F45/$F$124*$D$2</f>
        <v>#DIV/0!</v>
      </c>
      <c r="H45" s="14" t="e">
        <f>F45/$F$124*$E$2</f>
        <v>#DIV/0!</v>
      </c>
      <c r="I45" s="25" t="str">
        <f t="shared" si="2"/>
        <v/>
      </c>
    </row>
    <row r="46" spans="1:9" hidden="1" x14ac:dyDescent="0.25">
      <c r="A46" s="3">
        <v>2139</v>
      </c>
      <c r="B46" s="3">
        <v>113.3810309</v>
      </c>
      <c r="C46" s="3">
        <v>22.975880490000002</v>
      </c>
      <c r="D46" s="3">
        <v>39</v>
      </c>
      <c r="E46" s="13">
        <f t="shared" si="3"/>
        <v>1.1619860537993246E-2</v>
      </c>
      <c r="F46" s="13">
        <f t="shared" si="4"/>
        <v>9.2768288046658007</v>
      </c>
      <c r="G46" s="14" t="e">
        <f>F46/$F$124*$D$2</f>
        <v>#DIV/0!</v>
      </c>
      <c r="H46" s="14" t="e">
        <f>F46/$F$124*$E$2</f>
        <v>#DIV/0!</v>
      </c>
      <c r="I46" s="25" t="str">
        <f t="shared" si="2"/>
        <v/>
      </c>
    </row>
    <row r="47" spans="1:9" x14ac:dyDescent="0.25">
      <c r="A47" s="3">
        <v>10</v>
      </c>
      <c r="B47" s="3">
        <v>113.3923934</v>
      </c>
      <c r="C47" s="3">
        <v>22.995784069999999</v>
      </c>
      <c r="D47" s="3">
        <v>39</v>
      </c>
      <c r="E47" s="13">
        <f t="shared" si="3"/>
        <v>1.1691817842302749E-2</v>
      </c>
      <c r="F47" s="13">
        <f t="shared" si="4"/>
        <v>9.248237619690487</v>
      </c>
      <c r="G47" s="14">
        <f>F47/$F$63*$D$2</f>
        <v>0</v>
      </c>
      <c r="H47" s="14">
        <f>F47/$F$63*$E$2</f>
        <v>62.031653055997523</v>
      </c>
      <c r="I47" s="25" t="str">
        <f t="shared" si="2"/>
        <v>选中</v>
      </c>
    </row>
    <row r="48" spans="1:9" hidden="1" x14ac:dyDescent="0.25">
      <c r="A48" s="3">
        <v>1914</v>
      </c>
      <c r="B48" s="3">
        <v>113.3730972</v>
      </c>
      <c r="C48" s="3">
        <v>22.989125189999999</v>
      </c>
      <c r="D48" s="3">
        <v>39</v>
      </c>
      <c r="E48" s="13">
        <f t="shared" si="3"/>
        <v>1.1962541496451918E-2</v>
      </c>
      <c r="F48" s="13">
        <f t="shared" si="4"/>
        <v>9.1429905597046801</v>
      </c>
      <c r="G48" s="14" t="e">
        <f>F48/$F$124*$D$2</f>
        <v>#DIV/0!</v>
      </c>
      <c r="H48" s="14" t="e">
        <f>F48/$F$124*$E$2</f>
        <v>#DIV/0!</v>
      </c>
      <c r="I48" s="25" t="str">
        <f t="shared" si="2"/>
        <v/>
      </c>
    </row>
    <row r="49" spans="1:9" hidden="1" x14ac:dyDescent="0.25">
      <c r="A49" s="3">
        <v>1926</v>
      </c>
      <c r="B49" s="3">
        <v>113.3738243</v>
      </c>
      <c r="C49" s="3">
        <v>22.992304130000001</v>
      </c>
      <c r="D49" s="3">
        <v>39</v>
      </c>
      <c r="E49" s="13">
        <f t="shared" si="3"/>
        <v>1.2291264799137757E-2</v>
      </c>
      <c r="F49" s="13">
        <f t="shared" si="4"/>
        <v>9.0198997869274979</v>
      </c>
      <c r="G49" s="14" t="e">
        <f>F49/$F$124*$D$2</f>
        <v>#DIV/0!</v>
      </c>
      <c r="H49" s="14" t="e">
        <f>F49/$F$124*$E$2</f>
        <v>#DIV/0!</v>
      </c>
      <c r="I49" s="25" t="str">
        <f t="shared" si="2"/>
        <v/>
      </c>
    </row>
    <row r="50" spans="1:9" x14ac:dyDescent="0.25">
      <c r="A50" s="3">
        <v>1929</v>
      </c>
      <c r="B50" s="3">
        <v>113.37374440000001</v>
      </c>
      <c r="C50" s="3">
        <v>22.99218226</v>
      </c>
      <c r="D50" s="3">
        <v>39</v>
      </c>
      <c r="E50" s="13">
        <f t="shared" si="3"/>
        <v>1.2309734971247868E-2</v>
      </c>
      <c r="F50" s="13">
        <f t="shared" si="4"/>
        <v>9.0131302812352168</v>
      </c>
      <c r="G50" s="14">
        <f>F50/$F$63*$D$2</f>
        <v>0</v>
      </c>
      <c r="H50" s="14">
        <f>F50/$F$63*$E$2</f>
        <v>60.45469348275676</v>
      </c>
      <c r="I50" s="25" t="str">
        <f t="shared" si="2"/>
        <v>选中</v>
      </c>
    </row>
    <row r="51" spans="1:9" hidden="1" x14ac:dyDescent="0.25">
      <c r="A51" s="3">
        <v>1923</v>
      </c>
      <c r="B51" s="3">
        <v>113.3725597</v>
      </c>
      <c r="C51" s="3">
        <v>22.990080290000002</v>
      </c>
      <c r="D51" s="3">
        <v>39</v>
      </c>
      <c r="E51" s="13">
        <f t="shared" si="3"/>
        <v>1.2698903326292359E-2</v>
      </c>
      <c r="F51" s="13">
        <f t="shared" si="4"/>
        <v>8.8739482451778233</v>
      </c>
      <c r="G51" s="14" t="e">
        <f>F51/$F$124*$D$2</f>
        <v>#DIV/0!</v>
      </c>
      <c r="H51" s="14" t="e">
        <f>F51/$F$124*$E$2</f>
        <v>#DIV/0!</v>
      </c>
      <c r="I51" s="25" t="str">
        <f t="shared" si="2"/>
        <v/>
      </c>
    </row>
    <row r="52" spans="1:9" hidden="1" x14ac:dyDescent="0.25">
      <c r="A52" s="3">
        <v>1765</v>
      </c>
      <c r="B52" s="3">
        <v>113.3782033</v>
      </c>
      <c r="C52" s="3">
        <v>22.997736069999998</v>
      </c>
      <c r="D52" s="3">
        <v>39</v>
      </c>
      <c r="E52" s="13">
        <f t="shared" si="3"/>
        <v>1.274481774634743E-2</v>
      </c>
      <c r="F52" s="13">
        <f t="shared" si="4"/>
        <v>8.8579492006949412</v>
      </c>
      <c r="G52" s="14" t="e">
        <f>F52/$F$124*$D$2</f>
        <v>#DIV/0!</v>
      </c>
      <c r="H52" s="14" t="e">
        <f>F52/$F$124*$E$2</f>
        <v>#DIV/0!</v>
      </c>
      <c r="I52" s="25" t="str">
        <f t="shared" si="2"/>
        <v/>
      </c>
    </row>
    <row r="53" spans="1:9" x14ac:dyDescent="0.25">
      <c r="A53" s="3">
        <v>1925</v>
      </c>
      <c r="B53" s="3">
        <v>113.3727683</v>
      </c>
      <c r="C53" s="3">
        <v>22.99266897</v>
      </c>
      <c r="D53" s="3">
        <v>39</v>
      </c>
      <c r="E53" s="13">
        <f t="shared" si="3"/>
        <v>1.3400333660230988E-2</v>
      </c>
      <c r="F53" s="13">
        <f t="shared" si="4"/>
        <v>8.6385767061286476</v>
      </c>
      <c r="G53" s="14">
        <f>F53/$F$63*$D$2</f>
        <v>0</v>
      </c>
      <c r="H53" s="14">
        <f>F53/$F$63*$E$2</f>
        <v>57.942411859236813</v>
      </c>
      <c r="I53" s="25" t="str">
        <f t="shared" si="2"/>
        <v>选中</v>
      </c>
    </row>
    <row r="54" spans="1:9" hidden="1" x14ac:dyDescent="0.25">
      <c r="A54" s="3">
        <v>2147</v>
      </c>
      <c r="B54" s="3">
        <v>113.3902681</v>
      </c>
      <c r="C54" s="3">
        <v>22.974419780000002</v>
      </c>
      <c r="D54" s="3">
        <v>39</v>
      </c>
      <c r="E54" s="13">
        <f t="shared" si="3"/>
        <v>1.3569304793941361E-2</v>
      </c>
      <c r="F54" s="13">
        <f t="shared" si="4"/>
        <v>8.5846224779945857</v>
      </c>
      <c r="G54" s="14" t="e">
        <f>F54/$F$124*$D$2</f>
        <v>#DIV/0!</v>
      </c>
      <c r="H54" s="14" t="e">
        <f>F54/$F$124*$E$2</f>
        <v>#DIV/0!</v>
      </c>
      <c r="I54" s="25" t="str">
        <f t="shared" si="2"/>
        <v/>
      </c>
    </row>
    <row r="55" spans="1:9" hidden="1" x14ac:dyDescent="0.25">
      <c r="A55" s="3">
        <v>2364</v>
      </c>
      <c r="B55" s="3">
        <v>113.3875652</v>
      </c>
      <c r="C55" s="3">
        <v>22.968900059999999</v>
      </c>
      <c r="D55" s="3">
        <v>39</v>
      </c>
      <c r="E55" s="13">
        <f t="shared" si="3"/>
        <v>1.8162441722481919E-2</v>
      </c>
      <c r="F55" s="13">
        <f t="shared" si="4"/>
        <v>7.4201533893280462</v>
      </c>
      <c r="G55" s="14" t="e">
        <f>F55/$F$124*$D$2</f>
        <v>#DIV/0!</v>
      </c>
      <c r="H55" s="14" t="e">
        <f>F55/$F$124*$E$2</f>
        <v>#DIV/0!</v>
      </c>
      <c r="I55" s="25" t="str">
        <f t="shared" si="2"/>
        <v/>
      </c>
    </row>
    <row r="56" spans="1:9" x14ac:dyDescent="0.25">
      <c r="A56" s="3">
        <v>2366</v>
      </c>
      <c r="B56" s="3">
        <v>113.3912363</v>
      </c>
      <c r="C56" s="3">
        <v>22.969488649999999</v>
      </c>
      <c r="D56" s="3">
        <v>39</v>
      </c>
      <c r="E56" s="13">
        <f t="shared" si="3"/>
        <v>1.8508030485324612E-2</v>
      </c>
      <c r="F56" s="13">
        <f t="shared" si="4"/>
        <v>7.3505510293763763</v>
      </c>
      <c r="G56" s="14">
        <f>F56/$F$63*$D$2</f>
        <v>0</v>
      </c>
      <c r="H56" s="14">
        <f>F56/$F$63*$E$2</f>
        <v>49.303105086084578</v>
      </c>
      <c r="I56" s="25" t="str">
        <f t="shared" si="2"/>
        <v>选中</v>
      </c>
    </row>
    <row r="57" spans="1:9" hidden="1" x14ac:dyDescent="0.25">
      <c r="A57" s="3">
        <v>12</v>
      </c>
      <c r="B57" s="3">
        <v>113.4044262</v>
      </c>
      <c r="C57" s="3">
        <v>22.989326779999999</v>
      </c>
      <c r="D57" s="3">
        <v>39</v>
      </c>
      <c r="E57" s="13">
        <f t="shared" si="3"/>
        <v>1.973848620439175E-2</v>
      </c>
      <c r="F57" s="13">
        <f t="shared" si="4"/>
        <v>7.1177557160298548</v>
      </c>
      <c r="G57" s="14" t="e">
        <f>F57/$F$124*$D$2</f>
        <v>#DIV/0!</v>
      </c>
      <c r="H57" s="14" t="e">
        <f>F57/$F$124*$E$2</f>
        <v>#DIV/0!</v>
      </c>
      <c r="I57" s="25" t="str">
        <f t="shared" si="2"/>
        <v/>
      </c>
    </row>
    <row r="58" spans="1:9" hidden="1" x14ac:dyDescent="0.25">
      <c r="A58" s="3">
        <v>2365</v>
      </c>
      <c r="B58" s="3">
        <v>113.3898918</v>
      </c>
      <c r="C58" s="3">
        <v>22.96655926</v>
      </c>
      <c r="D58" s="3">
        <v>39</v>
      </c>
      <c r="E58" s="13">
        <f t="shared" si="3"/>
        <v>2.0916577989779667E-2</v>
      </c>
      <c r="F58" s="13">
        <f t="shared" si="4"/>
        <v>6.91440291188679</v>
      </c>
      <c r="G58" s="14" t="e">
        <f>F58/$F$124*$D$2</f>
        <v>#DIV/0!</v>
      </c>
      <c r="H58" s="14" t="e">
        <f>F58/$F$124*$E$2</f>
        <v>#DIV/0!</v>
      </c>
      <c r="I58" s="25" t="str">
        <f t="shared" si="2"/>
        <v/>
      </c>
    </row>
    <row r="59" spans="1:9" x14ac:dyDescent="0.25">
      <c r="A59" s="3">
        <v>14</v>
      </c>
      <c r="B59" s="3">
        <v>113.4087894</v>
      </c>
      <c r="C59" s="3">
        <v>22.980559490000001</v>
      </c>
      <c r="D59" s="3">
        <v>39</v>
      </c>
      <c r="E59" s="13">
        <f t="shared" si="3"/>
        <v>2.4760900393816607E-2</v>
      </c>
      <c r="F59" s="13">
        <f t="shared" si="4"/>
        <v>6.3550179773316451</v>
      </c>
      <c r="G59" s="14">
        <f>F59/$F$63*$D$2</f>
        <v>0</v>
      </c>
      <c r="H59" s="14">
        <f>F59/$F$63*$E$2</f>
        <v>42.625664104384995</v>
      </c>
      <c r="I59" s="25" t="str">
        <f t="shared" si="2"/>
        <v>选中</v>
      </c>
    </row>
    <row r="60" spans="1:9" hidden="1" x14ac:dyDescent="0.25">
      <c r="A60" s="3">
        <v>13</v>
      </c>
      <c r="B60" s="3">
        <v>113.4118151</v>
      </c>
      <c r="C60" s="3">
        <v>22.99103281</v>
      </c>
      <c r="D60" s="3">
        <v>39</v>
      </c>
      <c r="E60" s="13">
        <f t="shared" si="3"/>
        <v>2.729358473231084E-2</v>
      </c>
      <c r="F60" s="13">
        <f t="shared" si="4"/>
        <v>6.0529865686421367</v>
      </c>
      <c r="G60" s="14" t="e">
        <f>F60/$F$124*$D$2</f>
        <v>#DIV/0!</v>
      </c>
      <c r="H60" s="14" t="e">
        <f>F60/$F$124*$E$2</f>
        <v>#DIV/0!</v>
      </c>
      <c r="I60" s="25" t="str">
        <f t="shared" si="2"/>
        <v/>
      </c>
    </row>
    <row r="61" spans="1:9" hidden="1" x14ac:dyDescent="0.25">
      <c r="A61" s="3">
        <v>11</v>
      </c>
      <c r="B61" s="3">
        <v>113.4202348</v>
      </c>
      <c r="C61" s="3">
        <v>22.996035939999999</v>
      </c>
      <c r="D61" s="3">
        <v>39</v>
      </c>
      <c r="E61" s="13">
        <f t="shared" si="3"/>
        <v>3.6562835129089331E-2</v>
      </c>
      <c r="F61" s="13">
        <f t="shared" si="4"/>
        <v>5.2297396360423019</v>
      </c>
      <c r="G61" s="14" t="e">
        <f>F61/$F$124*$D$2</f>
        <v>#DIV/0!</v>
      </c>
      <c r="H61" s="14" t="e">
        <f>F61/$F$124*$E$2</f>
        <v>#DIV/0!</v>
      </c>
      <c r="I61" s="25" t="str">
        <f t="shared" si="2"/>
        <v/>
      </c>
    </row>
    <row r="62" spans="1:9" x14ac:dyDescent="0.25">
      <c r="A62" s="3"/>
      <c r="B62" s="3"/>
      <c r="C62" s="3"/>
      <c r="D62" s="3"/>
      <c r="G62" s="14"/>
      <c r="H62" s="14"/>
    </row>
    <row r="63" spans="1:9" x14ac:dyDescent="0.25">
      <c r="A63" s="3"/>
      <c r="B63" s="3"/>
      <c r="C63" s="3"/>
      <c r="D63" s="3"/>
      <c r="F63" s="13">
        <f>SUBTOTAL(9,F5:F59)</f>
        <v>203.50649594138102</v>
      </c>
      <c r="G63" s="13">
        <f>SUBTOTAL(9,G5:G59)</f>
        <v>0</v>
      </c>
      <c r="H63" s="13">
        <f>SUBTOTAL(9,H5:H59)</f>
        <v>1365.0000000000002</v>
      </c>
    </row>
    <row r="64" spans="1:9" x14ac:dyDescent="0.25">
      <c r="A64" s="3"/>
      <c r="B64" s="3"/>
      <c r="C64" s="3"/>
      <c r="D64" s="3"/>
      <c r="G64" s="14"/>
      <c r="H64" s="14"/>
    </row>
    <row r="65" spans="1:8" x14ac:dyDescent="0.25">
      <c r="A65" s="3"/>
      <c r="B65" s="3"/>
      <c r="C65" s="3"/>
      <c r="D65" s="3"/>
      <c r="G65" s="14"/>
      <c r="H65" s="14"/>
    </row>
    <row r="66" spans="1:8" x14ac:dyDescent="0.25">
      <c r="A66" s="3"/>
      <c r="B66" s="3"/>
      <c r="C66" s="3"/>
      <c r="D66" s="3"/>
      <c r="G66" s="14"/>
      <c r="H66" s="14"/>
    </row>
    <row r="67" spans="1:8" x14ac:dyDescent="0.25">
      <c r="A67" s="3"/>
      <c r="B67" s="3"/>
      <c r="C67" s="3"/>
      <c r="D67" s="3"/>
      <c r="G67" s="14"/>
      <c r="H67" s="14"/>
    </row>
    <row r="68" spans="1:8" x14ac:dyDescent="0.25">
      <c r="A68" s="3"/>
      <c r="B68" s="3"/>
      <c r="C68" s="3"/>
      <c r="D68" s="3"/>
      <c r="G68" s="14"/>
      <c r="H68" s="14"/>
    </row>
    <row r="69" spans="1:8" x14ac:dyDescent="0.25">
      <c r="A69" s="3"/>
      <c r="B69" s="3"/>
      <c r="C69" s="3"/>
      <c r="D69" s="3"/>
      <c r="G69" s="14"/>
      <c r="H69" s="14"/>
    </row>
    <row r="70" spans="1:8" x14ac:dyDescent="0.25">
      <c r="A70" s="3"/>
      <c r="B70" s="3"/>
      <c r="C70" s="3"/>
      <c r="D70" s="3"/>
      <c r="G70" s="14"/>
      <c r="H70" s="14"/>
    </row>
    <row r="71" spans="1:8" x14ac:dyDescent="0.25">
      <c r="A71" s="3"/>
      <c r="B71" s="3"/>
      <c r="C71" s="3"/>
      <c r="D71" s="3"/>
      <c r="G71" s="14"/>
      <c r="H71" s="14"/>
    </row>
    <row r="72" spans="1:8" x14ac:dyDescent="0.25">
      <c r="A72" s="3"/>
      <c r="B72" s="3"/>
      <c r="C72" s="3"/>
      <c r="D72" s="3"/>
      <c r="G72" s="14"/>
      <c r="H72" s="14"/>
    </row>
    <row r="73" spans="1:8" x14ac:dyDescent="0.25">
      <c r="A73" s="3"/>
      <c r="B73" s="3"/>
      <c r="C73" s="3"/>
      <c r="D73" s="3"/>
      <c r="G73" s="14"/>
      <c r="H73" s="14"/>
    </row>
    <row r="74" spans="1:8" x14ac:dyDescent="0.25">
      <c r="A74" s="3"/>
      <c r="B74" s="3"/>
      <c r="C74" s="3"/>
      <c r="D74" s="3"/>
      <c r="G74" s="14"/>
      <c r="H74" s="14"/>
    </row>
    <row r="75" spans="1:8" x14ac:dyDescent="0.25">
      <c r="A75" s="3"/>
      <c r="B75" s="3"/>
      <c r="C75" s="3"/>
      <c r="D75" s="3"/>
      <c r="G75" s="14"/>
      <c r="H75" s="14"/>
    </row>
    <row r="76" spans="1:8" x14ac:dyDescent="0.25">
      <c r="A76" s="3"/>
      <c r="B76" s="3"/>
      <c r="C76" s="3"/>
      <c r="D76" s="3"/>
      <c r="G76" s="14"/>
      <c r="H76" s="14"/>
    </row>
    <row r="77" spans="1:8" x14ac:dyDescent="0.25">
      <c r="A77" s="3"/>
      <c r="B77" s="3"/>
      <c r="C77" s="3"/>
      <c r="D77" s="3"/>
      <c r="G77" s="14"/>
      <c r="H77" s="14"/>
    </row>
    <row r="78" spans="1:8" x14ac:dyDescent="0.25">
      <c r="A78" s="3"/>
      <c r="B78" s="3"/>
      <c r="C78" s="3"/>
      <c r="D78" s="3"/>
      <c r="G78" s="14"/>
      <c r="H78" s="14"/>
    </row>
    <row r="79" spans="1:8" x14ac:dyDescent="0.25">
      <c r="A79" s="3"/>
      <c r="B79" s="3"/>
      <c r="C79" s="3"/>
      <c r="D79" s="3"/>
      <c r="G79" s="14"/>
      <c r="H79" s="14"/>
    </row>
    <row r="80" spans="1:8" x14ac:dyDescent="0.25">
      <c r="A80" s="3"/>
      <c r="B80" s="3"/>
      <c r="C80" s="3"/>
      <c r="D80" s="3"/>
      <c r="G80" s="14"/>
      <c r="H80" s="14"/>
    </row>
    <row r="81" spans="1:8" x14ac:dyDescent="0.25">
      <c r="A81" s="3"/>
      <c r="B81" s="3"/>
      <c r="C81" s="3"/>
      <c r="D81" s="3"/>
      <c r="G81" s="14"/>
      <c r="H81" s="14"/>
    </row>
    <row r="82" spans="1:8" x14ac:dyDescent="0.25">
      <c r="A82" s="3"/>
      <c r="B82" s="3"/>
      <c r="C82" s="3"/>
      <c r="D82" s="3"/>
      <c r="G82" s="14"/>
      <c r="H82" s="14"/>
    </row>
    <row r="83" spans="1:8" x14ac:dyDescent="0.25">
      <c r="A83" s="3"/>
      <c r="B83" s="3"/>
      <c r="C83" s="3"/>
      <c r="D83" s="3"/>
      <c r="G83" s="14"/>
      <c r="H83" s="14"/>
    </row>
    <row r="84" spans="1:8" x14ac:dyDescent="0.25">
      <c r="A84" s="3"/>
      <c r="B84" s="3"/>
      <c r="C84" s="3"/>
      <c r="D84" s="3"/>
      <c r="G84" s="14"/>
      <c r="H84" s="14"/>
    </row>
    <row r="85" spans="1:8" x14ac:dyDescent="0.25">
      <c r="A85" s="3"/>
      <c r="B85" s="3"/>
      <c r="C85" s="3"/>
      <c r="D85" s="3"/>
      <c r="G85" s="14"/>
      <c r="H85" s="14"/>
    </row>
    <row r="86" spans="1:8" x14ac:dyDescent="0.25">
      <c r="A86" s="3"/>
      <c r="B86" s="3"/>
      <c r="C86" s="3"/>
      <c r="D86" s="3"/>
      <c r="G86" s="14"/>
      <c r="H86" s="14"/>
    </row>
    <row r="87" spans="1:8" x14ac:dyDescent="0.25">
      <c r="A87" s="3"/>
      <c r="B87" s="3"/>
      <c r="C87" s="3"/>
      <c r="D87" s="3"/>
      <c r="G87" s="14"/>
      <c r="H87" s="14"/>
    </row>
    <row r="88" spans="1:8" x14ac:dyDescent="0.25">
      <c r="A88" s="3"/>
      <c r="B88" s="3"/>
      <c r="C88" s="3"/>
      <c r="D88" s="3"/>
      <c r="G88" s="14"/>
      <c r="H88" s="14"/>
    </row>
    <row r="89" spans="1:8" x14ac:dyDescent="0.25">
      <c r="A89" s="3"/>
      <c r="B89" s="3"/>
      <c r="C89" s="3"/>
      <c r="D89" s="3"/>
      <c r="G89" s="14"/>
      <c r="H89" s="14"/>
    </row>
    <row r="90" spans="1:8" x14ac:dyDescent="0.25">
      <c r="A90" s="3"/>
      <c r="B90" s="3"/>
      <c r="C90" s="3"/>
      <c r="D90" s="3"/>
      <c r="G90" s="14"/>
      <c r="H90" s="14"/>
    </row>
    <row r="91" spans="1:8" x14ac:dyDescent="0.25">
      <c r="A91" s="3"/>
      <c r="B91" s="3"/>
      <c r="C91" s="3"/>
      <c r="D91" s="3"/>
      <c r="G91" s="14"/>
      <c r="H91" s="14"/>
    </row>
    <row r="92" spans="1:8" x14ac:dyDescent="0.25">
      <c r="A92" s="3"/>
      <c r="B92" s="3"/>
      <c r="C92" s="3"/>
      <c r="D92" s="3"/>
      <c r="G92" s="14"/>
      <c r="H92" s="14"/>
    </row>
    <row r="93" spans="1:8" x14ac:dyDescent="0.25">
      <c r="A93" s="3"/>
      <c r="B93" s="3"/>
      <c r="C93" s="3"/>
      <c r="D93" s="3"/>
      <c r="G93" s="14"/>
      <c r="H93" s="14"/>
    </row>
    <row r="94" spans="1:8" x14ac:dyDescent="0.25">
      <c r="A94" s="3"/>
      <c r="B94" s="3"/>
      <c r="C94" s="3"/>
      <c r="D94" s="3"/>
      <c r="G94" s="14"/>
      <c r="H94" s="14"/>
    </row>
    <row r="95" spans="1:8" x14ac:dyDescent="0.25">
      <c r="A95" s="3"/>
      <c r="B95" s="3"/>
      <c r="C95" s="3"/>
      <c r="D95" s="3"/>
      <c r="G95" s="14"/>
      <c r="H95" s="14"/>
    </row>
    <row r="96" spans="1:8" x14ac:dyDescent="0.25">
      <c r="A96" s="3"/>
      <c r="B96" s="3"/>
      <c r="C96" s="3"/>
      <c r="D96" s="3"/>
      <c r="G96" s="14"/>
      <c r="H96" s="14"/>
    </row>
    <row r="97" spans="1:8" x14ac:dyDescent="0.25">
      <c r="A97" s="3"/>
      <c r="B97" s="3"/>
      <c r="C97" s="3"/>
      <c r="D97" s="3"/>
      <c r="G97" s="14"/>
      <c r="H97" s="14"/>
    </row>
    <row r="98" spans="1:8" x14ac:dyDescent="0.25">
      <c r="A98" s="3"/>
      <c r="B98" s="3"/>
      <c r="C98" s="3"/>
      <c r="D98" s="3"/>
      <c r="G98" s="14"/>
      <c r="H98" s="14"/>
    </row>
    <row r="99" spans="1:8" x14ac:dyDescent="0.25">
      <c r="A99" s="3"/>
      <c r="B99" s="3"/>
      <c r="C99" s="3"/>
      <c r="D99" s="3"/>
      <c r="G99" s="14"/>
      <c r="H99" s="14"/>
    </row>
    <row r="100" spans="1:8" x14ac:dyDescent="0.25">
      <c r="A100" s="3"/>
      <c r="B100" s="3"/>
      <c r="C100" s="3"/>
      <c r="D100" s="3"/>
      <c r="G100" s="14"/>
      <c r="H100" s="14"/>
    </row>
    <row r="101" spans="1:8" x14ac:dyDescent="0.25">
      <c r="A101" s="3"/>
      <c r="B101" s="3"/>
      <c r="C101" s="3"/>
      <c r="D101" s="3"/>
      <c r="G101" s="14"/>
      <c r="H101" s="14"/>
    </row>
    <row r="102" spans="1:8" x14ac:dyDescent="0.25">
      <c r="A102" s="3"/>
      <c r="B102" s="3"/>
      <c r="C102" s="3"/>
      <c r="D102" s="3"/>
      <c r="G102" s="14"/>
      <c r="H102" s="14"/>
    </row>
    <row r="103" spans="1:8" x14ac:dyDescent="0.25">
      <c r="A103" s="3"/>
      <c r="B103" s="3"/>
      <c r="C103" s="3"/>
      <c r="D103" s="3"/>
      <c r="G103" s="14"/>
      <c r="H103" s="14"/>
    </row>
    <row r="104" spans="1:8" x14ac:dyDescent="0.25">
      <c r="A104" s="3"/>
      <c r="B104" s="3"/>
      <c r="C104" s="3"/>
      <c r="D104" s="3"/>
      <c r="G104" s="14"/>
      <c r="H104" s="14"/>
    </row>
    <row r="105" spans="1:8" x14ac:dyDescent="0.25">
      <c r="A105" s="3"/>
      <c r="B105" s="3"/>
      <c r="C105" s="3"/>
      <c r="D105" s="3"/>
      <c r="G105" s="14"/>
      <c r="H105" s="14"/>
    </row>
    <row r="106" spans="1:8" x14ac:dyDescent="0.25">
      <c r="A106" s="3"/>
      <c r="B106" s="3"/>
      <c r="C106" s="3"/>
      <c r="D106" s="3"/>
      <c r="G106" s="14"/>
      <c r="H106" s="14"/>
    </row>
    <row r="107" spans="1:8" x14ac:dyDescent="0.25">
      <c r="A107" s="3"/>
      <c r="B107" s="3"/>
      <c r="C107" s="3"/>
      <c r="D107" s="3"/>
      <c r="G107" s="14"/>
      <c r="H107" s="14"/>
    </row>
    <row r="108" spans="1:8" x14ac:dyDescent="0.25">
      <c r="A108" s="3"/>
      <c r="B108" s="3"/>
      <c r="C108" s="3"/>
      <c r="D108" s="3"/>
      <c r="G108" s="14"/>
      <c r="H108" s="14"/>
    </row>
    <row r="109" spans="1:8" x14ac:dyDescent="0.25">
      <c r="A109" s="3"/>
      <c r="B109" s="3"/>
      <c r="C109" s="3"/>
      <c r="D109" s="3"/>
      <c r="G109" s="14"/>
      <c r="H109" s="14"/>
    </row>
    <row r="110" spans="1:8" x14ac:dyDescent="0.25">
      <c r="A110" s="3"/>
      <c r="B110" s="3"/>
      <c r="C110" s="3"/>
      <c r="D110" s="3"/>
      <c r="G110" s="14"/>
      <c r="H110" s="14"/>
    </row>
    <row r="111" spans="1:8" x14ac:dyDescent="0.25">
      <c r="A111" s="3"/>
      <c r="B111" s="3"/>
      <c r="C111" s="3"/>
      <c r="D111" s="3"/>
      <c r="G111" s="14"/>
      <c r="H111" s="14"/>
    </row>
    <row r="112" spans="1:8" x14ac:dyDescent="0.25">
      <c r="A112" s="3"/>
      <c r="B112" s="3"/>
      <c r="C112" s="3"/>
      <c r="D112" s="3"/>
      <c r="G112" s="14"/>
      <c r="H112" s="14"/>
    </row>
    <row r="113" spans="1:8" x14ac:dyDescent="0.25">
      <c r="A113" s="3"/>
      <c r="B113" s="3"/>
      <c r="C113" s="3"/>
      <c r="D113" s="3"/>
      <c r="G113" s="14"/>
      <c r="H113" s="14"/>
    </row>
    <row r="114" spans="1:8" x14ac:dyDescent="0.25">
      <c r="A114" s="3"/>
      <c r="B114" s="3"/>
      <c r="C114" s="3"/>
      <c r="D114" s="3"/>
      <c r="G114" s="14"/>
      <c r="H114" s="14"/>
    </row>
    <row r="115" spans="1:8" x14ac:dyDescent="0.25">
      <c r="A115" s="3"/>
      <c r="B115" s="3"/>
      <c r="C115" s="3"/>
      <c r="D115" s="3"/>
      <c r="G115" s="14"/>
      <c r="H115" s="14"/>
    </row>
    <row r="116" spans="1:8" x14ac:dyDescent="0.25">
      <c r="A116" s="3"/>
      <c r="B116" s="3"/>
      <c r="C116" s="3"/>
      <c r="D116" s="3"/>
      <c r="G116" s="14"/>
      <c r="H116" s="14"/>
    </row>
    <row r="117" spans="1:8" x14ac:dyDescent="0.25">
      <c r="A117" s="3"/>
      <c r="B117" s="3"/>
      <c r="C117" s="3"/>
      <c r="D117" s="3"/>
      <c r="G117" s="14"/>
      <c r="H117" s="14"/>
    </row>
    <row r="118" spans="1:8" x14ac:dyDescent="0.25">
      <c r="A118" s="3"/>
      <c r="B118" s="3"/>
      <c r="C118" s="3"/>
      <c r="D118" s="3"/>
      <c r="G118" s="14"/>
      <c r="H118" s="14"/>
    </row>
    <row r="119" spans="1:8" x14ac:dyDescent="0.25">
      <c r="A119" s="3"/>
      <c r="B119" s="3"/>
      <c r="C119" s="3"/>
      <c r="D119" s="3"/>
      <c r="G119" s="14"/>
      <c r="H119" s="14"/>
    </row>
    <row r="120" spans="1:8" x14ac:dyDescent="0.25">
      <c r="A120" s="3"/>
      <c r="B120" s="3"/>
      <c r="C120" s="3"/>
      <c r="D120" s="3"/>
      <c r="G120" s="14"/>
      <c r="H120" s="14"/>
    </row>
    <row r="121" spans="1:8" x14ac:dyDescent="0.25">
      <c r="A121" s="3"/>
      <c r="B121" s="3"/>
      <c r="C121" s="3"/>
      <c r="D121" s="3"/>
      <c r="G121" s="14"/>
      <c r="H121" s="14"/>
    </row>
    <row r="122" spans="1:8" x14ac:dyDescent="0.25">
      <c r="A122" s="3"/>
      <c r="B122" s="3"/>
      <c r="C122" s="3"/>
      <c r="D122" s="3"/>
      <c r="G122" s="14"/>
      <c r="H122" s="14"/>
    </row>
    <row r="123" spans="1:8" x14ac:dyDescent="0.25">
      <c r="A123" s="3"/>
      <c r="B123" s="3"/>
      <c r="C123" s="3"/>
      <c r="D123" s="3"/>
      <c r="G123" s="14"/>
      <c r="H123" s="14"/>
    </row>
    <row r="124" spans="1:8" x14ac:dyDescent="0.25">
      <c r="A124" s="3"/>
      <c r="B124" s="3"/>
      <c r="C124" s="3"/>
      <c r="D124" s="3"/>
      <c r="G124" s="14"/>
      <c r="H124" s="14"/>
    </row>
    <row r="125" spans="1:8" x14ac:dyDescent="0.25">
      <c r="A125" s="3"/>
      <c r="B125" s="3"/>
      <c r="C125" s="3"/>
      <c r="D125" s="3"/>
      <c r="G125" s="14"/>
      <c r="H125" s="14"/>
    </row>
    <row r="126" spans="1:8" x14ac:dyDescent="0.25">
      <c r="A126" s="18"/>
      <c r="B126" s="3"/>
      <c r="C126" s="3"/>
      <c r="D126" s="3"/>
      <c r="G126" s="14"/>
      <c r="H126" s="14"/>
    </row>
    <row r="127" spans="1:8" x14ac:dyDescent="0.25">
      <c r="A127" s="3"/>
      <c r="B127" s="3"/>
      <c r="C127" s="3"/>
      <c r="D127" s="3"/>
      <c r="G127" s="14"/>
      <c r="H127" s="14"/>
    </row>
    <row r="128" spans="1:8" x14ac:dyDescent="0.25">
      <c r="A128" s="3"/>
      <c r="B128" s="3"/>
      <c r="C128" s="3"/>
      <c r="D128" s="3"/>
      <c r="G128" s="14"/>
      <c r="H128" s="14"/>
    </row>
    <row r="129" spans="1:8" x14ac:dyDescent="0.25">
      <c r="A129" s="3"/>
      <c r="B129" s="3"/>
      <c r="C129" s="3"/>
      <c r="D129" s="3"/>
      <c r="G129" s="14"/>
      <c r="H129" s="14"/>
    </row>
    <row r="130" spans="1:8" x14ac:dyDescent="0.25">
      <c r="A130" s="3"/>
      <c r="B130" s="3"/>
      <c r="C130" s="3"/>
      <c r="D130" s="3"/>
      <c r="G130" s="14"/>
      <c r="H130" s="14"/>
    </row>
    <row r="131" spans="1:8" x14ac:dyDescent="0.25">
      <c r="A131" s="3"/>
      <c r="B131" s="3"/>
      <c r="C131" s="3"/>
      <c r="D131" s="3"/>
      <c r="G131" s="14"/>
      <c r="H131" s="14"/>
    </row>
    <row r="132" spans="1:8" x14ac:dyDescent="0.25">
      <c r="A132" s="3"/>
      <c r="B132" s="3"/>
      <c r="C132" s="3"/>
      <c r="D132" s="3"/>
      <c r="G132" s="14"/>
      <c r="H132" s="14"/>
    </row>
    <row r="133" spans="1:8" x14ac:dyDescent="0.25">
      <c r="A133" s="3"/>
      <c r="B133" s="3"/>
      <c r="C133" s="3"/>
      <c r="D133" s="3"/>
      <c r="G133" s="14"/>
      <c r="H133" s="14"/>
    </row>
    <row r="134" spans="1:8" x14ac:dyDescent="0.25">
      <c r="A134" s="3"/>
      <c r="B134" s="3"/>
      <c r="C134" s="3"/>
      <c r="D134" s="3"/>
      <c r="G134" s="14"/>
      <c r="H134" s="14"/>
    </row>
    <row r="135" spans="1:8" x14ac:dyDescent="0.25">
      <c r="A135" s="3"/>
      <c r="B135" s="3"/>
      <c r="C135" s="3"/>
      <c r="D135" s="3"/>
      <c r="G135" s="14"/>
      <c r="H135" s="14"/>
    </row>
    <row r="136" spans="1:8" x14ac:dyDescent="0.25">
      <c r="A136" s="3"/>
      <c r="B136" s="3"/>
      <c r="C136" s="3"/>
      <c r="D136" s="3"/>
      <c r="G136" s="14"/>
      <c r="H136" s="14"/>
    </row>
    <row r="137" spans="1:8" x14ac:dyDescent="0.25">
      <c r="A137" s="3"/>
      <c r="B137" s="3"/>
      <c r="C137" s="3"/>
      <c r="D137" s="3"/>
      <c r="G137" s="14"/>
      <c r="H137" s="14"/>
    </row>
    <row r="138" spans="1:8" x14ac:dyDescent="0.25">
      <c r="A138" s="3"/>
      <c r="B138" s="3"/>
      <c r="C138" s="3"/>
      <c r="D138" s="3"/>
      <c r="G138" s="14"/>
      <c r="H138" s="14"/>
    </row>
    <row r="139" spans="1:8" x14ac:dyDescent="0.25">
      <c r="A139" s="3"/>
      <c r="B139" s="3"/>
      <c r="C139" s="3"/>
      <c r="D139" s="3"/>
      <c r="G139" s="14"/>
      <c r="H139" s="14"/>
    </row>
    <row r="140" spans="1:8" x14ac:dyDescent="0.25">
      <c r="A140" s="3"/>
      <c r="B140" s="3"/>
      <c r="C140" s="3"/>
      <c r="D140" s="3"/>
      <c r="G140" s="14"/>
      <c r="H140" s="14"/>
    </row>
    <row r="141" spans="1:8" x14ac:dyDescent="0.25">
      <c r="A141" s="3"/>
      <c r="B141" s="3"/>
      <c r="C141" s="3"/>
      <c r="D141" s="3"/>
      <c r="G141" s="14"/>
      <c r="H141" s="14"/>
    </row>
    <row r="142" spans="1:8" x14ac:dyDescent="0.25">
      <c r="A142" s="3"/>
      <c r="B142" s="3"/>
      <c r="C142" s="3"/>
      <c r="D142" s="3"/>
      <c r="G142" s="14"/>
      <c r="H142" s="14"/>
    </row>
    <row r="143" spans="1:8" x14ac:dyDescent="0.25">
      <c r="A143" s="3"/>
      <c r="B143" s="3"/>
      <c r="C143" s="3"/>
      <c r="D143" s="3"/>
      <c r="G143" s="14"/>
      <c r="H143" s="14"/>
    </row>
    <row r="144" spans="1:8" x14ac:dyDescent="0.25">
      <c r="A144" s="3"/>
      <c r="B144" s="3"/>
      <c r="C144" s="3"/>
      <c r="D144" s="3"/>
      <c r="G144" s="14"/>
      <c r="H144" s="14"/>
    </row>
    <row r="145" spans="1:8" x14ac:dyDescent="0.25">
      <c r="A145" s="3"/>
      <c r="B145" s="3"/>
      <c r="C145" s="3"/>
      <c r="D145" s="3"/>
      <c r="G145" s="14"/>
      <c r="H145" s="14"/>
    </row>
    <row r="146" spans="1:8" x14ac:dyDescent="0.25">
      <c r="A146" s="3"/>
      <c r="B146" s="3"/>
      <c r="C146" s="3"/>
      <c r="D146" s="3"/>
      <c r="G146" s="14"/>
      <c r="H146" s="14"/>
    </row>
    <row r="147" spans="1:8" x14ac:dyDescent="0.25">
      <c r="A147" s="3"/>
      <c r="B147" s="3"/>
      <c r="C147" s="3"/>
      <c r="D147" s="3"/>
      <c r="G147" s="14"/>
      <c r="H147" s="14"/>
    </row>
    <row r="148" spans="1:8" x14ac:dyDescent="0.25">
      <c r="A148" s="3"/>
      <c r="B148" s="3"/>
      <c r="C148" s="3"/>
      <c r="D148" s="3"/>
      <c r="G148" s="14"/>
      <c r="H148" s="14"/>
    </row>
    <row r="149" spans="1:8" x14ac:dyDescent="0.25">
      <c r="A149" s="3"/>
      <c r="B149" s="3"/>
      <c r="C149" s="3"/>
      <c r="D149" s="3"/>
      <c r="G149" s="14"/>
      <c r="H149" s="14"/>
    </row>
    <row r="150" spans="1:8" x14ac:dyDescent="0.25">
      <c r="A150" s="3"/>
      <c r="B150" s="3"/>
      <c r="C150" s="3"/>
      <c r="D150" s="3"/>
      <c r="G150" s="14"/>
      <c r="H150" s="14"/>
    </row>
    <row r="151" spans="1:8" x14ac:dyDescent="0.25">
      <c r="A151" s="3"/>
      <c r="B151" s="3"/>
      <c r="C151" s="3"/>
      <c r="D151" s="3"/>
      <c r="G151" s="14"/>
      <c r="H151" s="14"/>
    </row>
    <row r="152" spans="1:8" x14ac:dyDescent="0.25">
      <c r="A152" s="3"/>
      <c r="B152" s="3"/>
      <c r="C152" s="3"/>
      <c r="D152" s="3"/>
      <c r="G152" s="14"/>
      <c r="H152" s="14"/>
    </row>
    <row r="153" spans="1:8" x14ac:dyDescent="0.25">
      <c r="A153" s="3"/>
      <c r="B153" s="3"/>
      <c r="C153" s="3"/>
      <c r="D153" s="3"/>
      <c r="G153" s="14"/>
      <c r="H153" s="14"/>
    </row>
    <row r="154" spans="1:8" x14ac:dyDescent="0.25">
      <c r="A154" s="3"/>
      <c r="B154" s="3"/>
      <c r="C154" s="3"/>
      <c r="D154" s="3"/>
      <c r="G154" s="14"/>
      <c r="H154" s="14"/>
    </row>
    <row r="155" spans="1:8" x14ac:dyDescent="0.25">
      <c r="A155" s="3"/>
      <c r="B155" s="3"/>
      <c r="C155" s="3"/>
      <c r="D155" s="3"/>
      <c r="G155" s="14"/>
      <c r="H155" s="14"/>
    </row>
    <row r="156" spans="1:8" x14ac:dyDescent="0.25">
      <c r="A156" s="3"/>
      <c r="B156" s="3"/>
      <c r="C156" s="3"/>
      <c r="D156" s="3"/>
      <c r="G156" s="14"/>
      <c r="H156" s="14"/>
    </row>
    <row r="157" spans="1:8" x14ac:dyDescent="0.25">
      <c r="A157" s="3"/>
      <c r="B157" s="3"/>
      <c r="C157" s="3"/>
      <c r="D157" s="3"/>
      <c r="G157" s="14"/>
      <c r="H157" s="14"/>
    </row>
    <row r="158" spans="1:8" x14ac:dyDescent="0.25">
      <c r="A158" s="3"/>
      <c r="B158" s="3"/>
      <c r="C158" s="3"/>
      <c r="D158" s="3"/>
      <c r="G158" s="14"/>
      <c r="H158" s="14"/>
    </row>
    <row r="159" spans="1:8" x14ac:dyDescent="0.25">
      <c r="A159" s="3"/>
      <c r="B159" s="3"/>
      <c r="C159" s="3"/>
      <c r="D159" s="3"/>
      <c r="G159" s="14"/>
      <c r="H159" s="14"/>
    </row>
    <row r="160" spans="1:8" x14ac:dyDescent="0.25">
      <c r="A160" s="3"/>
      <c r="B160" s="3"/>
      <c r="C160" s="3"/>
      <c r="D160" s="3"/>
      <c r="G160" s="14"/>
      <c r="H160" s="14"/>
    </row>
    <row r="161" spans="1:8" x14ac:dyDescent="0.25">
      <c r="A161" s="3"/>
      <c r="B161" s="3"/>
      <c r="C161" s="3"/>
      <c r="D161" s="3"/>
      <c r="G161" s="14"/>
      <c r="H161" s="14"/>
    </row>
    <row r="162" spans="1:8" x14ac:dyDescent="0.25">
      <c r="A162" s="3"/>
      <c r="B162" s="3"/>
      <c r="C162" s="3"/>
      <c r="D162" s="3"/>
      <c r="G162" s="14"/>
      <c r="H162" s="14"/>
    </row>
    <row r="163" spans="1:8" x14ac:dyDescent="0.25">
      <c r="A163" s="3"/>
      <c r="B163" s="3"/>
      <c r="C163" s="3"/>
      <c r="D163" s="3"/>
      <c r="G163" s="14"/>
      <c r="H163" s="14"/>
    </row>
    <row r="164" spans="1:8" x14ac:dyDescent="0.25">
      <c r="A164" s="3"/>
      <c r="B164" s="3"/>
      <c r="C164" s="3"/>
      <c r="D164" s="3"/>
      <c r="G164" s="14"/>
      <c r="H164" s="14"/>
    </row>
    <row r="165" spans="1:8" x14ac:dyDescent="0.25">
      <c r="A165" s="3"/>
      <c r="B165" s="3"/>
      <c r="C165" s="3"/>
      <c r="D165" s="3"/>
      <c r="G165" s="14"/>
      <c r="H165" s="14"/>
    </row>
    <row r="166" spans="1:8" x14ac:dyDescent="0.25">
      <c r="A166" s="3"/>
      <c r="B166" s="3"/>
      <c r="C166" s="3"/>
      <c r="D166" s="3"/>
      <c r="G166" s="14"/>
      <c r="H166" s="14"/>
    </row>
    <row r="167" spans="1:8" x14ac:dyDescent="0.25">
      <c r="A167" s="3"/>
      <c r="B167" s="3"/>
      <c r="C167" s="3"/>
      <c r="D167" s="3"/>
      <c r="G167" s="14"/>
      <c r="H167" s="14"/>
    </row>
    <row r="168" spans="1:8" x14ac:dyDescent="0.25">
      <c r="A168" s="3"/>
      <c r="B168" s="3"/>
      <c r="C168" s="3"/>
      <c r="D168" s="3"/>
      <c r="G168" s="14"/>
      <c r="H168" s="14"/>
    </row>
    <row r="169" spans="1:8" x14ac:dyDescent="0.25">
      <c r="A169" s="3"/>
      <c r="B169" s="3"/>
      <c r="C169" s="3"/>
      <c r="D169" s="3"/>
      <c r="G169" s="14"/>
      <c r="H169" s="14"/>
    </row>
    <row r="170" spans="1:8" x14ac:dyDescent="0.25">
      <c r="A170" s="3"/>
      <c r="B170" s="3"/>
      <c r="C170" s="3"/>
      <c r="D170" s="3"/>
      <c r="G170" s="14"/>
      <c r="H170" s="14"/>
    </row>
    <row r="171" spans="1:8" x14ac:dyDescent="0.25">
      <c r="A171" s="3"/>
      <c r="B171" s="3"/>
      <c r="C171" s="3"/>
      <c r="D171" s="3"/>
      <c r="G171" s="14"/>
      <c r="H171" s="14"/>
    </row>
    <row r="172" spans="1:8" x14ac:dyDescent="0.25">
      <c r="A172" s="3"/>
      <c r="B172" s="3"/>
      <c r="C172" s="3"/>
      <c r="D172" s="3"/>
      <c r="G172" s="14"/>
      <c r="H172" s="14"/>
    </row>
    <row r="173" spans="1:8" x14ac:dyDescent="0.25">
      <c r="A173" s="3"/>
      <c r="B173" s="3"/>
      <c r="C173" s="3"/>
      <c r="D173" s="3"/>
      <c r="G173" s="14"/>
      <c r="H173" s="14"/>
    </row>
    <row r="174" spans="1:8" x14ac:dyDescent="0.25">
      <c r="A174" s="3"/>
      <c r="B174" s="3"/>
      <c r="C174" s="3"/>
      <c r="D174" s="3"/>
      <c r="G174" s="14"/>
      <c r="H174" s="14"/>
    </row>
    <row r="175" spans="1:8" x14ac:dyDescent="0.25">
      <c r="A175" s="3"/>
      <c r="B175" s="3"/>
      <c r="C175" s="3"/>
      <c r="D175" s="3"/>
      <c r="G175" s="14"/>
      <c r="H175" s="14"/>
    </row>
    <row r="176" spans="1:8" x14ac:dyDescent="0.25">
      <c r="A176" s="3"/>
      <c r="B176" s="3"/>
      <c r="C176" s="3"/>
      <c r="D176" s="3"/>
      <c r="G176" s="14"/>
      <c r="H176" s="14"/>
    </row>
    <row r="177" spans="1:8" x14ac:dyDescent="0.25">
      <c r="A177" s="3"/>
      <c r="B177" s="3"/>
      <c r="C177" s="3"/>
      <c r="D177" s="3"/>
      <c r="G177" s="14"/>
      <c r="H177" s="14"/>
    </row>
    <row r="178" spans="1:8" x14ac:dyDescent="0.25">
      <c r="A178" s="3"/>
      <c r="B178" s="3"/>
      <c r="C178" s="3"/>
      <c r="D178" s="3"/>
      <c r="G178" s="14"/>
      <c r="H178" s="14"/>
    </row>
    <row r="179" spans="1:8" x14ac:dyDescent="0.25">
      <c r="A179" s="3"/>
      <c r="B179" s="3"/>
      <c r="C179" s="3"/>
      <c r="D179" s="3"/>
      <c r="G179" s="14"/>
      <c r="H179" s="14"/>
    </row>
    <row r="180" spans="1:8" x14ac:dyDescent="0.25">
      <c r="A180" s="3"/>
      <c r="B180" s="3"/>
      <c r="C180" s="3"/>
      <c r="D180" s="3"/>
      <c r="G180" s="14"/>
      <c r="H180" s="14"/>
    </row>
    <row r="181" spans="1:8" x14ac:dyDescent="0.25">
      <c r="A181" s="3"/>
      <c r="B181" s="3"/>
      <c r="C181" s="3"/>
      <c r="D181" s="3"/>
      <c r="G181" s="14"/>
      <c r="H181" s="14"/>
    </row>
    <row r="182" spans="1:8" x14ac:dyDescent="0.25">
      <c r="A182" s="3"/>
      <c r="B182" s="3"/>
      <c r="C182" s="3"/>
      <c r="D182" s="3"/>
      <c r="G182" s="14"/>
      <c r="H182" s="14"/>
    </row>
    <row r="183" spans="1:8" x14ac:dyDescent="0.25">
      <c r="A183" s="3"/>
      <c r="B183" s="3"/>
      <c r="C183" s="3"/>
      <c r="D183" s="3"/>
      <c r="G183" s="14"/>
      <c r="H183" s="14"/>
    </row>
    <row r="184" spans="1:8" x14ac:dyDescent="0.25">
      <c r="A184" s="3"/>
      <c r="B184" s="3"/>
      <c r="C184" s="3"/>
      <c r="D184" s="3"/>
      <c r="G184" s="14"/>
      <c r="H184" s="14"/>
    </row>
    <row r="185" spans="1:8" x14ac:dyDescent="0.25">
      <c r="A185" s="3"/>
      <c r="B185" s="3"/>
      <c r="C185" s="3"/>
      <c r="D185" s="3"/>
      <c r="G185" s="14"/>
      <c r="H185" s="14"/>
    </row>
    <row r="186" spans="1:8" x14ac:dyDescent="0.25">
      <c r="A186" s="3"/>
      <c r="B186" s="3"/>
      <c r="C186" s="3"/>
      <c r="D186" s="3"/>
      <c r="G186" s="14"/>
      <c r="H186" s="14"/>
    </row>
    <row r="187" spans="1:8" x14ac:dyDescent="0.25">
      <c r="A187" s="3"/>
      <c r="B187" s="3"/>
      <c r="C187" s="3"/>
      <c r="D187" s="3"/>
      <c r="G187" s="14"/>
      <c r="H187" s="14"/>
    </row>
    <row r="188" spans="1:8" x14ac:dyDescent="0.25">
      <c r="A188" s="3"/>
      <c r="B188" s="3"/>
      <c r="C188" s="3"/>
      <c r="D188" s="3"/>
      <c r="G188" s="14"/>
      <c r="H188" s="14"/>
    </row>
    <row r="189" spans="1:8" x14ac:dyDescent="0.25">
      <c r="A189" s="3"/>
      <c r="B189" s="3"/>
      <c r="C189" s="3"/>
      <c r="D189" s="3"/>
      <c r="G189" s="14"/>
      <c r="H189" s="14"/>
    </row>
    <row r="190" spans="1:8" x14ac:dyDescent="0.25">
      <c r="A190" s="3"/>
      <c r="B190" s="3"/>
      <c r="C190" s="3"/>
      <c r="D190" s="3"/>
      <c r="G190" s="14"/>
      <c r="H190" s="14"/>
    </row>
    <row r="191" spans="1:8" x14ac:dyDescent="0.25">
      <c r="A191" s="3"/>
      <c r="B191" s="3"/>
      <c r="C191" s="3"/>
      <c r="D191" s="3"/>
      <c r="G191" s="14"/>
      <c r="H191" s="14"/>
    </row>
    <row r="192" spans="1:8" x14ac:dyDescent="0.25">
      <c r="A192" s="3"/>
      <c r="B192" s="3"/>
      <c r="C192" s="3"/>
      <c r="D192" s="3"/>
      <c r="G192" s="14"/>
      <c r="H192" s="14"/>
    </row>
    <row r="193" spans="1:8" x14ac:dyDescent="0.25">
      <c r="A193" s="3"/>
      <c r="B193" s="3"/>
      <c r="C193" s="3"/>
      <c r="D193" s="3"/>
      <c r="G193" s="14"/>
      <c r="H193" s="14"/>
    </row>
    <row r="194" spans="1:8" x14ac:dyDescent="0.25">
      <c r="A194" s="3"/>
      <c r="B194" s="3"/>
      <c r="C194" s="3"/>
      <c r="D194" s="3"/>
      <c r="G194" s="14"/>
      <c r="H194" s="14"/>
    </row>
    <row r="195" spans="1:8" x14ac:dyDescent="0.25">
      <c r="A195" s="3"/>
      <c r="B195" s="3"/>
      <c r="C195" s="3"/>
      <c r="D195" s="3"/>
      <c r="G195" s="14"/>
      <c r="H195" s="14"/>
    </row>
    <row r="196" spans="1:8" x14ac:dyDescent="0.25">
      <c r="A196" s="3"/>
      <c r="B196" s="3"/>
      <c r="C196" s="3"/>
      <c r="D196" s="3"/>
      <c r="G196" s="14"/>
      <c r="H196" s="14"/>
    </row>
    <row r="197" spans="1:8" x14ac:dyDescent="0.25">
      <c r="A197" s="3"/>
      <c r="B197" s="3"/>
      <c r="C197" s="3"/>
      <c r="D197" s="3"/>
      <c r="G197" s="14"/>
      <c r="H197" s="14"/>
    </row>
    <row r="198" spans="1:8" x14ac:dyDescent="0.25">
      <c r="A198" s="3"/>
      <c r="B198" s="3"/>
      <c r="C198" s="3"/>
      <c r="D198" s="3"/>
      <c r="G198" s="14"/>
      <c r="H198" s="14"/>
    </row>
    <row r="199" spans="1:8" x14ac:dyDescent="0.25">
      <c r="A199" s="3"/>
      <c r="B199" s="3"/>
      <c r="C199" s="3"/>
      <c r="D199" s="3"/>
      <c r="G199" s="14"/>
      <c r="H199" s="14"/>
    </row>
    <row r="200" spans="1:8" x14ac:dyDescent="0.25">
      <c r="A200" s="3"/>
      <c r="B200" s="3"/>
      <c r="C200" s="3"/>
      <c r="D200" s="3"/>
      <c r="G200" s="14"/>
      <c r="H200" s="14"/>
    </row>
    <row r="201" spans="1:8" x14ac:dyDescent="0.25">
      <c r="A201" s="3"/>
      <c r="B201" s="3"/>
      <c r="C201" s="3"/>
      <c r="D201" s="3"/>
      <c r="G201" s="14"/>
      <c r="H201" s="14"/>
    </row>
    <row r="202" spans="1:8" x14ac:dyDescent="0.25">
      <c r="A202" s="3"/>
      <c r="B202" s="3"/>
      <c r="C202" s="3"/>
      <c r="D202" s="3"/>
      <c r="G202" s="14"/>
      <c r="H202" s="14"/>
    </row>
    <row r="203" spans="1:8" x14ac:dyDescent="0.25">
      <c r="A203" s="3"/>
      <c r="B203" s="3"/>
      <c r="C203" s="3"/>
      <c r="D203" s="3"/>
      <c r="G203" s="14"/>
      <c r="H203" s="14"/>
    </row>
    <row r="204" spans="1:8" x14ac:dyDescent="0.25">
      <c r="A204" s="3"/>
      <c r="B204" s="3"/>
      <c r="C204" s="3"/>
      <c r="D204" s="3"/>
      <c r="G204" s="14"/>
      <c r="H204" s="14"/>
    </row>
    <row r="205" spans="1:8" x14ac:dyDescent="0.25">
      <c r="A205" s="3"/>
      <c r="B205" s="3"/>
      <c r="C205" s="3"/>
      <c r="D205" s="3"/>
      <c r="G205" s="14"/>
      <c r="H205" s="14"/>
    </row>
    <row r="206" spans="1:8" x14ac:dyDescent="0.25">
      <c r="A206" s="3"/>
      <c r="B206" s="3"/>
      <c r="C206" s="3"/>
      <c r="D206" s="3"/>
      <c r="G206" s="14"/>
      <c r="H206" s="14"/>
    </row>
    <row r="207" spans="1:8" x14ac:dyDescent="0.25">
      <c r="A207" s="3"/>
      <c r="B207" s="3"/>
      <c r="C207" s="3"/>
      <c r="D207" s="3"/>
      <c r="G207" s="14"/>
      <c r="H207" s="14"/>
    </row>
    <row r="208" spans="1:8" x14ac:dyDescent="0.25">
      <c r="A208" s="3"/>
      <c r="B208" s="3"/>
      <c r="C208" s="3"/>
      <c r="D208" s="3"/>
      <c r="G208" s="14"/>
      <c r="H208" s="14"/>
    </row>
    <row r="209" spans="1:8" x14ac:dyDescent="0.25">
      <c r="A209" s="3"/>
      <c r="B209" s="3"/>
      <c r="C209" s="3"/>
      <c r="D209" s="3"/>
      <c r="G209" s="14"/>
      <c r="H209" s="14"/>
    </row>
    <row r="210" spans="1:8" x14ac:dyDescent="0.25">
      <c r="A210" s="3"/>
      <c r="B210" s="3"/>
      <c r="C210" s="3"/>
      <c r="D210" s="3"/>
      <c r="G210" s="14"/>
      <c r="H210" s="14"/>
    </row>
    <row r="211" spans="1:8" x14ac:dyDescent="0.25">
      <c r="A211" s="3"/>
      <c r="B211" s="3"/>
      <c r="C211" s="3"/>
      <c r="D211" s="3"/>
      <c r="G211" s="14"/>
      <c r="H211" s="14"/>
    </row>
    <row r="212" spans="1:8" x14ac:dyDescent="0.25">
      <c r="A212" s="3"/>
      <c r="B212" s="3"/>
      <c r="C212" s="3"/>
      <c r="D212" s="3"/>
      <c r="G212" s="14"/>
      <c r="H212" s="14"/>
    </row>
    <row r="213" spans="1:8" x14ac:dyDescent="0.25">
      <c r="A213" s="3"/>
      <c r="B213" s="3"/>
      <c r="C213" s="3"/>
      <c r="D213" s="3"/>
      <c r="G213" s="14"/>
      <c r="H213" s="14"/>
    </row>
    <row r="214" spans="1:8" x14ac:dyDescent="0.25">
      <c r="A214" s="3"/>
      <c r="B214" s="3"/>
      <c r="C214" s="3"/>
      <c r="D214" s="3"/>
      <c r="G214" s="14"/>
      <c r="H214" s="14"/>
    </row>
    <row r="215" spans="1:8" x14ac:dyDescent="0.25">
      <c r="A215" s="3"/>
      <c r="B215" s="3"/>
      <c r="C215" s="3"/>
      <c r="D215" s="3"/>
      <c r="G215" s="14"/>
      <c r="H215" s="14"/>
    </row>
    <row r="216" spans="1:8" x14ac:dyDescent="0.25">
      <c r="A216" s="3"/>
      <c r="B216" s="3"/>
      <c r="C216" s="3"/>
      <c r="D216" s="3"/>
      <c r="G216" s="14"/>
      <c r="H216" s="14"/>
    </row>
    <row r="217" spans="1:8" x14ac:dyDescent="0.25">
      <c r="A217" s="3"/>
      <c r="B217" s="3"/>
      <c r="C217" s="3"/>
      <c r="D217" s="3"/>
      <c r="G217" s="14"/>
      <c r="H217" s="14"/>
    </row>
    <row r="218" spans="1:8" x14ac:dyDescent="0.25">
      <c r="A218" s="3"/>
      <c r="B218" s="3"/>
      <c r="C218" s="3"/>
      <c r="D218" s="3"/>
      <c r="G218" s="14"/>
      <c r="H218" s="14"/>
    </row>
    <row r="219" spans="1:8" x14ac:dyDescent="0.25">
      <c r="A219" s="3"/>
      <c r="B219" s="3"/>
      <c r="C219" s="3"/>
      <c r="D219" s="3"/>
      <c r="G219" s="14"/>
      <c r="H219" s="14"/>
    </row>
    <row r="220" spans="1:8" x14ac:dyDescent="0.25">
      <c r="A220" s="3"/>
      <c r="B220" s="3"/>
      <c r="C220" s="3"/>
      <c r="D220" s="3"/>
      <c r="G220" s="14"/>
      <c r="H220" s="14"/>
    </row>
    <row r="221" spans="1:8" x14ac:dyDescent="0.25">
      <c r="A221" s="3"/>
      <c r="B221" s="3"/>
      <c r="C221" s="3"/>
      <c r="D221" s="3"/>
      <c r="G221" s="14"/>
      <c r="H221" s="14"/>
    </row>
    <row r="222" spans="1:8" x14ac:dyDescent="0.25">
      <c r="A222" s="3"/>
      <c r="B222" s="3"/>
      <c r="C222" s="3"/>
      <c r="D222" s="3"/>
      <c r="G222" s="14"/>
      <c r="H222" s="14"/>
    </row>
    <row r="223" spans="1:8" x14ac:dyDescent="0.25">
      <c r="A223" s="3"/>
      <c r="B223" s="3"/>
      <c r="C223" s="3"/>
      <c r="D223" s="3"/>
      <c r="G223" s="14"/>
      <c r="H223" s="14"/>
    </row>
    <row r="224" spans="1:8" x14ac:dyDescent="0.25">
      <c r="A224" s="3"/>
      <c r="B224" s="3"/>
      <c r="C224" s="3"/>
      <c r="D224" s="3"/>
      <c r="G224" s="14"/>
      <c r="H224" s="14"/>
    </row>
    <row r="225" spans="1:8" x14ac:dyDescent="0.25">
      <c r="A225" s="3"/>
      <c r="B225" s="3"/>
      <c r="C225" s="3"/>
      <c r="D225" s="3"/>
      <c r="G225" s="14"/>
      <c r="H225" s="14"/>
    </row>
    <row r="226" spans="1:8" x14ac:dyDescent="0.25">
      <c r="A226" s="3"/>
      <c r="B226" s="3"/>
      <c r="C226" s="3"/>
      <c r="D226" s="3"/>
      <c r="G226" s="14"/>
      <c r="H226" s="14"/>
    </row>
    <row r="227" spans="1:8" x14ac:dyDescent="0.25">
      <c r="A227" s="3"/>
      <c r="B227" s="3"/>
      <c r="C227" s="3"/>
      <c r="D227" s="3"/>
      <c r="G227" s="14"/>
      <c r="H227" s="14"/>
    </row>
    <row r="228" spans="1:8" x14ac:dyDescent="0.25">
      <c r="A228" s="3"/>
      <c r="B228" s="3"/>
      <c r="C228" s="3"/>
      <c r="D228" s="3"/>
      <c r="G228" s="14"/>
      <c r="H228" s="14"/>
    </row>
    <row r="229" spans="1:8" x14ac:dyDescent="0.25">
      <c r="A229" s="3"/>
      <c r="B229" s="3"/>
      <c r="C229" s="3"/>
      <c r="D229" s="3"/>
      <c r="G229" s="14"/>
      <c r="H229" s="14"/>
    </row>
    <row r="230" spans="1:8" x14ac:dyDescent="0.25">
      <c r="A230" s="3"/>
      <c r="B230" s="3"/>
      <c r="C230" s="3"/>
      <c r="D230" s="3"/>
      <c r="G230" s="14"/>
      <c r="H230" s="14"/>
    </row>
    <row r="231" spans="1:8" x14ac:dyDescent="0.25">
      <c r="A231" s="3"/>
      <c r="B231" s="3"/>
      <c r="C231" s="3"/>
      <c r="D231" s="3"/>
      <c r="G231" s="14"/>
      <c r="H231" s="14"/>
    </row>
    <row r="232" spans="1:8" x14ac:dyDescent="0.25">
      <c r="A232" s="3"/>
      <c r="B232" s="3"/>
      <c r="C232" s="3"/>
      <c r="D232" s="3"/>
      <c r="G232" s="14"/>
      <c r="H232" s="14"/>
    </row>
    <row r="233" spans="1:8" x14ac:dyDescent="0.25">
      <c r="A233" s="3"/>
      <c r="B233" s="3"/>
      <c r="C233" s="3"/>
      <c r="D233" s="3"/>
      <c r="G233" s="14"/>
      <c r="H233" s="14"/>
    </row>
    <row r="234" spans="1:8" x14ac:dyDescent="0.25">
      <c r="A234" s="3"/>
      <c r="B234" s="3"/>
      <c r="C234" s="3"/>
      <c r="D234" s="3"/>
      <c r="G234" s="14"/>
      <c r="H234" s="14"/>
    </row>
    <row r="235" spans="1:8" x14ac:dyDescent="0.25">
      <c r="A235" s="3"/>
      <c r="B235" s="3"/>
      <c r="C235" s="3"/>
      <c r="D235" s="3"/>
      <c r="G235" s="14"/>
      <c r="H235" s="14"/>
    </row>
    <row r="236" spans="1:8" x14ac:dyDescent="0.25">
      <c r="A236" s="3"/>
      <c r="B236" s="3"/>
      <c r="C236" s="3"/>
      <c r="D236" s="3"/>
      <c r="G236" s="14"/>
      <c r="H236" s="14"/>
    </row>
    <row r="237" spans="1:8" x14ac:dyDescent="0.25">
      <c r="A237" s="3"/>
      <c r="B237" s="3"/>
      <c r="C237" s="3"/>
      <c r="D237" s="3"/>
      <c r="G237" s="14"/>
      <c r="H237" s="14"/>
    </row>
    <row r="238" spans="1:8" x14ac:dyDescent="0.25">
      <c r="A238" s="3"/>
      <c r="B238" s="3"/>
      <c r="C238" s="3"/>
      <c r="D238" s="3"/>
      <c r="G238" s="14"/>
      <c r="H238" s="14"/>
    </row>
    <row r="239" spans="1:8" x14ac:dyDescent="0.25">
      <c r="A239" s="3"/>
      <c r="B239" s="3"/>
      <c r="C239" s="3"/>
      <c r="D239" s="3"/>
      <c r="G239" s="14"/>
      <c r="H239" s="14"/>
    </row>
    <row r="240" spans="1:8" x14ac:dyDescent="0.25">
      <c r="A240" s="3"/>
      <c r="B240" s="3"/>
      <c r="C240" s="3"/>
      <c r="D240" s="3"/>
      <c r="G240" s="14"/>
      <c r="H240" s="14"/>
    </row>
    <row r="241" spans="1:8" x14ac:dyDescent="0.25">
      <c r="A241" s="3"/>
      <c r="B241" s="3"/>
      <c r="C241" s="3"/>
      <c r="D241" s="3"/>
      <c r="G241" s="14"/>
      <c r="H241" s="14"/>
    </row>
    <row r="242" spans="1:8" x14ac:dyDescent="0.25">
      <c r="A242" s="3"/>
      <c r="B242" s="3"/>
      <c r="C242" s="3"/>
      <c r="D242" s="3"/>
      <c r="G242" s="14"/>
      <c r="H242" s="14"/>
    </row>
    <row r="243" spans="1:8" x14ac:dyDescent="0.25">
      <c r="A243" s="3"/>
      <c r="B243" s="3"/>
      <c r="C243" s="3"/>
      <c r="D243" s="3"/>
      <c r="G243" s="14"/>
      <c r="H243" s="14"/>
    </row>
    <row r="244" spans="1:8" x14ac:dyDescent="0.25">
      <c r="A244" s="3"/>
      <c r="B244" s="3"/>
      <c r="C244" s="3"/>
      <c r="D244" s="3"/>
      <c r="G244" s="14"/>
      <c r="H244" s="14"/>
    </row>
    <row r="245" spans="1:8" x14ac:dyDescent="0.25">
      <c r="A245" s="3"/>
      <c r="B245" s="3"/>
      <c r="C245" s="3"/>
      <c r="D245" s="3"/>
      <c r="G245" s="14"/>
      <c r="H245" s="14"/>
    </row>
    <row r="247" spans="1:8" x14ac:dyDescent="0.25">
      <c r="A247" s="3"/>
      <c r="G247" s="14"/>
      <c r="H247" s="14"/>
    </row>
  </sheetData>
  <phoneticPr fontId="1" type="noConversion"/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90FEF4-8A25-4BEA-858E-E4D70660DD0C}">
  <sheetPr/>
  <dimension ref="A1:I247"/>
  <sheetViews>
    <sheetView topLeftCell="A8" zoomScale="115" zoomScaleNormal="115" workbookViewId="0">
      <selection activeCell="A5" sqref="A5:H86"/>
    </sheetView>
  </sheetViews>
  <sheetFormatPr defaultRowHeight="15" x14ac:dyDescent="0.25"/>
  <cols>
    <col min="1" max="1" width="8.875" style="4" customWidth="1"/>
    <col min="2" max="3" width="15.125" style="4" customWidth="1"/>
    <col min="4" max="4" width="10.25" style="4" customWidth="1"/>
    <col min="5" max="5" width="12" style="13" customWidth="1"/>
    <col min="6" max="6" width="15" style="13" customWidth="1"/>
    <col min="7" max="7" width="13.875" customWidth="1"/>
    <col min="8" max="8" width="11.125" customWidth="1"/>
    <col min="11" max="12" width="15.125" customWidth="1"/>
    <col min="13" max="13" width="11.125" customWidth="1"/>
  </cols>
  <sheetData>
    <row r="1" spans="1:9" ht="14.25" x14ac:dyDescent="0.2">
      <c r="A1" s="2" t="s">
        <v>12</v>
      </c>
      <c r="B1" s="2" t="s">
        <v>4</v>
      </c>
      <c r="C1" s="2" t="s">
        <v>5</v>
      </c>
      <c r="D1" s="2" t="s">
        <v>13</v>
      </c>
      <c r="E1" s="2" t="s">
        <v>14</v>
      </c>
      <c r="F1" s="2" t="s">
        <v>15</v>
      </c>
      <c r="G1" s="2" t="s">
        <v>16</v>
      </c>
    </row>
    <row r="2" spans="1:9" x14ac:dyDescent="0.25">
      <c r="A2" s="11">
        <v>40</v>
      </c>
      <c r="B2" s="3">
        <v>113.3900962</v>
      </c>
      <c r="C2" s="8">
        <v>23.04399149</v>
      </c>
      <c r="D2" s="3">
        <v>1750</v>
      </c>
      <c r="E2" s="13">
        <v>1750</v>
      </c>
      <c r="F2" s="13">
        <v>6</v>
      </c>
      <c r="G2" s="19">
        <f>SUBTOTAL(2,A5:A250)</f>
        <v>28</v>
      </c>
    </row>
    <row r="3" spans="1:9" x14ac:dyDescent="0.25">
      <c r="A3" s="3"/>
      <c r="B3" s="3"/>
      <c r="C3" s="3"/>
      <c r="D3" s="3"/>
    </row>
    <row r="4" spans="1:9" ht="14.25" x14ac:dyDescent="0.2">
      <c r="A4" s="2" t="s">
        <v>0</v>
      </c>
      <c r="B4" s="2" t="s">
        <v>1</v>
      </c>
      <c r="C4" s="2" t="s">
        <v>2</v>
      </c>
      <c r="D4" s="2" t="s">
        <v>3</v>
      </c>
      <c r="E4" s="2" t="s">
        <v>7</v>
      </c>
      <c r="F4" s="2" t="s">
        <v>8</v>
      </c>
      <c r="G4" s="2" t="s">
        <v>13</v>
      </c>
      <c r="H4" s="2" t="s">
        <v>14</v>
      </c>
      <c r="I4" s="24" t="s">
        <v>20</v>
      </c>
    </row>
    <row r="5" spans="1:9" x14ac:dyDescent="0.25">
      <c r="A5" s="3">
        <v>609</v>
      </c>
      <c r="B5" s="3">
        <v>113.39055140000001</v>
      </c>
      <c r="C5" s="3">
        <v>23.04296111</v>
      </c>
      <c r="D5" s="3">
        <v>40</v>
      </c>
      <c r="E5" s="13">
        <f t="shared" ref="E5:E36" si="0">SQRT((B5-$B$2)^2+(C5-$C$2)^2)</f>
        <v>1.1264501695163061E-3</v>
      </c>
      <c r="F5" s="13">
        <f t="shared" ref="F5:F36" si="1">SQRT(1/E5)</f>
        <v>29.795042390211652</v>
      </c>
      <c r="G5" s="14">
        <f>F5/$F$90*$D$2</f>
        <v>139.21332822477848</v>
      </c>
      <c r="H5" s="14">
        <f>F5/$F$90*$E$2</f>
        <v>139.21332822477848</v>
      </c>
      <c r="I5" s="25" t="str">
        <f>IF(MOD(ROW()-1,3)=1,"选中","")</f>
        <v>选中</v>
      </c>
    </row>
    <row r="6" spans="1:9" hidden="1" x14ac:dyDescent="0.25">
      <c r="A6" s="3">
        <v>328</v>
      </c>
      <c r="B6" s="3">
        <v>113.3898014</v>
      </c>
      <c r="C6" s="3">
        <v>23.04593105</v>
      </c>
      <c r="D6" s="3">
        <v>40</v>
      </c>
      <c r="E6" s="13">
        <f t="shared" si="0"/>
        <v>1.9618358834532163E-3</v>
      </c>
      <c r="F6" s="13">
        <f t="shared" si="1"/>
        <v>22.577126329994304</v>
      </c>
      <c r="G6" s="14" t="e">
        <f>F6/$F$124*$D$2</f>
        <v>#DIV/0!</v>
      </c>
      <c r="H6" s="14" t="e">
        <f>F6/$F$124*$E$2</f>
        <v>#DIV/0!</v>
      </c>
      <c r="I6" s="25" t="str">
        <f t="shared" ref="I6:I69" si="2">IF(MOD(ROW()-1,3)=1,"选中","")</f>
        <v/>
      </c>
    </row>
    <row r="7" spans="1:9" hidden="1" x14ac:dyDescent="0.25">
      <c r="A7" s="3">
        <v>321</v>
      </c>
      <c r="B7" s="3">
        <v>113.38980239999999</v>
      </c>
      <c r="C7" s="3">
        <v>23.04593504</v>
      </c>
      <c r="D7" s="3">
        <v>40</v>
      </c>
      <c r="E7" s="13">
        <f t="shared" si="0"/>
        <v>1.9656309527744755E-3</v>
      </c>
      <c r="F7" s="13">
        <f t="shared" si="1"/>
        <v>22.555320823708634</v>
      </c>
      <c r="G7" s="14" t="e">
        <f>F7/$F$124*$D$2</f>
        <v>#DIV/0!</v>
      </c>
      <c r="H7" s="14" t="e">
        <f>F7/$F$124*$E$2</f>
        <v>#DIV/0!</v>
      </c>
      <c r="I7" s="25" t="str">
        <f t="shared" si="2"/>
        <v/>
      </c>
    </row>
    <row r="8" spans="1:9" x14ac:dyDescent="0.25">
      <c r="A8" s="3">
        <v>350</v>
      </c>
      <c r="B8" s="3">
        <v>113.3929929</v>
      </c>
      <c r="C8" s="3">
        <v>23.04535156</v>
      </c>
      <c r="D8" s="3">
        <v>40</v>
      </c>
      <c r="E8" s="13">
        <f t="shared" si="0"/>
        <v>3.2001033256545278E-3</v>
      </c>
      <c r="F8" s="13">
        <f t="shared" si="1"/>
        <v>17.677384137078963</v>
      </c>
      <c r="G8" s="14">
        <f>F8/$F$90*$D$2</f>
        <v>82.595199825563498</v>
      </c>
      <c r="H8" s="14">
        <f>F8/$F$90*$E$2</f>
        <v>82.595199825563498</v>
      </c>
      <c r="I8" s="25" t="str">
        <f t="shared" si="2"/>
        <v>选中</v>
      </c>
    </row>
    <row r="9" spans="1:9" hidden="1" x14ac:dyDescent="0.25">
      <c r="A9" s="3">
        <v>336</v>
      </c>
      <c r="B9" s="3">
        <v>113.39207089999999</v>
      </c>
      <c r="C9" s="3">
        <v>23.04684709</v>
      </c>
      <c r="D9" s="3">
        <v>40</v>
      </c>
      <c r="E9" s="13">
        <f t="shared" si="0"/>
        <v>3.4718714621894482E-3</v>
      </c>
      <c r="F9" s="13">
        <f t="shared" si="1"/>
        <v>16.971419987126662</v>
      </c>
      <c r="G9" s="14" t="e">
        <f>F9/$F$124*$D$2</f>
        <v>#DIV/0!</v>
      </c>
      <c r="H9" s="14" t="e">
        <f>F9/$F$124*$E$2</f>
        <v>#DIV/0!</v>
      </c>
      <c r="I9" s="25" t="str">
        <f t="shared" si="2"/>
        <v/>
      </c>
    </row>
    <row r="10" spans="1:9" hidden="1" x14ac:dyDescent="0.25">
      <c r="A10" s="3">
        <v>335</v>
      </c>
      <c r="B10" s="3">
        <v>113.3925729</v>
      </c>
      <c r="C10" s="3">
        <v>23.046446159999999</v>
      </c>
      <c r="D10" s="3">
        <v>40</v>
      </c>
      <c r="E10" s="13">
        <f t="shared" si="0"/>
        <v>3.487039962332896E-3</v>
      </c>
      <c r="F10" s="13">
        <f t="shared" si="1"/>
        <v>16.934467220057279</v>
      </c>
      <c r="G10" s="14" t="e">
        <f>F10/$F$124*$D$2</f>
        <v>#DIV/0!</v>
      </c>
      <c r="H10" s="14" t="e">
        <f>F10/$F$124*$E$2</f>
        <v>#DIV/0!</v>
      </c>
      <c r="I10" s="25" t="str">
        <f t="shared" si="2"/>
        <v/>
      </c>
    </row>
    <row r="11" spans="1:9" x14ac:dyDescent="0.25">
      <c r="A11" s="3">
        <v>325</v>
      </c>
      <c r="B11" s="3">
        <v>113.38815270000001</v>
      </c>
      <c r="C11" s="3">
        <v>23.046991139999999</v>
      </c>
      <c r="D11" s="3">
        <v>40</v>
      </c>
      <c r="E11" s="13">
        <f t="shared" si="0"/>
        <v>3.5742261221810576E-3</v>
      </c>
      <c r="F11" s="13">
        <f t="shared" si="1"/>
        <v>16.726650701478096</v>
      </c>
      <c r="G11" s="14">
        <f>F11/$F$90*$D$2</f>
        <v>78.153025718502761</v>
      </c>
      <c r="H11" s="14">
        <f>F11/$F$90*$E$2</f>
        <v>78.153025718502761</v>
      </c>
      <c r="I11" s="25" t="str">
        <f t="shared" si="2"/>
        <v>选中</v>
      </c>
    </row>
    <row r="12" spans="1:9" hidden="1" x14ac:dyDescent="0.25">
      <c r="A12" s="3">
        <v>611</v>
      </c>
      <c r="B12" s="3">
        <v>113.388481</v>
      </c>
      <c r="C12" s="3">
        <v>23.040788689999999</v>
      </c>
      <c r="D12" s="3">
        <v>40</v>
      </c>
      <c r="E12" s="13">
        <f t="shared" si="0"/>
        <v>3.5870320433491264E-3</v>
      </c>
      <c r="F12" s="13">
        <f t="shared" si="1"/>
        <v>16.696766428546315</v>
      </c>
      <c r="G12" s="14" t="e">
        <f>F12/$F$124*$D$2</f>
        <v>#DIV/0!</v>
      </c>
      <c r="H12" s="14" t="e">
        <f>F12/$F$124*$E$2</f>
        <v>#DIV/0!</v>
      </c>
      <c r="I12" s="25" t="str">
        <f t="shared" si="2"/>
        <v/>
      </c>
    </row>
    <row r="13" spans="1:9" hidden="1" x14ac:dyDescent="0.25">
      <c r="A13" s="3">
        <v>320</v>
      </c>
      <c r="B13" s="3">
        <v>113.38661140000001</v>
      </c>
      <c r="C13" s="3">
        <v>23.04494463</v>
      </c>
      <c r="D13" s="3">
        <v>40</v>
      </c>
      <c r="E13" s="13">
        <f t="shared" si="0"/>
        <v>3.6127976554974671E-3</v>
      </c>
      <c r="F13" s="13">
        <f t="shared" si="1"/>
        <v>16.637121214273542</v>
      </c>
      <c r="G13" s="14" t="e">
        <f>F13/$F$124*$D$2</f>
        <v>#DIV/0!</v>
      </c>
      <c r="H13" s="14" t="e">
        <f>F13/$F$124*$E$2</f>
        <v>#DIV/0!</v>
      </c>
      <c r="I13" s="25" t="str">
        <f t="shared" si="2"/>
        <v/>
      </c>
    </row>
    <row r="14" spans="1:9" x14ac:dyDescent="0.25">
      <c r="A14" s="3">
        <v>332</v>
      </c>
      <c r="B14" s="3">
        <v>113.39279089999999</v>
      </c>
      <c r="C14" s="3">
        <v>23.04642114</v>
      </c>
      <c r="D14" s="3">
        <v>40</v>
      </c>
      <c r="E14" s="13">
        <f t="shared" si="0"/>
        <v>3.6283063834876188E-3</v>
      </c>
      <c r="F14" s="13">
        <f t="shared" si="1"/>
        <v>16.601526522159801</v>
      </c>
      <c r="G14" s="14">
        <f>F14/$F$90*$D$2</f>
        <v>77.568399819463394</v>
      </c>
      <c r="H14" s="14">
        <f>F14/$F$90*$E$2</f>
        <v>77.568399819463394</v>
      </c>
      <c r="I14" s="25" t="str">
        <f t="shared" si="2"/>
        <v>选中</v>
      </c>
    </row>
    <row r="15" spans="1:9" hidden="1" x14ac:dyDescent="0.25">
      <c r="A15" s="3">
        <v>315</v>
      </c>
      <c r="B15" s="3">
        <v>113.39140399999999</v>
      </c>
      <c r="C15" s="3">
        <v>23.047448970000001</v>
      </c>
      <c r="D15" s="3">
        <v>40</v>
      </c>
      <c r="E15" s="13">
        <f t="shared" si="0"/>
        <v>3.6965536368880718E-3</v>
      </c>
      <c r="F15" s="13">
        <f t="shared" si="1"/>
        <v>16.447560551042208</v>
      </c>
      <c r="G15" s="14" t="e">
        <f>F15/$F$124*$D$2</f>
        <v>#DIV/0!</v>
      </c>
      <c r="H15" s="14" t="e">
        <f>F15/$F$124*$E$2</f>
        <v>#DIV/0!</v>
      </c>
      <c r="I15" s="25" t="str">
        <f t="shared" si="2"/>
        <v/>
      </c>
    </row>
    <row r="16" spans="1:9" hidden="1" x14ac:dyDescent="0.25">
      <c r="A16" s="3">
        <v>319</v>
      </c>
      <c r="B16" s="3">
        <v>113.39142200000001</v>
      </c>
      <c r="C16" s="3">
        <v>23.047481950000002</v>
      </c>
      <c r="D16" s="3">
        <v>40</v>
      </c>
      <c r="E16" s="13">
        <f t="shared" si="0"/>
        <v>3.7337724423995799E-3</v>
      </c>
      <c r="F16" s="13">
        <f t="shared" si="1"/>
        <v>16.365379360312598</v>
      </c>
      <c r="G16" s="14" t="e">
        <f>F16/$F$124*$D$2</f>
        <v>#DIV/0!</v>
      </c>
      <c r="H16" s="14" t="e">
        <f>F16/$F$124*$E$2</f>
        <v>#DIV/0!</v>
      </c>
      <c r="I16" s="25" t="str">
        <f t="shared" si="2"/>
        <v/>
      </c>
    </row>
    <row r="17" spans="1:9" x14ac:dyDescent="0.25">
      <c r="A17" s="3">
        <v>326</v>
      </c>
      <c r="B17" s="3">
        <v>113.3915219</v>
      </c>
      <c r="C17" s="3">
        <v>23.04748493</v>
      </c>
      <c r="D17" s="3">
        <v>40</v>
      </c>
      <c r="E17" s="13">
        <f t="shared" si="0"/>
        <v>3.7731609458906317E-3</v>
      </c>
      <c r="F17" s="13">
        <f t="shared" si="1"/>
        <v>16.279735130527627</v>
      </c>
      <c r="G17" s="14">
        <f>F17/$F$90*$D$2</f>
        <v>76.064872822035284</v>
      </c>
      <c r="H17" s="14">
        <f>F17/$F$90*$E$2</f>
        <v>76.064872822035284</v>
      </c>
      <c r="I17" s="25" t="str">
        <f t="shared" si="2"/>
        <v>选中</v>
      </c>
    </row>
    <row r="18" spans="1:9" hidden="1" x14ac:dyDescent="0.25">
      <c r="A18" s="3">
        <v>345</v>
      </c>
      <c r="B18" s="3">
        <v>113.3919539</v>
      </c>
      <c r="C18" s="3">
        <v>23.047455849999999</v>
      </c>
      <c r="D18" s="3">
        <v>40</v>
      </c>
      <c r="E18" s="13">
        <f t="shared" si="0"/>
        <v>3.9310099846731538E-3</v>
      </c>
      <c r="F18" s="13">
        <f t="shared" si="1"/>
        <v>15.949531348840186</v>
      </c>
      <c r="G18" s="14" t="e">
        <f>F18/$F$124*$D$2</f>
        <v>#DIV/0!</v>
      </c>
      <c r="H18" s="14" t="e">
        <f>F18/$F$124*$E$2</f>
        <v>#DIV/0!</v>
      </c>
      <c r="I18" s="25" t="str">
        <f t="shared" si="2"/>
        <v/>
      </c>
    </row>
    <row r="19" spans="1:9" hidden="1" x14ac:dyDescent="0.25">
      <c r="A19" s="3">
        <v>323</v>
      </c>
      <c r="B19" s="3">
        <v>113.3868722</v>
      </c>
      <c r="C19" s="3">
        <v>23.04632393</v>
      </c>
      <c r="D19" s="3">
        <v>40</v>
      </c>
      <c r="E19" s="13">
        <f t="shared" si="0"/>
        <v>3.9792527380928342E-3</v>
      </c>
      <c r="F19" s="13">
        <f t="shared" si="1"/>
        <v>15.852553885733291</v>
      </c>
      <c r="G19" s="14" t="e">
        <f>F19/$F$124*$D$2</f>
        <v>#DIV/0!</v>
      </c>
      <c r="H19" s="14" t="e">
        <f>F19/$F$124*$E$2</f>
        <v>#DIV/0!</v>
      </c>
      <c r="I19" s="25" t="str">
        <f t="shared" si="2"/>
        <v/>
      </c>
    </row>
    <row r="20" spans="1:9" x14ac:dyDescent="0.25">
      <c r="A20" s="3">
        <v>329</v>
      </c>
      <c r="B20" s="3">
        <v>113.3933048</v>
      </c>
      <c r="C20" s="3">
        <v>23.046351080000001</v>
      </c>
      <c r="D20" s="3">
        <v>40</v>
      </c>
      <c r="E20" s="13">
        <f t="shared" si="0"/>
        <v>3.9828104308470167E-3</v>
      </c>
      <c r="F20" s="13">
        <f t="shared" si="1"/>
        <v>15.845472062814084</v>
      </c>
      <c r="G20" s="14">
        <f>F20/$F$90*$D$2</f>
        <v>74.035837045218756</v>
      </c>
      <c r="H20" s="14">
        <f>F20/$F$90*$E$2</f>
        <v>74.035837045218756</v>
      </c>
      <c r="I20" s="25" t="str">
        <f t="shared" si="2"/>
        <v>选中</v>
      </c>
    </row>
    <row r="21" spans="1:9" hidden="1" x14ac:dyDescent="0.25">
      <c r="A21" s="3">
        <v>629</v>
      </c>
      <c r="B21" s="3">
        <v>113.39315120000001</v>
      </c>
      <c r="C21" s="3">
        <v>23.041411230000001</v>
      </c>
      <c r="D21" s="3">
        <v>40</v>
      </c>
      <c r="E21" s="13">
        <f t="shared" si="0"/>
        <v>3.9988456668909487E-3</v>
      </c>
      <c r="F21" s="13">
        <f t="shared" si="1"/>
        <v>15.813670245879125</v>
      </c>
      <c r="G21" s="14" t="e">
        <f>F21/$F$124*$D$2</f>
        <v>#DIV/0!</v>
      </c>
      <c r="H21" s="14" t="e">
        <f>F21/$F$124*$E$2</f>
        <v>#DIV/0!</v>
      </c>
      <c r="I21" s="25" t="str">
        <f t="shared" si="2"/>
        <v/>
      </c>
    </row>
    <row r="22" spans="1:9" hidden="1" x14ac:dyDescent="0.25">
      <c r="A22" s="3">
        <v>324</v>
      </c>
      <c r="B22" s="3">
        <v>113.38607349999999</v>
      </c>
      <c r="C22" s="3">
        <v>23.045570600000001</v>
      </c>
      <c r="D22" s="3">
        <v>40</v>
      </c>
      <c r="E22" s="13">
        <f t="shared" si="0"/>
        <v>4.3215395037143091E-3</v>
      </c>
      <c r="F22" s="13">
        <f t="shared" si="1"/>
        <v>15.211805238033257</v>
      </c>
      <c r="G22" s="14" t="e">
        <f>F22/$F$124*$D$2</f>
        <v>#DIV/0!</v>
      </c>
      <c r="H22" s="14" t="e">
        <f>F22/$F$124*$E$2</f>
        <v>#DIV/0!</v>
      </c>
      <c r="I22" s="25" t="str">
        <f t="shared" si="2"/>
        <v/>
      </c>
    </row>
    <row r="23" spans="1:9" x14ac:dyDescent="0.25">
      <c r="A23" s="3">
        <v>639</v>
      </c>
      <c r="B23" s="3">
        <v>113.394442</v>
      </c>
      <c r="C23" s="3">
        <v>23.04354515</v>
      </c>
      <c r="D23" s="3">
        <v>40</v>
      </c>
      <c r="E23" s="13">
        <f t="shared" si="0"/>
        <v>4.3686607828445322E-3</v>
      </c>
      <c r="F23" s="13">
        <f t="shared" si="1"/>
        <v>15.129543975483983</v>
      </c>
      <c r="G23" s="14">
        <f>F23/$F$90*$D$2</f>
        <v>70.690759347340872</v>
      </c>
      <c r="H23" s="14">
        <f>F23/$F$90*$E$2</f>
        <v>70.690759347340872</v>
      </c>
      <c r="I23" s="25" t="str">
        <f t="shared" si="2"/>
        <v>选中</v>
      </c>
    </row>
    <row r="24" spans="1:9" hidden="1" x14ac:dyDescent="0.25">
      <c r="A24" s="3">
        <v>349</v>
      </c>
      <c r="B24" s="3">
        <v>113.39250079999999</v>
      </c>
      <c r="C24" s="3">
        <v>23.047717630000001</v>
      </c>
      <c r="D24" s="3">
        <v>40</v>
      </c>
      <c r="E24" s="13">
        <f t="shared" si="0"/>
        <v>4.4346612564622884E-3</v>
      </c>
      <c r="F24" s="13">
        <f t="shared" si="1"/>
        <v>15.016536434948183</v>
      </c>
      <c r="G24" s="14" t="e">
        <f>F24/$F$124*$D$2</f>
        <v>#DIV/0!</v>
      </c>
      <c r="H24" s="14" t="e">
        <f>F24/$F$124*$E$2</f>
        <v>#DIV/0!</v>
      </c>
      <c r="I24" s="25" t="str">
        <f t="shared" si="2"/>
        <v/>
      </c>
    </row>
    <row r="25" spans="1:9" hidden="1" x14ac:dyDescent="0.25">
      <c r="A25" s="3">
        <v>637</v>
      </c>
      <c r="B25" s="3">
        <v>113.3937392</v>
      </c>
      <c r="C25" s="3">
        <v>23.041371160000001</v>
      </c>
      <c r="D25" s="3">
        <v>40</v>
      </c>
      <c r="E25" s="13">
        <f t="shared" si="0"/>
        <v>4.4874913157433348E-3</v>
      </c>
      <c r="F25" s="13">
        <f t="shared" si="1"/>
        <v>14.927881861544613</v>
      </c>
      <c r="G25" s="14" t="e">
        <f>F25/$F$124*$D$2</f>
        <v>#DIV/0!</v>
      </c>
      <c r="H25" s="14" t="e">
        <f>F25/$F$124*$E$2</f>
        <v>#DIV/0!</v>
      </c>
      <c r="I25" s="25" t="str">
        <f t="shared" si="2"/>
        <v/>
      </c>
    </row>
    <row r="26" spans="1:9" x14ac:dyDescent="0.25">
      <c r="A26" s="3">
        <v>645</v>
      </c>
      <c r="B26" s="3">
        <v>113.3936532</v>
      </c>
      <c r="C26" s="3">
        <v>23.041238230000001</v>
      </c>
      <c r="D26" s="3">
        <v>40</v>
      </c>
      <c r="E26" s="13">
        <f t="shared" si="0"/>
        <v>4.4980762140716911E-3</v>
      </c>
      <c r="F26" s="13">
        <f t="shared" si="1"/>
        <v>14.910307328417041</v>
      </c>
      <c r="G26" s="14">
        <f>F26/$F$90*$D$2</f>
        <v>69.666405600589471</v>
      </c>
      <c r="H26" s="14">
        <f>F26/$F$90*$E$2</f>
        <v>69.666405600589471</v>
      </c>
      <c r="I26" s="25" t="str">
        <f t="shared" si="2"/>
        <v>选中</v>
      </c>
    </row>
    <row r="27" spans="1:9" hidden="1" x14ac:dyDescent="0.25">
      <c r="A27" s="3">
        <v>638</v>
      </c>
      <c r="B27" s="3">
        <v>113.3935492</v>
      </c>
      <c r="C27" s="3">
        <v>23.040681490000001</v>
      </c>
      <c r="D27" s="3">
        <v>40</v>
      </c>
      <c r="E27" s="13">
        <f t="shared" si="0"/>
        <v>4.7832320662860505E-3</v>
      </c>
      <c r="F27" s="13">
        <f t="shared" si="1"/>
        <v>14.459033836904794</v>
      </c>
      <c r="G27" s="14" t="e">
        <f>F27/$F$124*$D$2</f>
        <v>#DIV/0!</v>
      </c>
      <c r="H27" s="14" t="e">
        <f>F27/$F$124*$E$2</f>
        <v>#DIV/0!</v>
      </c>
      <c r="I27" s="25" t="str">
        <f t="shared" si="2"/>
        <v/>
      </c>
    </row>
    <row r="28" spans="1:9" hidden="1" x14ac:dyDescent="0.25">
      <c r="A28" s="3">
        <v>624</v>
      </c>
      <c r="B28" s="3">
        <v>113.3945461</v>
      </c>
      <c r="C28" s="3">
        <v>23.04196782</v>
      </c>
      <c r="D28" s="3">
        <v>40</v>
      </c>
      <c r="E28" s="13">
        <f t="shared" si="0"/>
        <v>4.8884404751286048E-3</v>
      </c>
      <c r="F28" s="13">
        <f t="shared" si="1"/>
        <v>14.302594777847299</v>
      </c>
      <c r="G28" s="14" t="e">
        <f>F28/$F$124*$D$2</f>
        <v>#DIV/0!</v>
      </c>
      <c r="H28" s="14" t="e">
        <f>F28/$F$124*$E$2</f>
        <v>#DIV/0!</v>
      </c>
      <c r="I28" s="25" t="str">
        <f t="shared" si="2"/>
        <v/>
      </c>
    </row>
    <row r="29" spans="1:9" x14ac:dyDescent="0.25">
      <c r="A29" s="3">
        <v>627</v>
      </c>
      <c r="B29" s="3">
        <v>113.39507</v>
      </c>
      <c r="C29" s="3">
        <v>23.043265219999999</v>
      </c>
      <c r="D29" s="3">
        <v>40</v>
      </c>
      <c r="E29" s="13">
        <f t="shared" si="0"/>
        <v>5.0265449916340023E-3</v>
      </c>
      <c r="F29" s="13">
        <f t="shared" si="1"/>
        <v>14.10474415429136</v>
      </c>
      <c r="G29" s="14">
        <f>F29/$F$90*$D$2</f>
        <v>65.902520015308511</v>
      </c>
      <c r="H29" s="14">
        <f>F29/$F$90*$E$2</f>
        <v>65.902520015308511</v>
      </c>
      <c r="I29" s="25" t="str">
        <f t="shared" si="2"/>
        <v>选中</v>
      </c>
    </row>
    <row r="30" spans="1:9" hidden="1" x14ac:dyDescent="0.25">
      <c r="A30" s="3">
        <v>628</v>
      </c>
      <c r="B30" s="3">
        <v>113.395185</v>
      </c>
      <c r="C30" s="3">
        <v>23.043248219999999</v>
      </c>
      <c r="D30" s="3">
        <v>40</v>
      </c>
      <c r="E30" s="13">
        <f t="shared" si="0"/>
        <v>5.1427945450755212E-3</v>
      </c>
      <c r="F30" s="13">
        <f t="shared" si="1"/>
        <v>13.944418640099917</v>
      </c>
      <c r="G30" s="14" t="e">
        <f>F30/$F$124*$D$2</f>
        <v>#DIV/0!</v>
      </c>
      <c r="H30" s="14" t="e">
        <f>F30/$F$124*$E$2</f>
        <v>#DIV/0!</v>
      </c>
      <c r="I30" s="25" t="str">
        <f t="shared" si="2"/>
        <v/>
      </c>
    </row>
    <row r="31" spans="1:9" hidden="1" x14ac:dyDescent="0.25">
      <c r="A31" s="3">
        <v>334</v>
      </c>
      <c r="B31" s="3">
        <v>113.3952609</v>
      </c>
      <c r="C31" s="3">
        <v>23.045085419999999</v>
      </c>
      <c r="D31" s="3">
        <v>40</v>
      </c>
      <c r="E31" s="13">
        <f t="shared" si="0"/>
        <v>5.2792811001918958E-3</v>
      </c>
      <c r="F31" s="13">
        <f t="shared" si="1"/>
        <v>13.762984047356079</v>
      </c>
      <c r="G31" s="14" t="e">
        <f>F31/$F$124*$D$2</f>
        <v>#DIV/0!</v>
      </c>
      <c r="H31" s="14" t="e">
        <f>F31/$F$124*$E$2</f>
        <v>#DIV/0!</v>
      </c>
      <c r="I31" s="25" t="str">
        <f t="shared" si="2"/>
        <v/>
      </c>
    </row>
    <row r="32" spans="1:9" x14ac:dyDescent="0.25">
      <c r="A32" s="3">
        <v>644</v>
      </c>
      <c r="B32" s="3">
        <v>113.3932353</v>
      </c>
      <c r="C32" s="3">
        <v>23.03970395</v>
      </c>
      <c r="D32" s="3">
        <v>40</v>
      </c>
      <c r="E32" s="13">
        <f t="shared" si="0"/>
        <v>5.3138449414327519E-3</v>
      </c>
      <c r="F32" s="13">
        <f t="shared" si="1"/>
        <v>13.718150440452625</v>
      </c>
      <c r="G32" s="14">
        <f>F32/$F$90*$D$2</f>
        <v>64.096212883087446</v>
      </c>
      <c r="H32" s="14">
        <f>F32/$F$90*$E$2</f>
        <v>64.096212883087446</v>
      </c>
      <c r="I32" s="25" t="str">
        <f t="shared" si="2"/>
        <v>选中</v>
      </c>
    </row>
    <row r="33" spans="1:9" hidden="1" x14ac:dyDescent="0.25">
      <c r="A33" s="3">
        <v>614</v>
      </c>
      <c r="B33" s="3">
        <v>113.3846693</v>
      </c>
      <c r="C33" s="3">
        <v>23.0431913</v>
      </c>
      <c r="D33" s="3">
        <v>40</v>
      </c>
      <c r="E33" s="13">
        <f t="shared" si="0"/>
        <v>5.4855763276191608E-3</v>
      </c>
      <c r="F33" s="13">
        <f t="shared" si="1"/>
        <v>13.50171289741381</v>
      </c>
      <c r="G33" s="14" t="e">
        <f>F33/$F$124*$D$2</f>
        <v>#DIV/0!</v>
      </c>
      <c r="H33" s="14" t="e">
        <f>F33/$F$124*$E$2</f>
        <v>#DIV/0!</v>
      </c>
      <c r="I33" s="25" t="str">
        <f t="shared" si="2"/>
        <v/>
      </c>
    </row>
    <row r="34" spans="1:9" hidden="1" x14ac:dyDescent="0.25">
      <c r="A34" s="3">
        <v>634</v>
      </c>
      <c r="B34" s="3">
        <v>113.3938083</v>
      </c>
      <c r="C34" s="3">
        <v>23.039900790000001</v>
      </c>
      <c r="D34" s="3">
        <v>40</v>
      </c>
      <c r="E34" s="13">
        <f t="shared" si="0"/>
        <v>5.5239037736008493E-3</v>
      </c>
      <c r="F34" s="13">
        <f t="shared" si="1"/>
        <v>13.454790742233818</v>
      </c>
      <c r="G34" s="14" t="e">
        <f>F34/$F$124*$D$2</f>
        <v>#DIV/0!</v>
      </c>
      <c r="H34" s="14" t="e">
        <f>F34/$F$124*$E$2</f>
        <v>#DIV/0!</v>
      </c>
      <c r="I34" s="25" t="str">
        <f t="shared" si="2"/>
        <v/>
      </c>
    </row>
    <row r="35" spans="1:9" x14ac:dyDescent="0.25">
      <c r="A35" s="3">
        <v>631</v>
      </c>
      <c r="B35" s="3">
        <v>113.3952451</v>
      </c>
      <c r="C35" s="3">
        <v>23.041899789999999</v>
      </c>
      <c r="D35" s="3">
        <v>40</v>
      </c>
      <c r="E35" s="13">
        <f t="shared" si="0"/>
        <v>5.5575516281857439E-3</v>
      </c>
      <c r="F35" s="13">
        <f t="shared" si="1"/>
        <v>13.413998303075353</v>
      </c>
      <c r="G35" s="14">
        <f>F35/$F$90*$D$2</f>
        <v>62.675102928738788</v>
      </c>
      <c r="H35" s="14">
        <f>F35/$F$90*$E$2</f>
        <v>62.675102928738788</v>
      </c>
      <c r="I35" s="25" t="str">
        <f t="shared" si="2"/>
        <v>选中</v>
      </c>
    </row>
    <row r="36" spans="1:9" hidden="1" x14ac:dyDescent="0.25">
      <c r="A36" s="3">
        <v>626</v>
      </c>
      <c r="B36" s="3">
        <v>113.39319829999999</v>
      </c>
      <c r="C36" s="3">
        <v>23.039083229999999</v>
      </c>
      <c r="D36" s="3">
        <v>40</v>
      </c>
      <c r="E36" s="13">
        <f t="shared" si="0"/>
        <v>5.8063793053467119E-3</v>
      </c>
      <c r="F36" s="13">
        <f t="shared" si="1"/>
        <v>13.123428169756703</v>
      </c>
      <c r="G36" s="14" t="e">
        <f>F36/$F$124*$D$2</f>
        <v>#DIV/0!</v>
      </c>
      <c r="H36" s="14" t="e">
        <f>F36/$F$124*$E$2</f>
        <v>#DIV/0!</v>
      </c>
      <c r="I36" s="25" t="str">
        <f t="shared" si="2"/>
        <v/>
      </c>
    </row>
    <row r="37" spans="1:9" hidden="1" x14ac:dyDescent="0.25">
      <c r="A37" s="3">
        <v>604</v>
      </c>
      <c r="B37" s="3">
        <v>113.38618990000001</v>
      </c>
      <c r="C37" s="3">
        <v>23.039523150000001</v>
      </c>
      <c r="D37" s="3">
        <v>40</v>
      </c>
      <c r="E37" s="13">
        <f t="shared" ref="E37:E68" si="3">SQRT((B37-$B$2)^2+(C37-$C$2)^2)</f>
        <v>5.9350856814006925E-3</v>
      </c>
      <c r="F37" s="13">
        <f t="shared" ref="F37:F68" si="4">SQRT(1/E37)</f>
        <v>12.980353007858303</v>
      </c>
      <c r="G37" s="14" t="e">
        <f>F37/$F$124*$D$2</f>
        <v>#DIV/0!</v>
      </c>
      <c r="H37" s="14" t="e">
        <f>F37/$F$124*$E$2</f>
        <v>#DIV/0!</v>
      </c>
      <c r="I37" s="25" t="str">
        <f t="shared" si="2"/>
        <v/>
      </c>
    </row>
    <row r="38" spans="1:9" x14ac:dyDescent="0.25">
      <c r="A38" s="3">
        <v>331</v>
      </c>
      <c r="B38" s="3">
        <v>113.39588089999999</v>
      </c>
      <c r="C38" s="3">
        <v>23.045523200000002</v>
      </c>
      <c r="D38" s="3">
        <v>40</v>
      </c>
      <c r="E38" s="13">
        <f t="shared" si="3"/>
        <v>5.9840529421135678E-3</v>
      </c>
      <c r="F38" s="13">
        <f t="shared" si="4"/>
        <v>12.927135065020952</v>
      </c>
      <c r="G38" s="14">
        <f>F38/$F$90*$D$2</f>
        <v>60.400299930569126</v>
      </c>
      <c r="H38" s="14">
        <f>F38/$F$90*$E$2</f>
        <v>60.400299930569126</v>
      </c>
      <c r="I38" s="25" t="str">
        <f t="shared" si="2"/>
        <v>选中</v>
      </c>
    </row>
    <row r="39" spans="1:9" hidden="1" x14ac:dyDescent="0.25">
      <c r="A39" s="3">
        <v>642</v>
      </c>
      <c r="B39" s="3">
        <v>113.3932054</v>
      </c>
      <c r="C39" s="3">
        <v>23.03854346</v>
      </c>
      <c r="D39" s="3">
        <v>40</v>
      </c>
      <c r="E39" s="13">
        <f t="shared" si="3"/>
        <v>6.2728108150082677E-3</v>
      </c>
      <c r="F39" s="13">
        <f t="shared" si="4"/>
        <v>12.626090712115895</v>
      </c>
      <c r="G39" s="14" t="e">
        <f>F39/$F$124*$D$2</f>
        <v>#DIV/0!</v>
      </c>
      <c r="H39" s="14" t="e">
        <f>F39/$F$124*$E$2</f>
        <v>#DIV/0!</v>
      </c>
      <c r="I39" s="25" t="str">
        <f t="shared" si="2"/>
        <v/>
      </c>
    </row>
    <row r="40" spans="1:9" hidden="1" x14ac:dyDescent="0.25">
      <c r="A40" s="3">
        <v>633</v>
      </c>
      <c r="B40" s="3">
        <v>113.39376729999999</v>
      </c>
      <c r="C40" s="3">
        <v>23.038888230000001</v>
      </c>
      <c r="D40" s="3">
        <v>40</v>
      </c>
      <c r="E40" s="13">
        <f t="shared" si="3"/>
        <v>6.2865123747209593E-3</v>
      </c>
      <c r="F40" s="13">
        <f t="shared" si="4"/>
        <v>12.612323817936772</v>
      </c>
      <c r="G40" s="14" t="e">
        <f>F40/$F$124*$D$2</f>
        <v>#DIV/0!</v>
      </c>
      <c r="H40" s="14" t="e">
        <f>F40/$F$124*$E$2</f>
        <v>#DIV/0!</v>
      </c>
      <c r="I40" s="25" t="str">
        <f t="shared" si="2"/>
        <v/>
      </c>
    </row>
    <row r="41" spans="1:9" x14ac:dyDescent="0.25">
      <c r="A41" s="3">
        <v>309</v>
      </c>
      <c r="B41" s="3">
        <v>113.3850058</v>
      </c>
      <c r="C41" s="3">
        <v>23.048219970000002</v>
      </c>
      <c r="D41" s="3">
        <v>40</v>
      </c>
      <c r="E41" s="13">
        <f t="shared" si="3"/>
        <v>6.617568682712599E-3</v>
      </c>
      <c r="F41" s="13">
        <f t="shared" si="4"/>
        <v>12.292798738161069</v>
      </c>
      <c r="G41" s="14">
        <f>F41/$F$90*$D$2</f>
        <v>57.436448759642232</v>
      </c>
      <c r="H41" s="14">
        <f>F41/$F$90*$E$2</f>
        <v>57.436448759642232</v>
      </c>
      <c r="I41" s="25" t="str">
        <f t="shared" si="2"/>
        <v>选中</v>
      </c>
    </row>
    <row r="42" spans="1:9" hidden="1" x14ac:dyDescent="0.25">
      <c r="A42" s="3">
        <v>632</v>
      </c>
      <c r="B42" s="3">
        <v>113.3937804</v>
      </c>
      <c r="C42" s="3">
        <v>23.038401440000001</v>
      </c>
      <c r="D42" s="3">
        <v>40</v>
      </c>
      <c r="E42" s="13">
        <f t="shared" si="3"/>
        <v>6.6949226016771394E-3</v>
      </c>
      <c r="F42" s="13">
        <f t="shared" si="4"/>
        <v>12.22157619468612</v>
      </c>
      <c r="G42" s="14" t="e">
        <f>F42/$F$124*$D$2</f>
        <v>#DIV/0!</v>
      </c>
      <c r="H42" s="14" t="e">
        <f>F42/$F$124*$E$2</f>
        <v>#DIV/0!</v>
      </c>
      <c r="I42" s="25" t="str">
        <f t="shared" si="2"/>
        <v/>
      </c>
    </row>
    <row r="43" spans="1:9" hidden="1" x14ac:dyDescent="0.25">
      <c r="A43" s="3">
        <v>310</v>
      </c>
      <c r="B43" s="3">
        <v>113.38444610000001</v>
      </c>
      <c r="C43" s="3">
        <v>23.047624509999999</v>
      </c>
      <c r="D43" s="3">
        <v>40</v>
      </c>
      <c r="E43" s="13">
        <f t="shared" si="3"/>
        <v>6.7173256829154713E-3</v>
      </c>
      <c r="F43" s="13">
        <f t="shared" si="4"/>
        <v>12.201178967539906</v>
      </c>
      <c r="G43" s="14" t="e">
        <f>F43/$F$124*$D$2</f>
        <v>#DIV/0!</v>
      </c>
      <c r="H43" s="14" t="e">
        <f>F43/$F$124*$E$2</f>
        <v>#DIV/0!</v>
      </c>
      <c r="I43" s="25" t="str">
        <f t="shared" si="2"/>
        <v/>
      </c>
    </row>
    <row r="44" spans="1:9" x14ac:dyDescent="0.25">
      <c r="A44" s="3">
        <v>346</v>
      </c>
      <c r="B44" s="3">
        <v>113.3966109</v>
      </c>
      <c r="C44" s="3">
        <v>23.04609194</v>
      </c>
      <c r="D44" s="3">
        <v>40</v>
      </c>
      <c r="E44" s="13">
        <f t="shared" si="3"/>
        <v>6.8449401964121919E-3</v>
      </c>
      <c r="F44" s="13">
        <f t="shared" si="4"/>
        <v>12.086906733159344</v>
      </c>
      <c r="G44" s="14">
        <f>F44/$F$90*$D$2</f>
        <v>56.474446058126382</v>
      </c>
      <c r="H44" s="14">
        <f>F44/$F$90*$E$2</f>
        <v>56.474446058126382</v>
      </c>
      <c r="I44" s="25" t="str">
        <f t="shared" si="2"/>
        <v>选中</v>
      </c>
    </row>
    <row r="45" spans="1:9" hidden="1" x14ac:dyDescent="0.25">
      <c r="A45" s="3">
        <v>646</v>
      </c>
      <c r="B45" s="3">
        <v>113.3931154</v>
      </c>
      <c r="C45" s="3">
        <v>23.037831780000001</v>
      </c>
      <c r="D45" s="3">
        <v>40</v>
      </c>
      <c r="E45" s="13">
        <f t="shared" si="3"/>
        <v>6.8598539287702976E-3</v>
      </c>
      <c r="F45" s="13">
        <f t="shared" si="4"/>
        <v>12.073760755485303</v>
      </c>
      <c r="G45" s="14" t="e">
        <f>F45/$F$124*$D$2</f>
        <v>#DIV/0!</v>
      </c>
      <c r="H45" s="14" t="e">
        <f>F45/$F$124*$E$2</f>
        <v>#DIV/0!</v>
      </c>
      <c r="I45" s="25" t="str">
        <f t="shared" si="2"/>
        <v/>
      </c>
    </row>
    <row r="46" spans="1:9" hidden="1" x14ac:dyDescent="0.25">
      <c r="A46" s="3">
        <v>622</v>
      </c>
      <c r="B46" s="3">
        <v>113.3962843</v>
      </c>
      <c r="C46" s="3">
        <v>23.041008130000002</v>
      </c>
      <c r="D46" s="3">
        <v>40</v>
      </c>
      <c r="E46" s="13">
        <f t="shared" si="3"/>
        <v>6.8697174978032439E-3</v>
      </c>
      <c r="F46" s="13">
        <f t="shared" si="4"/>
        <v>12.06508986391904</v>
      </c>
      <c r="G46" s="14" t="e">
        <f>F46/$F$124*$D$2</f>
        <v>#DIV/0!</v>
      </c>
      <c r="H46" s="14" t="e">
        <f>F46/$F$124*$E$2</f>
        <v>#DIV/0!</v>
      </c>
      <c r="I46" s="25" t="str">
        <f t="shared" si="2"/>
        <v/>
      </c>
    </row>
    <row r="47" spans="1:9" x14ac:dyDescent="0.25">
      <c r="A47" s="3">
        <v>623</v>
      </c>
      <c r="B47" s="3">
        <v>113.3962643</v>
      </c>
      <c r="C47" s="3">
        <v>23.040916169999999</v>
      </c>
      <c r="D47" s="3">
        <v>40</v>
      </c>
      <c r="E47" s="13">
        <f t="shared" si="3"/>
        <v>6.8922456944279301E-3</v>
      </c>
      <c r="F47" s="13">
        <f t="shared" si="4"/>
        <v>12.045355571225123</v>
      </c>
      <c r="G47" s="14">
        <f>F47/$F$90*$D$2</f>
        <v>56.280303842494902</v>
      </c>
      <c r="H47" s="14">
        <f>F47/$F$90*$E$2</f>
        <v>56.280303842494902</v>
      </c>
      <c r="I47" s="25" t="str">
        <f t="shared" si="2"/>
        <v>选中</v>
      </c>
    </row>
    <row r="48" spans="1:9" hidden="1" x14ac:dyDescent="0.25">
      <c r="A48" s="3">
        <v>314</v>
      </c>
      <c r="B48" s="3">
        <v>113.38487480000001</v>
      </c>
      <c r="C48" s="3">
        <v>23.048547899999999</v>
      </c>
      <c r="D48" s="3">
        <v>40</v>
      </c>
      <c r="E48" s="13">
        <f t="shared" si="3"/>
        <v>6.9299271315112479E-3</v>
      </c>
      <c r="F48" s="13">
        <f t="shared" si="4"/>
        <v>12.012562658421883</v>
      </c>
      <c r="G48" s="14" t="e">
        <f>F48/$F$124*$D$2</f>
        <v>#DIV/0!</v>
      </c>
      <c r="H48" s="14" t="e">
        <f>F48/$F$124*$E$2</f>
        <v>#DIV/0!</v>
      </c>
      <c r="I48" s="25" t="str">
        <f t="shared" si="2"/>
        <v/>
      </c>
    </row>
    <row r="49" spans="1:9" hidden="1" x14ac:dyDescent="0.25">
      <c r="A49" s="3">
        <v>641</v>
      </c>
      <c r="B49" s="3">
        <v>113.39159859999999</v>
      </c>
      <c r="C49" s="3">
        <v>23.037054399999999</v>
      </c>
      <c r="D49" s="3">
        <v>40</v>
      </c>
      <c r="E49" s="13">
        <f t="shared" si="3"/>
        <v>7.097916837220007E-3</v>
      </c>
      <c r="F49" s="13">
        <f t="shared" si="4"/>
        <v>11.869557992880789</v>
      </c>
      <c r="G49" s="14" t="e">
        <f>F49/$F$124*$D$2</f>
        <v>#DIV/0!</v>
      </c>
      <c r="H49" s="14" t="e">
        <f>F49/$F$124*$E$2</f>
        <v>#DIV/0!</v>
      </c>
      <c r="I49" s="25" t="str">
        <f t="shared" si="2"/>
        <v/>
      </c>
    </row>
    <row r="50" spans="1:9" x14ac:dyDescent="0.25">
      <c r="A50" s="3">
        <v>618</v>
      </c>
      <c r="B50" s="3">
        <v>113.39138370000001</v>
      </c>
      <c r="C50" s="3">
        <v>23.036990469999999</v>
      </c>
      <c r="D50" s="3">
        <v>40</v>
      </c>
      <c r="E50" s="13">
        <f t="shared" si="3"/>
        <v>7.1184223877497985E-3</v>
      </c>
      <c r="F50" s="13">
        <f t="shared" si="4"/>
        <v>11.852449753065644</v>
      </c>
      <c r="G50" s="14">
        <f>F50/$F$90*$D$2</f>
        <v>55.378977352396419</v>
      </c>
      <c r="H50" s="14">
        <f>F50/$F$90*$E$2</f>
        <v>55.378977352396419</v>
      </c>
      <c r="I50" s="25" t="str">
        <f t="shared" si="2"/>
        <v>选中</v>
      </c>
    </row>
    <row r="51" spans="1:9" hidden="1" x14ac:dyDescent="0.25">
      <c r="A51" s="3">
        <v>327</v>
      </c>
      <c r="B51" s="3">
        <v>113.3853895</v>
      </c>
      <c r="C51" s="3">
        <v>23.049469250000001</v>
      </c>
      <c r="D51" s="3">
        <v>40</v>
      </c>
      <c r="E51" s="13">
        <f t="shared" si="3"/>
        <v>7.2221104607736036E-3</v>
      </c>
      <c r="F51" s="13">
        <f t="shared" si="4"/>
        <v>11.767059154275529</v>
      </c>
      <c r="G51" s="14" t="e">
        <f>F51/$F$124*$D$2</f>
        <v>#DIV/0!</v>
      </c>
      <c r="H51" s="14" t="e">
        <f>F51/$F$124*$E$2</f>
        <v>#DIV/0!</v>
      </c>
      <c r="I51" s="25" t="str">
        <f t="shared" si="2"/>
        <v/>
      </c>
    </row>
    <row r="52" spans="1:9" hidden="1" x14ac:dyDescent="0.25">
      <c r="A52" s="3">
        <v>605</v>
      </c>
      <c r="B52" s="3">
        <v>113.38398979999999</v>
      </c>
      <c r="C52" s="3">
        <v>23.040078999999999</v>
      </c>
      <c r="D52" s="3">
        <v>40</v>
      </c>
      <c r="E52" s="13">
        <f t="shared" si="3"/>
        <v>7.2522892220455472E-3</v>
      </c>
      <c r="F52" s="13">
        <f t="shared" si="4"/>
        <v>11.742550653453609</v>
      </c>
      <c r="G52" s="14" t="e">
        <f>F52/$F$124*$D$2</f>
        <v>#DIV/0!</v>
      </c>
      <c r="H52" s="14" t="e">
        <f>F52/$F$124*$E$2</f>
        <v>#DIV/0!</v>
      </c>
      <c r="I52" s="25" t="str">
        <f t="shared" si="2"/>
        <v/>
      </c>
    </row>
    <row r="53" spans="1:9" x14ac:dyDescent="0.25">
      <c r="A53" s="3">
        <v>620</v>
      </c>
      <c r="B53" s="3">
        <v>113.3968253</v>
      </c>
      <c r="C53" s="3">
        <v>23.041184049999998</v>
      </c>
      <c r="D53" s="3">
        <v>40</v>
      </c>
      <c r="E53" s="13">
        <f t="shared" si="3"/>
        <v>7.2912623161990424E-3</v>
      </c>
      <c r="F53" s="13">
        <f t="shared" si="4"/>
        <v>11.711125592965988</v>
      </c>
      <c r="G53" s="14">
        <f>F53/$F$90*$D$2</f>
        <v>54.718659222004767</v>
      </c>
      <c r="H53" s="14">
        <f>F53/$F$90*$E$2</f>
        <v>54.718659222004767</v>
      </c>
      <c r="I53" s="25" t="str">
        <f t="shared" si="2"/>
        <v>选中</v>
      </c>
    </row>
    <row r="54" spans="1:9" hidden="1" x14ac:dyDescent="0.25">
      <c r="A54" s="3">
        <v>606</v>
      </c>
      <c r="B54" s="3">
        <v>113.38404180000001</v>
      </c>
      <c r="C54" s="3">
        <v>23.039859060000001</v>
      </c>
      <c r="D54" s="3">
        <v>40</v>
      </c>
      <c r="E54" s="13">
        <f t="shared" si="3"/>
        <v>7.3302617323561473E-3</v>
      </c>
      <c r="F54" s="13">
        <f t="shared" si="4"/>
        <v>11.679930515387943</v>
      </c>
      <c r="G54" s="14" t="e">
        <f>F54/$F$124*$D$2</f>
        <v>#DIV/0!</v>
      </c>
      <c r="H54" s="14" t="e">
        <f>F54/$F$124*$E$2</f>
        <v>#DIV/0!</v>
      </c>
      <c r="I54" s="25" t="str">
        <f t="shared" si="2"/>
        <v/>
      </c>
    </row>
    <row r="55" spans="1:9" hidden="1" x14ac:dyDescent="0.25">
      <c r="A55" s="3">
        <v>621</v>
      </c>
      <c r="B55" s="3">
        <v>113.39437340000001</v>
      </c>
      <c r="C55" s="3">
        <v>23.037795630000002</v>
      </c>
      <c r="D55" s="3">
        <v>40</v>
      </c>
      <c r="E55" s="13">
        <f t="shared" si="3"/>
        <v>7.5288193616007667E-3</v>
      </c>
      <c r="F55" s="13">
        <f t="shared" si="4"/>
        <v>11.524883961041159</v>
      </c>
      <c r="G55" s="14" t="e">
        <f>F55/$F$124*$D$2</f>
        <v>#DIV/0!</v>
      </c>
      <c r="H55" s="14" t="e">
        <f>F55/$F$124*$E$2</f>
        <v>#DIV/0!</v>
      </c>
      <c r="I55" s="25" t="str">
        <f t="shared" si="2"/>
        <v/>
      </c>
    </row>
    <row r="56" spans="1:9" x14ac:dyDescent="0.25">
      <c r="A56" s="3">
        <v>613</v>
      </c>
      <c r="B56" s="3">
        <v>113.3829633</v>
      </c>
      <c r="C56" s="3">
        <v>23.04156493</v>
      </c>
      <c r="D56" s="3">
        <v>40</v>
      </c>
      <c r="E56" s="13">
        <f t="shared" si="3"/>
        <v>7.5343517201965238E-3</v>
      </c>
      <c r="F56" s="13">
        <f t="shared" si="4"/>
        <v>11.520651911491782</v>
      </c>
      <c r="G56" s="14">
        <f>F56/$F$90*$D$2</f>
        <v>53.828696563453157</v>
      </c>
      <c r="H56" s="14">
        <f>F56/$F$90*$E$2</f>
        <v>53.828696563453157</v>
      </c>
      <c r="I56" s="25" t="str">
        <f t="shared" si="2"/>
        <v>选中</v>
      </c>
    </row>
    <row r="57" spans="1:9" hidden="1" x14ac:dyDescent="0.25">
      <c r="A57" s="3">
        <v>337</v>
      </c>
      <c r="B57" s="3">
        <v>113.39714600000001</v>
      </c>
      <c r="C57" s="3">
        <v>23.046823629999999</v>
      </c>
      <c r="D57" s="3">
        <v>40</v>
      </c>
      <c r="E57" s="13">
        <f t="shared" si="3"/>
        <v>7.5974138375933288E-3</v>
      </c>
      <c r="F57" s="13">
        <f t="shared" si="4"/>
        <v>11.472738857373855</v>
      </c>
      <c r="G57" s="14" t="e">
        <f>F57/$F$124*$D$2</f>
        <v>#DIV/0!</v>
      </c>
      <c r="H57" s="14" t="e">
        <f>F57/$F$124*$E$2</f>
        <v>#DIV/0!</v>
      </c>
      <c r="I57" s="25" t="str">
        <f t="shared" si="2"/>
        <v/>
      </c>
    </row>
    <row r="58" spans="1:9" hidden="1" x14ac:dyDescent="0.25">
      <c r="A58" s="3">
        <v>356</v>
      </c>
      <c r="B58" s="3">
        <v>113.39259560000001</v>
      </c>
      <c r="C58" s="3">
        <v>23.051303069999999</v>
      </c>
      <c r="D58" s="3">
        <v>40</v>
      </c>
      <c r="E58" s="13">
        <f t="shared" si="3"/>
        <v>7.7269788699348418E-3</v>
      </c>
      <c r="F58" s="13">
        <f t="shared" si="4"/>
        <v>11.376145491371208</v>
      </c>
      <c r="G58" s="14" t="e">
        <f>F58/$F$124*$D$2</f>
        <v>#DIV/0!</v>
      </c>
      <c r="H58" s="14" t="e">
        <f>F58/$F$124*$E$2</f>
        <v>#DIV/0!</v>
      </c>
      <c r="I58" s="25" t="str">
        <f t="shared" si="2"/>
        <v/>
      </c>
    </row>
    <row r="59" spans="1:9" x14ac:dyDescent="0.25">
      <c r="A59" s="3">
        <v>352</v>
      </c>
      <c r="B59" s="3">
        <v>113.3933705</v>
      </c>
      <c r="C59" s="3">
        <v>23.051050060000001</v>
      </c>
      <c r="D59" s="3">
        <v>40</v>
      </c>
      <c r="E59" s="13">
        <f t="shared" si="3"/>
        <v>7.7810314827103915E-3</v>
      </c>
      <c r="F59" s="13">
        <f t="shared" si="4"/>
        <v>11.336563206183506</v>
      </c>
      <c r="G59" s="14">
        <f>F59/$F$90*$D$2</f>
        <v>52.96856684727679</v>
      </c>
      <c r="H59" s="14">
        <f>F59/$F$90*$E$2</f>
        <v>52.96856684727679</v>
      </c>
      <c r="I59" s="25" t="str">
        <f t="shared" si="2"/>
        <v>选中</v>
      </c>
    </row>
    <row r="60" spans="1:9" hidden="1" x14ac:dyDescent="0.25">
      <c r="A60" s="3">
        <v>603</v>
      </c>
      <c r="B60" s="3">
        <v>113.3838499</v>
      </c>
      <c r="C60" s="3">
        <v>23.03930141</v>
      </c>
      <c r="D60" s="3">
        <v>40</v>
      </c>
      <c r="E60" s="13">
        <f t="shared" si="3"/>
        <v>7.8110891747826313E-3</v>
      </c>
      <c r="F60" s="13">
        <f t="shared" si="4"/>
        <v>11.314730183939206</v>
      </c>
      <c r="G60" s="14" t="e">
        <f>F60/$F$124*$D$2</f>
        <v>#DIV/0!</v>
      </c>
      <c r="H60" s="14" t="e">
        <f>F60/$F$124*$E$2</f>
        <v>#DIV/0!</v>
      </c>
      <c r="I60" s="25" t="str">
        <f t="shared" si="2"/>
        <v/>
      </c>
    </row>
    <row r="61" spans="1:9" hidden="1" x14ac:dyDescent="0.25">
      <c r="A61" s="3">
        <v>333</v>
      </c>
      <c r="B61" s="3">
        <v>113.397418</v>
      </c>
      <c r="C61" s="3">
        <v>23.047123509999999</v>
      </c>
      <c r="D61" s="3">
        <v>40</v>
      </c>
      <c r="E61" s="13">
        <f t="shared" si="3"/>
        <v>7.9635610451850563E-3</v>
      </c>
      <c r="F61" s="13">
        <f t="shared" si="4"/>
        <v>11.205889696484407</v>
      </c>
      <c r="G61" s="14" t="e">
        <f>F61/$F$124*$D$2</f>
        <v>#DIV/0!</v>
      </c>
      <c r="H61" s="14" t="e">
        <f>F61/$F$124*$E$2</f>
        <v>#DIV/0!</v>
      </c>
      <c r="I61" s="25" t="str">
        <f t="shared" si="2"/>
        <v/>
      </c>
    </row>
    <row r="62" spans="1:9" x14ac:dyDescent="0.25">
      <c r="A62" s="3">
        <v>347</v>
      </c>
      <c r="B62" s="3">
        <v>113.3978881</v>
      </c>
      <c r="C62" s="3">
        <v>23.045938039999999</v>
      </c>
      <c r="D62" s="3">
        <v>40</v>
      </c>
      <c r="E62" s="13">
        <f t="shared" si="3"/>
        <v>8.0313611867797053E-3</v>
      </c>
      <c r="F62" s="13">
        <f t="shared" si="4"/>
        <v>11.158489812737406</v>
      </c>
      <c r="G62" s="14">
        <f>F62/$F$90*$D$2</f>
        <v>52.136542866735105</v>
      </c>
      <c r="H62" s="14">
        <f>F62/$F$90*$E$2</f>
        <v>52.136542866735105</v>
      </c>
      <c r="I62" s="25" t="str">
        <f t="shared" si="2"/>
        <v>选中</v>
      </c>
    </row>
    <row r="63" spans="1:9" hidden="1" x14ac:dyDescent="0.25">
      <c r="A63" s="3">
        <v>343</v>
      </c>
      <c r="B63" s="3">
        <v>113.3979952</v>
      </c>
      <c r="C63" s="3">
        <v>23.045733129999999</v>
      </c>
      <c r="D63" s="3">
        <v>40</v>
      </c>
      <c r="E63" s="13">
        <f t="shared" si="3"/>
        <v>8.0887273961676512E-3</v>
      </c>
      <c r="F63" s="13">
        <f t="shared" si="4"/>
        <v>11.118850743060973</v>
      </c>
      <c r="G63" s="14" t="e">
        <f>F63/$F$124*$D$2</f>
        <v>#DIV/0!</v>
      </c>
      <c r="H63" s="14" t="e">
        <f>F63/$F$124*$E$2</f>
        <v>#DIV/0!</v>
      </c>
      <c r="I63" s="25" t="str">
        <f t="shared" si="2"/>
        <v/>
      </c>
    </row>
    <row r="64" spans="1:9" hidden="1" x14ac:dyDescent="0.25">
      <c r="A64" s="3">
        <v>615</v>
      </c>
      <c r="B64" s="3">
        <v>113.3825085</v>
      </c>
      <c r="C64" s="3">
        <v>23.04107441</v>
      </c>
      <c r="D64" s="3">
        <v>40</v>
      </c>
      <c r="E64" s="13">
        <f t="shared" si="3"/>
        <v>8.1291172347572552E-3</v>
      </c>
      <c r="F64" s="13">
        <f t="shared" si="4"/>
        <v>11.091194123497067</v>
      </c>
      <c r="G64" s="14" t="e">
        <f>F64/$F$124*$D$2</f>
        <v>#DIV/0!</v>
      </c>
      <c r="H64" s="14" t="e">
        <f>F64/$F$124*$E$2</f>
        <v>#DIV/0!</v>
      </c>
      <c r="I64" s="25" t="str">
        <f t="shared" si="2"/>
        <v/>
      </c>
    </row>
    <row r="65" spans="1:9" x14ac:dyDescent="0.25">
      <c r="A65" s="3">
        <v>311</v>
      </c>
      <c r="B65" s="3">
        <v>113.38580229999999</v>
      </c>
      <c r="C65" s="3">
        <v>23.0509834</v>
      </c>
      <c r="D65" s="3">
        <v>40</v>
      </c>
      <c r="E65" s="13">
        <f t="shared" si="3"/>
        <v>8.2051436707814181E-3</v>
      </c>
      <c r="F65" s="13">
        <f t="shared" si="4"/>
        <v>11.039690678688029</v>
      </c>
      <c r="G65" s="14">
        <f>F65/$F$90*$D$2</f>
        <v>51.581469891015203</v>
      </c>
      <c r="H65" s="14">
        <f>F65/$F$90*$E$2</f>
        <v>51.581469891015203</v>
      </c>
      <c r="I65" s="25" t="str">
        <f t="shared" si="2"/>
        <v>选中</v>
      </c>
    </row>
    <row r="66" spans="1:9" hidden="1" x14ac:dyDescent="0.25">
      <c r="A66" s="3">
        <v>312</v>
      </c>
      <c r="B66" s="3">
        <v>113.3856893</v>
      </c>
      <c r="C66" s="3">
        <v>23.051196359999999</v>
      </c>
      <c r="D66" s="3">
        <v>40</v>
      </c>
      <c r="E66" s="13">
        <f t="shared" si="3"/>
        <v>8.4457633951550582E-3</v>
      </c>
      <c r="F66" s="13">
        <f t="shared" si="4"/>
        <v>10.881294001842276</v>
      </c>
      <c r="G66" s="14" t="e">
        <f>F66/$F$124*$D$2</f>
        <v>#DIV/0!</v>
      </c>
      <c r="H66" s="14" t="e">
        <f>F66/$F$124*$E$2</f>
        <v>#DIV/0!</v>
      </c>
      <c r="I66" s="25" t="str">
        <f t="shared" si="2"/>
        <v/>
      </c>
    </row>
    <row r="67" spans="1:9" hidden="1" x14ac:dyDescent="0.25">
      <c r="A67" s="3">
        <v>330</v>
      </c>
      <c r="B67" s="3">
        <v>113.3949375</v>
      </c>
      <c r="C67" s="3">
        <v>23.051015899999999</v>
      </c>
      <c r="D67" s="3">
        <v>40</v>
      </c>
      <c r="E67" s="13">
        <f t="shared" si="3"/>
        <v>8.5311500712418817E-3</v>
      </c>
      <c r="F67" s="13">
        <f t="shared" si="4"/>
        <v>10.826702647398088</v>
      </c>
      <c r="G67" s="14" t="e">
        <f>F67/$F$124*$D$2</f>
        <v>#DIV/0!</v>
      </c>
      <c r="H67" s="14" t="e">
        <f>F67/$F$124*$E$2</f>
        <v>#DIV/0!</v>
      </c>
      <c r="I67" s="25" t="str">
        <f t="shared" si="2"/>
        <v/>
      </c>
    </row>
    <row r="68" spans="1:9" x14ac:dyDescent="0.25">
      <c r="A68" s="3">
        <v>342</v>
      </c>
      <c r="B68" s="3">
        <v>113.3927475</v>
      </c>
      <c r="C68" s="3">
        <v>23.0521037</v>
      </c>
      <c r="D68" s="3">
        <v>40</v>
      </c>
      <c r="E68" s="13">
        <f t="shared" si="3"/>
        <v>8.5344796428420116E-3</v>
      </c>
      <c r="F68" s="13">
        <f t="shared" si="4"/>
        <v>10.82459052107361</v>
      </c>
      <c r="G68" s="14">
        <f>F68/$F$90*$D$2</f>
        <v>50.57644333488534</v>
      </c>
      <c r="H68" s="14">
        <f>F68/$F$90*$E$2</f>
        <v>50.57644333488534</v>
      </c>
      <c r="I68" s="25" t="str">
        <f t="shared" si="2"/>
        <v>选中</v>
      </c>
    </row>
    <row r="69" spans="1:9" hidden="1" x14ac:dyDescent="0.25">
      <c r="A69" s="3">
        <v>625</v>
      </c>
      <c r="B69" s="3">
        <v>113.3975415</v>
      </c>
      <c r="C69" s="3">
        <v>23.039665719999999</v>
      </c>
      <c r="D69" s="3">
        <v>40</v>
      </c>
      <c r="E69" s="13">
        <f t="shared" ref="E69:E88" si="5">SQRT((B69-$B$2)^2+(C69-$C$2)^2)</f>
        <v>8.6107362160804061E-3</v>
      </c>
      <c r="F69" s="13">
        <f t="shared" ref="F69:F88" si="6">SQRT(1/E69)</f>
        <v>10.776552709221265</v>
      </c>
      <c r="G69" s="14" t="e">
        <f>F69/$F$124*$D$2</f>
        <v>#DIV/0!</v>
      </c>
      <c r="H69" s="14" t="e">
        <f>F69/$F$124*$E$2</f>
        <v>#DIV/0!</v>
      </c>
      <c r="I69" s="25" t="str">
        <f t="shared" si="2"/>
        <v/>
      </c>
    </row>
    <row r="70" spans="1:9" hidden="1" x14ac:dyDescent="0.25">
      <c r="A70" s="3">
        <v>616</v>
      </c>
      <c r="B70" s="3">
        <v>113.3822637</v>
      </c>
      <c r="C70" s="3">
        <v>23.040393850000001</v>
      </c>
      <c r="D70" s="3">
        <v>40</v>
      </c>
      <c r="E70" s="13">
        <f t="shared" si="5"/>
        <v>8.6192267530034953E-3</v>
      </c>
      <c r="F70" s="13">
        <f t="shared" si="6"/>
        <v>10.77124357502877</v>
      </c>
      <c r="G70" s="14" t="e">
        <f>F70/$F$124*$D$2</f>
        <v>#DIV/0!</v>
      </c>
      <c r="H70" s="14" t="e">
        <f>F70/$F$124*$E$2</f>
        <v>#DIV/0!</v>
      </c>
      <c r="I70" s="25" t="str">
        <f t="shared" ref="I70:I88" si="7">IF(MOD(ROW()-1,3)=1,"选中","")</f>
        <v/>
      </c>
    </row>
    <row r="71" spans="1:9" x14ac:dyDescent="0.25">
      <c r="A71" s="3">
        <v>322</v>
      </c>
      <c r="B71" s="3">
        <v>113.3909247</v>
      </c>
      <c r="C71" s="3">
        <v>23.05267984</v>
      </c>
      <c r="D71" s="3">
        <v>40</v>
      </c>
      <c r="E71" s="13">
        <f t="shared" si="5"/>
        <v>8.7277624837350885E-3</v>
      </c>
      <c r="F71" s="13">
        <f t="shared" si="6"/>
        <v>10.70406014159645</v>
      </c>
      <c r="G71" s="14">
        <f>F71/$F$90*$D$2</f>
        <v>50.01328134775143</v>
      </c>
      <c r="H71" s="14">
        <f>F71/$F$90*$E$2</f>
        <v>50.01328134775143</v>
      </c>
      <c r="I71" s="25" t="str">
        <f t="shared" si="7"/>
        <v>选中</v>
      </c>
    </row>
    <row r="72" spans="1:9" hidden="1" x14ac:dyDescent="0.25">
      <c r="A72" s="3">
        <v>317</v>
      </c>
      <c r="B72" s="3">
        <v>113.3844309</v>
      </c>
      <c r="C72" s="3">
        <v>23.05072419</v>
      </c>
      <c r="D72" s="3">
        <v>40</v>
      </c>
      <c r="E72" s="13">
        <f t="shared" si="5"/>
        <v>8.7991404909828017E-3</v>
      </c>
      <c r="F72" s="13">
        <f t="shared" si="6"/>
        <v>10.660556446652244</v>
      </c>
      <c r="G72" s="14" t="e">
        <f>F72/$F$124*$D$2</f>
        <v>#DIV/0!</v>
      </c>
      <c r="H72" s="14" t="e">
        <f>F72/$F$124*$E$2</f>
        <v>#DIV/0!</v>
      </c>
      <c r="I72" s="25" t="str">
        <f t="shared" si="7"/>
        <v/>
      </c>
    </row>
    <row r="73" spans="1:9" hidden="1" x14ac:dyDescent="0.25">
      <c r="A73" s="3">
        <v>313</v>
      </c>
      <c r="B73" s="3">
        <v>113.38599809999999</v>
      </c>
      <c r="C73" s="3">
        <v>23.051915910000002</v>
      </c>
      <c r="D73" s="3">
        <v>40</v>
      </c>
      <c r="E73" s="13">
        <f t="shared" si="5"/>
        <v>8.921370743696878E-3</v>
      </c>
      <c r="F73" s="13">
        <f t="shared" si="6"/>
        <v>10.587275300812088</v>
      </c>
      <c r="G73" s="14" t="e">
        <f>F73/$F$124*$D$2</f>
        <v>#DIV/0!</v>
      </c>
      <c r="H73" s="14" t="e">
        <f>F73/$F$124*$E$2</f>
        <v>#DIV/0!</v>
      </c>
      <c r="I73" s="25" t="str">
        <f t="shared" si="7"/>
        <v/>
      </c>
    </row>
    <row r="74" spans="1:9" x14ac:dyDescent="0.25">
      <c r="A74" s="3">
        <v>318</v>
      </c>
      <c r="B74" s="3">
        <v>113.38353739999999</v>
      </c>
      <c r="C74" s="3">
        <v>23.050089939999999</v>
      </c>
      <c r="D74" s="3">
        <v>40</v>
      </c>
      <c r="E74" s="13">
        <f t="shared" si="5"/>
        <v>8.9559449441472018E-3</v>
      </c>
      <c r="F74" s="13">
        <f t="shared" si="6"/>
        <v>10.566819584373233</v>
      </c>
      <c r="G74" s="14">
        <f>F74/$F$90*$D$2</f>
        <v>49.372043302567647</v>
      </c>
      <c r="H74" s="14">
        <f>F74/$F$90*$E$2</f>
        <v>49.372043302567647</v>
      </c>
      <c r="I74" s="25" t="str">
        <f t="shared" si="7"/>
        <v>选中</v>
      </c>
    </row>
    <row r="75" spans="1:9" hidden="1" x14ac:dyDescent="0.25">
      <c r="A75" s="3">
        <v>316</v>
      </c>
      <c r="B75" s="3">
        <v>113.38433089999999</v>
      </c>
      <c r="C75" s="3">
        <v>23.05101312</v>
      </c>
      <c r="D75" s="3">
        <v>40</v>
      </c>
      <c r="E75" s="13">
        <f t="shared" si="5"/>
        <v>9.0852612481420684E-3</v>
      </c>
      <c r="F75" s="13">
        <f t="shared" si="6"/>
        <v>10.491347929617158</v>
      </c>
      <c r="G75" s="14" t="e">
        <f>F75/$F$124*$D$2</f>
        <v>#DIV/0!</v>
      </c>
      <c r="H75" s="14" t="e">
        <f>F75/$F$124*$E$2</f>
        <v>#DIV/0!</v>
      </c>
      <c r="I75" s="25" t="str">
        <f t="shared" si="7"/>
        <v/>
      </c>
    </row>
    <row r="76" spans="1:9" hidden="1" x14ac:dyDescent="0.25">
      <c r="A76" s="3">
        <v>308</v>
      </c>
      <c r="B76" s="3">
        <v>113.38565130000001</v>
      </c>
      <c r="C76" s="3">
        <v>23.05197905</v>
      </c>
      <c r="D76" s="3">
        <v>40</v>
      </c>
      <c r="E76" s="13">
        <f t="shared" si="5"/>
        <v>9.1410202255308524E-3</v>
      </c>
      <c r="F76" s="13">
        <f t="shared" si="6"/>
        <v>10.459301088360366</v>
      </c>
      <c r="G76" s="14" t="e">
        <f>F76/$F$124*$D$2</f>
        <v>#DIV/0!</v>
      </c>
      <c r="H76" s="14" t="e">
        <f>F76/$F$124*$E$2</f>
        <v>#DIV/0!</v>
      </c>
      <c r="I76" s="25" t="str">
        <f t="shared" si="7"/>
        <v/>
      </c>
    </row>
    <row r="77" spans="1:9" x14ac:dyDescent="0.25">
      <c r="A77" s="3">
        <v>610</v>
      </c>
      <c r="B77" s="3">
        <v>113.3896611</v>
      </c>
      <c r="C77" s="3">
        <v>23.03484186</v>
      </c>
      <c r="D77" s="3">
        <v>40</v>
      </c>
      <c r="E77" s="13">
        <f t="shared" si="5"/>
        <v>9.1599694948671043E-3</v>
      </c>
      <c r="F77" s="13">
        <f t="shared" si="6"/>
        <v>10.448476886273347</v>
      </c>
      <c r="G77" s="14">
        <f>F77/$F$90*$D$2</f>
        <v>48.819102962432481</v>
      </c>
      <c r="H77" s="14">
        <f>F77/$F$90*$E$2</f>
        <v>48.819102962432481</v>
      </c>
      <c r="I77" s="25" t="str">
        <f t="shared" si="7"/>
        <v>选中</v>
      </c>
    </row>
    <row r="78" spans="1:9" hidden="1" x14ac:dyDescent="0.25">
      <c r="A78" s="3">
        <v>612</v>
      </c>
      <c r="B78" s="3">
        <v>113.3825617</v>
      </c>
      <c r="C78" s="3">
        <v>23.03863243</v>
      </c>
      <c r="D78" s="3">
        <v>40</v>
      </c>
      <c r="E78" s="13">
        <f t="shared" si="5"/>
        <v>9.2459836866438036E-3</v>
      </c>
      <c r="F78" s="13">
        <f t="shared" si="6"/>
        <v>10.399762911261165</v>
      </c>
      <c r="G78" s="14" t="e">
        <f>F78/$F$124*$D$2</f>
        <v>#DIV/0!</v>
      </c>
      <c r="H78" s="14" t="e">
        <f>F78/$F$124*$E$2</f>
        <v>#DIV/0!</v>
      </c>
      <c r="I78" s="25" t="str">
        <f t="shared" si="7"/>
        <v/>
      </c>
    </row>
    <row r="79" spans="1:9" hidden="1" x14ac:dyDescent="0.25">
      <c r="A79" s="3">
        <v>357</v>
      </c>
      <c r="B79" s="3">
        <v>113.39653060000001</v>
      </c>
      <c r="C79" s="3">
        <v>23.050640990000002</v>
      </c>
      <c r="D79" s="3">
        <v>40</v>
      </c>
      <c r="E79" s="13">
        <f t="shared" si="5"/>
        <v>9.2529645849353023E-3</v>
      </c>
      <c r="F79" s="13">
        <f t="shared" si="6"/>
        <v>10.395839120953346</v>
      </c>
      <c r="G79" s="14" t="e">
        <f>F79/$F$124*$D$2</f>
        <v>#DIV/0!</v>
      </c>
      <c r="H79" s="14" t="e">
        <f>F79/$F$124*$E$2</f>
        <v>#DIV/0!</v>
      </c>
      <c r="I79" s="25" t="str">
        <f t="shared" si="7"/>
        <v/>
      </c>
    </row>
    <row r="80" spans="1:9" x14ac:dyDescent="0.25">
      <c r="A80" s="3">
        <v>339</v>
      </c>
      <c r="B80" s="3">
        <v>113.39659159999999</v>
      </c>
      <c r="C80" s="3">
        <v>23.050619000000001</v>
      </c>
      <c r="D80" s="3">
        <v>40</v>
      </c>
      <c r="E80" s="13">
        <f t="shared" si="5"/>
        <v>9.2797688527250736E-3</v>
      </c>
      <c r="F80" s="13">
        <f t="shared" si="6"/>
        <v>10.380814265762268</v>
      </c>
      <c r="G80" s="14">
        <f>F80/$F$90*$D$2</f>
        <v>48.502958468513185</v>
      </c>
      <c r="H80" s="14">
        <f>F80/$F$90*$E$2</f>
        <v>48.502958468513185</v>
      </c>
      <c r="I80" s="25" t="str">
        <f t="shared" si="7"/>
        <v>选中</v>
      </c>
    </row>
    <row r="81" spans="1:9" hidden="1" x14ac:dyDescent="0.25">
      <c r="A81" s="3">
        <v>598</v>
      </c>
      <c r="B81" s="3">
        <v>113.3813392</v>
      </c>
      <c r="C81" s="3">
        <v>23.040537369999999</v>
      </c>
      <c r="D81" s="3">
        <v>40</v>
      </c>
      <c r="E81" s="13">
        <f t="shared" si="5"/>
        <v>9.4136068525540999E-3</v>
      </c>
      <c r="F81" s="13">
        <f t="shared" si="6"/>
        <v>10.306755452647282</v>
      </c>
      <c r="G81" s="14" t="e">
        <f>F81/$F$124*$D$2</f>
        <v>#DIV/0!</v>
      </c>
      <c r="H81" s="14" t="e">
        <f>F81/$F$124*$E$2</f>
        <v>#DIV/0!</v>
      </c>
      <c r="I81" s="25" t="str">
        <f t="shared" si="7"/>
        <v/>
      </c>
    </row>
    <row r="82" spans="1:9" hidden="1" x14ac:dyDescent="0.25">
      <c r="A82" s="3">
        <v>338</v>
      </c>
      <c r="B82" s="3">
        <v>113.39338840000001</v>
      </c>
      <c r="C82" s="3">
        <v>23.053240120000002</v>
      </c>
      <c r="D82" s="3">
        <v>40</v>
      </c>
      <c r="E82" s="13">
        <f t="shared" si="5"/>
        <v>9.8171145311115784E-3</v>
      </c>
      <c r="F82" s="13">
        <f t="shared" si="6"/>
        <v>10.092716427100457</v>
      </c>
      <c r="G82" s="14" t="e">
        <f>F82/$F$124*$D$2</f>
        <v>#DIV/0!</v>
      </c>
      <c r="H82" s="14" t="e">
        <f>F82/$F$124*$E$2</f>
        <v>#DIV/0!</v>
      </c>
      <c r="I82" s="25" t="str">
        <f t="shared" si="7"/>
        <v/>
      </c>
    </row>
    <row r="83" spans="1:9" x14ac:dyDescent="0.25">
      <c r="A83" s="3">
        <v>617</v>
      </c>
      <c r="B83" s="3">
        <v>113.3818122</v>
      </c>
      <c r="C83" s="3">
        <v>23.037619329999998</v>
      </c>
      <c r="D83" s="3">
        <v>40</v>
      </c>
      <c r="E83" s="13">
        <f t="shared" si="5"/>
        <v>1.0451271648257631E-2</v>
      </c>
      <c r="F83" s="13">
        <f t="shared" si="6"/>
        <v>9.7817246156909441</v>
      </c>
      <c r="G83" s="14">
        <f>F83/$F$90*$D$2</f>
        <v>45.703792654308934</v>
      </c>
      <c r="H83" s="14">
        <f>F83/$F$90*$E$2</f>
        <v>45.703792654308934</v>
      </c>
      <c r="I83" s="25" t="str">
        <f t="shared" si="7"/>
        <v>选中</v>
      </c>
    </row>
    <row r="84" spans="1:9" hidden="1" x14ac:dyDescent="0.25">
      <c r="A84" s="3">
        <v>608</v>
      </c>
      <c r="B84" s="3">
        <v>113.38198010000001</v>
      </c>
      <c r="C84" s="3">
        <v>23.037188409999999</v>
      </c>
      <c r="D84" s="3">
        <v>40</v>
      </c>
      <c r="E84" s="13">
        <f t="shared" si="5"/>
        <v>1.0590230247560008E-2</v>
      </c>
      <c r="F84" s="13">
        <f t="shared" si="6"/>
        <v>9.7173377683596414</v>
      </c>
      <c r="G84" s="14" t="e">
        <f>F84/$F$124*$D$2</f>
        <v>#DIV/0!</v>
      </c>
      <c r="H84" s="14" t="e">
        <f>F84/$F$124*$E$2</f>
        <v>#DIV/0!</v>
      </c>
      <c r="I84" s="25" t="str">
        <f t="shared" si="7"/>
        <v/>
      </c>
    </row>
    <row r="85" spans="1:9" hidden="1" x14ac:dyDescent="0.25">
      <c r="A85" s="3">
        <v>607</v>
      </c>
      <c r="B85" s="3">
        <v>113.38354940000001</v>
      </c>
      <c r="C85" s="3">
        <v>23.035528200000002</v>
      </c>
      <c r="D85" s="3">
        <v>40</v>
      </c>
      <c r="E85" s="13">
        <f t="shared" si="5"/>
        <v>1.0699900367013085E-2</v>
      </c>
      <c r="F85" s="13">
        <f t="shared" si="6"/>
        <v>9.6674098995765529</v>
      </c>
      <c r="G85" s="14" t="e">
        <f>F85/$F$124*$D$2</f>
        <v>#DIV/0!</v>
      </c>
      <c r="H85" s="14" t="e">
        <f>F85/$F$124*$E$2</f>
        <v>#DIV/0!</v>
      </c>
      <c r="I85" s="25" t="str">
        <f t="shared" si="7"/>
        <v/>
      </c>
    </row>
    <row r="86" spans="1:9" x14ac:dyDescent="0.25">
      <c r="A86" s="3">
        <v>619</v>
      </c>
      <c r="B86" s="3">
        <v>113.3818912</v>
      </c>
      <c r="C86" s="3">
        <v>23.0371065</v>
      </c>
      <c r="D86" s="3">
        <v>40</v>
      </c>
      <c r="E86" s="13">
        <f t="shared" si="5"/>
        <v>1.0710980921472942E-2</v>
      </c>
      <c r="F86" s="13">
        <f t="shared" si="6"/>
        <v>9.6624081177093135</v>
      </c>
      <c r="G86" s="14">
        <f>F86/$F$90*$D$2</f>
        <v>45.146302365199467</v>
      </c>
      <c r="H86" s="14">
        <f>F86/$F$90*$E$2</f>
        <v>45.146302365199467</v>
      </c>
      <c r="I86" s="25" t="str">
        <f t="shared" si="7"/>
        <v>选中</v>
      </c>
    </row>
    <row r="87" spans="1:9" hidden="1" x14ac:dyDescent="0.25">
      <c r="A87" s="3">
        <v>597</v>
      </c>
      <c r="B87" s="3">
        <v>113.3777918</v>
      </c>
      <c r="C87" s="3">
        <v>23.038646709999998</v>
      </c>
      <c r="D87" s="3">
        <v>40</v>
      </c>
      <c r="E87" s="13">
        <f t="shared" si="5"/>
        <v>1.3415100916822756E-2</v>
      </c>
      <c r="F87" s="13">
        <f t="shared" si="6"/>
        <v>8.6338207521681163</v>
      </c>
      <c r="G87" s="14" t="e">
        <f>F87/$F$124*$D$2</f>
        <v>#DIV/0!</v>
      </c>
      <c r="H87" s="14" t="e">
        <f>F87/$F$124*$E$2</f>
        <v>#DIV/0!</v>
      </c>
      <c r="I87" s="25" t="str">
        <f t="shared" si="7"/>
        <v/>
      </c>
    </row>
    <row r="88" spans="1:9" hidden="1" x14ac:dyDescent="0.25">
      <c r="A88" s="3">
        <v>976</v>
      </c>
      <c r="B88" s="3">
        <v>113.3767323</v>
      </c>
      <c r="C88" s="3">
        <v>23.02941354</v>
      </c>
      <c r="D88" s="3">
        <v>40</v>
      </c>
      <c r="E88" s="13">
        <f t="shared" si="5"/>
        <v>1.9776512569523803E-2</v>
      </c>
      <c r="F88" s="13">
        <f t="shared" si="6"/>
        <v>7.1109093974546056</v>
      </c>
      <c r="G88" s="14" t="e">
        <f>F88/$F$124*$D$2</f>
        <v>#DIV/0!</v>
      </c>
      <c r="H88" s="14" t="e">
        <f>F88/$F$124*$E$2</f>
        <v>#DIV/0!</v>
      </c>
      <c r="I88" s="25" t="str">
        <f t="shared" si="7"/>
        <v/>
      </c>
    </row>
    <row r="89" spans="1:9" x14ac:dyDescent="0.25">
      <c r="A89" s="3"/>
      <c r="B89" s="3"/>
      <c r="C89" s="3"/>
      <c r="D89" s="3"/>
      <c r="G89" s="14"/>
      <c r="H89" s="14"/>
    </row>
    <row r="90" spans="1:9" x14ac:dyDescent="0.25">
      <c r="A90" s="3"/>
      <c r="B90" s="3"/>
      <c r="C90" s="3"/>
      <c r="D90" s="3"/>
      <c r="F90" s="13">
        <f>SUBTOTAL(9,F5:F86)</f>
        <v>374.54261634116864</v>
      </c>
      <c r="G90" s="13">
        <f>SUBTOTAL(9,G5:G86)</f>
        <v>1749.9999999999995</v>
      </c>
      <c r="H90" s="13">
        <f>SUBTOTAL(9,H5:H86)</f>
        <v>1749.9999999999995</v>
      </c>
    </row>
    <row r="91" spans="1:9" x14ac:dyDescent="0.25">
      <c r="A91" s="3"/>
      <c r="B91" s="3"/>
      <c r="C91" s="3"/>
      <c r="D91" s="3"/>
      <c r="G91" s="14"/>
      <c r="H91" s="14"/>
    </row>
    <row r="92" spans="1:9" x14ac:dyDescent="0.25">
      <c r="A92" s="3"/>
      <c r="B92" s="3"/>
      <c r="C92" s="3"/>
      <c r="D92" s="3"/>
      <c r="G92" s="14"/>
      <c r="H92" s="14"/>
    </row>
    <row r="93" spans="1:9" x14ac:dyDescent="0.25">
      <c r="A93" s="3"/>
      <c r="B93" s="3"/>
      <c r="C93" s="3"/>
      <c r="D93" s="3"/>
      <c r="G93" s="14"/>
      <c r="H93" s="14"/>
    </row>
    <row r="94" spans="1:9" x14ac:dyDescent="0.25">
      <c r="A94" s="3"/>
      <c r="B94" s="3"/>
      <c r="C94" s="3"/>
      <c r="D94" s="3"/>
      <c r="G94" s="14"/>
      <c r="H94" s="14"/>
    </row>
    <row r="95" spans="1:9" x14ac:dyDescent="0.25">
      <c r="A95" s="3"/>
      <c r="B95" s="3"/>
      <c r="C95" s="3"/>
      <c r="D95" s="3"/>
      <c r="G95" s="14"/>
      <c r="H95" s="14"/>
    </row>
    <row r="96" spans="1:9" x14ac:dyDescent="0.25">
      <c r="A96" s="3"/>
      <c r="B96" s="3"/>
      <c r="C96" s="3"/>
      <c r="D96" s="3"/>
      <c r="G96" s="14"/>
      <c r="H96" s="14"/>
    </row>
    <row r="97" spans="1:8" x14ac:dyDescent="0.25">
      <c r="A97" s="3"/>
      <c r="B97" s="3"/>
      <c r="C97" s="3"/>
      <c r="D97" s="3"/>
      <c r="G97" s="14"/>
      <c r="H97" s="14"/>
    </row>
    <row r="98" spans="1:8" x14ac:dyDescent="0.25">
      <c r="A98" s="3"/>
      <c r="B98" s="3"/>
      <c r="C98" s="3"/>
      <c r="D98" s="3"/>
      <c r="G98" s="14"/>
      <c r="H98" s="14"/>
    </row>
    <row r="99" spans="1:8" x14ac:dyDescent="0.25">
      <c r="A99" s="3"/>
      <c r="B99" s="3"/>
      <c r="C99" s="3"/>
      <c r="D99" s="3"/>
      <c r="G99" s="14"/>
      <c r="H99" s="14"/>
    </row>
    <row r="100" spans="1:8" x14ac:dyDescent="0.25">
      <c r="A100" s="3"/>
      <c r="B100" s="3"/>
      <c r="C100" s="3"/>
      <c r="D100" s="3"/>
      <c r="G100" s="14"/>
      <c r="H100" s="14"/>
    </row>
    <row r="101" spans="1:8" x14ac:dyDescent="0.25">
      <c r="A101" s="3"/>
      <c r="B101" s="3"/>
      <c r="C101" s="3"/>
      <c r="D101" s="3"/>
      <c r="G101" s="14"/>
      <c r="H101" s="14"/>
    </row>
    <row r="102" spans="1:8" x14ac:dyDescent="0.25">
      <c r="A102" s="3"/>
      <c r="B102" s="3"/>
      <c r="C102" s="3"/>
      <c r="D102" s="3"/>
      <c r="G102" s="14"/>
      <c r="H102" s="14"/>
    </row>
    <row r="103" spans="1:8" x14ac:dyDescent="0.25">
      <c r="A103" s="3"/>
      <c r="B103" s="3"/>
      <c r="C103" s="3"/>
      <c r="D103" s="3"/>
      <c r="G103" s="14"/>
      <c r="H103" s="14"/>
    </row>
    <row r="104" spans="1:8" x14ac:dyDescent="0.25">
      <c r="A104" s="3"/>
      <c r="B104" s="3"/>
      <c r="C104" s="3"/>
      <c r="D104" s="3"/>
      <c r="G104" s="14"/>
      <c r="H104" s="14"/>
    </row>
    <row r="105" spans="1:8" x14ac:dyDescent="0.25">
      <c r="A105" s="3"/>
      <c r="B105" s="3"/>
      <c r="C105" s="3"/>
      <c r="D105" s="3"/>
      <c r="G105" s="14"/>
      <c r="H105" s="14"/>
    </row>
    <row r="106" spans="1:8" x14ac:dyDescent="0.25">
      <c r="A106" s="3"/>
      <c r="B106" s="3"/>
      <c r="C106" s="3"/>
      <c r="D106" s="3"/>
      <c r="G106" s="14"/>
      <c r="H106" s="14"/>
    </row>
    <row r="107" spans="1:8" x14ac:dyDescent="0.25">
      <c r="A107" s="3"/>
      <c r="B107" s="3"/>
      <c r="C107" s="3"/>
      <c r="D107" s="3"/>
      <c r="G107" s="14"/>
      <c r="H107" s="14"/>
    </row>
    <row r="108" spans="1:8" x14ac:dyDescent="0.25">
      <c r="A108" s="3"/>
      <c r="B108" s="3"/>
      <c r="C108" s="3"/>
      <c r="D108" s="3"/>
      <c r="G108" s="14"/>
      <c r="H108" s="14"/>
    </row>
    <row r="109" spans="1:8" x14ac:dyDescent="0.25">
      <c r="A109" s="3"/>
      <c r="B109" s="3"/>
      <c r="C109" s="3"/>
      <c r="D109" s="3"/>
      <c r="G109" s="14"/>
      <c r="H109" s="14"/>
    </row>
    <row r="110" spans="1:8" x14ac:dyDescent="0.25">
      <c r="A110" s="3"/>
      <c r="B110" s="3"/>
      <c r="C110" s="3"/>
      <c r="D110" s="3"/>
      <c r="G110" s="14"/>
      <c r="H110" s="14"/>
    </row>
    <row r="111" spans="1:8" x14ac:dyDescent="0.25">
      <c r="A111" s="3"/>
      <c r="B111" s="3"/>
      <c r="C111" s="3"/>
      <c r="D111" s="3"/>
      <c r="G111" s="14"/>
      <c r="H111" s="14"/>
    </row>
    <row r="112" spans="1:8" x14ac:dyDescent="0.25">
      <c r="A112" s="3"/>
      <c r="B112" s="3"/>
      <c r="C112" s="3"/>
      <c r="D112" s="3"/>
      <c r="G112" s="14"/>
      <c r="H112" s="14"/>
    </row>
    <row r="113" spans="1:8" x14ac:dyDescent="0.25">
      <c r="A113" s="3"/>
      <c r="B113" s="3"/>
      <c r="C113" s="3"/>
      <c r="D113" s="3"/>
      <c r="G113" s="14"/>
      <c r="H113" s="14"/>
    </row>
    <row r="114" spans="1:8" x14ac:dyDescent="0.25">
      <c r="A114" s="3"/>
      <c r="B114" s="3"/>
      <c r="C114" s="3"/>
      <c r="D114" s="3"/>
      <c r="G114" s="14"/>
      <c r="H114" s="14"/>
    </row>
    <row r="115" spans="1:8" x14ac:dyDescent="0.25">
      <c r="A115" s="3"/>
      <c r="B115" s="3"/>
      <c r="C115" s="3"/>
      <c r="D115" s="3"/>
      <c r="G115" s="14"/>
      <c r="H115" s="14"/>
    </row>
    <row r="116" spans="1:8" x14ac:dyDescent="0.25">
      <c r="A116" s="3"/>
      <c r="B116" s="3"/>
      <c r="C116" s="3"/>
      <c r="D116" s="3"/>
      <c r="G116" s="14"/>
      <c r="H116" s="14"/>
    </row>
    <row r="117" spans="1:8" x14ac:dyDescent="0.25">
      <c r="A117" s="3"/>
      <c r="B117" s="3"/>
      <c r="C117" s="3"/>
      <c r="D117" s="3"/>
      <c r="G117" s="14"/>
      <c r="H117" s="14"/>
    </row>
    <row r="118" spans="1:8" x14ac:dyDescent="0.25">
      <c r="A118" s="3"/>
      <c r="B118" s="3"/>
      <c r="C118" s="3"/>
      <c r="D118" s="3"/>
      <c r="G118" s="14"/>
      <c r="H118" s="14"/>
    </row>
    <row r="119" spans="1:8" x14ac:dyDescent="0.25">
      <c r="A119" s="3"/>
      <c r="B119" s="3"/>
      <c r="C119" s="3"/>
      <c r="D119" s="3"/>
      <c r="G119" s="14"/>
      <c r="H119" s="14"/>
    </row>
    <row r="120" spans="1:8" x14ac:dyDescent="0.25">
      <c r="A120" s="3"/>
      <c r="B120" s="3"/>
      <c r="C120" s="3"/>
      <c r="D120" s="3"/>
      <c r="G120" s="14"/>
      <c r="H120" s="14"/>
    </row>
    <row r="121" spans="1:8" x14ac:dyDescent="0.25">
      <c r="A121" s="3"/>
      <c r="B121" s="3"/>
      <c r="C121" s="3"/>
      <c r="D121" s="3"/>
      <c r="G121" s="14"/>
      <c r="H121" s="14"/>
    </row>
    <row r="122" spans="1:8" x14ac:dyDescent="0.25">
      <c r="A122" s="3"/>
      <c r="B122" s="3"/>
      <c r="C122" s="3"/>
      <c r="D122" s="3"/>
      <c r="G122" s="14"/>
      <c r="H122" s="14"/>
    </row>
    <row r="123" spans="1:8" x14ac:dyDescent="0.25">
      <c r="A123" s="3"/>
      <c r="B123" s="3"/>
      <c r="C123" s="3"/>
      <c r="D123" s="3"/>
      <c r="G123" s="14"/>
      <c r="H123" s="14"/>
    </row>
    <row r="124" spans="1:8" x14ac:dyDescent="0.25">
      <c r="A124" s="3"/>
      <c r="B124" s="3"/>
      <c r="C124" s="3"/>
      <c r="D124" s="3"/>
      <c r="G124" s="14"/>
      <c r="H124" s="14"/>
    </row>
    <row r="125" spans="1:8" x14ac:dyDescent="0.25">
      <c r="A125" s="3"/>
      <c r="B125" s="3"/>
      <c r="C125" s="3"/>
      <c r="D125" s="3"/>
      <c r="G125" s="14"/>
      <c r="H125" s="14"/>
    </row>
    <row r="126" spans="1:8" x14ac:dyDescent="0.25">
      <c r="A126" s="18"/>
      <c r="B126" s="3"/>
      <c r="C126" s="3"/>
      <c r="D126" s="3"/>
      <c r="G126" s="14"/>
      <c r="H126" s="14"/>
    </row>
    <row r="127" spans="1:8" x14ac:dyDescent="0.25">
      <c r="A127" s="3"/>
      <c r="B127" s="3"/>
      <c r="C127" s="3"/>
      <c r="D127" s="3"/>
      <c r="G127" s="14"/>
      <c r="H127" s="14"/>
    </row>
    <row r="128" spans="1:8" x14ac:dyDescent="0.25">
      <c r="A128" s="3"/>
      <c r="B128" s="3"/>
      <c r="C128" s="3"/>
      <c r="D128" s="3"/>
      <c r="G128" s="14"/>
      <c r="H128" s="14"/>
    </row>
    <row r="129" spans="1:8" x14ac:dyDescent="0.25">
      <c r="A129" s="3"/>
      <c r="B129" s="3"/>
      <c r="C129" s="3"/>
      <c r="D129" s="3"/>
      <c r="G129" s="14"/>
      <c r="H129" s="14"/>
    </row>
    <row r="130" spans="1:8" x14ac:dyDescent="0.25">
      <c r="A130" s="3"/>
      <c r="B130" s="3"/>
      <c r="C130" s="3"/>
      <c r="D130" s="3"/>
      <c r="G130" s="14"/>
      <c r="H130" s="14"/>
    </row>
    <row r="131" spans="1:8" x14ac:dyDescent="0.25">
      <c r="A131" s="3"/>
      <c r="B131" s="3"/>
      <c r="C131" s="3"/>
      <c r="D131" s="3"/>
      <c r="G131" s="14"/>
      <c r="H131" s="14"/>
    </row>
    <row r="132" spans="1:8" x14ac:dyDescent="0.25">
      <c r="A132" s="3"/>
      <c r="B132" s="3"/>
      <c r="C132" s="3"/>
      <c r="D132" s="3"/>
      <c r="G132" s="14"/>
      <c r="H132" s="14"/>
    </row>
    <row r="133" spans="1:8" x14ac:dyDescent="0.25">
      <c r="A133" s="3"/>
      <c r="B133" s="3"/>
      <c r="C133" s="3"/>
      <c r="D133" s="3"/>
      <c r="G133" s="14"/>
      <c r="H133" s="14"/>
    </row>
    <row r="134" spans="1:8" x14ac:dyDescent="0.25">
      <c r="A134" s="3"/>
      <c r="B134" s="3"/>
      <c r="C134" s="3"/>
      <c r="D134" s="3"/>
      <c r="G134" s="14"/>
      <c r="H134" s="14"/>
    </row>
    <row r="135" spans="1:8" x14ac:dyDescent="0.25">
      <c r="A135" s="3"/>
      <c r="B135" s="3"/>
      <c r="C135" s="3"/>
      <c r="D135" s="3"/>
      <c r="G135" s="14"/>
      <c r="H135" s="14"/>
    </row>
    <row r="136" spans="1:8" x14ac:dyDescent="0.25">
      <c r="A136" s="3"/>
      <c r="B136" s="3"/>
      <c r="C136" s="3"/>
      <c r="D136" s="3"/>
      <c r="G136" s="14"/>
      <c r="H136" s="14"/>
    </row>
    <row r="137" spans="1:8" x14ac:dyDescent="0.25">
      <c r="A137" s="3"/>
      <c r="B137" s="3"/>
      <c r="C137" s="3"/>
      <c r="D137" s="3"/>
      <c r="G137" s="14"/>
      <c r="H137" s="14"/>
    </row>
    <row r="138" spans="1:8" x14ac:dyDescent="0.25">
      <c r="A138" s="3"/>
      <c r="B138" s="3"/>
      <c r="C138" s="3"/>
      <c r="D138" s="3"/>
      <c r="G138" s="14"/>
      <c r="H138" s="14"/>
    </row>
    <row r="139" spans="1:8" x14ac:dyDescent="0.25">
      <c r="A139" s="3"/>
      <c r="B139" s="3"/>
      <c r="C139" s="3"/>
      <c r="D139" s="3"/>
      <c r="G139" s="14"/>
      <c r="H139" s="14"/>
    </row>
    <row r="140" spans="1:8" x14ac:dyDescent="0.25">
      <c r="A140" s="3"/>
      <c r="B140" s="3"/>
      <c r="C140" s="3"/>
      <c r="D140" s="3"/>
      <c r="G140" s="14"/>
      <c r="H140" s="14"/>
    </row>
    <row r="141" spans="1:8" x14ac:dyDescent="0.25">
      <c r="A141" s="3"/>
      <c r="B141" s="3"/>
      <c r="C141" s="3"/>
      <c r="D141" s="3"/>
      <c r="G141" s="14"/>
      <c r="H141" s="14"/>
    </row>
    <row r="142" spans="1:8" x14ac:dyDescent="0.25">
      <c r="A142" s="3"/>
      <c r="B142" s="3"/>
      <c r="C142" s="3"/>
      <c r="D142" s="3"/>
      <c r="G142" s="14"/>
      <c r="H142" s="14"/>
    </row>
    <row r="143" spans="1:8" x14ac:dyDescent="0.25">
      <c r="A143" s="3"/>
      <c r="B143" s="3"/>
      <c r="C143" s="3"/>
      <c r="D143" s="3"/>
      <c r="G143" s="14"/>
      <c r="H143" s="14"/>
    </row>
    <row r="144" spans="1:8" x14ac:dyDescent="0.25">
      <c r="A144" s="3"/>
      <c r="B144" s="3"/>
      <c r="C144" s="3"/>
      <c r="D144" s="3"/>
      <c r="G144" s="14"/>
      <c r="H144" s="14"/>
    </row>
    <row r="145" spans="1:8" x14ac:dyDescent="0.25">
      <c r="A145" s="3"/>
      <c r="B145" s="3"/>
      <c r="C145" s="3"/>
      <c r="D145" s="3"/>
      <c r="G145" s="14"/>
      <c r="H145" s="14"/>
    </row>
    <row r="146" spans="1:8" x14ac:dyDescent="0.25">
      <c r="A146" s="3"/>
      <c r="B146" s="3"/>
      <c r="C146" s="3"/>
      <c r="D146" s="3"/>
      <c r="G146" s="14"/>
      <c r="H146" s="14"/>
    </row>
    <row r="147" spans="1:8" x14ac:dyDescent="0.25">
      <c r="A147" s="3"/>
      <c r="B147" s="3"/>
      <c r="C147" s="3"/>
      <c r="D147" s="3"/>
      <c r="G147" s="14"/>
      <c r="H147" s="14"/>
    </row>
    <row r="148" spans="1:8" x14ac:dyDescent="0.25">
      <c r="A148" s="3"/>
      <c r="B148" s="3"/>
      <c r="C148" s="3"/>
      <c r="D148" s="3"/>
      <c r="G148" s="14"/>
      <c r="H148" s="14"/>
    </row>
    <row r="149" spans="1:8" x14ac:dyDescent="0.25">
      <c r="A149" s="3"/>
      <c r="B149" s="3"/>
      <c r="C149" s="3"/>
      <c r="D149" s="3"/>
      <c r="G149" s="14"/>
      <c r="H149" s="14"/>
    </row>
    <row r="150" spans="1:8" x14ac:dyDescent="0.25">
      <c r="A150" s="3"/>
      <c r="B150" s="3"/>
      <c r="C150" s="3"/>
      <c r="D150" s="3"/>
      <c r="G150" s="14"/>
      <c r="H150" s="14"/>
    </row>
    <row r="151" spans="1:8" x14ac:dyDescent="0.25">
      <c r="A151" s="3"/>
      <c r="B151" s="3"/>
      <c r="C151" s="3"/>
      <c r="D151" s="3"/>
      <c r="G151" s="14"/>
      <c r="H151" s="14"/>
    </row>
    <row r="152" spans="1:8" x14ac:dyDescent="0.25">
      <c r="A152" s="3"/>
      <c r="B152" s="3"/>
      <c r="C152" s="3"/>
      <c r="D152" s="3"/>
      <c r="G152" s="14"/>
      <c r="H152" s="14"/>
    </row>
    <row r="153" spans="1:8" x14ac:dyDescent="0.25">
      <c r="A153" s="3"/>
      <c r="B153" s="3"/>
      <c r="C153" s="3"/>
      <c r="D153" s="3"/>
      <c r="G153" s="14"/>
      <c r="H153" s="14"/>
    </row>
    <row r="154" spans="1:8" x14ac:dyDescent="0.25">
      <c r="A154" s="3"/>
      <c r="B154" s="3"/>
      <c r="C154" s="3"/>
      <c r="D154" s="3"/>
      <c r="G154" s="14"/>
      <c r="H154" s="14"/>
    </row>
    <row r="155" spans="1:8" x14ac:dyDescent="0.25">
      <c r="A155" s="3"/>
      <c r="B155" s="3"/>
      <c r="C155" s="3"/>
      <c r="D155" s="3"/>
      <c r="G155" s="14"/>
      <c r="H155" s="14"/>
    </row>
    <row r="156" spans="1:8" x14ac:dyDescent="0.25">
      <c r="A156" s="3"/>
      <c r="B156" s="3"/>
      <c r="C156" s="3"/>
      <c r="D156" s="3"/>
      <c r="G156" s="14"/>
      <c r="H156" s="14"/>
    </row>
    <row r="157" spans="1:8" x14ac:dyDescent="0.25">
      <c r="A157" s="3"/>
      <c r="B157" s="3"/>
      <c r="C157" s="3"/>
      <c r="D157" s="3"/>
      <c r="G157" s="14"/>
      <c r="H157" s="14"/>
    </row>
    <row r="158" spans="1:8" x14ac:dyDescent="0.25">
      <c r="A158" s="3"/>
      <c r="B158" s="3"/>
      <c r="C158" s="3"/>
      <c r="D158" s="3"/>
      <c r="G158" s="14"/>
      <c r="H158" s="14"/>
    </row>
    <row r="159" spans="1:8" x14ac:dyDescent="0.25">
      <c r="A159" s="3"/>
      <c r="B159" s="3"/>
      <c r="C159" s="3"/>
      <c r="D159" s="3"/>
      <c r="G159" s="14"/>
      <c r="H159" s="14"/>
    </row>
    <row r="160" spans="1:8" x14ac:dyDescent="0.25">
      <c r="A160" s="3"/>
      <c r="B160" s="3"/>
      <c r="C160" s="3"/>
      <c r="D160" s="3"/>
      <c r="G160" s="14"/>
      <c r="H160" s="14"/>
    </row>
    <row r="161" spans="1:8" x14ac:dyDescent="0.25">
      <c r="A161" s="3"/>
      <c r="B161" s="3"/>
      <c r="C161" s="3"/>
      <c r="D161" s="3"/>
      <c r="G161" s="14"/>
      <c r="H161" s="14"/>
    </row>
    <row r="162" spans="1:8" x14ac:dyDescent="0.25">
      <c r="A162" s="3"/>
      <c r="B162" s="3"/>
      <c r="C162" s="3"/>
      <c r="D162" s="3"/>
      <c r="G162" s="14"/>
      <c r="H162" s="14"/>
    </row>
    <row r="163" spans="1:8" x14ac:dyDescent="0.25">
      <c r="A163" s="3"/>
      <c r="B163" s="3"/>
      <c r="C163" s="3"/>
      <c r="D163" s="3"/>
      <c r="G163" s="14"/>
      <c r="H163" s="14"/>
    </row>
    <row r="164" spans="1:8" x14ac:dyDescent="0.25">
      <c r="A164" s="3"/>
      <c r="B164" s="3"/>
      <c r="C164" s="3"/>
      <c r="D164" s="3"/>
      <c r="G164" s="14"/>
      <c r="H164" s="14"/>
    </row>
    <row r="165" spans="1:8" x14ac:dyDescent="0.25">
      <c r="A165" s="3"/>
      <c r="B165" s="3"/>
      <c r="C165" s="3"/>
      <c r="D165" s="3"/>
      <c r="G165" s="14"/>
      <c r="H165" s="14"/>
    </row>
    <row r="166" spans="1:8" x14ac:dyDescent="0.25">
      <c r="A166" s="3"/>
      <c r="B166" s="3"/>
      <c r="C166" s="3"/>
      <c r="D166" s="3"/>
      <c r="G166" s="14"/>
      <c r="H166" s="14"/>
    </row>
    <row r="167" spans="1:8" x14ac:dyDescent="0.25">
      <c r="A167" s="3"/>
      <c r="B167" s="3"/>
      <c r="C167" s="3"/>
      <c r="D167" s="3"/>
      <c r="G167" s="14"/>
      <c r="H167" s="14"/>
    </row>
    <row r="168" spans="1:8" x14ac:dyDescent="0.25">
      <c r="A168" s="3"/>
      <c r="B168" s="3"/>
      <c r="C168" s="3"/>
      <c r="D168" s="3"/>
      <c r="G168" s="14"/>
      <c r="H168" s="14"/>
    </row>
    <row r="169" spans="1:8" x14ac:dyDescent="0.25">
      <c r="A169" s="3"/>
      <c r="B169" s="3"/>
      <c r="C169" s="3"/>
      <c r="D169" s="3"/>
      <c r="G169" s="14"/>
      <c r="H169" s="14"/>
    </row>
    <row r="170" spans="1:8" x14ac:dyDescent="0.25">
      <c r="A170" s="3"/>
      <c r="B170" s="3"/>
      <c r="C170" s="3"/>
      <c r="D170" s="3"/>
      <c r="G170" s="14"/>
      <c r="H170" s="14"/>
    </row>
    <row r="171" spans="1:8" x14ac:dyDescent="0.25">
      <c r="A171" s="3"/>
      <c r="B171" s="3"/>
      <c r="C171" s="3"/>
      <c r="D171" s="3"/>
      <c r="G171" s="14"/>
      <c r="H171" s="14"/>
    </row>
    <row r="172" spans="1:8" x14ac:dyDescent="0.25">
      <c r="A172" s="3"/>
      <c r="B172" s="3"/>
      <c r="C172" s="3"/>
      <c r="D172" s="3"/>
      <c r="G172" s="14"/>
      <c r="H172" s="14"/>
    </row>
    <row r="173" spans="1:8" x14ac:dyDescent="0.25">
      <c r="A173" s="3"/>
      <c r="B173" s="3"/>
      <c r="C173" s="3"/>
      <c r="D173" s="3"/>
      <c r="G173" s="14"/>
      <c r="H173" s="14"/>
    </row>
    <row r="174" spans="1:8" x14ac:dyDescent="0.25">
      <c r="A174" s="3"/>
      <c r="B174" s="3"/>
      <c r="C174" s="3"/>
      <c r="D174" s="3"/>
      <c r="G174" s="14"/>
      <c r="H174" s="14"/>
    </row>
    <row r="175" spans="1:8" x14ac:dyDescent="0.25">
      <c r="A175" s="3"/>
      <c r="B175" s="3"/>
      <c r="C175" s="3"/>
      <c r="D175" s="3"/>
      <c r="G175" s="14"/>
      <c r="H175" s="14"/>
    </row>
    <row r="176" spans="1:8" x14ac:dyDescent="0.25">
      <c r="A176" s="3"/>
      <c r="B176" s="3"/>
      <c r="C176" s="3"/>
      <c r="D176" s="3"/>
      <c r="G176" s="14"/>
      <c r="H176" s="14"/>
    </row>
    <row r="177" spans="1:8" x14ac:dyDescent="0.25">
      <c r="A177" s="3"/>
      <c r="B177" s="3"/>
      <c r="C177" s="3"/>
      <c r="D177" s="3"/>
      <c r="G177" s="14"/>
      <c r="H177" s="14"/>
    </row>
    <row r="178" spans="1:8" x14ac:dyDescent="0.25">
      <c r="A178" s="3"/>
      <c r="B178" s="3"/>
      <c r="C178" s="3"/>
      <c r="D178" s="3"/>
      <c r="G178" s="14"/>
      <c r="H178" s="14"/>
    </row>
    <row r="179" spans="1:8" x14ac:dyDescent="0.25">
      <c r="A179" s="3"/>
      <c r="B179" s="3"/>
      <c r="C179" s="3"/>
      <c r="D179" s="3"/>
      <c r="G179" s="14"/>
      <c r="H179" s="14"/>
    </row>
    <row r="180" spans="1:8" x14ac:dyDescent="0.25">
      <c r="A180" s="3"/>
      <c r="B180" s="3"/>
      <c r="C180" s="3"/>
      <c r="D180" s="3"/>
      <c r="G180" s="14"/>
      <c r="H180" s="14"/>
    </row>
    <row r="181" spans="1:8" x14ac:dyDescent="0.25">
      <c r="A181" s="3"/>
      <c r="B181" s="3"/>
      <c r="C181" s="3"/>
      <c r="D181" s="3"/>
      <c r="G181" s="14"/>
      <c r="H181" s="14"/>
    </row>
    <row r="182" spans="1:8" x14ac:dyDescent="0.25">
      <c r="A182" s="3"/>
      <c r="B182" s="3"/>
      <c r="C182" s="3"/>
      <c r="D182" s="3"/>
      <c r="G182" s="14"/>
      <c r="H182" s="14"/>
    </row>
    <row r="183" spans="1:8" x14ac:dyDescent="0.25">
      <c r="A183" s="3"/>
      <c r="B183" s="3"/>
      <c r="C183" s="3"/>
      <c r="D183" s="3"/>
      <c r="G183" s="14"/>
      <c r="H183" s="14"/>
    </row>
    <row r="184" spans="1:8" x14ac:dyDescent="0.25">
      <c r="A184" s="3"/>
      <c r="B184" s="3"/>
      <c r="C184" s="3"/>
      <c r="D184" s="3"/>
      <c r="G184" s="14"/>
      <c r="H184" s="14"/>
    </row>
    <row r="185" spans="1:8" x14ac:dyDescent="0.25">
      <c r="A185" s="3"/>
      <c r="B185" s="3"/>
      <c r="C185" s="3"/>
      <c r="D185" s="3"/>
      <c r="G185" s="14"/>
      <c r="H185" s="14"/>
    </row>
    <row r="186" spans="1:8" x14ac:dyDescent="0.25">
      <c r="A186" s="3"/>
      <c r="B186" s="3"/>
      <c r="C186" s="3"/>
      <c r="D186" s="3"/>
      <c r="G186" s="14"/>
      <c r="H186" s="14"/>
    </row>
    <row r="187" spans="1:8" x14ac:dyDescent="0.25">
      <c r="A187" s="3"/>
      <c r="B187" s="3"/>
      <c r="C187" s="3"/>
      <c r="D187" s="3"/>
      <c r="G187" s="14"/>
      <c r="H187" s="14"/>
    </row>
    <row r="188" spans="1:8" x14ac:dyDescent="0.25">
      <c r="A188" s="3"/>
      <c r="B188" s="3"/>
      <c r="C188" s="3"/>
      <c r="D188" s="3"/>
      <c r="G188" s="14"/>
      <c r="H188" s="14"/>
    </row>
    <row r="189" spans="1:8" x14ac:dyDescent="0.25">
      <c r="A189" s="3"/>
      <c r="B189" s="3"/>
      <c r="C189" s="3"/>
      <c r="D189" s="3"/>
      <c r="G189" s="14"/>
      <c r="H189" s="14"/>
    </row>
    <row r="190" spans="1:8" x14ac:dyDescent="0.25">
      <c r="A190" s="3"/>
      <c r="B190" s="3"/>
      <c r="C190" s="3"/>
      <c r="D190" s="3"/>
      <c r="G190" s="14"/>
      <c r="H190" s="14"/>
    </row>
    <row r="191" spans="1:8" x14ac:dyDescent="0.25">
      <c r="A191" s="3"/>
      <c r="B191" s="3"/>
      <c r="C191" s="3"/>
      <c r="D191" s="3"/>
      <c r="G191" s="14"/>
      <c r="H191" s="14"/>
    </row>
    <row r="192" spans="1:8" x14ac:dyDescent="0.25">
      <c r="A192" s="3"/>
      <c r="B192" s="3"/>
      <c r="C192" s="3"/>
      <c r="D192" s="3"/>
      <c r="G192" s="14"/>
      <c r="H192" s="14"/>
    </row>
    <row r="193" spans="1:8" x14ac:dyDescent="0.25">
      <c r="A193" s="3"/>
      <c r="B193" s="3"/>
      <c r="C193" s="3"/>
      <c r="D193" s="3"/>
      <c r="G193" s="14"/>
      <c r="H193" s="14"/>
    </row>
    <row r="194" spans="1:8" x14ac:dyDescent="0.25">
      <c r="A194" s="3"/>
      <c r="B194" s="3"/>
      <c r="C194" s="3"/>
      <c r="D194" s="3"/>
      <c r="G194" s="14"/>
      <c r="H194" s="14"/>
    </row>
    <row r="195" spans="1:8" x14ac:dyDescent="0.25">
      <c r="A195" s="3"/>
      <c r="B195" s="3"/>
      <c r="C195" s="3"/>
      <c r="D195" s="3"/>
      <c r="G195" s="14"/>
      <c r="H195" s="14"/>
    </row>
    <row r="196" spans="1:8" x14ac:dyDescent="0.25">
      <c r="A196" s="3"/>
      <c r="B196" s="3"/>
      <c r="C196" s="3"/>
      <c r="D196" s="3"/>
      <c r="G196" s="14"/>
      <c r="H196" s="14"/>
    </row>
    <row r="197" spans="1:8" x14ac:dyDescent="0.25">
      <c r="A197" s="3"/>
      <c r="B197" s="3"/>
      <c r="C197" s="3"/>
      <c r="D197" s="3"/>
      <c r="G197" s="14"/>
      <c r="H197" s="14"/>
    </row>
    <row r="198" spans="1:8" x14ac:dyDescent="0.25">
      <c r="A198" s="3"/>
      <c r="B198" s="3"/>
      <c r="C198" s="3"/>
      <c r="D198" s="3"/>
      <c r="G198" s="14"/>
      <c r="H198" s="14"/>
    </row>
    <row r="199" spans="1:8" x14ac:dyDescent="0.25">
      <c r="A199" s="3"/>
      <c r="B199" s="3"/>
      <c r="C199" s="3"/>
      <c r="D199" s="3"/>
      <c r="G199" s="14"/>
      <c r="H199" s="14"/>
    </row>
    <row r="200" spans="1:8" x14ac:dyDescent="0.25">
      <c r="A200" s="3"/>
      <c r="B200" s="3"/>
      <c r="C200" s="3"/>
      <c r="D200" s="3"/>
      <c r="G200" s="14"/>
      <c r="H200" s="14"/>
    </row>
    <row r="201" spans="1:8" x14ac:dyDescent="0.25">
      <c r="A201" s="3"/>
      <c r="B201" s="3"/>
      <c r="C201" s="3"/>
      <c r="D201" s="3"/>
      <c r="G201" s="14"/>
      <c r="H201" s="14"/>
    </row>
    <row r="202" spans="1:8" x14ac:dyDescent="0.25">
      <c r="A202" s="3"/>
      <c r="B202" s="3"/>
      <c r="C202" s="3"/>
      <c r="D202" s="3"/>
      <c r="G202" s="14"/>
      <c r="H202" s="14"/>
    </row>
    <row r="203" spans="1:8" x14ac:dyDescent="0.25">
      <c r="A203" s="3"/>
      <c r="B203" s="3"/>
      <c r="C203" s="3"/>
      <c r="D203" s="3"/>
      <c r="G203" s="14"/>
      <c r="H203" s="14"/>
    </row>
    <row r="204" spans="1:8" x14ac:dyDescent="0.25">
      <c r="A204" s="3"/>
      <c r="B204" s="3"/>
      <c r="C204" s="3"/>
      <c r="D204" s="3"/>
      <c r="G204" s="14"/>
      <c r="H204" s="14"/>
    </row>
    <row r="205" spans="1:8" x14ac:dyDescent="0.25">
      <c r="A205" s="3"/>
      <c r="B205" s="3"/>
      <c r="C205" s="3"/>
      <c r="D205" s="3"/>
      <c r="G205" s="14"/>
      <c r="H205" s="14"/>
    </row>
    <row r="206" spans="1:8" x14ac:dyDescent="0.25">
      <c r="A206" s="3"/>
      <c r="B206" s="3"/>
      <c r="C206" s="3"/>
      <c r="D206" s="3"/>
      <c r="G206" s="14"/>
      <c r="H206" s="14"/>
    </row>
    <row r="207" spans="1:8" x14ac:dyDescent="0.25">
      <c r="A207" s="3"/>
      <c r="B207" s="3"/>
      <c r="C207" s="3"/>
      <c r="D207" s="3"/>
      <c r="G207" s="14"/>
      <c r="H207" s="14"/>
    </row>
    <row r="208" spans="1:8" x14ac:dyDescent="0.25">
      <c r="A208" s="3"/>
      <c r="B208" s="3"/>
      <c r="C208" s="3"/>
      <c r="D208" s="3"/>
      <c r="G208" s="14"/>
      <c r="H208" s="14"/>
    </row>
    <row r="209" spans="1:8" x14ac:dyDescent="0.25">
      <c r="A209" s="3"/>
      <c r="B209" s="3"/>
      <c r="C209" s="3"/>
      <c r="D209" s="3"/>
      <c r="G209" s="14"/>
      <c r="H209" s="14"/>
    </row>
    <row r="210" spans="1:8" x14ac:dyDescent="0.25">
      <c r="A210" s="3"/>
      <c r="B210" s="3"/>
      <c r="C210" s="3"/>
      <c r="D210" s="3"/>
      <c r="G210" s="14"/>
      <c r="H210" s="14"/>
    </row>
    <row r="211" spans="1:8" x14ac:dyDescent="0.25">
      <c r="A211" s="3"/>
      <c r="B211" s="3"/>
      <c r="C211" s="3"/>
      <c r="D211" s="3"/>
      <c r="G211" s="14"/>
      <c r="H211" s="14"/>
    </row>
    <row r="212" spans="1:8" x14ac:dyDescent="0.25">
      <c r="A212" s="3"/>
      <c r="B212" s="3"/>
      <c r="C212" s="3"/>
      <c r="D212" s="3"/>
      <c r="G212" s="14"/>
      <c r="H212" s="14"/>
    </row>
    <row r="213" spans="1:8" x14ac:dyDescent="0.25">
      <c r="A213" s="3"/>
      <c r="B213" s="3"/>
      <c r="C213" s="3"/>
      <c r="D213" s="3"/>
      <c r="G213" s="14"/>
      <c r="H213" s="14"/>
    </row>
    <row r="214" spans="1:8" x14ac:dyDescent="0.25">
      <c r="A214" s="3"/>
      <c r="B214" s="3"/>
      <c r="C214" s="3"/>
      <c r="D214" s="3"/>
      <c r="G214" s="14"/>
      <c r="H214" s="14"/>
    </row>
    <row r="215" spans="1:8" x14ac:dyDescent="0.25">
      <c r="A215" s="3"/>
      <c r="B215" s="3"/>
      <c r="C215" s="3"/>
      <c r="D215" s="3"/>
      <c r="G215" s="14"/>
      <c r="H215" s="14"/>
    </row>
    <row r="216" spans="1:8" x14ac:dyDescent="0.25">
      <c r="A216" s="3"/>
      <c r="B216" s="3"/>
      <c r="C216" s="3"/>
      <c r="D216" s="3"/>
      <c r="G216" s="14"/>
      <c r="H216" s="14"/>
    </row>
    <row r="217" spans="1:8" x14ac:dyDescent="0.25">
      <c r="A217" s="3"/>
      <c r="B217" s="3"/>
      <c r="C217" s="3"/>
      <c r="D217" s="3"/>
      <c r="G217" s="14"/>
      <c r="H217" s="14"/>
    </row>
    <row r="218" spans="1:8" x14ac:dyDescent="0.25">
      <c r="A218" s="3"/>
      <c r="B218" s="3"/>
      <c r="C218" s="3"/>
      <c r="D218" s="3"/>
      <c r="G218" s="14"/>
      <c r="H218" s="14"/>
    </row>
    <row r="219" spans="1:8" x14ac:dyDescent="0.25">
      <c r="A219" s="3"/>
      <c r="B219" s="3"/>
      <c r="C219" s="3"/>
      <c r="D219" s="3"/>
      <c r="G219" s="14"/>
      <c r="H219" s="14"/>
    </row>
    <row r="220" spans="1:8" x14ac:dyDescent="0.25">
      <c r="A220" s="3"/>
      <c r="B220" s="3"/>
      <c r="C220" s="3"/>
      <c r="D220" s="3"/>
      <c r="G220" s="14"/>
      <c r="H220" s="14"/>
    </row>
    <row r="221" spans="1:8" x14ac:dyDescent="0.25">
      <c r="A221" s="3"/>
      <c r="B221" s="3"/>
      <c r="C221" s="3"/>
      <c r="D221" s="3"/>
      <c r="G221" s="14"/>
      <c r="H221" s="14"/>
    </row>
    <row r="222" spans="1:8" x14ac:dyDescent="0.25">
      <c r="A222" s="3"/>
      <c r="B222" s="3"/>
      <c r="C222" s="3"/>
      <c r="D222" s="3"/>
      <c r="G222" s="14"/>
      <c r="H222" s="14"/>
    </row>
    <row r="223" spans="1:8" x14ac:dyDescent="0.25">
      <c r="A223" s="3"/>
      <c r="B223" s="3"/>
      <c r="C223" s="3"/>
      <c r="D223" s="3"/>
      <c r="G223" s="14"/>
      <c r="H223" s="14"/>
    </row>
    <row r="224" spans="1:8" x14ac:dyDescent="0.25">
      <c r="A224" s="3"/>
      <c r="B224" s="3"/>
      <c r="C224" s="3"/>
      <c r="D224" s="3"/>
      <c r="G224" s="14"/>
      <c r="H224" s="14"/>
    </row>
    <row r="225" spans="1:8" x14ac:dyDescent="0.25">
      <c r="A225" s="3"/>
      <c r="B225" s="3"/>
      <c r="C225" s="3"/>
      <c r="D225" s="3"/>
      <c r="G225" s="14"/>
      <c r="H225" s="14"/>
    </row>
    <row r="226" spans="1:8" x14ac:dyDescent="0.25">
      <c r="A226" s="3"/>
      <c r="B226" s="3"/>
      <c r="C226" s="3"/>
      <c r="D226" s="3"/>
      <c r="G226" s="14"/>
      <c r="H226" s="14"/>
    </row>
    <row r="227" spans="1:8" x14ac:dyDescent="0.25">
      <c r="A227" s="3"/>
      <c r="B227" s="3"/>
      <c r="C227" s="3"/>
      <c r="D227" s="3"/>
      <c r="G227" s="14"/>
      <c r="H227" s="14"/>
    </row>
    <row r="228" spans="1:8" x14ac:dyDescent="0.25">
      <c r="A228" s="3"/>
      <c r="B228" s="3"/>
      <c r="C228" s="3"/>
      <c r="D228" s="3"/>
      <c r="G228" s="14"/>
      <c r="H228" s="14"/>
    </row>
    <row r="229" spans="1:8" x14ac:dyDescent="0.25">
      <c r="A229" s="3"/>
      <c r="B229" s="3"/>
      <c r="C229" s="3"/>
      <c r="D229" s="3"/>
      <c r="G229" s="14"/>
      <c r="H229" s="14"/>
    </row>
    <row r="230" spans="1:8" x14ac:dyDescent="0.25">
      <c r="A230" s="3"/>
      <c r="B230" s="3"/>
      <c r="C230" s="3"/>
      <c r="D230" s="3"/>
      <c r="G230" s="14"/>
      <c r="H230" s="14"/>
    </row>
    <row r="231" spans="1:8" x14ac:dyDescent="0.25">
      <c r="A231" s="3"/>
      <c r="B231" s="3"/>
      <c r="C231" s="3"/>
      <c r="D231" s="3"/>
      <c r="G231" s="14"/>
      <c r="H231" s="14"/>
    </row>
    <row r="232" spans="1:8" x14ac:dyDescent="0.25">
      <c r="A232" s="3"/>
      <c r="B232" s="3"/>
      <c r="C232" s="3"/>
      <c r="D232" s="3"/>
      <c r="G232" s="14"/>
      <c r="H232" s="14"/>
    </row>
    <row r="233" spans="1:8" x14ac:dyDescent="0.25">
      <c r="A233" s="3"/>
      <c r="B233" s="3"/>
      <c r="C233" s="3"/>
      <c r="D233" s="3"/>
      <c r="G233" s="14"/>
      <c r="H233" s="14"/>
    </row>
    <row r="234" spans="1:8" x14ac:dyDescent="0.25">
      <c r="A234" s="3"/>
      <c r="B234" s="3"/>
      <c r="C234" s="3"/>
      <c r="D234" s="3"/>
      <c r="G234" s="14"/>
      <c r="H234" s="14"/>
    </row>
    <row r="235" spans="1:8" x14ac:dyDescent="0.25">
      <c r="A235" s="3"/>
      <c r="B235" s="3"/>
      <c r="C235" s="3"/>
      <c r="D235" s="3"/>
      <c r="G235" s="14"/>
      <c r="H235" s="14"/>
    </row>
    <row r="236" spans="1:8" x14ac:dyDescent="0.25">
      <c r="A236" s="3"/>
      <c r="B236" s="3"/>
      <c r="C236" s="3"/>
      <c r="D236" s="3"/>
      <c r="G236" s="14"/>
      <c r="H236" s="14"/>
    </row>
    <row r="237" spans="1:8" x14ac:dyDescent="0.25">
      <c r="A237" s="3"/>
      <c r="B237" s="3"/>
      <c r="C237" s="3"/>
      <c r="D237" s="3"/>
      <c r="G237" s="14"/>
      <c r="H237" s="14"/>
    </row>
    <row r="238" spans="1:8" x14ac:dyDescent="0.25">
      <c r="A238" s="3"/>
      <c r="B238" s="3"/>
      <c r="C238" s="3"/>
      <c r="D238" s="3"/>
      <c r="G238" s="14"/>
      <c r="H238" s="14"/>
    </row>
    <row r="239" spans="1:8" x14ac:dyDescent="0.25">
      <c r="A239" s="3"/>
      <c r="B239" s="3"/>
      <c r="C239" s="3"/>
      <c r="D239" s="3"/>
      <c r="G239" s="14"/>
      <c r="H239" s="14"/>
    </row>
    <row r="240" spans="1:8" x14ac:dyDescent="0.25">
      <c r="A240" s="3"/>
      <c r="B240" s="3"/>
      <c r="C240" s="3"/>
      <c r="D240" s="3"/>
      <c r="G240" s="14"/>
      <c r="H240" s="14"/>
    </row>
    <row r="241" spans="1:8" x14ac:dyDescent="0.25">
      <c r="A241" s="3"/>
      <c r="B241" s="3"/>
      <c r="C241" s="3"/>
      <c r="D241" s="3"/>
      <c r="G241" s="14"/>
      <c r="H241" s="14"/>
    </row>
    <row r="242" spans="1:8" x14ac:dyDescent="0.25">
      <c r="A242" s="3"/>
      <c r="B242" s="3"/>
      <c r="C242" s="3"/>
      <c r="D242" s="3"/>
      <c r="G242" s="14"/>
      <c r="H242" s="14"/>
    </row>
    <row r="243" spans="1:8" x14ac:dyDescent="0.25">
      <c r="A243" s="3"/>
      <c r="B243" s="3"/>
      <c r="C243" s="3"/>
      <c r="D243" s="3"/>
      <c r="G243" s="14"/>
      <c r="H243" s="14"/>
    </row>
    <row r="244" spans="1:8" x14ac:dyDescent="0.25">
      <c r="A244" s="3"/>
      <c r="B244" s="3"/>
      <c r="C244" s="3"/>
      <c r="D244" s="3"/>
      <c r="G244" s="14"/>
      <c r="H244" s="14"/>
    </row>
    <row r="245" spans="1:8" x14ac:dyDescent="0.25">
      <c r="A245" s="3"/>
      <c r="B245" s="3"/>
      <c r="C245" s="3"/>
      <c r="D245" s="3"/>
      <c r="G245" s="14"/>
      <c r="H245" s="14"/>
    </row>
    <row r="247" spans="1:8" x14ac:dyDescent="0.25">
      <c r="A247" s="3"/>
      <c r="G247" s="14"/>
      <c r="H247" s="14"/>
    </row>
  </sheetData>
  <phoneticPr fontId="1" type="noConversion"/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5E413F-0E89-40AC-B4C5-19A3CFC9F2E7}">
  <sheetPr/>
  <dimension ref="A1:J247"/>
  <sheetViews>
    <sheetView topLeftCell="A35" zoomScale="115" zoomScaleNormal="115" workbookViewId="0">
      <selection activeCell="A5" sqref="A5:H98"/>
    </sheetView>
  </sheetViews>
  <sheetFormatPr defaultRowHeight="15" x14ac:dyDescent="0.25"/>
  <cols>
    <col min="1" max="1" width="8.875" style="4" customWidth="1"/>
    <col min="2" max="3" width="15.125" style="4" customWidth="1"/>
    <col min="4" max="4" width="10.25" style="4" customWidth="1"/>
    <col min="5" max="5" width="12" style="13" customWidth="1"/>
    <col min="6" max="6" width="15" style="13" customWidth="1"/>
    <col min="7" max="7" width="13.875" customWidth="1"/>
    <col min="8" max="8" width="11.125" customWidth="1"/>
    <col min="11" max="12" width="15.125" customWidth="1"/>
    <col min="13" max="13" width="11.125" customWidth="1"/>
  </cols>
  <sheetData>
    <row r="1" spans="1:10" ht="14.25" x14ac:dyDescent="0.2">
      <c r="A1" s="2" t="s">
        <v>12</v>
      </c>
      <c r="B1" s="2" t="s">
        <v>4</v>
      </c>
      <c r="C1" s="2" t="s">
        <v>5</v>
      </c>
      <c r="D1" s="2" t="s">
        <v>13</v>
      </c>
      <c r="E1" s="2" t="s">
        <v>14</v>
      </c>
      <c r="F1" s="2" t="s">
        <v>15</v>
      </c>
      <c r="G1" s="2" t="s">
        <v>16</v>
      </c>
    </row>
    <row r="2" spans="1:10" x14ac:dyDescent="0.25">
      <c r="A2" s="11">
        <v>42</v>
      </c>
      <c r="B2" s="3">
        <v>113.3430245</v>
      </c>
      <c r="C2" s="8">
        <v>22.911355799999999</v>
      </c>
      <c r="D2" s="3">
        <v>1645</v>
      </c>
      <c r="E2" s="13">
        <v>1750</v>
      </c>
      <c r="F2" s="13">
        <v>5</v>
      </c>
      <c r="G2" s="19">
        <f>SUBTOTAL(2,A5:A250)</f>
        <v>32</v>
      </c>
    </row>
    <row r="3" spans="1:10" x14ac:dyDescent="0.25">
      <c r="A3" s="3"/>
      <c r="B3" s="3"/>
      <c r="C3" s="3"/>
      <c r="D3" s="3"/>
    </row>
    <row r="4" spans="1:10" ht="14.25" x14ac:dyDescent="0.2">
      <c r="A4" s="2" t="s">
        <v>0</v>
      </c>
      <c r="B4" s="2" t="s">
        <v>1</v>
      </c>
      <c r="C4" s="2" t="s">
        <v>2</v>
      </c>
      <c r="D4" s="2" t="s">
        <v>3</v>
      </c>
      <c r="E4" s="2" t="s">
        <v>7</v>
      </c>
      <c r="F4" s="2" t="s">
        <v>8</v>
      </c>
      <c r="G4" s="2" t="s">
        <v>13</v>
      </c>
      <c r="H4" s="2" t="s">
        <v>14</v>
      </c>
      <c r="I4" s="24" t="s">
        <v>20</v>
      </c>
    </row>
    <row r="5" spans="1:10" x14ac:dyDescent="0.25">
      <c r="A5" s="3">
        <v>4458</v>
      </c>
      <c r="B5" s="3">
        <v>113.34313419999999</v>
      </c>
      <c r="C5" s="3">
        <v>22.910930359999998</v>
      </c>
      <c r="D5" s="3">
        <v>42</v>
      </c>
      <c r="E5" s="13">
        <f t="shared" ref="E5:E36" si="0">SQRT((B5-$B$2)^2+(C5-$C$2)^2)</f>
        <v>4.393555321146613E-4</v>
      </c>
      <c r="F5" s="13">
        <f t="shared" ref="F5:F36" si="1">SQRT(1/E5)</f>
        <v>47.708081272550118</v>
      </c>
      <c r="G5" s="14">
        <f>F5/$F$101*$D$2</f>
        <v>135.44671196872693</v>
      </c>
      <c r="H5" s="14">
        <f>F5/$F$101*$E$2</f>
        <v>144.09224677524142</v>
      </c>
      <c r="I5" s="25" t="str">
        <f>IF(MOD(ROW()-1,3)=1,"选中","")</f>
        <v>选中</v>
      </c>
      <c r="J5" s="25"/>
    </row>
    <row r="6" spans="1:10" hidden="1" x14ac:dyDescent="0.25">
      <c r="A6" s="3">
        <v>4446</v>
      </c>
      <c r="B6" s="3">
        <v>113.3434515</v>
      </c>
      <c r="C6" s="3">
        <v>22.911555539999998</v>
      </c>
      <c r="D6" s="3">
        <v>42</v>
      </c>
      <c r="E6" s="13">
        <f t="shared" si="0"/>
        <v>4.7140753876174254E-4</v>
      </c>
      <c r="F6" s="13">
        <f t="shared" si="1"/>
        <v>46.057646083776241</v>
      </c>
      <c r="G6" s="14" t="e">
        <f>F6/$F$124*$D$2</f>
        <v>#DIV/0!</v>
      </c>
      <c r="H6" s="14" t="e">
        <f>F6/$F$124*$E$2</f>
        <v>#DIV/0!</v>
      </c>
      <c r="I6" s="25" t="str">
        <f t="shared" ref="I6:I69" si="2">IF(MOD(ROW()-1,3)=1,"选中","")</f>
        <v/>
      </c>
    </row>
    <row r="7" spans="1:10" hidden="1" x14ac:dyDescent="0.25">
      <c r="A7" s="3">
        <v>4444</v>
      </c>
      <c r="B7" s="3">
        <v>113.34352440000001</v>
      </c>
      <c r="C7" s="3">
        <v>22.911898269999998</v>
      </c>
      <c r="D7" s="3">
        <v>42</v>
      </c>
      <c r="E7" s="13">
        <f t="shared" si="0"/>
        <v>7.3768130714247987E-4</v>
      </c>
      <c r="F7" s="13">
        <f t="shared" si="1"/>
        <v>36.818459265480797</v>
      </c>
      <c r="G7" s="14" t="e">
        <f>F7/$F$124*$D$2</f>
        <v>#DIV/0!</v>
      </c>
      <c r="H7" s="14" t="e">
        <f>F7/$F$124*$E$2</f>
        <v>#DIV/0!</v>
      </c>
      <c r="I7" s="25" t="str">
        <f t="shared" si="2"/>
        <v/>
      </c>
    </row>
    <row r="8" spans="1:10" x14ac:dyDescent="0.25">
      <c r="A8" s="3">
        <v>4438</v>
      </c>
      <c r="B8" s="3">
        <v>113.3429695</v>
      </c>
      <c r="C8" s="3">
        <v>22.910496819999999</v>
      </c>
      <c r="D8" s="3">
        <v>42</v>
      </c>
      <c r="E8" s="13">
        <f t="shared" si="0"/>
        <v>8.6073900829511016E-4</v>
      </c>
      <c r="F8" s="13">
        <f t="shared" si="1"/>
        <v>34.085075261694399</v>
      </c>
      <c r="G8" s="14">
        <f>F8/$F$101*$D$2</f>
        <v>96.770007266241208</v>
      </c>
      <c r="H8" s="14">
        <f>F8/$F$101*$E$2</f>
        <v>102.94681624068214</v>
      </c>
      <c r="I8" s="25" t="str">
        <f t="shared" si="2"/>
        <v>选中</v>
      </c>
    </row>
    <row r="9" spans="1:10" hidden="1" x14ac:dyDescent="0.25">
      <c r="A9" s="3">
        <v>4441</v>
      </c>
      <c r="B9" s="3">
        <v>113.343762</v>
      </c>
      <c r="C9" s="3">
        <v>22.910788320000002</v>
      </c>
      <c r="D9" s="3">
        <v>42</v>
      </c>
      <c r="E9" s="13">
        <f t="shared" si="0"/>
        <v>9.3055886455202443E-4</v>
      </c>
      <c r="F9" s="13">
        <f t="shared" si="1"/>
        <v>32.781443598175024</v>
      </c>
      <c r="G9" s="14" t="e">
        <f>F9/$F$124*$D$2</f>
        <v>#DIV/0!</v>
      </c>
      <c r="H9" s="14" t="e">
        <f>F9/$F$124*$E$2</f>
        <v>#DIV/0!</v>
      </c>
      <c r="I9" s="25" t="str">
        <f t="shared" si="2"/>
        <v/>
      </c>
    </row>
    <row r="10" spans="1:10" hidden="1" x14ac:dyDescent="0.25">
      <c r="A10" s="3">
        <v>4454</v>
      </c>
      <c r="B10" s="3">
        <v>113.342135</v>
      </c>
      <c r="C10" s="3">
        <v>22.911896710000001</v>
      </c>
      <c r="D10" s="3">
        <v>42</v>
      </c>
      <c r="E10" s="13">
        <f t="shared" si="0"/>
        <v>1.04105421477504E-3</v>
      </c>
      <c r="F10" s="13">
        <f t="shared" si="1"/>
        <v>30.992979329529771</v>
      </c>
      <c r="G10" s="14" t="e">
        <f>F10/$F$124*$D$2</f>
        <v>#DIV/0!</v>
      </c>
      <c r="H10" s="14" t="e">
        <f>F10/$F$124*$E$2</f>
        <v>#DIV/0!</v>
      </c>
      <c r="I10" s="25" t="str">
        <f t="shared" si="2"/>
        <v/>
      </c>
    </row>
    <row r="11" spans="1:10" x14ac:dyDescent="0.25">
      <c r="A11" s="3">
        <v>4439</v>
      </c>
      <c r="B11" s="3">
        <v>113.3420023</v>
      </c>
      <c r="C11" s="3">
        <v>22.91112227</v>
      </c>
      <c r="D11" s="3">
        <v>42</v>
      </c>
      <c r="E11" s="13">
        <f t="shared" si="0"/>
        <v>1.0485366473746852E-3</v>
      </c>
      <c r="F11" s="13">
        <f t="shared" si="1"/>
        <v>30.882197278589921</v>
      </c>
      <c r="G11" s="14">
        <f>F11/$F$101*$D$2</f>
        <v>87.676803765346335</v>
      </c>
      <c r="H11" s="14">
        <f>F11/$F$101*$E$2</f>
        <v>93.273195495049293</v>
      </c>
      <c r="I11" s="25" t="str">
        <f t="shared" si="2"/>
        <v>选中</v>
      </c>
    </row>
    <row r="12" spans="1:10" hidden="1" x14ac:dyDescent="0.25">
      <c r="A12" s="3">
        <v>4435</v>
      </c>
      <c r="B12" s="3">
        <v>113.3440325</v>
      </c>
      <c r="C12" s="3">
        <v>22.910650910000001</v>
      </c>
      <c r="D12" s="3">
        <v>42</v>
      </c>
      <c r="E12" s="13">
        <f t="shared" si="0"/>
        <v>1.2300137853270912E-3</v>
      </c>
      <c r="F12" s="13">
        <f t="shared" si="1"/>
        <v>28.513137644379359</v>
      </c>
      <c r="G12" s="14" t="e">
        <f>F12/$F$124*$D$2</f>
        <v>#DIV/0!</v>
      </c>
      <c r="H12" s="14" t="e">
        <f>F12/$F$124*$E$2</f>
        <v>#DIV/0!</v>
      </c>
      <c r="I12" s="25" t="str">
        <f t="shared" si="2"/>
        <v/>
      </c>
    </row>
    <row r="13" spans="1:10" hidden="1" x14ac:dyDescent="0.25">
      <c r="A13" s="3">
        <v>4456</v>
      </c>
      <c r="B13" s="3">
        <v>113.3418585</v>
      </c>
      <c r="C13" s="3">
        <v>22.912024150000001</v>
      </c>
      <c r="D13" s="3">
        <v>42</v>
      </c>
      <c r="E13" s="13">
        <f t="shared" si="0"/>
        <v>1.3439671582657366E-3</v>
      </c>
      <c r="F13" s="13">
        <f t="shared" si="1"/>
        <v>27.277569556345568</v>
      </c>
      <c r="G13" s="14" t="e">
        <f>F13/$F$124*$D$2</f>
        <v>#DIV/0!</v>
      </c>
      <c r="H13" s="14" t="e">
        <f>F13/$F$124*$E$2</f>
        <v>#DIV/0!</v>
      </c>
      <c r="I13" s="25" t="str">
        <f t="shared" si="2"/>
        <v/>
      </c>
    </row>
    <row r="14" spans="1:10" x14ac:dyDescent="0.25">
      <c r="A14" s="3">
        <v>4431</v>
      </c>
      <c r="B14" s="3">
        <v>113.34438179999999</v>
      </c>
      <c r="C14" s="3">
        <v>22.911459969999999</v>
      </c>
      <c r="D14" s="3">
        <v>42</v>
      </c>
      <c r="E14" s="13">
        <f t="shared" si="0"/>
        <v>1.3612915480846828E-3</v>
      </c>
      <c r="F14" s="13">
        <f t="shared" si="1"/>
        <v>27.1034406501518</v>
      </c>
      <c r="G14" s="14">
        <f>F14/$F$101*$D$2</f>
        <v>76.948638913609528</v>
      </c>
      <c r="H14" s="14">
        <f>F14/$F$101*$E$2</f>
        <v>81.860254163414396</v>
      </c>
      <c r="I14" s="25" t="str">
        <f t="shared" si="2"/>
        <v>选中</v>
      </c>
    </row>
    <row r="15" spans="1:10" hidden="1" x14ac:dyDescent="0.25">
      <c r="A15" s="3">
        <v>4397</v>
      </c>
      <c r="B15" s="3">
        <v>113.341594</v>
      </c>
      <c r="C15" s="3">
        <v>22.91092707</v>
      </c>
      <c r="D15" s="3">
        <v>42</v>
      </c>
      <c r="E15" s="13">
        <f t="shared" si="0"/>
        <v>1.4933652141701581E-3</v>
      </c>
      <c r="F15" s="13">
        <f t="shared" si="1"/>
        <v>25.877182253746145</v>
      </c>
      <c r="G15" s="14" t="e">
        <f>F15/$F$124*$D$2</f>
        <v>#DIV/0!</v>
      </c>
      <c r="H15" s="14" t="e">
        <f>F15/$F$124*$E$2</f>
        <v>#DIV/0!</v>
      </c>
      <c r="I15" s="25" t="str">
        <f t="shared" si="2"/>
        <v/>
      </c>
    </row>
    <row r="16" spans="1:10" hidden="1" x14ac:dyDescent="0.25">
      <c r="A16" s="3">
        <v>4462</v>
      </c>
      <c r="B16" s="3">
        <v>113.34189139999999</v>
      </c>
      <c r="C16" s="3">
        <v>22.91235695</v>
      </c>
      <c r="D16" s="3">
        <v>42</v>
      </c>
      <c r="E16" s="13">
        <f t="shared" si="0"/>
        <v>1.5120241177012377E-3</v>
      </c>
      <c r="F16" s="13">
        <f t="shared" si="1"/>
        <v>25.717019890200127</v>
      </c>
      <c r="G16" s="14" t="e">
        <f>F16/$F$124*$D$2</f>
        <v>#DIV/0!</v>
      </c>
      <c r="H16" s="14" t="e">
        <f>F16/$F$124*$E$2</f>
        <v>#DIV/0!</v>
      </c>
      <c r="I16" s="25" t="str">
        <f t="shared" si="2"/>
        <v/>
      </c>
    </row>
    <row r="17" spans="1:9" x14ac:dyDescent="0.25">
      <c r="A17" s="3">
        <v>4440</v>
      </c>
      <c r="B17" s="3">
        <v>113.343262</v>
      </c>
      <c r="C17" s="3">
        <v>22.909857580000001</v>
      </c>
      <c r="D17" s="3">
        <v>42</v>
      </c>
      <c r="E17" s="13">
        <f t="shared" si="0"/>
        <v>1.5169276246393593E-3</v>
      </c>
      <c r="F17" s="13">
        <f t="shared" si="1"/>
        <v>25.67542078662018</v>
      </c>
      <c r="G17" s="14">
        <f>F17/$F$101*$D$2</f>
        <v>72.894386678303704</v>
      </c>
      <c r="H17" s="14">
        <f>F17/$F$101*$E$2</f>
        <v>77.547219870535855</v>
      </c>
      <c r="I17" s="25" t="str">
        <f t="shared" si="2"/>
        <v>选中</v>
      </c>
    </row>
    <row r="18" spans="1:9" hidden="1" x14ac:dyDescent="0.25">
      <c r="A18" s="3">
        <v>4436</v>
      </c>
      <c r="B18" s="3">
        <v>113.3445086</v>
      </c>
      <c r="C18" s="3">
        <v>22.911867579999999</v>
      </c>
      <c r="D18" s="3">
        <v>42</v>
      </c>
      <c r="E18" s="13">
        <f t="shared" si="0"/>
        <v>1.5698635540699305E-3</v>
      </c>
      <c r="F18" s="13">
        <f t="shared" si="1"/>
        <v>25.238820010742511</v>
      </c>
      <c r="G18" s="14" t="e">
        <f>F18/$F$124*$D$2</f>
        <v>#DIV/0!</v>
      </c>
      <c r="H18" s="14" t="e">
        <f>F18/$F$124*$E$2</f>
        <v>#DIV/0!</v>
      </c>
      <c r="I18" s="25" t="str">
        <f t="shared" si="2"/>
        <v/>
      </c>
    </row>
    <row r="19" spans="1:9" hidden="1" x14ac:dyDescent="0.25">
      <c r="A19" s="3">
        <v>4449</v>
      </c>
      <c r="B19" s="3">
        <v>113.3437239</v>
      </c>
      <c r="C19" s="3">
        <v>22.913034459999999</v>
      </c>
      <c r="D19" s="3">
        <v>42</v>
      </c>
      <c r="E19" s="13">
        <f t="shared" si="0"/>
        <v>1.8185323080994488E-3</v>
      </c>
      <c r="F19" s="13">
        <f t="shared" si="1"/>
        <v>23.449818703649118</v>
      </c>
      <c r="G19" s="14" t="e">
        <f>F19/$F$124*$D$2</f>
        <v>#DIV/0!</v>
      </c>
      <c r="H19" s="14" t="e">
        <f>F19/$F$124*$E$2</f>
        <v>#DIV/0!</v>
      </c>
      <c r="I19" s="25" t="str">
        <f t="shared" si="2"/>
        <v/>
      </c>
    </row>
    <row r="20" spans="1:9" x14ac:dyDescent="0.25">
      <c r="A20" s="3">
        <v>4433</v>
      </c>
      <c r="B20" s="3">
        <v>113.3429586</v>
      </c>
      <c r="C20" s="3">
        <v>22.909537239999999</v>
      </c>
      <c r="D20" s="3">
        <v>42</v>
      </c>
      <c r="E20" s="13">
        <f t="shared" si="0"/>
        <v>1.8197536326657847E-3</v>
      </c>
      <c r="F20" s="13">
        <f t="shared" si="1"/>
        <v>23.441948229824284</v>
      </c>
      <c r="G20" s="14">
        <f>F20/$F$101*$D$2</f>
        <v>66.553395675916676</v>
      </c>
      <c r="H20" s="14">
        <f>F20/$F$101*$E$2</f>
        <v>70.80148476161348</v>
      </c>
      <c r="I20" s="25" t="str">
        <f t="shared" si="2"/>
        <v>选中</v>
      </c>
    </row>
    <row r="21" spans="1:9" hidden="1" x14ac:dyDescent="0.25">
      <c r="A21" s="3">
        <v>4453</v>
      </c>
      <c r="B21" s="3">
        <v>113.34362109999999</v>
      </c>
      <c r="C21" s="3">
        <v>22.913263539999999</v>
      </c>
      <c r="D21" s="3">
        <v>42</v>
      </c>
      <c r="E21" s="13">
        <f t="shared" si="0"/>
        <v>1.9988505365818353E-3</v>
      </c>
      <c r="F21" s="13">
        <f t="shared" si="1"/>
        <v>22.36710824196517</v>
      </c>
      <c r="G21" s="14" t="e">
        <f>F21/$F$124*$D$2</f>
        <v>#DIV/0!</v>
      </c>
      <c r="H21" s="14" t="e">
        <f>F21/$F$124*$E$2</f>
        <v>#DIV/0!</v>
      </c>
      <c r="I21" s="25" t="str">
        <f t="shared" si="2"/>
        <v/>
      </c>
    </row>
    <row r="22" spans="1:9" hidden="1" x14ac:dyDescent="0.25">
      <c r="A22" s="3">
        <v>4420</v>
      </c>
      <c r="B22" s="3">
        <v>113.3411638</v>
      </c>
      <c r="C22" s="3">
        <v>22.912274279999998</v>
      </c>
      <c r="D22" s="3">
        <v>42</v>
      </c>
      <c r="E22" s="13">
        <f t="shared" si="0"/>
        <v>2.0750445779256425E-3</v>
      </c>
      <c r="F22" s="13">
        <f t="shared" si="1"/>
        <v>21.952616191471471</v>
      </c>
      <c r="G22" s="14" t="e">
        <f>F22/$F$124*$D$2</f>
        <v>#DIV/0!</v>
      </c>
      <c r="H22" s="14" t="e">
        <f>F22/$F$124*$E$2</f>
        <v>#DIV/0!</v>
      </c>
      <c r="I22" s="25" t="str">
        <f t="shared" si="2"/>
        <v/>
      </c>
    </row>
    <row r="23" spans="1:9" x14ac:dyDescent="0.25">
      <c r="A23" s="3">
        <v>4434</v>
      </c>
      <c r="B23" s="3">
        <v>113.3417938</v>
      </c>
      <c r="C23" s="3">
        <v>22.909653240000001</v>
      </c>
      <c r="D23" s="3">
        <v>42</v>
      </c>
      <c r="E23" s="13">
        <f t="shared" si="0"/>
        <v>2.1007934319152467E-3</v>
      </c>
      <c r="F23" s="13">
        <f t="shared" si="1"/>
        <v>21.817667785710906</v>
      </c>
      <c r="G23" s="14">
        <f>F23/$F$101*$D$2</f>
        <v>61.941945380663562</v>
      </c>
      <c r="H23" s="14">
        <f>F23/$F$101*$E$2</f>
        <v>65.895686575173997</v>
      </c>
      <c r="I23" s="25" t="str">
        <f t="shared" si="2"/>
        <v>选中</v>
      </c>
    </row>
    <row r="24" spans="1:9" hidden="1" x14ac:dyDescent="0.25">
      <c r="A24" s="3">
        <v>4455</v>
      </c>
      <c r="B24" s="3">
        <v>113.34390860000001</v>
      </c>
      <c r="C24" s="3">
        <v>22.913385989999998</v>
      </c>
      <c r="D24" s="3">
        <v>42</v>
      </c>
      <c r="E24" s="13">
        <f t="shared" si="0"/>
        <v>2.2143405894555308E-3</v>
      </c>
      <c r="F24" s="13">
        <f t="shared" si="1"/>
        <v>21.250922603054583</v>
      </c>
      <c r="G24" s="14" t="e">
        <f>F24/$F$124*$D$2</f>
        <v>#DIV/0!</v>
      </c>
      <c r="H24" s="14" t="e">
        <f>F24/$F$124*$E$2</f>
        <v>#DIV/0!</v>
      </c>
      <c r="I24" s="25" t="str">
        <f t="shared" si="2"/>
        <v/>
      </c>
    </row>
    <row r="25" spans="1:9" hidden="1" x14ac:dyDescent="0.25">
      <c r="A25" s="3">
        <v>4416</v>
      </c>
      <c r="B25" s="3">
        <v>113.3408933</v>
      </c>
      <c r="C25" s="3">
        <v>22.912026860000001</v>
      </c>
      <c r="D25" s="3">
        <v>42</v>
      </c>
      <c r="E25" s="13">
        <f t="shared" si="0"/>
        <v>2.2343533658703376E-3</v>
      </c>
      <c r="F25" s="13">
        <f t="shared" si="1"/>
        <v>21.155537832436721</v>
      </c>
      <c r="G25" s="14" t="e">
        <f>F25/$F$124*$D$2</f>
        <v>#DIV/0!</v>
      </c>
      <c r="H25" s="14" t="e">
        <f>F25/$F$124*$E$2</f>
        <v>#DIV/0!</v>
      </c>
      <c r="I25" s="25" t="str">
        <f t="shared" si="2"/>
        <v/>
      </c>
    </row>
    <row r="26" spans="1:9" x14ac:dyDescent="0.25">
      <c r="A26" s="3">
        <v>4443</v>
      </c>
      <c r="B26" s="3">
        <v>113.34171790000001</v>
      </c>
      <c r="C26" s="3">
        <v>22.90949144</v>
      </c>
      <c r="D26" s="3">
        <v>42</v>
      </c>
      <c r="E26" s="13">
        <f t="shared" si="0"/>
        <v>2.2766294756890967E-3</v>
      </c>
      <c r="F26" s="13">
        <f t="shared" si="1"/>
        <v>20.958192393335931</v>
      </c>
      <c r="G26" s="14">
        <f>F26/$F$101*$D$2</f>
        <v>59.501832242384772</v>
      </c>
      <c r="H26" s="14">
        <f>F26/$F$101*$E$2</f>
        <v>63.29982153445188</v>
      </c>
      <c r="I26" s="25" t="str">
        <f t="shared" si="2"/>
        <v>选中</v>
      </c>
    </row>
    <row r="27" spans="1:9" hidden="1" x14ac:dyDescent="0.25">
      <c r="A27" s="3">
        <v>4452</v>
      </c>
      <c r="B27" s="3">
        <v>113.34520620000001</v>
      </c>
      <c r="C27" s="3">
        <v>22.912797999999999</v>
      </c>
      <c r="D27" s="3">
        <v>42</v>
      </c>
      <c r="E27" s="13">
        <f t="shared" si="0"/>
        <v>2.6152926662298247E-3</v>
      </c>
      <c r="F27" s="13">
        <f t="shared" si="1"/>
        <v>19.554190958534146</v>
      </c>
      <c r="G27" s="14" t="e">
        <f>F27/$F$124*$D$2</f>
        <v>#DIV/0!</v>
      </c>
      <c r="H27" s="14" t="e">
        <f>F27/$F$124*$E$2</f>
        <v>#DIV/0!</v>
      </c>
      <c r="I27" s="25" t="str">
        <f t="shared" si="2"/>
        <v/>
      </c>
    </row>
    <row r="28" spans="1:9" hidden="1" x14ac:dyDescent="0.25">
      <c r="A28" s="3">
        <v>4430</v>
      </c>
      <c r="B28" s="3">
        <v>113.34383</v>
      </c>
      <c r="C28" s="3">
        <v>22.90878403</v>
      </c>
      <c r="D28" s="3">
        <v>42</v>
      </c>
      <c r="E28" s="13">
        <f t="shared" si="0"/>
        <v>2.6949640411134479E-3</v>
      </c>
      <c r="F28" s="13">
        <f t="shared" si="1"/>
        <v>19.262981724865373</v>
      </c>
      <c r="G28" s="14" t="e">
        <f>F28/$F$124*$D$2</f>
        <v>#DIV/0!</v>
      </c>
      <c r="H28" s="14" t="e">
        <f>F28/$F$124*$E$2</f>
        <v>#DIV/0!</v>
      </c>
      <c r="I28" s="25" t="str">
        <f t="shared" si="2"/>
        <v/>
      </c>
    </row>
    <row r="29" spans="1:9" x14ac:dyDescent="0.25">
      <c r="A29" s="3">
        <v>4418</v>
      </c>
      <c r="B29" s="3">
        <v>113.3405379</v>
      </c>
      <c r="C29" s="3">
        <v>22.912458310000002</v>
      </c>
      <c r="D29" s="3">
        <v>42</v>
      </c>
      <c r="E29" s="13">
        <f t="shared" si="0"/>
        <v>2.7200565913401658E-3</v>
      </c>
      <c r="F29" s="13">
        <f t="shared" si="1"/>
        <v>19.173925259330808</v>
      </c>
      <c r="G29" s="14">
        <f>F29/$F$101*$D$2</f>
        <v>54.436168100617884</v>
      </c>
      <c r="H29" s="14">
        <f>F29/$F$101*$E$2</f>
        <v>57.910817128316893</v>
      </c>
      <c r="I29" s="25" t="str">
        <f t="shared" si="2"/>
        <v>选中</v>
      </c>
    </row>
    <row r="30" spans="1:9" hidden="1" x14ac:dyDescent="0.25">
      <c r="A30" s="3">
        <v>4240</v>
      </c>
      <c r="B30" s="3">
        <v>113.34368790000001</v>
      </c>
      <c r="C30" s="3">
        <v>22.914041099999999</v>
      </c>
      <c r="D30" s="3">
        <v>42</v>
      </c>
      <c r="E30" s="13">
        <f t="shared" si="0"/>
        <v>2.766032474503465E-3</v>
      </c>
      <c r="F30" s="13">
        <f t="shared" si="1"/>
        <v>19.013906882332801</v>
      </c>
      <c r="G30" s="14" t="e">
        <f>F30/$F$124*$D$2</f>
        <v>#DIV/0!</v>
      </c>
      <c r="H30" s="14" t="e">
        <f>F30/$F$124*$E$2</f>
        <v>#DIV/0!</v>
      </c>
      <c r="I30" s="25" t="str">
        <f t="shared" si="2"/>
        <v/>
      </c>
    </row>
    <row r="31" spans="1:9" hidden="1" x14ac:dyDescent="0.25">
      <c r="A31" s="3">
        <v>4412</v>
      </c>
      <c r="B31" s="3">
        <v>113.3403074</v>
      </c>
      <c r="C31" s="3">
        <v>22.911915950000001</v>
      </c>
      <c r="D31" s="3">
        <v>42</v>
      </c>
      <c r="E31" s="13">
        <f t="shared" si="0"/>
        <v>2.7742387122401684E-3</v>
      </c>
      <c r="F31" s="13">
        <f t="shared" si="1"/>
        <v>18.985764351345921</v>
      </c>
      <c r="G31" s="14" t="e">
        <f>F31/$F$124*$D$2</f>
        <v>#DIV/0!</v>
      </c>
      <c r="H31" s="14" t="e">
        <f>F31/$F$124*$E$2</f>
        <v>#DIV/0!</v>
      </c>
      <c r="I31" s="25" t="str">
        <f t="shared" si="2"/>
        <v/>
      </c>
    </row>
    <row r="32" spans="1:9" x14ac:dyDescent="0.25">
      <c r="A32" s="3">
        <v>4401</v>
      </c>
      <c r="B32" s="3">
        <v>113.34094640000001</v>
      </c>
      <c r="C32" s="3">
        <v>22.909440830000001</v>
      </c>
      <c r="D32" s="3">
        <v>42</v>
      </c>
      <c r="E32" s="13">
        <f t="shared" si="0"/>
        <v>2.8258821119884177E-3</v>
      </c>
      <c r="F32" s="13">
        <f t="shared" si="1"/>
        <v>18.811480635384147</v>
      </c>
      <c r="G32" s="14">
        <f>F32/$F$101*$D$2</f>
        <v>53.407161456987396</v>
      </c>
      <c r="H32" s="14">
        <f>F32/$F$101*$E$2</f>
        <v>56.816129209561055</v>
      </c>
      <c r="I32" s="25" t="str">
        <f t="shared" si="2"/>
        <v>选中</v>
      </c>
    </row>
    <row r="33" spans="1:9" hidden="1" x14ac:dyDescent="0.25">
      <c r="A33" s="3">
        <v>4220</v>
      </c>
      <c r="B33" s="3">
        <v>113.3437169</v>
      </c>
      <c r="C33" s="3">
        <v>22.914161</v>
      </c>
      <c r="D33" s="3">
        <v>42</v>
      </c>
      <c r="E33" s="13">
        <f t="shared" si="0"/>
        <v>2.8893883089700706E-3</v>
      </c>
      <c r="F33" s="13">
        <f t="shared" si="1"/>
        <v>18.603602198014844</v>
      </c>
      <c r="G33" s="14" t="e">
        <f>F33/$F$124*$D$2</f>
        <v>#DIV/0!</v>
      </c>
      <c r="H33" s="14" t="e">
        <f>F33/$F$124*$E$2</f>
        <v>#DIV/0!</v>
      </c>
      <c r="I33" s="25" t="str">
        <f t="shared" si="2"/>
        <v/>
      </c>
    </row>
    <row r="34" spans="1:9" hidden="1" x14ac:dyDescent="0.25">
      <c r="A34" s="3">
        <v>4404</v>
      </c>
      <c r="B34" s="3">
        <v>113.34107710000001</v>
      </c>
      <c r="C34" s="3">
        <v>22.909177710000002</v>
      </c>
      <c r="D34" s="3">
        <v>42</v>
      </c>
      <c r="E34" s="13">
        <f t="shared" si="0"/>
        <v>2.9217191528373679E-3</v>
      </c>
      <c r="F34" s="13">
        <f t="shared" si="1"/>
        <v>18.500384996475741</v>
      </c>
      <c r="G34" s="14" t="e">
        <f>F34/$F$124*$D$2</f>
        <v>#DIV/0!</v>
      </c>
      <c r="H34" s="14" t="e">
        <f>F34/$F$124*$E$2</f>
        <v>#DIV/0!</v>
      </c>
      <c r="I34" s="25" t="str">
        <f t="shared" si="2"/>
        <v/>
      </c>
    </row>
    <row r="35" spans="1:9" x14ac:dyDescent="0.25">
      <c r="A35" s="3">
        <v>4428</v>
      </c>
      <c r="B35" s="3">
        <v>113.34471139999999</v>
      </c>
      <c r="C35" s="3">
        <v>22.908949440000001</v>
      </c>
      <c r="D35" s="3">
        <v>42</v>
      </c>
      <c r="E35" s="13">
        <f t="shared" si="0"/>
        <v>2.9387412372609101E-3</v>
      </c>
      <c r="F35" s="13">
        <f t="shared" si="1"/>
        <v>18.446727250455911</v>
      </c>
      <c r="G35" s="14">
        <f>F35/$F$101*$D$2</f>
        <v>52.371600073041755</v>
      </c>
      <c r="H35" s="14">
        <f>F35/$F$101*$E$2</f>
        <v>55.714468162810377</v>
      </c>
      <c r="I35" s="25" t="str">
        <f t="shared" si="2"/>
        <v>选中</v>
      </c>
    </row>
    <row r="36" spans="1:9" hidden="1" x14ac:dyDescent="0.25">
      <c r="A36" s="3">
        <v>4429</v>
      </c>
      <c r="B36" s="3">
        <v>113.3437442</v>
      </c>
      <c r="C36" s="3">
        <v>22.9085033</v>
      </c>
      <c r="D36" s="3">
        <v>42</v>
      </c>
      <c r="E36" s="13">
        <f t="shared" si="0"/>
        <v>2.941891286231341E-3</v>
      </c>
      <c r="F36" s="13">
        <f t="shared" si="1"/>
        <v>18.436848629568022</v>
      </c>
      <c r="G36" s="14" t="e">
        <f>F36/$F$124*$D$2</f>
        <v>#DIV/0!</v>
      </c>
      <c r="H36" s="14" t="e">
        <f>F36/$F$124*$E$2</f>
        <v>#DIV/0!</v>
      </c>
      <c r="I36" s="25" t="str">
        <f t="shared" si="2"/>
        <v/>
      </c>
    </row>
    <row r="37" spans="1:9" hidden="1" x14ac:dyDescent="0.25">
      <c r="A37" s="3">
        <v>4460</v>
      </c>
      <c r="B37" s="3">
        <v>113.34598389999999</v>
      </c>
      <c r="C37" s="3">
        <v>22.91191903</v>
      </c>
      <c r="D37" s="3">
        <v>42</v>
      </c>
      <c r="E37" s="13">
        <f t="shared" ref="E37:E68" si="3">SQRT((B37-$B$2)^2+(C37-$C$2)^2)</f>
        <v>3.0125199406591755E-3</v>
      </c>
      <c r="F37" s="13">
        <f t="shared" ref="F37:F68" si="4">SQRT(1/E37)</f>
        <v>18.219440447045582</v>
      </c>
      <c r="G37" s="14" t="e">
        <f>F37/$F$124*$D$2</f>
        <v>#DIV/0!</v>
      </c>
      <c r="H37" s="14" t="e">
        <f>F37/$F$124*$E$2</f>
        <v>#DIV/0!</v>
      </c>
      <c r="I37" s="25" t="str">
        <f t="shared" si="2"/>
        <v/>
      </c>
    </row>
    <row r="38" spans="1:9" x14ac:dyDescent="0.25">
      <c r="A38" s="3">
        <v>4373</v>
      </c>
      <c r="B38" s="3">
        <v>113.34080470000001</v>
      </c>
      <c r="C38" s="3">
        <v>22.90918619</v>
      </c>
      <c r="D38" s="3">
        <v>42</v>
      </c>
      <c r="E38" s="13">
        <f t="shared" si="3"/>
        <v>3.1039844703316926E-3</v>
      </c>
      <c r="F38" s="13">
        <f t="shared" si="4"/>
        <v>17.948998865950458</v>
      </c>
      <c r="G38" s="14">
        <f>F38/$F$101*$D$2</f>
        <v>50.958512995621206</v>
      </c>
      <c r="H38" s="14">
        <f>F38/$F$101*$E$2</f>
        <v>54.211184037894903</v>
      </c>
      <c r="I38" s="25" t="str">
        <f t="shared" si="2"/>
        <v>选中</v>
      </c>
    </row>
    <row r="39" spans="1:9" hidden="1" x14ac:dyDescent="0.25">
      <c r="A39" s="3">
        <v>4414</v>
      </c>
      <c r="B39" s="3">
        <v>113.34148039999999</v>
      </c>
      <c r="C39" s="3">
        <v>22.908440299999999</v>
      </c>
      <c r="D39" s="3">
        <v>42</v>
      </c>
      <c r="E39" s="13">
        <f t="shared" si="3"/>
        <v>3.2991491418263457E-3</v>
      </c>
      <c r="F39" s="13">
        <f t="shared" si="4"/>
        <v>17.410010202307145</v>
      </c>
      <c r="G39" s="14" t="e">
        <f>F39/$F$124*$D$2</f>
        <v>#DIV/0!</v>
      </c>
      <c r="H39" s="14" t="e">
        <f>F39/$F$124*$E$2</f>
        <v>#DIV/0!</v>
      </c>
      <c r="I39" s="25" t="str">
        <f t="shared" si="2"/>
        <v/>
      </c>
    </row>
    <row r="40" spans="1:9" hidden="1" x14ac:dyDescent="0.25">
      <c r="A40" s="3">
        <v>4393</v>
      </c>
      <c r="B40" s="3">
        <v>113.3402983</v>
      </c>
      <c r="C40" s="3">
        <v>22.913278399999999</v>
      </c>
      <c r="D40" s="3">
        <v>42</v>
      </c>
      <c r="E40" s="13">
        <f t="shared" si="3"/>
        <v>3.3359492202354986E-3</v>
      </c>
      <c r="F40" s="13">
        <f t="shared" si="4"/>
        <v>17.313715799656155</v>
      </c>
      <c r="G40" s="14" t="e">
        <f>F40/$F$124*$D$2</f>
        <v>#DIV/0!</v>
      </c>
      <c r="H40" s="14" t="e">
        <f>F40/$F$124*$E$2</f>
        <v>#DIV/0!</v>
      </c>
      <c r="I40" s="25" t="str">
        <f t="shared" si="2"/>
        <v/>
      </c>
    </row>
    <row r="41" spans="1:9" x14ac:dyDescent="0.25">
      <c r="A41" s="3">
        <v>4219</v>
      </c>
      <c r="B41" s="3">
        <v>113.343115</v>
      </c>
      <c r="C41" s="3">
        <v>22.914722820000001</v>
      </c>
      <c r="D41" s="3">
        <v>42</v>
      </c>
      <c r="E41" s="13">
        <f t="shared" si="3"/>
        <v>3.3682360265302421E-3</v>
      </c>
      <c r="F41" s="13">
        <f t="shared" si="4"/>
        <v>17.230534179992073</v>
      </c>
      <c r="G41" s="14">
        <f>F41/$F$101*$D$2</f>
        <v>48.918739506874793</v>
      </c>
      <c r="H41" s="14">
        <f>F41/$F$101*$E$2</f>
        <v>52.041212241356163</v>
      </c>
      <c r="I41" s="25" t="str">
        <f t="shared" si="2"/>
        <v>选中</v>
      </c>
    </row>
    <row r="42" spans="1:9" hidden="1" x14ac:dyDescent="0.25">
      <c r="A42" s="3">
        <v>4236</v>
      </c>
      <c r="B42" s="3">
        <v>113.3428564</v>
      </c>
      <c r="C42" s="3">
        <v>22.91482723</v>
      </c>
      <c r="D42" s="3">
        <v>42</v>
      </c>
      <c r="E42" s="13">
        <f t="shared" si="3"/>
        <v>3.4754976413323615E-3</v>
      </c>
      <c r="F42" s="13">
        <f t="shared" si="4"/>
        <v>16.962564065427777</v>
      </c>
      <c r="G42" s="14" t="e">
        <f>F42/$F$124*$D$2</f>
        <v>#DIV/0!</v>
      </c>
      <c r="H42" s="14" t="e">
        <f>F42/$F$124*$E$2</f>
        <v>#DIV/0!</v>
      </c>
      <c r="I42" s="25" t="str">
        <f t="shared" si="2"/>
        <v/>
      </c>
    </row>
    <row r="43" spans="1:9" hidden="1" x14ac:dyDescent="0.25">
      <c r="A43" s="3">
        <v>4447</v>
      </c>
      <c r="B43" s="3">
        <v>113.34608059999999</v>
      </c>
      <c r="C43" s="3">
        <v>22.913395260000001</v>
      </c>
      <c r="D43" s="3">
        <v>42</v>
      </c>
      <c r="E43" s="13">
        <f t="shared" si="3"/>
        <v>3.6741181665236023E-3</v>
      </c>
      <c r="F43" s="13">
        <f t="shared" si="4"/>
        <v>16.497701445996402</v>
      </c>
      <c r="G43" s="14" t="e">
        <f>F43/$F$124*$D$2</f>
        <v>#DIV/0!</v>
      </c>
      <c r="H43" s="14" t="e">
        <f>F43/$F$124*$E$2</f>
        <v>#DIV/0!</v>
      </c>
      <c r="I43" s="25" t="str">
        <f t="shared" si="2"/>
        <v/>
      </c>
    </row>
    <row r="44" spans="1:9" x14ac:dyDescent="0.25">
      <c r="A44" s="3">
        <v>4238</v>
      </c>
      <c r="B44" s="3">
        <v>113.3418333</v>
      </c>
      <c r="C44" s="3">
        <v>22.91484002</v>
      </c>
      <c r="D44" s="3">
        <v>42</v>
      </c>
      <c r="E44" s="13">
        <f t="shared" si="3"/>
        <v>3.6822203150260078E-3</v>
      </c>
      <c r="F44" s="13">
        <f t="shared" si="4"/>
        <v>16.479541148017042</v>
      </c>
      <c r="G44" s="14">
        <f>F44/$F$101*$D$2</f>
        <v>46.786615678391051</v>
      </c>
      <c r="H44" s="14">
        <f>F44/$F$101*$E$2</f>
        <v>49.772995402543671</v>
      </c>
      <c r="I44" s="25" t="str">
        <f t="shared" si="2"/>
        <v>选中</v>
      </c>
    </row>
    <row r="45" spans="1:9" hidden="1" x14ac:dyDescent="0.25">
      <c r="A45" s="3">
        <v>4231</v>
      </c>
      <c r="B45" s="3">
        <v>113.3429951</v>
      </c>
      <c r="C45" s="3">
        <v>22.915209829999998</v>
      </c>
      <c r="D45" s="3">
        <v>42</v>
      </c>
      <c r="E45" s="13">
        <f t="shared" si="3"/>
        <v>3.8541421355336009E-3</v>
      </c>
      <c r="F45" s="13">
        <f t="shared" si="4"/>
        <v>16.107796586948073</v>
      </c>
      <c r="G45" s="14" t="e">
        <f>F45/$F$124*$D$2</f>
        <v>#DIV/0!</v>
      </c>
      <c r="H45" s="14" t="e">
        <f>F45/$F$124*$E$2</f>
        <v>#DIV/0!</v>
      </c>
      <c r="I45" s="25" t="str">
        <f t="shared" si="2"/>
        <v/>
      </c>
    </row>
    <row r="46" spans="1:9" hidden="1" x14ac:dyDescent="0.25">
      <c r="A46" s="3">
        <v>4210</v>
      </c>
      <c r="B46" s="3">
        <v>113.3405119</v>
      </c>
      <c r="C46" s="3">
        <v>22.914372570000001</v>
      </c>
      <c r="D46" s="3">
        <v>42</v>
      </c>
      <c r="E46" s="13">
        <f t="shared" si="3"/>
        <v>3.9260743743499216E-3</v>
      </c>
      <c r="F46" s="13">
        <f t="shared" si="4"/>
        <v>15.959553566831925</v>
      </c>
      <c r="G46" s="14" t="e">
        <f>F46/$F$124*$D$2</f>
        <v>#DIV/0!</v>
      </c>
      <c r="H46" s="14" t="e">
        <f>F46/$F$124*$E$2</f>
        <v>#DIV/0!</v>
      </c>
      <c r="I46" s="25" t="str">
        <f t="shared" si="2"/>
        <v/>
      </c>
    </row>
    <row r="47" spans="1:9" x14ac:dyDescent="0.25">
      <c r="A47" s="3">
        <v>4432</v>
      </c>
      <c r="B47" s="3">
        <v>113.34659569999999</v>
      </c>
      <c r="C47" s="3">
        <v>22.91302554</v>
      </c>
      <c r="D47" s="3">
        <v>42</v>
      </c>
      <c r="E47" s="13">
        <f t="shared" si="3"/>
        <v>3.942271059627178E-3</v>
      </c>
      <c r="F47" s="13">
        <f t="shared" si="4"/>
        <v>15.926735184937485</v>
      </c>
      <c r="G47" s="14">
        <f>F47/$F$101*$D$2</f>
        <v>45.217159350267607</v>
      </c>
      <c r="H47" s="14">
        <f>F47/$F$101*$E$2</f>
        <v>48.103361010922981</v>
      </c>
      <c r="I47" s="25" t="str">
        <f t="shared" si="2"/>
        <v>选中</v>
      </c>
    </row>
    <row r="48" spans="1:9" hidden="1" x14ac:dyDescent="0.25">
      <c r="A48" s="3">
        <v>4457</v>
      </c>
      <c r="B48" s="3">
        <v>113.34180790000001</v>
      </c>
      <c r="C48" s="3">
        <v>22.907579070000001</v>
      </c>
      <c r="D48" s="3">
        <v>42</v>
      </c>
      <c r="E48" s="13">
        <f t="shared" si="3"/>
        <v>3.9678463998584204E-3</v>
      </c>
      <c r="F48" s="13">
        <f t="shared" si="4"/>
        <v>15.875323142599509</v>
      </c>
      <c r="G48" s="14" t="e">
        <f>F48/$F$124*$D$2</f>
        <v>#DIV/0!</v>
      </c>
      <c r="H48" s="14" t="e">
        <f>F48/$F$124*$E$2</f>
        <v>#DIV/0!</v>
      </c>
      <c r="I48" s="25" t="str">
        <f t="shared" si="2"/>
        <v/>
      </c>
    </row>
    <row r="49" spans="1:9" hidden="1" x14ac:dyDescent="0.25">
      <c r="A49" s="3">
        <v>4214</v>
      </c>
      <c r="B49" s="3">
        <v>113.3397683</v>
      </c>
      <c r="C49" s="3">
        <v>22.913752160000001</v>
      </c>
      <c r="D49" s="3">
        <v>42</v>
      </c>
      <c r="E49" s="13">
        <f t="shared" si="3"/>
        <v>4.0429419597098433E-3</v>
      </c>
      <c r="F49" s="13">
        <f t="shared" si="4"/>
        <v>15.727194097207649</v>
      </c>
      <c r="G49" s="14" t="e">
        <f>F49/$F$124*$D$2</f>
        <v>#DIV/0!</v>
      </c>
      <c r="H49" s="14" t="e">
        <f>F49/$F$124*$E$2</f>
        <v>#DIV/0!</v>
      </c>
      <c r="I49" s="25" t="str">
        <f t="shared" si="2"/>
        <v/>
      </c>
    </row>
    <row r="50" spans="1:9" x14ac:dyDescent="0.25">
      <c r="A50" s="3">
        <v>4448</v>
      </c>
      <c r="B50" s="3">
        <v>113.3465408</v>
      </c>
      <c r="C50" s="3">
        <v>22.913356490000002</v>
      </c>
      <c r="D50" s="3">
        <v>42</v>
      </c>
      <c r="E50" s="13">
        <f t="shared" si="3"/>
        <v>4.0456305029153089E-3</v>
      </c>
      <c r="F50" s="13">
        <f t="shared" si="4"/>
        <v>15.721967437479512</v>
      </c>
      <c r="G50" s="14">
        <f>F50/$F$101*$D$2</f>
        <v>44.635808824934635</v>
      </c>
      <c r="H50" s="14">
        <f>F50/$F$101*$E$2</f>
        <v>47.484903005249606</v>
      </c>
      <c r="I50" s="25" t="str">
        <f t="shared" si="2"/>
        <v>选中</v>
      </c>
    </row>
    <row r="51" spans="1:9" hidden="1" x14ac:dyDescent="0.25">
      <c r="A51" s="3">
        <v>4425</v>
      </c>
      <c r="B51" s="3">
        <v>113.3412809</v>
      </c>
      <c r="C51" s="3">
        <v>22.907619990000001</v>
      </c>
      <c r="D51" s="3">
        <v>42</v>
      </c>
      <c r="E51" s="13">
        <f t="shared" si="3"/>
        <v>4.1226711384828845E-3</v>
      </c>
      <c r="F51" s="13">
        <f t="shared" si="4"/>
        <v>15.574375936025234</v>
      </c>
      <c r="G51" s="14" t="e">
        <f>F51/$F$124*$D$2</f>
        <v>#DIV/0!</v>
      </c>
      <c r="H51" s="14" t="e">
        <f>F51/$F$124*$E$2</f>
        <v>#DIV/0!</v>
      </c>
      <c r="I51" s="25" t="str">
        <f t="shared" si="2"/>
        <v/>
      </c>
    </row>
    <row r="52" spans="1:9" hidden="1" x14ac:dyDescent="0.25">
      <c r="A52" s="3">
        <v>4421</v>
      </c>
      <c r="B52" s="3">
        <v>113.3407708</v>
      </c>
      <c r="C52" s="3">
        <v>22.907802820000001</v>
      </c>
      <c r="D52" s="3">
        <v>42</v>
      </c>
      <c r="E52" s="13">
        <f t="shared" si="3"/>
        <v>4.2074731811832539E-3</v>
      </c>
      <c r="F52" s="13">
        <f t="shared" si="4"/>
        <v>15.416625468680934</v>
      </c>
      <c r="G52" s="14" t="e">
        <f>F52/$F$124*$D$2</f>
        <v>#DIV/0!</v>
      </c>
      <c r="H52" s="14" t="e">
        <f>F52/$F$124*$E$2</f>
        <v>#DIV/0!</v>
      </c>
      <c r="I52" s="25" t="str">
        <f t="shared" si="2"/>
        <v/>
      </c>
    </row>
    <row r="53" spans="1:9" x14ac:dyDescent="0.25">
      <c r="A53" s="3">
        <v>4427</v>
      </c>
      <c r="B53" s="3">
        <v>113.3414066</v>
      </c>
      <c r="C53" s="3">
        <v>22.907466830000001</v>
      </c>
      <c r="D53" s="3">
        <v>42</v>
      </c>
      <c r="E53" s="13">
        <f t="shared" si="3"/>
        <v>4.2120883265769592E-3</v>
      </c>
      <c r="F53" s="13">
        <f t="shared" si="4"/>
        <v>15.408177228429089</v>
      </c>
      <c r="G53" s="14">
        <f>F53/$F$101*$D$2</f>
        <v>43.74493560324602</v>
      </c>
      <c r="H53" s="14">
        <f>F53/$F$101*$E$2</f>
        <v>46.537165535368104</v>
      </c>
      <c r="I53" s="25" t="str">
        <f t="shared" si="2"/>
        <v>选中</v>
      </c>
    </row>
    <row r="54" spans="1:9" hidden="1" x14ac:dyDescent="0.25">
      <c r="A54" s="3">
        <v>4212</v>
      </c>
      <c r="B54" s="3">
        <v>113.340924</v>
      </c>
      <c r="C54" s="3">
        <v>22.91510053</v>
      </c>
      <c r="D54" s="3">
        <v>42</v>
      </c>
      <c r="E54" s="13">
        <f t="shared" si="3"/>
        <v>4.2936118854522915E-3</v>
      </c>
      <c r="F54" s="13">
        <f t="shared" si="4"/>
        <v>15.261197325313299</v>
      </c>
      <c r="G54" s="14" t="e">
        <f>F54/$F$124*$D$2</f>
        <v>#DIV/0!</v>
      </c>
      <c r="H54" s="14" t="e">
        <f>F54/$F$124*$E$2</f>
        <v>#DIV/0!</v>
      </c>
      <c r="I54" s="25" t="str">
        <f t="shared" si="2"/>
        <v/>
      </c>
    </row>
    <row r="55" spans="1:9" hidden="1" x14ac:dyDescent="0.25">
      <c r="A55" s="3">
        <v>4423</v>
      </c>
      <c r="B55" s="3">
        <v>113.3408117</v>
      </c>
      <c r="C55" s="3">
        <v>22.907610829999999</v>
      </c>
      <c r="D55" s="3">
        <v>42</v>
      </c>
      <c r="E55" s="13">
        <f t="shared" si="3"/>
        <v>4.3498602438326837E-3</v>
      </c>
      <c r="F55" s="13">
        <f t="shared" si="4"/>
        <v>15.162204438083865</v>
      </c>
      <c r="G55" s="14" t="e">
        <f>F55/$F$124*$D$2</f>
        <v>#DIV/0!</v>
      </c>
      <c r="H55" s="14" t="e">
        <f>F55/$F$124*$E$2</f>
        <v>#DIV/0!</v>
      </c>
      <c r="I55" s="25" t="str">
        <f t="shared" si="2"/>
        <v/>
      </c>
    </row>
    <row r="56" spans="1:9" x14ac:dyDescent="0.25">
      <c r="A56" s="3">
        <v>4396</v>
      </c>
      <c r="B56" s="3">
        <v>113.33941830000001</v>
      </c>
      <c r="C56" s="3">
        <v>22.908766849999999</v>
      </c>
      <c r="D56" s="3">
        <v>42</v>
      </c>
      <c r="E56" s="13">
        <f t="shared" si="3"/>
        <v>4.4392950501682821E-3</v>
      </c>
      <c r="F56" s="13">
        <f t="shared" si="4"/>
        <v>15.008697161058675</v>
      </c>
      <c r="G56" s="14">
        <f>F56/$F$101*$D$2</f>
        <v>42.610782642592355</v>
      </c>
      <c r="H56" s="14">
        <f>F56/$F$101*$E$2</f>
        <v>45.330619832545061</v>
      </c>
      <c r="I56" s="25" t="str">
        <f t="shared" si="2"/>
        <v>选中</v>
      </c>
    </row>
    <row r="57" spans="1:9" hidden="1" x14ac:dyDescent="0.25">
      <c r="A57" s="3">
        <v>4398</v>
      </c>
      <c r="B57" s="3">
        <v>113.33911089999999</v>
      </c>
      <c r="C57" s="3">
        <v>22.90919323</v>
      </c>
      <c r="D57" s="3">
        <v>42</v>
      </c>
      <c r="E57" s="13">
        <f t="shared" si="3"/>
        <v>4.4713503513961203E-3</v>
      </c>
      <c r="F57" s="13">
        <f t="shared" si="4"/>
        <v>14.954801397262633</v>
      </c>
      <c r="G57" s="14" t="e">
        <f>F57/$F$124*$D$2</f>
        <v>#DIV/0!</v>
      </c>
      <c r="H57" s="14" t="e">
        <f>F57/$F$124*$E$2</f>
        <v>#DIV/0!</v>
      </c>
      <c r="I57" s="25" t="str">
        <f t="shared" si="2"/>
        <v/>
      </c>
    </row>
    <row r="58" spans="1:9" hidden="1" x14ac:dyDescent="0.25">
      <c r="A58" s="3">
        <v>4392</v>
      </c>
      <c r="B58" s="3">
        <v>113.3388454</v>
      </c>
      <c r="C58" s="3">
        <v>22.909760479999999</v>
      </c>
      <c r="D58" s="3">
        <v>42</v>
      </c>
      <c r="E58" s="13">
        <f t="shared" si="3"/>
        <v>4.4732452104053353E-3</v>
      </c>
      <c r="F58" s="13">
        <f t="shared" si="4"/>
        <v>14.951633647635354</v>
      </c>
      <c r="G58" s="14" t="e">
        <f>F58/$F$124*$D$2</f>
        <v>#DIV/0!</v>
      </c>
      <c r="H58" s="14" t="e">
        <f>F58/$F$124*$E$2</f>
        <v>#DIV/0!</v>
      </c>
      <c r="I58" s="25" t="str">
        <f t="shared" si="2"/>
        <v/>
      </c>
    </row>
    <row r="59" spans="1:9" x14ac:dyDescent="0.25">
      <c r="A59" s="3">
        <v>4405</v>
      </c>
      <c r="B59" s="3">
        <v>113.34056820000001</v>
      </c>
      <c r="C59" s="3">
        <v>22.90746532</v>
      </c>
      <c r="D59" s="3">
        <v>42</v>
      </c>
      <c r="E59" s="13">
        <f t="shared" si="3"/>
        <v>4.6010047077079631E-3</v>
      </c>
      <c r="F59" s="13">
        <f t="shared" si="4"/>
        <v>14.742585704534079</v>
      </c>
      <c r="G59" s="14">
        <f>F59/$F$101*$D$2</f>
        <v>41.855272866427789</v>
      </c>
      <c r="H59" s="14">
        <f>F59/$F$101*$E$2</f>
        <v>44.526886028114667</v>
      </c>
      <c r="I59" s="25" t="str">
        <f t="shared" si="2"/>
        <v>选中</v>
      </c>
    </row>
    <row r="60" spans="1:9" hidden="1" x14ac:dyDescent="0.25">
      <c r="A60" s="3">
        <v>4380</v>
      </c>
      <c r="B60" s="3">
        <v>113.33914489999999</v>
      </c>
      <c r="C60" s="3">
        <v>22.90874535</v>
      </c>
      <c r="D60" s="3">
        <v>42</v>
      </c>
      <c r="E60" s="13">
        <f t="shared" si="3"/>
        <v>4.6760822664417227E-3</v>
      </c>
      <c r="F60" s="13">
        <f t="shared" si="4"/>
        <v>14.623755874589499</v>
      </c>
      <c r="G60" s="14" t="e">
        <f>F60/$F$124*$D$2</f>
        <v>#DIV/0!</v>
      </c>
      <c r="H60" s="14" t="e">
        <f>F60/$F$124*$E$2</f>
        <v>#DIV/0!</v>
      </c>
      <c r="I60" s="25" t="str">
        <f t="shared" si="2"/>
        <v/>
      </c>
    </row>
    <row r="61" spans="1:9" hidden="1" x14ac:dyDescent="0.25">
      <c r="A61" s="3">
        <v>4424</v>
      </c>
      <c r="B61" s="3">
        <v>113.34139070000001</v>
      </c>
      <c r="C61" s="3">
        <v>22.906968060000001</v>
      </c>
      <c r="D61" s="3">
        <v>42</v>
      </c>
      <c r="E61" s="13">
        <f t="shared" si="3"/>
        <v>4.6820470680638609E-3</v>
      </c>
      <c r="F61" s="13">
        <f t="shared" si="4"/>
        <v>14.614437770705523</v>
      </c>
      <c r="G61" s="14" t="e">
        <f>F61/$F$124*$D$2</f>
        <v>#DIV/0!</v>
      </c>
      <c r="H61" s="14" t="e">
        <f>F61/$F$124*$E$2</f>
        <v>#DIV/0!</v>
      </c>
      <c r="I61" s="25" t="str">
        <f t="shared" si="2"/>
        <v/>
      </c>
    </row>
    <row r="62" spans="1:9" x14ac:dyDescent="0.25">
      <c r="A62" s="3">
        <v>4226</v>
      </c>
      <c r="B62" s="3">
        <v>113.34389040000001</v>
      </c>
      <c r="C62" s="3">
        <v>22.915998940000001</v>
      </c>
      <c r="D62" s="3">
        <v>42</v>
      </c>
      <c r="E62" s="13">
        <f t="shared" si="3"/>
        <v>4.723190856787008E-3</v>
      </c>
      <c r="F62" s="13">
        <f t="shared" si="4"/>
        <v>14.550645245507921</v>
      </c>
      <c r="G62" s="14">
        <f>F62/$F$101*$D$2</f>
        <v>41.310339945727421</v>
      </c>
      <c r="H62" s="14">
        <f>F62/$F$101*$E$2</f>
        <v>43.94717015502917</v>
      </c>
      <c r="I62" s="25" t="str">
        <f t="shared" si="2"/>
        <v>选中</v>
      </c>
    </row>
    <row r="63" spans="1:9" hidden="1" x14ac:dyDescent="0.25">
      <c r="A63" s="3">
        <v>4372</v>
      </c>
      <c r="B63" s="3">
        <v>113.3410114</v>
      </c>
      <c r="C63" s="3">
        <v>22.907041710000001</v>
      </c>
      <c r="D63" s="3">
        <v>42</v>
      </c>
      <c r="E63" s="13">
        <f t="shared" si="3"/>
        <v>4.7606663544168034E-3</v>
      </c>
      <c r="F63" s="13">
        <f t="shared" si="4"/>
        <v>14.493261467905528</v>
      </c>
      <c r="G63" s="14" t="e">
        <f>F63/$F$124*$D$2</f>
        <v>#DIV/0!</v>
      </c>
      <c r="H63" s="14" t="e">
        <f>F63/$F$124*$E$2</f>
        <v>#DIV/0!</v>
      </c>
      <c r="I63" s="25" t="str">
        <f t="shared" si="2"/>
        <v/>
      </c>
    </row>
    <row r="64" spans="1:9" hidden="1" x14ac:dyDescent="0.25">
      <c r="A64" s="3">
        <v>4382</v>
      </c>
      <c r="B64" s="3">
        <v>113.3382745</v>
      </c>
      <c r="C64" s="3">
        <v>22.909867469999998</v>
      </c>
      <c r="D64" s="3">
        <v>42</v>
      </c>
      <c r="E64" s="13">
        <f t="shared" si="3"/>
        <v>4.9777129476211643E-3</v>
      </c>
      <c r="F64" s="13">
        <f t="shared" si="4"/>
        <v>14.173760037072295</v>
      </c>
      <c r="G64" s="14" t="e">
        <f>F64/$F$124*$D$2</f>
        <v>#DIV/0!</v>
      </c>
      <c r="H64" s="14" t="e">
        <f>F64/$F$124*$E$2</f>
        <v>#DIV/0!</v>
      </c>
      <c r="I64" s="25" t="str">
        <f t="shared" si="2"/>
        <v/>
      </c>
    </row>
    <row r="65" spans="1:9" x14ac:dyDescent="0.25">
      <c r="A65" s="3">
        <v>4422</v>
      </c>
      <c r="B65" s="3">
        <v>113.34142869999999</v>
      </c>
      <c r="C65" s="3">
        <v>22.906600149999999</v>
      </c>
      <c r="D65" s="3">
        <v>42</v>
      </c>
      <c r="E65" s="13">
        <f t="shared" si="3"/>
        <v>5.0162520433598449E-3</v>
      </c>
      <c r="F65" s="13">
        <f t="shared" si="4"/>
        <v>14.119207642461742</v>
      </c>
      <c r="G65" s="14">
        <f>F65/$F$101*$D$2</f>
        <v>40.085457217402379</v>
      </c>
      <c r="H65" s="14">
        <f>F65/$F$101*$E$2</f>
        <v>42.644103422768488</v>
      </c>
      <c r="I65" s="25" t="str">
        <f t="shared" si="2"/>
        <v>选中</v>
      </c>
    </row>
    <row r="66" spans="1:9" hidden="1" x14ac:dyDescent="0.25">
      <c r="A66" s="3">
        <v>4406</v>
      </c>
      <c r="B66" s="3">
        <v>113.341247</v>
      </c>
      <c r="C66" s="3">
        <v>22.906491519999999</v>
      </c>
      <c r="D66" s="3">
        <v>42</v>
      </c>
      <c r="E66" s="13">
        <f t="shared" si="3"/>
        <v>5.1788730596922751E-3</v>
      </c>
      <c r="F66" s="13">
        <f t="shared" si="4"/>
        <v>13.895761995142806</v>
      </c>
      <c r="G66" s="14" t="e">
        <f>F66/$F$124*$D$2</f>
        <v>#DIV/0!</v>
      </c>
      <c r="H66" s="14" t="e">
        <f>F66/$F$124*$E$2</f>
        <v>#DIV/0!</v>
      </c>
      <c r="I66" s="25" t="str">
        <f t="shared" si="2"/>
        <v/>
      </c>
    </row>
    <row r="67" spans="1:9" hidden="1" x14ac:dyDescent="0.25">
      <c r="A67" s="3">
        <v>4389</v>
      </c>
      <c r="B67" s="3">
        <v>113.3390661</v>
      </c>
      <c r="C67" s="3">
        <v>22.90794683</v>
      </c>
      <c r="D67" s="3">
        <v>42</v>
      </c>
      <c r="E67" s="13">
        <f t="shared" si="3"/>
        <v>5.2239838266314818E-3</v>
      </c>
      <c r="F67" s="13">
        <f t="shared" si="4"/>
        <v>13.835634740211882</v>
      </c>
      <c r="G67" s="14" t="e">
        <f>F67/$F$124*$D$2</f>
        <v>#DIV/0!</v>
      </c>
      <c r="H67" s="14" t="e">
        <f>F67/$F$124*$E$2</f>
        <v>#DIV/0!</v>
      </c>
      <c r="I67" s="25" t="str">
        <f t="shared" si="2"/>
        <v/>
      </c>
    </row>
    <row r="68" spans="1:9" x14ac:dyDescent="0.25">
      <c r="A68" s="3">
        <v>4224</v>
      </c>
      <c r="B68" s="3">
        <v>113.3442338</v>
      </c>
      <c r="C68" s="3">
        <v>22.91667606</v>
      </c>
      <c r="D68" s="3">
        <v>42</v>
      </c>
      <c r="E68" s="13">
        <f t="shared" si="3"/>
        <v>5.4559667298850097E-3</v>
      </c>
      <c r="F68" s="13">
        <f t="shared" si="4"/>
        <v>13.538300304476692</v>
      </c>
      <c r="G68" s="14">
        <f>F68/$F$101*$D$2</f>
        <v>38.436219042446638</v>
      </c>
      <c r="H68" s="14">
        <f>F68/$F$101*$E$2</f>
        <v>40.889594726007061</v>
      </c>
      <c r="I68" s="25" t="str">
        <f t="shared" si="2"/>
        <v>选中</v>
      </c>
    </row>
    <row r="69" spans="1:9" hidden="1" x14ac:dyDescent="0.25">
      <c r="A69" s="3">
        <v>4450</v>
      </c>
      <c r="B69" s="3">
        <v>113.34811500000001</v>
      </c>
      <c r="C69" s="3">
        <v>22.91337785</v>
      </c>
      <c r="D69" s="3">
        <v>42</v>
      </c>
      <c r="E69" s="13">
        <f t="shared" ref="E69:E99" si="5">SQRT((B69-$B$2)^2+(C69-$C$2)^2)</f>
        <v>5.4773968682751252E-3</v>
      </c>
      <c r="F69" s="13">
        <f t="shared" ref="F69:F99" si="6">SQRT(1/E69)</f>
        <v>13.511790267743953</v>
      </c>
      <c r="G69" s="14" t="e">
        <f>F69/$F$124*$D$2</f>
        <v>#DIV/0!</v>
      </c>
      <c r="H69" s="14" t="e">
        <f>F69/$F$124*$E$2</f>
        <v>#DIV/0!</v>
      </c>
      <c r="I69" s="25" t="str">
        <f t="shared" si="2"/>
        <v/>
      </c>
    </row>
    <row r="70" spans="1:9" hidden="1" x14ac:dyDescent="0.25">
      <c r="A70" s="3">
        <v>4410</v>
      </c>
      <c r="B70" s="3">
        <v>113.3409516</v>
      </c>
      <c r="C70" s="3">
        <v>22.90625614</v>
      </c>
      <c r="D70" s="3">
        <v>42</v>
      </c>
      <c r="E70" s="13">
        <f t="shared" si="5"/>
        <v>5.5048566307940774E-3</v>
      </c>
      <c r="F70" s="13">
        <f t="shared" si="6"/>
        <v>13.478047843959533</v>
      </c>
      <c r="G70" s="14" t="e">
        <f>F70/$F$124*$D$2</f>
        <v>#DIV/0!</v>
      </c>
      <c r="H70" s="14" t="e">
        <f>F70/$F$124*$E$2</f>
        <v>#DIV/0!</v>
      </c>
      <c r="I70" s="25" t="str">
        <f t="shared" ref="I70:I99" si="7">IF(MOD(ROW()-1,3)=1,"选中","")</f>
        <v/>
      </c>
    </row>
    <row r="71" spans="1:9" x14ac:dyDescent="0.25">
      <c r="A71" s="3">
        <v>4451</v>
      </c>
      <c r="B71" s="3">
        <v>113.3483646</v>
      </c>
      <c r="C71" s="3">
        <v>22.91284666</v>
      </c>
      <c r="D71" s="3">
        <v>42</v>
      </c>
      <c r="E71" s="13">
        <f t="shared" si="5"/>
        <v>5.544306227976574E-3</v>
      </c>
      <c r="F71" s="13">
        <f t="shared" si="6"/>
        <v>13.430011829304862</v>
      </c>
      <c r="G71" s="14">
        <f>F71/$F$101*$D$2</f>
        <v>38.128780186913147</v>
      </c>
      <c r="H71" s="14">
        <f>F71/$F$101*$E$2</f>
        <v>40.56253211373739</v>
      </c>
      <c r="I71" s="25" t="str">
        <f t="shared" si="7"/>
        <v>选中</v>
      </c>
    </row>
    <row r="72" spans="1:9" hidden="1" x14ac:dyDescent="0.25">
      <c r="A72" s="3">
        <v>4375</v>
      </c>
      <c r="B72" s="3">
        <v>113.3376217</v>
      </c>
      <c r="C72" s="3">
        <v>22.910091560000001</v>
      </c>
      <c r="D72" s="3">
        <v>42</v>
      </c>
      <c r="E72" s="13">
        <f t="shared" si="5"/>
        <v>5.5487431565698856E-3</v>
      </c>
      <c r="F72" s="13">
        <f t="shared" si="6"/>
        <v>13.424641250902566</v>
      </c>
      <c r="G72" s="14" t="e">
        <f>F72/$F$124*$D$2</f>
        <v>#DIV/0!</v>
      </c>
      <c r="H72" s="14" t="e">
        <f>F72/$F$124*$E$2</f>
        <v>#DIV/0!</v>
      </c>
      <c r="I72" s="25" t="str">
        <f t="shared" si="7"/>
        <v/>
      </c>
    </row>
    <row r="73" spans="1:9" hidden="1" x14ac:dyDescent="0.25">
      <c r="A73" s="3">
        <v>4445</v>
      </c>
      <c r="B73" s="3">
        <v>113.3480911</v>
      </c>
      <c r="C73" s="3">
        <v>22.913621790000001</v>
      </c>
      <c r="D73" s="3">
        <v>42</v>
      </c>
      <c r="E73" s="13">
        <f t="shared" si="5"/>
        <v>5.550238394895414E-3</v>
      </c>
      <c r="F73" s="13">
        <f t="shared" si="6"/>
        <v>13.422832824959254</v>
      </c>
      <c r="G73" s="14" t="e">
        <f>F73/$F$124*$D$2</f>
        <v>#DIV/0!</v>
      </c>
      <c r="H73" s="14" t="e">
        <f>F73/$F$124*$E$2</f>
        <v>#DIV/0!</v>
      </c>
      <c r="I73" s="25" t="str">
        <f t="shared" si="7"/>
        <v/>
      </c>
    </row>
    <row r="74" spans="1:9" x14ac:dyDescent="0.25">
      <c r="A74" s="3">
        <v>4223</v>
      </c>
      <c r="B74" s="3">
        <v>113.3437067</v>
      </c>
      <c r="C74" s="3">
        <v>22.916911880000001</v>
      </c>
      <c r="D74" s="3">
        <v>42</v>
      </c>
      <c r="E74" s="13">
        <f t="shared" si="5"/>
        <v>5.5978050882839825E-3</v>
      </c>
      <c r="F74" s="13">
        <f t="shared" si="6"/>
        <v>13.365681681913923</v>
      </c>
      <c r="G74" s="14">
        <f>F74/$F$101*$D$2</f>
        <v>37.946142220511014</v>
      </c>
      <c r="H74" s="14">
        <f>F74/$F$101*$E$2</f>
        <v>40.368236404798949</v>
      </c>
      <c r="I74" s="25" t="str">
        <f t="shared" si="7"/>
        <v>选中</v>
      </c>
    </row>
    <row r="75" spans="1:9" hidden="1" x14ac:dyDescent="0.25">
      <c r="A75" s="3">
        <v>4374</v>
      </c>
      <c r="B75" s="3">
        <v>113.3377206</v>
      </c>
      <c r="C75" s="3">
        <v>22.909390670000001</v>
      </c>
      <c r="D75" s="3">
        <v>42</v>
      </c>
      <c r="E75" s="13">
        <f t="shared" si="5"/>
        <v>5.6562435526511324E-3</v>
      </c>
      <c r="F75" s="13">
        <f t="shared" si="6"/>
        <v>13.296457484361349</v>
      </c>
      <c r="G75" s="14" t="e">
        <f>F75/$F$124*$D$2</f>
        <v>#DIV/0!</v>
      </c>
      <c r="H75" s="14" t="e">
        <f>F75/$F$124*$E$2</f>
        <v>#DIV/0!</v>
      </c>
      <c r="I75" s="25" t="str">
        <f t="shared" si="7"/>
        <v/>
      </c>
    </row>
    <row r="76" spans="1:9" hidden="1" x14ac:dyDescent="0.25">
      <c r="A76" s="3">
        <v>4247</v>
      </c>
      <c r="B76" s="3">
        <v>113.3482777</v>
      </c>
      <c r="C76" s="3">
        <v>22.913842389999999</v>
      </c>
      <c r="D76" s="3">
        <v>42</v>
      </c>
      <c r="E76" s="13">
        <f t="shared" si="5"/>
        <v>5.8119910588442297E-3</v>
      </c>
      <c r="F76" s="13">
        <f t="shared" si="6"/>
        <v>13.11709099297714</v>
      </c>
      <c r="G76" s="14" t="e">
        <f>F76/$F$124*$D$2</f>
        <v>#DIV/0!</v>
      </c>
      <c r="H76" s="14" t="e">
        <f>F76/$F$124*$E$2</f>
        <v>#DIV/0!</v>
      </c>
      <c r="I76" s="25" t="str">
        <f t="shared" si="7"/>
        <v/>
      </c>
    </row>
    <row r="77" spans="1:9" x14ac:dyDescent="0.25">
      <c r="A77" s="3">
        <v>4459</v>
      </c>
      <c r="B77" s="3">
        <v>113.341838</v>
      </c>
      <c r="C77" s="3">
        <v>22.905544859999999</v>
      </c>
      <c r="D77" s="3">
        <v>42</v>
      </c>
      <c r="E77" s="13">
        <f t="shared" si="5"/>
        <v>5.9308351801079422E-3</v>
      </c>
      <c r="F77" s="13">
        <f t="shared" si="6"/>
        <v>12.985003543894168</v>
      </c>
      <c r="G77" s="14">
        <f>F77/$F$101*$D$2</f>
        <v>36.865369304522453</v>
      </c>
      <c r="H77" s="14">
        <f>F77/$F$101*$E$2</f>
        <v>39.218477983534527</v>
      </c>
      <c r="I77" s="25" t="str">
        <f t="shared" si="7"/>
        <v>选中</v>
      </c>
    </row>
    <row r="78" spans="1:9" hidden="1" x14ac:dyDescent="0.25">
      <c r="A78" s="3">
        <v>4390</v>
      </c>
      <c r="B78" s="3">
        <v>113.3369689</v>
      </c>
      <c r="C78" s="3">
        <v>22.911029370000001</v>
      </c>
      <c r="D78" s="3">
        <v>42</v>
      </c>
      <c r="E78" s="13">
        <f t="shared" si="5"/>
        <v>6.0643918000780062E-3</v>
      </c>
      <c r="F78" s="13">
        <f t="shared" si="6"/>
        <v>12.841222589108421</v>
      </c>
      <c r="G78" s="14" t="e">
        <f>F78/$F$124*$D$2</f>
        <v>#DIV/0!</v>
      </c>
      <c r="H78" s="14" t="e">
        <f>F78/$F$124*$E$2</f>
        <v>#DIV/0!</v>
      </c>
      <c r="I78" s="25" t="str">
        <f t="shared" si="7"/>
        <v/>
      </c>
    </row>
    <row r="79" spans="1:9" hidden="1" x14ac:dyDescent="0.25">
      <c r="A79" s="3">
        <v>4461</v>
      </c>
      <c r="B79" s="3">
        <v>113.3488548</v>
      </c>
      <c r="C79" s="3">
        <v>22.913102739999999</v>
      </c>
      <c r="D79" s="3">
        <v>42</v>
      </c>
      <c r="E79" s="13">
        <f t="shared" si="5"/>
        <v>6.0863944543214886E-3</v>
      </c>
      <c r="F79" s="13">
        <f t="shared" si="6"/>
        <v>12.817990707265256</v>
      </c>
      <c r="G79" s="14" t="e">
        <f>F79/$F$124*$D$2</f>
        <v>#DIV/0!</v>
      </c>
      <c r="H79" s="14" t="e">
        <f>F79/$F$124*$E$2</f>
        <v>#DIV/0!</v>
      </c>
      <c r="I79" s="25" t="str">
        <f t="shared" si="7"/>
        <v/>
      </c>
    </row>
    <row r="80" spans="1:9" x14ac:dyDescent="0.25">
      <c r="A80" s="3">
        <v>4379</v>
      </c>
      <c r="B80" s="3">
        <v>113.33681919999999</v>
      </c>
      <c r="C80" s="3">
        <v>22.910527850000001</v>
      </c>
      <c r="D80" s="3">
        <v>42</v>
      </c>
      <c r="E80" s="13">
        <f t="shared" si="5"/>
        <v>6.2602914702557409E-3</v>
      </c>
      <c r="F80" s="13">
        <f t="shared" si="6"/>
        <v>12.63870924871263</v>
      </c>
      <c r="G80" s="14">
        <f>F80/$F$101*$D$2</f>
        <v>35.882214618675668</v>
      </c>
      <c r="H80" s="14">
        <f>F80/$F$101*$E$2</f>
        <v>38.172568743271988</v>
      </c>
      <c r="I80" s="25" t="str">
        <f t="shared" si="7"/>
        <v>选中</v>
      </c>
    </row>
    <row r="81" spans="1:9" hidden="1" x14ac:dyDescent="0.25">
      <c r="A81" s="3">
        <v>4442</v>
      </c>
      <c r="B81" s="3">
        <v>113.34921319999999</v>
      </c>
      <c r="C81" s="3">
        <v>22.912477410000001</v>
      </c>
      <c r="D81" s="3">
        <v>42</v>
      </c>
      <c r="E81" s="13">
        <f t="shared" si="5"/>
        <v>6.2895164108260409E-3</v>
      </c>
      <c r="F81" s="13">
        <f t="shared" si="6"/>
        <v>12.609311471773596</v>
      </c>
      <c r="G81" s="14" t="e">
        <f>F81/$F$124*$D$2</f>
        <v>#DIV/0!</v>
      </c>
      <c r="H81" s="14" t="e">
        <f>F81/$F$124*$E$2</f>
        <v>#DIV/0!</v>
      </c>
      <c r="I81" s="25" t="str">
        <f t="shared" si="7"/>
        <v/>
      </c>
    </row>
    <row r="82" spans="1:9" hidden="1" x14ac:dyDescent="0.25">
      <c r="A82" s="3">
        <v>4437</v>
      </c>
      <c r="B82" s="3">
        <v>113.349367</v>
      </c>
      <c r="C82" s="3">
        <v>22.91154955</v>
      </c>
      <c r="D82" s="3">
        <v>42</v>
      </c>
      <c r="E82" s="13">
        <f t="shared" si="5"/>
        <v>6.3454586368938189E-3</v>
      </c>
      <c r="F82" s="13">
        <f t="shared" si="6"/>
        <v>12.553605920050067</v>
      </c>
      <c r="G82" s="14" t="e">
        <f>F82/$F$124*$D$2</f>
        <v>#DIV/0!</v>
      </c>
      <c r="H82" s="14" t="e">
        <f>F82/$F$124*$E$2</f>
        <v>#DIV/0!</v>
      </c>
      <c r="I82" s="25" t="str">
        <f t="shared" si="7"/>
        <v/>
      </c>
    </row>
    <row r="83" spans="1:9" x14ac:dyDescent="0.25">
      <c r="A83" s="3">
        <v>4386</v>
      </c>
      <c r="B83" s="3">
        <v>113.33669449999999</v>
      </c>
      <c r="C83" s="3">
        <v>22.91083296</v>
      </c>
      <c r="D83" s="3">
        <v>42</v>
      </c>
      <c r="E83" s="13">
        <f t="shared" si="5"/>
        <v>6.3515558460638692E-3</v>
      </c>
      <c r="F83" s="13">
        <f t="shared" si="6"/>
        <v>12.547579023567987</v>
      </c>
      <c r="G83" s="14">
        <f>F83/$F$101*$D$2</f>
        <v>35.623489282682883</v>
      </c>
      <c r="H83" s="14">
        <f>F83/$F$101*$E$2</f>
        <v>37.897329024130727</v>
      </c>
      <c r="I83" s="25" t="str">
        <f t="shared" si="7"/>
        <v>选中</v>
      </c>
    </row>
    <row r="84" spans="1:9" hidden="1" x14ac:dyDescent="0.25">
      <c r="A84" s="3">
        <v>4395</v>
      </c>
      <c r="B84" s="3">
        <v>113.3383405</v>
      </c>
      <c r="C84" s="3">
        <v>22.90702052</v>
      </c>
      <c r="D84" s="3">
        <v>42</v>
      </c>
      <c r="E84" s="13">
        <f t="shared" si="5"/>
        <v>6.3823591781073368E-3</v>
      </c>
      <c r="F84" s="13">
        <f t="shared" si="6"/>
        <v>12.51726306098484</v>
      </c>
      <c r="G84" s="14" t="e">
        <f>F84/$F$124*$D$2</f>
        <v>#DIV/0!</v>
      </c>
      <c r="H84" s="14" t="e">
        <f>F84/$F$124*$E$2</f>
        <v>#DIV/0!</v>
      </c>
      <c r="I84" s="25" t="str">
        <f t="shared" si="7"/>
        <v/>
      </c>
    </row>
    <row r="85" spans="1:9" hidden="1" x14ac:dyDescent="0.25">
      <c r="A85" s="3">
        <v>4381</v>
      </c>
      <c r="B85" s="3">
        <v>113.33801510000001</v>
      </c>
      <c r="C85" s="3">
        <v>22.90727901</v>
      </c>
      <c r="D85" s="3">
        <v>42</v>
      </c>
      <c r="E85" s="13">
        <f t="shared" si="5"/>
        <v>6.4586612439428322E-3</v>
      </c>
      <c r="F85" s="13">
        <f t="shared" si="6"/>
        <v>12.443104452312866</v>
      </c>
      <c r="G85" s="14" t="e">
        <f>F85/$F$124*$D$2</f>
        <v>#DIV/0!</v>
      </c>
      <c r="H85" s="14" t="e">
        <f>F85/$F$124*$E$2</f>
        <v>#DIV/0!</v>
      </c>
      <c r="I85" s="25" t="str">
        <f t="shared" si="7"/>
        <v/>
      </c>
    </row>
    <row r="86" spans="1:9" x14ac:dyDescent="0.25">
      <c r="A86" s="3">
        <v>4230</v>
      </c>
      <c r="B86" s="3">
        <v>113.34870189999999</v>
      </c>
      <c r="C86" s="3">
        <v>22.914474420000001</v>
      </c>
      <c r="D86" s="3">
        <v>42</v>
      </c>
      <c r="E86" s="13">
        <f t="shared" si="5"/>
        <v>6.4775505759793262E-3</v>
      </c>
      <c r="F86" s="13">
        <f t="shared" si="6"/>
        <v>12.424948396881067</v>
      </c>
      <c r="G86" s="14">
        <f>F86/$F$101*$D$2</f>
        <v>35.275332016065569</v>
      </c>
      <c r="H86" s="14">
        <f>F86/$F$101*$E$2</f>
        <v>37.52694895326124</v>
      </c>
      <c r="I86" s="25" t="str">
        <f t="shared" si="7"/>
        <v>选中</v>
      </c>
    </row>
    <row r="87" spans="1:9" hidden="1" x14ac:dyDescent="0.25">
      <c r="A87" s="3">
        <v>4221</v>
      </c>
      <c r="B87" s="3">
        <v>113.34694690000001</v>
      </c>
      <c r="C87" s="3">
        <v>22.916665439999999</v>
      </c>
      <c r="D87" s="3">
        <v>42</v>
      </c>
      <c r="E87" s="13">
        <f t="shared" si="5"/>
        <v>6.601325525200253E-3</v>
      </c>
      <c r="F87" s="13">
        <f t="shared" si="6"/>
        <v>12.307913216866845</v>
      </c>
      <c r="G87" s="14" t="e">
        <f>F87/$F$124*$D$2</f>
        <v>#DIV/0!</v>
      </c>
      <c r="H87" s="14" t="e">
        <f>F87/$F$124*$E$2</f>
        <v>#DIV/0!</v>
      </c>
      <c r="I87" s="25" t="str">
        <f t="shared" si="7"/>
        <v/>
      </c>
    </row>
    <row r="88" spans="1:9" hidden="1" x14ac:dyDescent="0.25">
      <c r="A88" s="3">
        <v>4237</v>
      </c>
      <c r="B88" s="3">
        <v>113.34694690000001</v>
      </c>
      <c r="C88" s="3">
        <v>22.916665439999999</v>
      </c>
      <c r="D88" s="3">
        <v>42</v>
      </c>
      <c r="E88" s="13">
        <f t="shared" si="5"/>
        <v>6.601325525200253E-3</v>
      </c>
      <c r="F88" s="13">
        <f t="shared" si="6"/>
        <v>12.307913216866845</v>
      </c>
      <c r="G88" s="14" t="e">
        <f>F88/$F$124*$D$2</f>
        <v>#DIV/0!</v>
      </c>
      <c r="H88" s="14" t="e">
        <f>F88/$F$124*$E$2</f>
        <v>#DIV/0!</v>
      </c>
      <c r="I88" s="25" t="str">
        <f t="shared" si="7"/>
        <v/>
      </c>
    </row>
    <row r="89" spans="1:9" x14ac:dyDescent="0.25">
      <c r="A89" s="3">
        <v>4400</v>
      </c>
      <c r="B89" s="3">
        <v>113.3363571</v>
      </c>
      <c r="C89" s="3">
        <v>22.911680230000002</v>
      </c>
      <c r="D89" s="3">
        <v>42</v>
      </c>
      <c r="E89" s="13">
        <f t="shared" si="5"/>
        <v>6.6752885768985304E-3</v>
      </c>
      <c r="F89" s="13">
        <f t="shared" si="6"/>
        <v>12.239536657253026</v>
      </c>
      <c r="G89" s="14">
        <f>F89/$F$101*$D$2</f>
        <v>34.748934604491829</v>
      </c>
      <c r="H89" s="14">
        <f>F89/$F$101*$E$2</f>
        <v>36.966951706906201</v>
      </c>
      <c r="I89" s="25" t="str">
        <f t="shared" si="7"/>
        <v>选中</v>
      </c>
    </row>
    <row r="90" spans="1:9" hidden="1" x14ac:dyDescent="0.25">
      <c r="A90" s="3">
        <v>4245</v>
      </c>
      <c r="B90" s="3">
        <v>113.34801299999999</v>
      </c>
      <c r="C90" s="3">
        <v>22.915825000000002</v>
      </c>
      <c r="D90" s="3">
        <v>42</v>
      </c>
      <c r="E90" s="13">
        <f t="shared" si="5"/>
        <v>6.6976772757415034E-3</v>
      </c>
      <c r="F90" s="13">
        <f t="shared" si="6"/>
        <v>12.219062642603259</v>
      </c>
      <c r="G90" s="14" t="e">
        <f>F90/$F$124*$D$2</f>
        <v>#DIV/0!</v>
      </c>
      <c r="H90" s="14" t="e">
        <f>F90/$F$124*$E$2</f>
        <v>#DIV/0!</v>
      </c>
      <c r="I90" s="25" t="str">
        <f t="shared" si="7"/>
        <v/>
      </c>
    </row>
    <row r="91" spans="1:9" hidden="1" x14ac:dyDescent="0.25">
      <c r="A91" s="3">
        <v>4399</v>
      </c>
      <c r="B91" s="3">
        <v>113.3360507</v>
      </c>
      <c r="C91" s="3">
        <v>22.911523849999998</v>
      </c>
      <c r="D91" s="3">
        <v>42</v>
      </c>
      <c r="E91" s="13">
        <f t="shared" si="5"/>
        <v>6.9758244847803784E-3</v>
      </c>
      <c r="F91" s="13">
        <f t="shared" si="6"/>
        <v>11.972979185482957</v>
      </c>
      <c r="G91" s="14" t="e">
        <f>F91/$F$124*$D$2</f>
        <v>#DIV/0!</v>
      </c>
      <c r="H91" s="14" t="e">
        <f>F91/$F$124*$E$2</f>
        <v>#DIV/0!</v>
      </c>
      <c r="I91" s="25" t="str">
        <f t="shared" si="7"/>
        <v/>
      </c>
    </row>
    <row r="92" spans="1:9" x14ac:dyDescent="0.25">
      <c r="A92" s="3">
        <v>4403</v>
      </c>
      <c r="B92" s="3">
        <v>113.3356325</v>
      </c>
      <c r="C92" s="3">
        <v>22.911965439999999</v>
      </c>
      <c r="D92" s="3">
        <v>42</v>
      </c>
      <c r="E92" s="13">
        <f t="shared" si="5"/>
        <v>7.41709679925637E-3</v>
      </c>
      <c r="F92" s="13">
        <f t="shared" si="6"/>
        <v>11.61135829790882</v>
      </c>
      <c r="G92" s="14">
        <f>F92/$F$101*$D$2</f>
        <v>32.965490562443605</v>
      </c>
      <c r="H92" s="14">
        <f>F92/$F$101*$E$2</f>
        <v>35.069670811110214</v>
      </c>
      <c r="I92" s="25" t="str">
        <f t="shared" si="7"/>
        <v>选中</v>
      </c>
    </row>
    <row r="93" spans="1:9" hidden="1" x14ac:dyDescent="0.25">
      <c r="A93" s="3">
        <v>4250</v>
      </c>
      <c r="B93" s="3">
        <v>113.35037</v>
      </c>
      <c r="C93" s="3">
        <v>22.91542231</v>
      </c>
      <c r="D93" s="3">
        <v>42</v>
      </c>
      <c r="E93" s="13">
        <f t="shared" si="5"/>
        <v>8.3960034439073249E-3</v>
      </c>
      <c r="F93" s="13">
        <f t="shared" si="6"/>
        <v>10.913491033720645</v>
      </c>
      <c r="G93" s="14" t="e">
        <f>F93/$F$124*$D$2</f>
        <v>#DIV/0!</v>
      </c>
      <c r="H93" s="14" t="e">
        <f>F93/$F$124*$E$2</f>
        <v>#DIV/0!</v>
      </c>
      <c r="I93" s="25" t="str">
        <f t="shared" si="7"/>
        <v/>
      </c>
    </row>
    <row r="94" spans="1:9" hidden="1" x14ac:dyDescent="0.25">
      <c r="A94" s="3">
        <v>4244</v>
      </c>
      <c r="B94" s="3">
        <v>113.3486906</v>
      </c>
      <c r="C94" s="3">
        <v>22.919308430000001</v>
      </c>
      <c r="D94" s="3">
        <v>42</v>
      </c>
      <c r="E94" s="13">
        <f t="shared" si="5"/>
        <v>9.7646819265616788E-3</v>
      </c>
      <c r="F94" s="13">
        <f t="shared" si="6"/>
        <v>10.119777161420176</v>
      </c>
      <c r="G94" s="14" t="e">
        <f>F94/$F$124*$D$2</f>
        <v>#DIV/0!</v>
      </c>
      <c r="H94" s="14" t="e">
        <f>F94/$F$124*$E$2</f>
        <v>#DIV/0!</v>
      </c>
      <c r="I94" s="25" t="str">
        <f t="shared" si="7"/>
        <v/>
      </c>
    </row>
    <row r="95" spans="1:9" x14ac:dyDescent="0.25">
      <c r="A95" s="3">
        <v>4472</v>
      </c>
      <c r="B95" s="3">
        <v>113.3529142</v>
      </c>
      <c r="C95" s="3">
        <v>22.909487739999999</v>
      </c>
      <c r="D95" s="3">
        <v>42</v>
      </c>
      <c r="E95" s="13">
        <f t="shared" si="5"/>
        <v>1.0064582169849005E-2</v>
      </c>
      <c r="F95" s="13">
        <f t="shared" si="6"/>
        <v>9.967864485170292</v>
      </c>
      <c r="G95" s="14">
        <f>F95/$F$101*$D$2</f>
        <v>28.299492116506073</v>
      </c>
      <c r="H95" s="14">
        <f>F95/$F$101*$E$2</f>
        <v>30.10584267713412</v>
      </c>
      <c r="I95" s="25" t="str">
        <f t="shared" si="7"/>
        <v>选中</v>
      </c>
    </row>
    <row r="96" spans="1:9" hidden="1" x14ac:dyDescent="0.25">
      <c r="A96" s="3">
        <v>4471</v>
      </c>
      <c r="B96" s="3">
        <v>113.3530679</v>
      </c>
      <c r="C96" s="3">
        <v>22.909891330000001</v>
      </c>
      <c r="D96" s="3">
        <v>42</v>
      </c>
      <c r="E96" s="13">
        <f t="shared" si="5"/>
        <v>1.0149608659495664E-2</v>
      </c>
      <c r="F96" s="13">
        <f t="shared" si="6"/>
        <v>9.9260246940419385</v>
      </c>
      <c r="G96" s="14" t="e">
        <f>F96/$F$124*$D$2</f>
        <v>#DIV/0!</v>
      </c>
      <c r="H96" s="14" t="e">
        <f>F96/$F$124*$E$2</f>
        <v>#DIV/0!</v>
      </c>
      <c r="I96" s="25" t="str">
        <f t="shared" si="7"/>
        <v/>
      </c>
    </row>
    <row r="97" spans="1:9" hidden="1" x14ac:dyDescent="0.25">
      <c r="A97" s="3">
        <v>4232</v>
      </c>
      <c r="B97" s="3">
        <v>113.351421</v>
      </c>
      <c r="C97" s="3">
        <v>22.918534340000001</v>
      </c>
      <c r="D97" s="3">
        <v>42</v>
      </c>
      <c r="E97" s="13">
        <f t="shared" si="5"/>
        <v>1.1046838859224984E-2</v>
      </c>
      <c r="F97" s="13">
        <f t="shared" si="6"/>
        <v>9.5143909003008211</v>
      </c>
      <c r="G97" s="14" t="e">
        <f>F97/$F$124*$D$2</f>
        <v>#DIV/0!</v>
      </c>
      <c r="H97" s="14" t="e">
        <f>F97/$F$124*$E$2</f>
        <v>#DIV/0!</v>
      </c>
      <c r="I97" s="25" t="str">
        <f t="shared" si="7"/>
        <v/>
      </c>
    </row>
    <row r="98" spans="1:9" x14ac:dyDescent="0.25">
      <c r="A98" s="3">
        <v>4265</v>
      </c>
      <c r="B98" s="3">
        <v>113.3526002</v>
      </c>
      <c r="C98" s="3">
        <v>22.917278</v>
      </c>
      <c r="D98" s="3">
        <v>42</v>
      </c>
      <c r="E98" s="13">
        <f t="shared" si="5"/>
        <v>1.1259062275784378E-2</v>
      </c>
      <c r="F98" s="13">
        <f t="shared" si="6"/>
        <v>9.4242953770918145</v>
      </c>
      <c r="G98" s="14">
        <f>F98/$F$101*$D$2</f>
        <v>26.756259891416256</v>
      </c>
      <c r="H98" s="14">
        <f>F98/$F$101*$E$2</f>
        <v>28.464106267464103</v>
      </c>
      <c r="I98" s="25" t="str">
        <f t="shared" si="7"/>
        <v>选中</v>
      </c>
    </row>
    <row r="99" spans="1:9" hidden="1" x14ac:dyDescent="0.25">
      <c r="A99" s="3">
        <v>4533</v>
      </c>
      <c r="B99" s="3">
        <v>113.34710579999999</v>
      </c>
      <c r="C99" s="3">
        <v>22.89861861</v>
      </c>
      <c r="D99" s="3">
        <v>42</v>
      </c>
      <c r="E99" s="13">
        <f t="shared" si="5"/>
        <v>1.33750894870295E-2</v>
      </c>
      <c r="F99" s="13">
        <f t="shared" si="6"/>
        <v>8.6467250974189884</v>
      </c>
      <c r="G99" s="14" t="e">
        <f>F99/$F$124*$D$2</f>
        <v>#DIV/0!</v>
      </c>
      <c r="H99" s="14" t="e">
        <f>F99/$F$124*$E$2</f>
        <v>#DIV/0!</v>
      </c>
      <c r="I99" s="25" t="str">
        <f t="shared" si="7"/>
        <v/>
      </c>
    </row>
    <row r="100" spans="1:9" x14ac:dyDescent="0.25">
      <c r="A100" s="3"/>
      <c r="B100" s="3"/>
      <c r="C100" s="3"/>
      <c r="D100" s="3"/>
      <c r="G100" s="14"/>
      <c r="H100" s="14"/>
    </row>
    <row r="101" spans="1:9" x14ac:dyDescent="0.25">
      <c r="A101" s="3"/>
      <c r="B101" s="3"/>
      <c r="C101" s="3"/>
      <c r="D101" s="3"/>
      <c r="F101" s="13">
        <f>SUBTOTAL(9,F5:F99)</f>
        <v>579.41453544819171</v>
      </c>
      <c r="G101" s="13">
        <f>SUBTOTAL(9,G5:G99)</f>
        <v>1645</v>
      </c>
      <c r="H101" s="13">
        <f>SUBTOTAL(9,H5:H99)</f>
        <v>1750</v>
      </c>
    </row>
    <row r="102" spans="1:9" x14ac:dyDescent="0.25">
      <c r="A102" s="3"/>
      <c r="B102" s="3"/>
      <c r="C102" s="3"/>
      <c r="D102" s="3"/>
      <c r="G102" s="14"/>
      <c r="H102" s="14"/>
    </row>
    <row r="103" spans="1:9" x14ac:dyDescent="0.25">
      <c r="A103" s="3"/>
      <c r="B103" s="3"/>
      <c r="C103" s="3"/>
      <c r="D103" s="3"/>
      <c r="G103" s="14"/>
      <c r="H103" s="14"/>
    </row>
    <row r="104" spans="1:9" x14ac:dyDescent="0.25">
      <c r="A104" s="3"/>
      <c r="B104" s="3"/>
      <c r="C104" s="3"/>
      <c r="D104" s="3"/>
      <c r="G104" s="14"/>
      <c r="H104" s="14"/>
    </row>
    <row r="105" spans="1:9" x14ac:dyDescent="0.25">
      <c r="A105" s="3"/>
      <c r="B105" s="3"/>
      <c r="C105" s="3"/>
      <c r="D105" s="3"/>
      <c r="G105" s="14"/>
      <c r="H105" s="14"/>
    </row>
    <row r="106" spans="1:9" x14ac:dyDescent="0.25">
      <c r="A106" s="3"/>
      <c r="B106" s="3"/>
      <c r="C106" s="3"/>
      <c r="D106" s="3"/>
      <c r="G106" s="14"/>
      <c r="H106" s="14"/>
    </row>
    <row r="107" spans="1:9" x14ac:dyDescent="0.25">
      <c r="A107" s="3"/>
      <c r="B107" s="3"/>
      <c r="C107" s="3"/>
      <c r="D107" s="3"/>
      <c r="G107" s="14"/>
      <c r="H107" s="14"/>
    </row>
    <row r="108" spans="1:9" x14ac:dyDescent="0.25">
      <c r="A108" s="3"/>
      <c r="B108" s="3"/>
      <c r="C108" s="3"/>
      <c r="D108" s="3"/>
      <c r="G108" s="14"/>
      <c r="H108" s="14"/>
    </row>
    <row r="109" spans="1:9" x14ac:dyDescent="0.25">
      <c r="A109" s="3"/>
      <c r="B109" s="3"/>
      <c r="C109" s="3"/>
      <c r="D109" s="3"/>
      <c r="G109" s="14"/>
      <c r="H109" s="14"/>
    </row>
    <row r="110" spans="1:9" x14ac:dyDescent="0.25">
      <c r="A110" s="3"/>
      <c r="B110" s="3"/>
      <c r="C110" s="3"/>
      <c r="D110" s="3"/>
      <c r="G110" s="14"/>
      <c r="H110" s="14"/>
    </row>
    <row r="111" spans="1:9" x14ac:dyDescent="0.25">
      <c r="A111" s="3"/>
      <c r="B111" s="3"/>
      <c r="C111" s="3"/>
      <c r="D111" s="3"/>
      <c r="G111" s="14"/>
      <c r="H111" s="14"/>
    </row>
    <row r="112" spans="1:9" x14ac:dyDescent="0.25">
      <c r="A112" s="3"/>
      <c r="B112" s="3"/>
      <c r="C112" s="3"/>
      <c r="D112" s="3"/>
      <c r="G112" s="14"/>
      <c r="H112" s="14"/>
    </row>
    <row r="113" spans="1:8" x14ac:dyDescent="0.25">
      <c r="A113" s="3"/>
      <c r="B113" s="3"/>
      <c r="C113" s="3"/>
      <c r="D113" s="3"/>
      <c r="G113" s="14"/>
      <c r="H113" s="14"/>
    </row>
    <row r="114" spans="1:8" x14ac:dyDescent="0.25">
      <c r="A114" s="3"/>
      <c r="B114" s="3"/>
      <c r="C114" s="3"/>
      <c r="D114" s="3"/>
      <c r="G114" s="14"/>
      <c r="H114" s="14"/>
    </row>
    <row r="115" spans="1:8" x14ac:dyDescent="0.25">
      <c r="A115" s="3"/>
      <c r="B115" s="3"/>
      <c r="C115" s="3"/>
      <c r="D115" s="3"/>
      <c r="G115" s="14"/>
      <c r="H115" s="14"/>
    </row>
    <row r="116" spans="1:8" x14ac:dyDescent="0.25">
      <c r="A116" s="3"/>
      <c r="B116" s="3"/>
      <c r="C116" s="3"/>
      <c r="D116" s="3"/>
      <c r="G116" s="14"/>
      <c r="H116" s="14"/>
    </row>
    <row r="117" spans="1:8" x14ac:dyDescent="0.25">
      <c r="A117" s="3"/>
      <c r="B117" s="3"/>
      <c r="C117" s="3"/>
      <c r="D117" s="3"/>
      <c r="G117" s="14"/>
      <c r="H117" s="14"/>
    </row>
    <row r="118" spans="1:8" x14ac:dyDescent="0.25">
      <c r="A118" s="3"/>
      <c r="B118" s="3"/>
      <c r="C118" s="3"/>
      <c r="D118" s="3"/>
      <c r="G118" s="14"/>
      <c r="H118" s="14"/>
    </row>
    <row r="119" spans="1:8" x14ac:dyDescent="0.25">
      <c r="A119" s="3"/>
      <c r="B119" s="3"/>
      <c r="C119" s="3"/>
      <c r="D119" s="3"/>
      <c r="G119" s="14"/>
      <c r="H119" s="14"/>
    </row>
    <row r="120" spans="1:8" x14ac:dyDescent="0.25">
      <c r="A120" s="3"/>
      <c r="B120" s="3"/>
      <c r="C120" s="3"/>
      <c r="D120" s="3"/>
      <c r="G120" s="14"/>
      <c r="H120" s="14"/>
    </row>
    <row r="121" spans="1:8" x14ac:dyDescent="0.25">
      <c r="A121" s="3"/>
      <c r="B121" s="3"/>
      <c r="C121" s="3"/>
      <c r="D121" s="3"/>
      <c r="G121" s="14"/>
      <c r="H121" s="14"/>
    </row>
    <row r="122" spans="1:8" x14ac:dyDescent="0.25">
      <c r="A122" s="3"/>
      <c r="B122" s="3"/>
      <c r="C122" s="3"/>
      <c r="D122" s="3"/>
      <c r="G122" s="14"/>
      <c r="H122" s="14"/>
    </row>
    <row r="123" spans="1:8" x14ac:dyDescent="0.25">
      <c r="A123" s="3"/>
      <c r="B123" s="3"/>
      <c r="C123" s="3"/>
      <c r="D123" s="3"/>
      <c r="G123" s="14"/>
      <c r="H123" s="14"/>
    </row>
    <row r="124" spans="1:8" x14ac:dyDescent="0.25">
      <c r="A124" s="3"/>
      <c r="B124" s="3"/>
      <c r="C124" s="3"/>
      <c r="D124" s="3"/>
      <c r="G124" s="14"/>
      <c r="H124" s="14"/>
    </row>
    <row r="125" spans="1:8" x14ac:dyDescent="0.25">
      <c r="A125" s="3"/>
      <c r="B125" s="3"/>
      <c r="C125" s="3"/>
      <c r="D125" s="3"/>
      <c r="G125" s="14"/>
      <c r="H125" s="14"/>
    </row>
    <row r="126" spans="1:8" x14ac:dyDescent="0.25">
      <c r="A126" s="18"/>
      <c r="B126" s="3"/>
      <c r="C126" s="3"/>
      <c r="D126" s="3"/>
      <c r="G126" s="14"/>
      <c r="H126" s="14"/>
    </row>
    <row r="127" spans="1:8" x14ac:dyDescent="0.25">
      <c r="A127" s="3"/>
      <c r="B127" s="3"/>
      <c r="C127" s="3"/>
      <c r="D127" s="3"/>
      <c r="G127" s="14"/>
      <c r="H127" s="14"/>
    </row>
    <row r="128" spans="1:8" x14ac:dyDescent="0.25">
      <c r="A128" s="3"/>
      <c r="B128" s="3"/>
      <c r="C128" s="3"/>
      <c r="D128" s="3"/>
      <c r="G128" s="14"/>
      <c r="H128" s="14"/>
    </row>
    <row r="129" spans="1:8" x14ac:dyDescent="0.25">
      <c r="A129" s="3"/>
      <c r="B129" s="3"/>
      <c r="C129" s="3"/>
      <c r="D129" s="3"/>
      <c r="G129" s="14"/>
      <c r="H129" s="14"/>
    </row>
    <row r="130" spans="1:8" x14ac:dyDescent="0.25">
      <c r="A130" s="3"/>
      <c r="B130" s="3"/>
      <c r="C130" s="3"/>
      <c r="D130" s="3"/>
      <c r="G130" s="14"/>
      <c r="H130" s="14"/>
    </row>
    <row r="131" spans="1:8" x14ac:dyDescent="0.25">
      <c r="A131" s="3"/>
      <c r="B131" s="3"/>
      <c r="C131" s="3"/>
      <c r="D131" s="3"/>
      <c r="G131" s="14"/>
      <c r="H131" s="14"/>
    </row>
    <row r="132" spans="1:8" x14ac:dyDescent="0.25">
      <c r="A132" s="3"/>
      <c r="B132" s="3"/>
      <c r="C132" s="3"/>
      <c r="D132" s="3"/>
      <c r="G132" s="14"/>
      <c r="H132" s="14"/>
    </row>
    <row r="133" spans="1:8" x14ac:dyDescent="0.25">
      <c r="A133" s="3"/>
      <c r="B133" s="3"/>
      <c r="C133" s="3"/>
      <c r="D133" s="3"/>
      <c r="G133" s="14"/>
      <c r="H133" s="14"/>
    </row>
    <row r="134" spans="1:8" x14ac:dyDescent="0.25">
      <c r="A134" s="3"/>
      <c r="B134" s="3"/>
      <c r="C134" s="3"/>
      <c r="D134" s="3"/>
      <c r="G134" s="14"/>
      <c r="H134" s="14"/>
    </row>
    <row r="135" spans="1:8" x14ac:dyDescent="0.25">
      <c r="A135" s="3"/>
      <c r="B135" s="3"/>
      <c r="C135" s="3"/>
      <c r="D135" s="3"/>
      <c r="G135" s="14"/>
      <c r="H135" s="14"/>
    </row>
    <row r="136" spans="1:8" x14ac:dyDescent="0.25">
      <c r="A136" s="3"/>
      <c r="B136" s="3"/>
      <c r="C136" s="3"/>
      <c r="D136" s="3"/>
      <c r="G136" s="14"/>
      <c r="H136" s="14"/>
    </row>
    <row r="137" spans="1:8" x14ac:dyDescent="0.25">
      <c r="A137" s="3"/>
      <c r="B137" s="3"/>
      <c r="C137" s="3"/>
      <c r="D137" s="3"/>
      <c r="G137" s="14"/>
      <c r="H137" s="14"/>
    </row>
    <row r="138" spans="1:8" x14ac:dyDescent="0.25">
      <c r="A138" s="3"/>
      <c r="B138" s="3"/>
      <c r="C138" s="3"/>
      <c r="D138" s="3"/>
      <c r="G138" s="14"/>
      <c r="H138" s="14"/>
    </row>
    <row r="139" spans="1:8" x14ac:dyDescent="0.25">
      <c r="A139" s="3"/>
      <c r="B139" s="3"/>
      <c r="C139" s="3"/>
      <c r="D139" s="3"/>
      <c r="G139" s="14"/>
      <c r="H139" s="14"/>
    </row>
    <row r="140" spans="1:8" x14ac:dyDescent="0.25">
      <c r="A140" s="3"/>
      <c r="B140" s="3"/>
      <c r="C140" s="3"/>
      <c r="D140" s="3"/>
      <c r="G140" s="14"/>
      <c r="H140" s="14"/>
    </row>
    <row r="141" spans="1:8" x14ac:dyDescent="0.25">
      <c r="A141" s="3"/>
      <c r="B141" s="3"/>
      <c r="C141" s="3"/>
      <c r="D141" s="3"/>
      <c r="G141" s="14"/>
      <c r="H141" s="14"/>
    </row>
    <row r="142" spans="1:8" x14ac:dyDescent="0.25">
      <c r="A142" s="3"/>
      <c r="B142" s="3"/>
      <c r="C142" s="3"/>
      <c r="D142" s="3"/>
      <c r="G142" s="14"/>
      <c r="H142" s="14"/>
    </row>
    <row r="143" spans="1:8" x14ac:dyDescent="0.25">
      <c r="A143" s="3"/>
      <c r="B143" s="3"/>
      <c r="C143" s="3"/>
      <c r="D143" s="3"/>
      <c r="G143" s="14"/>
      <c r="H143" s="14"/>
    </row>
    <row r="144" spans="1:8" x14ac:dyDescent="0.25">
      <c r="A144" s="3"/>
      <c r="B144" s="3"/>
      <c r="C144" s="3"/>
      <c r="D144" s="3"/>
      <c r="G144" s="14"/>
      <c r="H144" s="14"/>
    </row>
    <row r="145" spans="1:8" x14ac:dyDescent="0.25">
      <c r="A145" s="3"/>
      <c r="B145" s="3"/>
      <c r="C145" s="3"/>
      <c r="D145" s="3"/>
      <c r="G145" s="14"/>
      <c r="H145" s="14"/>
    </row>
    <row r="146" spans="1:8" x14ac:dyDescent="0.25">
      <c r="A146" s="3"/>
      <c r="B146" s="3"/>
      <c r="C146" s="3"/>
      <c r="D146" s="3"/>
      <c r="G146" s="14"/>
      <c r="H146" s="14"/>
    </row>
    <row r="147" spans="1:8" x14ac:dyDescent="0.25">
      <c r="A147" s="3"/>
      <c r="B147" s="3"/>
      <c r="C147" s="3"/>
      <c r="D147" s="3"/>
      <c r="G147" s="14"/>
      <c r="H147" s="14"/>
    </row>
    <row r="148" spans="1:8" x14ac:dyDescent="0.25">
      <c r="A148" s="3"/>
      <c r="B148" s="3"/>
      <c r="C148" s="3"/>
      <c r="D148" s="3"/>
      <c r="G148" s="14"/>
      <c r="H148" s="14"/>
    </row>
    <row r="149" spans="1:8" x14ac:dyDescent="0.25">
      <c r="A149" s="3"/>
      <c r="B149" s="3"/>
      <c r="C149" s="3"/>
      <c r="D149" s="3"/>
      <c r="G149" s="14"/>
      <c r="H149" s="14"/>
    </row>
    <row r="150" spans="1:8" x14ac:dyDescent="0.25">
      <c r="A150" s="3"/>
      <c r="B150" s="3"/>
      <c r="C150" s="3"/>
      <c r="D150" s="3"/>
      <c r="G150" s="14"/>
      <c r="H150" s="14"/>
    </row>
    <row r="151" spans="1:8" x14ac:dyDescent="0.25">
      <c r="A151" s="3"/>
      <c r="B151" s="3"/>
      <c r="C151" s="3"/>
      <c r="D151" s="3"/>
      <c r="G151" s="14"/>
      <c r="H151" s="14"/>
    </row>
    <row r="152" spans="1:8" x14ac:dyDescent="0.25">
      <c r="A152" s="3"/>
      <c r="B152" s="3"/>
      <c r="C152" s="3"/>
      <c r="D152" s="3"/>
      <c r="G152" s="14"/>
      <c r="H152" s="14"/>
    </row>
    <row r="153" spans="1:8" x14ac:dyDescent="0.25">
      <c r="A153" s="3"/>
      <c r="B153" s="3"/>
      <c r="C153" s="3"/>
      <c r="D153" s="3"/>
      <c r="G153" s="14"/>
      <c r="H153" s="14"/>
    </row>
    <row r="154" spans="1:8" x14ac:dyDescent="0.25">
      <c r="A154" s="3"/>
      <c r="B154" s="3"/>
      <c r="C154" s="3"/>
      <c r="D154" s="3"/>
      <c r="G154" s="14"/>
      <c r="H154" s="14"/>
    </row>
    <row r="155" spans="1:8" x14ac:dyDescent="0.25">
      <c r="A155" s="3"/>
      <c r="B155" s="3"/>
      <c r="C155" s="3"/>
      <c r="D155" s="3"/>
      <c r="G155" s="14"/>
      <c r="H155" s="14"/>
    </row>
    <row r="156" spans="1:8" x14ac:dyDescent="0.25">
      <c r="A156" s="3"/>
      <c r="B156" s="3"/>
      <c r="C156" s="3"/>
      <c r="D156" s="3"/>
      <c r="G156" s="14"/>
      <c r="H156" s="14"/>
    </row>
    <row r="157" spans="1:8" x14ac:dyDescent="0.25">
      <c r="A157" s="3"/>
      <c r="B157" s="3"/>
      <c r="C157" s="3"/>
      <c r="D157" s="3"/>
      <c r="G157" s="14"/>
      <c r="H157" s="14"/>
    </row>
    <row r="158" spans="1:8" x14ac:dyDescent="0.25">
      <c r="A158" s="3"/>
      <c r="B158" s="3"/>
      <c r="C158" s="3"/>
      <c r="D158" s="3"/>
      <c r="G158" s="14"/>
      <c r="H158" s="14"/>
    </row>
    <row r="159" spans="1:8" x14ac:dyDescent="0.25">
      <c r="A159" s="3"/>
      <c r="B159" s="3"/>
      <c r="C159" s="3"/>
      <c r="D159" s="3"/>
      <c r="G159" s="14"/>
      <c r="H159" s="14"/>
    </row>
    <row r="160" spans="1:8" x14ac:dyDescent="0.25">
      <c r="A160" s="3"/>
      <c r="B160" s="3"/>
      <c r="C160" s="3"/>
      <c r="D160" s="3"/>
      <c r="G160" s="14"/>
      <c r="H160" s="14"/>
    </row>
    <row r="161" spans="1:8" x14ac:dyDescent="0.25">
      <c r="A161" s="3"/>
      <c r="B161" s="3"/>
      <c r="C161" s="3"/>
      <c r="D161" s="3"/>
      <c r="G161" s="14"/>
      <c r="H161" s="14"/>
    </row>
    <row r="162" spans="1:8" x14ac:dyDescent="0.25">
      <c r="A162" s="3"/>
      <c r="B162" s="3"/>
      <c r="C162" s="3"/>
      <c r="D162" s="3"/>
      <c r="G162" s="14"/>
      <c r="H162" s="14"/>
    </row>
    <row r="163" spans="1:8" x14ac:dyDescent="0.25">
      <c r="A163" s="3"/>
      <c r="B163" s="3"/>
      <c r="C163" s="3"/>
      <c r="D163" s="3"/>
      <c r="G163" s="14"/>
      <c r="H163" s="14"/>
    </row>
    <row r="164" spans="1:8" x14ac:dyDescent="0.25">
      <c r="A164" s="3"/>
      <c r="B164" s="3"/>
      <c r="C164" s="3"/>
      <c r="D164" s="3"/>
      <c r="G164" s="14"/>
      <c r="H164" s="14"/>
    </row>
    <row r="165" spans="1:8" x14ac:dyDescent="0.25">
      <c r="A165" s="3"/>
      <c r="B165" s="3"/>
      <c r="C165" s="3"/>
      <c r="D165" s="3"/>
      <c r="G165" s="14"/>
      <c r="H165" s="14"/>
    </row>
    <row r="166" spans="1:8" x14ac:dyDescent="0.25">
      <c r="A166" s="3"/>
      <c r="B166" s="3"/>
      <c r="C166" s="3"/>
      <c r="D166" s="3"/>
      <c r="G166" s="14"/>
      <c r="H166" s="14"/>
    </row>
    <row r="167" spans="1:8" x14ac:dyDescent="0.25">
      <c r="A167" s="3"/>
      <c r="B167" s="3"/>
      <c r="C167" s="3"/>
      <c r="D167" s="3"/>
      <c r="G167" s="14"/>
      <c r="H167" s="14"/>
    </row>
    <row r="168" spans="1:8" x14ac:dyDescent="0.25">
      <c r="A168" s="3"/>
      <c r="B168" s="3"/>
      <c r="C168" s="3"/>
      <c r="D168" s="3"/>
      <c r="G168" s="14"/>
      <c r="H168" s="14"/>
    </row>
    <row r="169" spans="1:8" x14ac:dyDescent="0.25">
      <c r="A169" s="3"/>
      <c r="B169" s="3"/>
      <c r="C169" s="3"/>
      <c r="D169" s="3"/>
      <c r="G169" s="14"/>
      <c r="H169" s="14"/>
    </row>
    <row r="170" spans="1:8" x14ac:dyDescent="0.25">
      <c r="A170" s="3"/>
      <c r="B170" s="3"/>
      <c r="C170" s="3"/>
      <c r="D170" s="3"/>
      <c r="G170" s="14"/>
      <c r="H170" s="14"/>
    </row>
    <row r="171" spans="1:8" x14ac:dyDescent="0.25">
      <c r="A171" s="3"/>
      <c r="B171" s="3"/>
      <c r="C171" s="3"/>
      <c r="D171" s="3"/>
      <c r="G171" s="14"/>
      <c r="H171" s="14"/>
    </row>
    <row r="172" spans="1:8" x14ac:dyDescent="0.25">
      <c r="A172" s="3"/>
      <c r="B172" s="3"/>
      <c r="C172" s="3"/>
      <c r="D172" s="3"/>
      <c r="G172" s="14"/>
      <c r="H172" s="14"/>
    </row>
    <row r="173" spans="1:8" x14ac:dyDescent="0.25">
      <c r="A173" s="3"/>
      <c r="B173" s="3"/>
      <c r="C173" s="3"/>
      <c r="D173" s="3"/>
      <c r="G173" s="14"/>
      <c r="H173" s="14"/>
    </row>
    <row r="174" spans="1:8" x14ac:dyDescent="0.25">
      <c r="A174" s="3"/>
      <c r="B174" s="3"/>
      <c r="C174" s="3"/>
      <c r="D174" s="3"/>
      <c r="G174" s="14"/>
      <c r="H174" s="14"/>
    </row>
    <row r="175" spans="1:8" x14ac:dyDescent="0.25">
      <c r="A175" s="3"/>
      <c r="B175" s="3"/>
      <c r="C175" s="3"/>
      <c r="D175" s="3"/>
      <c r="G175" s="14"/>
      <c r="H175" s="14"/>
    </row>
    <row r="176" spans="1:8" x14ac:dyDescent="0.25">
      <c r="A176" s="3"/>
      <c r="B176" s="3"/>
      <c r="C176" s="3"/>
      <c r="D176" s="3"/>
      <c r="G176" s="14"/>
      <c r="H176" s="14"/>
    </row>
    <row r="177" spans="1:8" x14ac:dyDescent="0.25">
      <c r="A177" s="3"/>
      <c r="B177" s="3"/>
      <c r="C177" s="3"/>
      <c r="D177" s="3"/>
      <c r="G177" s="14"/>
      <c r="H177" s="14"/>
    </row>
    <row r="178" spans="1:8" x14ac:dyDescent="0.25">
      <c r="A178" s="3"/>
      <c r="B178" s="3"/>
      <c r="C178" s="3"/>
      <c r="D178" s="3"/>
      <c r="G178" s="14"/>
      <c r="H178" s="14"/>
    </row>
    <row r="179" spans="1:8" x14ac:dyDescent="0.25">
      <c r="A179" s="3"/>
      <c r="B179" s="3"/>
      <c r="C179" s="3"/>
      <c r="D179" s="3"/>
      <c r="G179" s="14"/>
      <c r="H179" s="14"/>
    </row>
    <row r="180" spans="1:8" x14ac:dyDescent="0.25">
      <c r="A180" s="3"/>
      <c r="B180" s="3"/>
      <c r="C180" s="3"/>
      <c r="D180" s="3"/>
      <c r="G180" s="14"/>
      <c r="H180" s="14"/>
    </row>
    <row r="181" spans="1:8" x14ac:dyDescent="0.25">
      <c r="A181" s="3"/>
      <c r="B181" s="3"/>
      <c r="C181" s="3"/>
      <c r="D181" s="3"/>
      <c r="G181" s="14"/>
      <c r="H181" s="14"/>
    </row>
    <row r="182" spans="1:8" x14ac:dyDescent="0.25">
      <c r="A182" s="3"/>
      <c r="B182" s="3"/>
      <c r="C182" s="3"/>
      <c r="D182" s="3"/>
      <c r="G182" s="14"/>
      <c r="H182" s="14"/>
    </row>
    <row r="183" spans="1:8" x14ac:dyDescent="0.25">
      <c r="A183" s="3"/>
      <c r="B183" s="3"/>
      <c r="C183" s="3"/>
      <c r="D183" s="3"/>
      <c r="G183" s="14"/>
      <c r="H183" s="14"/>
    </row>
    <row r="184" spans="1:8" x14ac:dyDescent="0.25">
      <c r="A184" s="3"/>
      <c r="B184" s="3"/>
      <c r="C184" s="3"/>
      <c r="D184" s="3"/>
      <c r="G184" s="14"/>
      <c r="H184" s="14"/>
    </row>
    <row r="185" spans="1:8" x14ac:dyDescent="0.25">
      <c r="A185" s="3"/>
      <c r="B185" s="3"/>
      <c r="C185" s="3"/>
      <c r="D185" s="3"/>
      <c r="G185" s="14"/>
      <c r="H185" s="14"/>
    </row>
    <row r="186" spans="1:8" x14ac:dyDescent="0.25">
      <c r="A186" s="3"/>
      <c r="B186" s="3"/>
      <c r="C186" s="3"/>
      <c r="D186" s="3"/>
      <c r="G186" s="14"/>
      <c r="H186" s="14"/>
    </row>
    <row r="187" spans="1:8" x14ac:dyDescent="0.25">
      <c r="A187" s="3"/>
      <c r="B187" s="3"/>
      <c r="C187" s="3"/>
      <c r="D187" s="3"/>
      <c r="G187" s="14"/>
      <c r="H187" s="14"/>
    </row>
    <row r="188" spans="1:8" x14ac:dyDescent="0.25">
      <c r="A188" s="3"/>
      <c r="B188" s="3"/>
      <c r="C188" s="3"/>
      <c r="D188" s="3"/>
      <c r="G188" s="14"/>
      <c r="H188" s="14"/>
    </row>
    <row r="189" spans="1:8" x14ac:dyDescent="0.25">
      <c r="A189" s="3"/>
      <c r="B189" s="3"/>
      <c r="C189" s="3"/>
      <c r="D189" s="3"/>
      <c r="G189" s="14"/>
      <c r="H189" s="14"/>
    </row>
    <row r="190" spans="1:8" x14ac:dyDescent="0.25">
      <c r="A190" s="3"/>
      <c r="B190" s="3"/>
      <c r="C190" s="3"/>
      <c r="D190" s="3"/>
      <c r="G190" s="14"/>
      <c r="H190" s="14"/>
    </row>
    <row r="191" spans="1:8" x14ac:dyDescent="0.25">
      <c r="A191" s="3"/>
      <c r="B191" s="3"/>
      <c r="C191" s="3"/>
      <c r="D191" s="3"/>
      <c r="G191" s="14"/>
      <c r="H191" s="14"/>
    </row>
    <row r="192" spans="1:8" x14ac:dyDescent="0.25">
      <c r="A192" s="3"/>
      <c r="B192" s="3"/>
      <c r="C192" s="3"/>
      <c r="D192" s="3"/>
      <c r="G192" s="14"/>
      <c r="H192" s="14"/>
    </row>
    <row r="193" spans="1:8" x14ac:dyDescent="0.25">
      <c r="A193" s="3"/>
      <c r="B193" s="3"/>
      <c r="C193" s="3"/>
      <c r="D193" s="3"/>
      <c r="G193" s="14"/>
      <c r="H193" s="14"/>
    </row>
    <row r="194" spans="1:8" x14ac:dyDescent="0.25">
      <c r="A194" s="3"/>
      <c r="B194" s="3"/>
      <c r="C194" s="3"/>
      <c r="D194" s="3"/>
      <c r="G194" s="14"/>
      <c r="H194" s="14"/>
    </row>
    <row r="195" spans="1:8" x14ac:dyDescent="0.25">
      <c r="A195" s="3"/>
      <c r="B195" s="3"/>
      <c r="C195" s="3"/>
      <c r="D195" s="3"/>
      <c r="G195" s="14"/>
      <c r="H195" s="14"/>
    </row>
    <row r="196" spans="1:8" x14ac:dyDescent="0.25">
      <c r="A196" s="3"/>
      <c r="B196" s="3"/>
      <c r="C196" s="3"/>
      <c r="D196" s="3"/>
      <c r="G196" s="14"/>
      <c r="H196" s="14"/>
    </row>
    <row r="197" spans="1:8" x14ac:dyDescent="0.25">
      <c r="A197" s="3"/>
      <c r="B197" s="3"/>
      <c r="C197" s="3"/>
      <c r="D197" s="3"/>
      <c r="G197" s="14"/>
      <c r="H197" s="14"/>
    </row>
    <row r="198" spans="1:8" x14ac:dyDescent="0.25">
      <c r="A198" s="3"/>
      <c r="B198" s="3"/>
      <c r="C198" s="3"/>
      <c r="D198" s="3"/>
      <c r="G198" s="14"/>
      <c r="H198" s="14"/>
    </row>
    <row r="199" spans="1:8" x14ac:dyDescent="0.25">
      <c r="A199" s="3"/>
      <c r="B199" s="3"/>
      <c r="C199" s="3"/>
      <c r="D199" s="3"/>
      <c r="G199" s="14"/>
      <c r="H199" s="14"/>
    </row>
    <row r="200" spans="1:8" x14ac:dyDescent="0.25">
      <c r="A200" s="3"/>
      <c r="B200" s="3"/>
      <c r="C200" s="3"/>
      <c r="D200" s="3"/>
      <c r="G200" s="14"/>
      <c r="H200" s="14"/>
    </row>
    <row r="201" spans="1:8" x14ac:dyDescent="0.25">
      <c r="A201" s="3"/>
      <c r="B201" s="3"/>
      <c r="C201" s="3"/>
      <c r="D201" s="3"/>
      <c r="G201" s="14"/>
      <c r="H201" s="14"/>
    </row>
    <row r="202" spans="1:8" x14ac:dyDescent="0.25">
      <c r="A202" s="3"/>
      <c r="B202" s="3"/>
      <c r="C202" s="3"/>
      <c r="D202" s="3"/>
      <c r="G202" s="14"/>
      <c r="H202" s="14"/>
    </row>
    <row r="203" spans="1:8" x14ac:dyDescent="0.25">
      <c r="A203" s="3"/>
      <c r="B203" s="3"/>
      <c r="C203" s="3"/>
      <c r="D203" s="3"/>
      <c r="G203" s="14"/>
      <c r="H203" s="14"/>
    </row>
    <row r="204" spans="1:8" x14ac:dyDescent="0.25">
      <c r="A204" s="3"/>
      <c r="B204" s="3"/>
      <c r="C204" s="3"/>
      <c r="D204" s="3"/>
      <c r="G204" s="14"/>
      <c r="H204" s="14"/>
    </row>
    <row r="205" spans="1:8" x14ac:dyDescent="0.25">
      <c r="A205" s="3"/>
      <c r="B205" s="3"/>
      <c r="C205" s="3"/>
      <c r="D205" s="3"/>
      <c r="G205" s="14"/>
      <c r="H205" s="14"/>
    </row>
    <row r="206" spans="1:8" x14ac:dyDescent="0.25">
      <c r="A206" s="3"/>
      <c r="B206" s="3"/>
      <c r="C206" s="3"/>
      <c r="D206" s="3"/>
      <c r="G206" s="14"/>
      <c r="H206" s="14"/>
    </row>
    <row r="207" spans="1:8" x14ac:dyDescent="0.25">
      <c r="A207" s="3"/>
      <c r="B207" s="3"/>
      <c r="C207" s="3"/>
      <c r="D207" s="3"/>
      <c r="G207" s="14"/>
      <c r="H207" s="14"/>
    </row>
    <row r="208" spans="1:8" x14ac:dyDescent="0.25">
      <c r="A208" s="3"/>
      <c r="B208" s="3"/>
      <c r="C208" s="3"/>
      <c r="D208" s="3"/>
      <c r="G208" s="14"/>
      <c r="H208" s="14"/>
    </row>
    <row r="209" spans="1:8" x14ac:dyDescent="0.25">
      <c r="A209" s="3"/>
      <c r="B209" s="3"/>
      <c r="C209" s="3"/>
      <c r="D209" s="3"/>
      <c r="G209" s="14"/>
      <c r="H209" s="14"/>
    </row>
    <row r="210" spans="1:8" x14ac:dyDescent="0.25">
      <c r="A210" s="3"/>
      <c r="B210" s="3"/>
      <c r="C210" s="3"/>
      <c r="D210" s="3"/>
      <c r="G210" s="14"/>
      <c r="H210" s="14"/>
    </row>
    <row r="211" spans="1:8" x14ac:dyDescent="0.25">
      <c r="A211" s="3"/>
      <c r="B211" s="3"/>
      <c r="C211" s="3"/>
      <c r="D211" s="3"/>
      <c r="G211" s="14"/>
      <c r="H211" s="14"/>
    </row>
    <row r="212" spans="1:8" x14ac:dyDescent="0.25">
      <c r="A212" s="3"/>
      <c r="B212" s="3"/>
      <c r="C212" s="3"/>
      <c r="D212" s="3"/>
      <c r="G212" s="14"/>
      <c r="H212" s="14"/>
    </row>
    <row r="213" spans="1:8" x14ac:dyDescent="0.25">
      <c r="A213" s="3"/>
      <c r="B213" s="3"/>
      <c r="C213" s="3"/>
      <c r="D213" s="3"/>
      <c r="G213" s="14"/>
      <c r="H213" s="14"/>
    </row>
    <row r="214" spans="1:8" x14ac:dyDescent="0.25">
      <c r="A214" s="3"/>
      <c r="B214" s="3"/>
      <c r="C214" s="3"/>
      <c r="D214" s="3"/>
      <c r="G214" s="14"/>
      <c r="H214" s="14"/>
    </row>
    <row r="215" spans="1:8" x14ac:dyDescent="0.25">
      <c r="A215" s="3"/>
      <c r="B215" s="3"/>
      <c r="C215" s="3"/>
      <c r="D215" s="3"/>
      <c r="G215" s="14"/>
      <c r="H215" s="14"/>
    </row>
    <row r="216" spans="1:8" x14ac:dyDescent="0.25">
      <c r="A216" s="3"/>
      <c r="B216" s="3"/>
      <c r="C216" s="3"/>
      <c r="D216" s="3"/>
      <c r="G216" s="14"/>
      <c r="H216" s="14"/>
    </row>
    <row r="217" spans="1:8" x14ac:dyDescent="0.25">
      <c r="A217" s="3"/>
      <c r="B217" s="3"/>
      <c r="C217" s="3"/>
      <c r="D217" s="3"/>
      <c r="G217" s="14"/>
      <c r="H217" s="14"/>
    </row>
    <row r="218" spans="1:8" x14ac:dyDescent="0.25">
      <c r="A218" s="3"/>
      <c r="B218" s="3"/>
      <c r="C218" s="3"/>
      <c r="D218" s="3"/>
      <c r="G218" s="14"/>
      <c r="H218" s="14"/>
    </row>
    <row r="219" spans="1:8" x14ac:dyDescent="0.25">
      <c r="A219" s="3"/>
      <c r="B219" s="3"/>
      <c r="C219" s="3"/>
      <c r="D219" s="3"/>
      <c r="G219" s="14"/>
      <c r="H219" s="14"/>
    </row>
    <row r="220" spans="1:8" x14ac:dyDescent="0.25">
      <c r="A220" s="3"/>
      <c r="B220" s="3"/>
      <c r="C220" s="3"/>
      <c r="D220" s="3"/>
      <c r="G220" s="14"/>
      <c r="H220" s="14"/>
    </row>
    <row r="221" spans="1:8" x14ac:dyDescent="0.25">
      <c r="A221" s="3"/>
      <c r="B221" s="3"/>
      <c r="C221" s="3"/>
      <c r="D221" s="3"/>
      <c r="G221" s="14"/>
      <c r="H221" s="14"/>
    </row>
    <row r="222" spans="1:8" x14ac:dyDescent="0.25">
      <c r="A222" s="3"/>
      <c r="B222" s="3"/>
      <c r="C222" s="3"/>
      <c r="D222" s="3"/>
      <c r="G222" s="14"/>
      <c r="H222" s="14"/>
    </row>
    <row r="223" spans="1:8" x14ac:dyDescent="0.25">
      <c r="A223" s="3"/>
      <c r="B223" s="3"/>
      <c r="C223" s="3"/>
      <c r="D223" s="3"/>
      <c r="G223" s="14"/>
      <c r="H223" s="14"/>
    </row>
    <row r="224" spans="1:8" x14ac:dyDescent="0.25">
      <c r="A224" s="3"/>
      <c r="B224" s="3"/>
      <c r="C224" s="3"/>
      <c r="D224" s="3"/>
      <c r="G224" s="14"/>
      <c r="H224" s="14"/>
    </row>
    <row r="225" spans="1:8" x14ac:dyDescent="0.25">
      <c r="A225" s="3"/>
      <c r="B225" s="3"/>
      <c r="C225" s="3"/>
      <c r="D225" s="3"/>
      <c r="G225" s="14"/>
      <c r="H225" s="14"/>
    </row>
    <row r="226" spans="1:8" x14ac:dyDescent="0.25">
      <c r="A226" s="3"/>
      <c r="B226" s="3"/>
      <c r="C226" s="3"/>
      <c r="D226" s="3"/>
      <c r="G226" s="14"/>
      <c r="H226" s="14"/>
    </row>
    <row r="227" spans="1:8" x14ac:dyDescent="0.25">
      <c r="A227" s="3"/>
      <c r="B227" s="3"/>
      <c r="C227" s="3"/>
      <c r="D227" s="3"/>
      <c r="G227" s="14"/>
      <c r="H227" s="14"/>
    </row>
    <row r="228" spans="1:8" x14ac:dyDescent="0.25">
      <c r="A228" s="3"/>
      <c r="B228" s="3"/>
      <c r="C228" s="3"/>
      <c r="D228" s="3"/>
      <c r="G228" s="14"/>
      <c r="H228" s="14"/>
    </row>
    <row r="229" spans="1:8" x14ac:dyDescent="0.25">
      <c r="A229" s="3"/>
      <c r="B229" s="3"/>
      <c r="C229" s="3"/>
      <c r="D229" s="3"/>
      <c r="G229" s="14"/>
      <c r="H229" s="14"/>
    </row>
    <row r="230" spans="1:8" x14ac:dyDescent="0.25">
      <c r="A230" s="3"/>
      <c r="B230" s="3"/>
      <c r="C230" s="3"/>
      <c r="D230" s="3"/>
      <c r="G230" s="14"/>
      <c r="H230" s="14"/>
    </row>
    <row r="231" spans="1:8" x14ac:dyDescent="0.25">
      <c r="A231" s="3"/>
      <c r="B231" s="3"/>
      <c r="C231" s="3"/>
      <c r="D231" s="3"/>
      <c r="G231" s="14"/>
      <c r="H231" s="14"/>
    </row>
    <row r="232" spans="1:8" x14ac:dyDescent="0.25">
      <c r="A232" s="3"/>
      <c r="B232" s="3"/>
      <c r="C232" s="3"/>
      <c r="D232" s="3"/>
      <c r="G232" s="14"/>
      <c r="H232" s="14"/>
    </row>
    <row r="233" spans="1:8" x14ac:dyDescent="0.25">
      <c r="A233" s="3"/>
      <c r="B233" s="3"/>
      <c r="C233" s="3"/>
      <c r="D233" s="3"/>
      <c r="G233" s="14"/>
      <c r="H233" s="14"/>
    </row>
    <row r="234" spans="1:8" x14ac:dyDescent="0.25">
      <c r="A234" s="3"/>
      <c r="B234" s="3"/>
      <c r="C234" s="3"/>
      <c r="D234" s="3"/>
      <c r="G234" s="14"/>
      <c r="H234" s="14"/>
    </row>
    <row r="235" spans="1:8" x14ac:dyDescent="0.25">
      <c r="A235" s="3"/>
      <c r="B235" s="3"/>
      <c r="C235" s="3"/>
      <c r="D235" s="3"/>
      <c r="G235" s="14"/>
      <c r="H235" s="14"/>
    </row>
    <row r="236" spans="1:8" x14ac:dyDescent="0.25">
      <c r="A236" s="3"/>
      <c r="B236" s="3"/>
      <c r="C236" s="3"/>
      <c r="D236" s="3"/>
      <c r="G236" s="14"/>
      <c r="H236" s="14"/>
    </row>
    <row r="237" spans="1:8" x14ac:dyDescent="0.25">
      <c r="A237" s="3"/>
      <c r="B237" s="3"/>
      <c r="C237" s="3"/>
      <c r="D237" s="3"/>
      <c r="G237" s="14"/>
      <c r="H237" s="14"/>
    </row>
    <row r="238" spans="1:8" x14ac:dyDescent="0.25">
      <c r="A238" s="3"/>
      <c r="B238" s="3"/>
      <c r="C238" s="3"/>
      <c r="D238" s="3"/>
      <c r="G238" s="14"/>
      <c r="H238" s="14"/>
    </row>
    <row r="239" spans="1:8" x14ac:dyDescent="0.25">
      <c r="A239" s="3"/>
      <c r="B239" s="3"/>
      <c r="C239" s="3"/>
      <c r="D239" s="3"/>
      <c r="G239" s="14"/>
      <c r="H239" s="14"/>
    </row>
    <row r="240" spans="1:8" x14ac:dyDescent="0.25">
      <c r="A240" s="3"/>
      <c r="B240" s="3"/>
      <c r="C240" s="3"/>
      <c r="D240" s="3"/>
      <c r="G240" s="14"/>
      <c r="H240" s="14"/>
    </row>
    <row r="241" spans="1:8" x14ac:dyDescent="0.25">
      <c r="A241" s="3"/>
      <c r="B241" s="3"/>
      <c r="C241" s="3"/>
      <c r="D241" s="3"/>
      <c r="G241" s="14"/>
      <c r="H241" s="14"/>
    </row>
    <row r="242" spans="1:8" x14ac:dyDescent="0.25">
      <c r="A242" s="3"/>
      <c r="B242" s="3"/>
      <c r="C242" s="3"/>
      <c r="D242" s="3"/>
      <c r="G242" s="14"/>
      <c r="H242" s="14"/>
    </row>
    <row r="243" spans="1:8" x14ac:dyDescent="0.25">
      <c r="A243" s="3"/>
      <c r="B243" s="3"/>
      <c r="C243" s="3"/>
      <c r="D243" s="3"/>
      <c r="G243" s="14"/>
      <c r="H243" s="14"/>
    </row>
    <row r="244" spans="1:8" x14ac:dyDescent="0.25">
      <c r="A244" s="3"/>
      <c r="B244" s="3"/>
      <c r="C244" s="3"/>
      <c r="D244" s="3"/>
      <c r="G244" s="14"/>
      <c r="H244" s="14"/>
    </row>
    <row r="245" spans="1:8" x14ac:dyDescent="0.25">
      <c r="A245" s="3"/>
      <c r="B245" s="3"/>
      <c r="C245" s="3"/>
      <c r="D245" s="3"/>
      <c r="G245" s="14"/>
      <c r="H245" s="14"/>
    </row>
    <row r="247" spans="1:8" x14ac:dyDescent="0.25">
      <c r="A247" s="3"/>
      <c r="G247" s="14"/>
      <c r="H247" s="14"/>
    </row>
  </sheetData>
  <phoneticPr fontId="1" type="noConversion"/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7AA1A5-CB57-4C62-BAD2-DC038358DC49}">
  <sheetPr/>
  <dimension ref="A1:I247"/>
  <sheetViews>
    <sheetView topLeftCell="A62" zoomScale="115" zoomScaleNormal="115" workbookViewId="0">
      <selection activeCell="A5" sqref="A5:H153"/>
    </sheetView>
  </sheetViews>
  <sheetFormatPr defaultRowHeight="15" x14ac:dyDescent="0.25"/>
  <cols>
    <col min="1" max="1" width="8.875" style="4" customWidth="1"/>
    <col min="2" max="3" width="15.125" style="4" customWidth="1"/>
    <col min="4" max="4" width="10.25" style="4" customWidth="1"/>
    <col min="5" max="5" width="12" style="13" customWidth="1"/>
    <col min="6" max="6" width="15" style="13" customWidth="1"/>
    <col min="7" max="7" width="13.875" customWidth="1"/>
    <col min="8" max="8" width="11.125" customWidth="1"/>
    <col min="11" max="12" width="15.125" customWidth="1"/>
    <col min="13" max="13" width="11.125" customWidth="1"/>
  </cols>
  <sheetData>
    <row r="1" spans="1:9" ht="14.25" x14ac:dyDescent="0.2">
      <c r="A1" s="2" t="s">
        <v>12</v>
      </c>
      <c r="B1" s="2" t="s">
        <v>4</v>
      </c>
      <c r="C1" s="2" t="s">
        <v>5</v>
      </c>
      <c r="D1" s="2" t="s">
        <v>13</v>
      </c>
      <c r="E1" s="2" t="s">
        <v>14</v>
      </c>
      <c r="F1" s="2" t="s">
        <v>15</v>
      </c>
      <c r="G1" s="2" t="s">
        <v>16</v>
      </c>
    </row>
    <row r="2" spans="1:9" x14ac:dyDescent="0.25">
      <c r="A2" s="11">
        <v>43</v>
      </c>
      <c r="B2" s="3">
        <v>113.352507</v>
      </c>
      <c r="C2" s="8">
        <v>22.929974099999999</v>
      </c>
      <c r="D2" s="3">
        <v>0</v>
      </c>
      <c r="E2" s="13">
        <v>1785</v>
      </c>
      <c r="F2" s="13">
        <v>6</v>
      </c>
      <c r="G2" s="19">
        <f>SUBTOTAL(2,A5:A250)</f>
        <v>50</v>
      </c>
    </row>
    <row r="3" spans="1:9" x14ac:dyDescent="0.25">
      <c r="A3" s="3"/>
      <c r="B3" s="3"/>
      <c r="C3" s="3"/>
      <c r="D3" s="3"/>
    </row>
    <row r="4" spans="1:9" ht="14.25" x14ac:dyDescent="0.2">
      <c r="A4" s="2" t="s">
        <v>0</v>
      </c>
      <c r="B4" s="2" t="s">
        <v>1</v>
      </c>
      <c r="C4" s="2" t="s">
        <v>2</v>
      </c>
      <c r="D4" s="2" t="s">
        <v>3</v>
      </c>
      <c r="E4" s="2" t="s">
        <v>7</v>
      </c>
      <c r="F4" s="2" t="s">
        <v>8</v>
      </c>
      <c r="G4" s="2" t="s">
        <v>13</v>
      </c>
      <c r="H4" s="2" t="s">
        <v>14</v>
      </c>
      <c r="I4" s="24" t="s">
        <v>20</v>
      </c>
    </row>
    <row r="5" spans="1:9" x14ac:dyDescent="0.25">
      <c r="A5" s="3">
        <v>3993</v>
      </c>
      <c r="B5" s="3">
        <v>113.35213109999999</v>
      </c>
      <c r="C5" s="3">
        <v>22.9293157</v>
      </c>
      <c r="D5" s="3">
        <v>43</v>
      </c>
      <c r="E5" s="13">
        <f t="shared" ref="E5:E36" si="0">SQRT((B5-$B$2)^2+(C5-$C$2)^2)</f>
        <v>7.581499653796721E-4</v>
      </c>
      <c r="F5" s="13">
        <f t="shared" ref="F5:F36" si="1">SQRT(1/E5)</f>
        <v>36.318043147740582</v>
      </c>
      <c r="G5" s="14">
        <f>F5/$F$154*$D$2</f>
        <v>0</v>
      </c>
      <c r="H5" s="14">
        <f>F5/$F$154*$E$2</f>
        <v>80.84357615667038</v>
      </c>
      <c r="I5" s="25" t="str">
        <f>IF(MOD(ROW()-1,3)=1,"选中","")</f>
        <v>选中</v>
      </c>
    </row>
    <row r="6" spans="1:9" hidden="1" x14ac:dyDescent="0.25">
      <c r="A6" s="3">
        <v>3990</v>
      </c>
      <c r="B6" s="3">
        <v>113.3518775</v>
      </c>
      <c r="C6" s="3">
        <v>22.930434630000001</v>
      </c>
      <c r="D6" s="3">
        <v>43</v>
      </c>
      <c r="E6" s="13">
        <f t="shared" si="0"/>
        <v>7.7997316037432774E-4</v>
      </c>
      <c r="F6" s="13">
        <f t="shared" si="1"/>
        <v>35.806359751689442</v>
      </c>
      <c r="G6" s="14">
        <f>F6/$F$124*$D$2</f>
        <v>0</v>
      </c>
      <c r="H6" s="14">
        <f>F6/$F$124*$E$2</f>
        <v>5326.7350779231547</v>
      </c>
      <c r="I6" s="25" t="str">
        <f t="shared" ref="I6:I69" si="2">IF(MOD(ROW()-1,3)=1,"选中","")</f>
        <v/>
      </c>
    </row>
    <row r="7" spans="1:9" hidden="1" x14ac:dyDescent="0.25">
      <c r="A7" s="3">
        <v>3969</v>
      </c>
      <c r="B7" s="3">
        <v>113.3532752</v>
      </c>
      <c r="C7" s="3">
        <v>22.929792719999998</v>
      </c>
      <c r="D7" s="3">
        <v>43</v>
      </c>
      <c r="E7" s="13">
        <f t="shared" si="0"/>
        <v>7.8932245907115757E-4</v>
      </c>
      <c r="F7" s="13">
        <f t="shared" si="1"/>
        <v>35.593670019920154</v>
      </c>
      <c r="G7" s="14">
        <f>F7/$F$124*$D$2</f>
        <v>0</v>
      </c>
      <c r="H7" s="14">
        <f>F7/$F$124*$E$2</f>
        <v>5295.0942782778884</v>
      </c>
      <c r="I7" s="25" t="str">
        <f t="shared" si="2"/>
        <v/>
      </c>
    </row>
    <row r="8" spans="1:9" x14ac:dyDescent="0.25">
      <c r="A8" s="3">
        <v>4017</v>
      </c>
      <c r="B8" s="3">
        <v>113.3533051</v>
      </c>
      <c r="C8" s="3">
        <v>22.93049637</v>
      </c>
      <c r="D8" s="3">
        <v>43</v>
      </c>
      <c r="E8" s="13">
        <f t="shared" si="0"/>
        <v>9.537974433268398E-4</v>
      </c>
      <c r="F8" s="13">
        <f t="shared" si="1"/>
        <v>32.379633073823243</v>
      </c>
      <c r="G8" s="14">
        <f>F8/$F$154*$D$2</f>
        <v>0</v>
      </c>
      <c r="H8" s="14">
        <f>F8/$F$154*$E$2</f>
        <v>72.076717395813873</v>
      </c>
      <c r="I8" s="25" t="str">
        <f t="shared" si="2"/>
        <v>选中</v>
      </c>
    </row>
    <row r="9" spans="1:9" hidden="1" x14ac:dyDescent="0.25">
      <c r="A9" s="3">
        <v>3916</v>
      </c>
      <c r="B9" s="3">
        <v>113.351556</v>
      </c>
      <c r="C9" s="3">
        <v>22.929782410000001</v>
      </c>
      <c r="D9" s="3">
        <v>43</v>
      </c>
      <c r="E9" s="13">
        <f t="shared" si="0"/>
        <v>9.7012682475036021E-4</v>
      </c>
      <c r="F9" s="13">
        <f t="shared" si="1"/>
        <v>32.105966139966682</v>
      </c>
      <c r="G9" s="14">
        <f>F9/$F$124*$D$2</f>
        <v>0</v>
      </c>
      <c r="H9" s="14">
        <f>F9/$F$124*$E$2</f>
        <v>4776.2458187418624</v>
      </c>
      <c r="I9" s="25" t="str">
        <f t="shared" si="2"/>
        <v/>
      </c>
    </row>
    <row r="10" spans="1:9" hidden="1" x14ac:dyDescent="0.25">
      <c r="A10" s="3">
        <v>3983</v>
      </c>
      <c r="B10" s="3">
        <v>113.3529387</v>
      </c>
      <c r="C10" s="3">
        <v>22.930904770000001</v>
      </c>
      <c r="D10" s="3">
        <v>43</v>
      </c>
      <c r="E10" s="13">
        <f t="shared" si="0"/>
        <v>1.0259198501337632E-3</v>
      </c>
      <c r="F10" s="13">
        <f t="shared" si="1"/>
        <v>31.22074653982391</v>
      </c>
      <c r="G10" s="14">
        <f>F10/$F$124*$D$2</f>
        <v>0</v>
      </c>
      <c r="H10" s="14">
        <f>F10/$F$124*$E$2</f>
        <v>4644.5560762367431</v>
      </c>
      <c r="I10" s="25" t="str">
        <f t="shared" si="2"/>
        <v/>
      </c>
    </row>
    <row r="11" spans="1:9" x14ac:dyDescent="0.25">
      <c r="A11" s="3">
        <v>4020</v>
      </c>
      <c r="B11" s="3">
        <v>113.3529856</v>
      </c>
      <c r="C11" s="3">
        <v>22.930975669999999</v>
      </c>
      <c r="D11" s="3">
        <v>43</v>
      </c>
      <c r="E11" s="13">
        <f t="shared" si="0"/>
        <v>1.1100452355167776E-3</v>
      </c>
      <c r="F11" s="13">
        <f t="shared" si="1"/>
        <v>30.014399681433673</v>
      </c>
      <c r="G11" s="14">
        <f>F11/$F$154*$D$2</f>
        <v>0</v>
      </c>
      <c r="H11" s="14">
        <f>F11/$F$154*$E$2</f>
        <v>66.811733125926466</v>
      </c>
      <c r="I11" s="25" t="str">
        <f t="shared" si="2"/>
        <v>选中</v>
      </c>
    </row>
    <row r="12" spans="1:9" hidden="1" x14ac:dyDescent="0.25">
      <c r="A12" s="3">
        <v>3989</v>
      </c>
      <c r="B12" s="3">
        <v>113.3517557</v>
      </c>
      <c r="C12" s="3">
        <v>22.929125370000001</v>
      </c>
      <c r="D12" s="3">
        <v>43</v>
      </c>
      <c r="E12" s="13">
        <f t="shared" si="0"/>
        <v>1.1334876721442652E-3</v>
      </c>
      <c r="F12" s="13">
        <f t="shared" si="1"/>
        <v>29.702403902106568</v>
      </c>
      <c r="G12" s="14">
        <f>F12/$F$124*$D$2</f>
        <v>0</v>
      </c>
      <c r="H12" s="14">
        <f>F12/$F$124*$E$2</f>
        <v>4418.6797502230738</v>
      </c>
      <c r="I12" s="25" t="str">
        <f t="shared" si="2"/>
        <v/>
      </c>
    </row>
    <row r="13" spans="1:9" hidden="1" x14ac:dyDescent="0.25">
      <c r="A13" s="3">
        <v>3962</v>
      </c>
      <c r="B13" s="3">
        <v>113.3536895</v>
      </c>
      <c r="C13" s="3">
        <v>22.929800069999999</v>
      </c>
      <c r="D13" s="3">
        <v>43</v>
      </c>
      <c r="E13" s="13">
        <f t="shared" si="0"/>
        <v>1.1952375039702813E-3</v>
      </c>
      <c r="F13" s="13">
        <f t="shared" si="1"/>
        <v>28.924968458674044</v>
      </c>
      <c r="G13" s="14">
        <f>F13/$F$124*$D$2</f>
        <v>0</v>
      </c>
      <c r="H13" s="14">
        <f>F13/$F$124*$E$2</f>
        <v>4303.0245237194258</v>
      </c>
      <c r="I13" s="25" t="str">
        <f t="shared" si="2"/>
        <v/>
      </c>
    </row>
    <row r="14" spans="1:9" x14ac:dyDescent="0.25">
      <c r="A14" s="3">
        <v>3957</v>
      </c>
      <c r="B14" s="3">
        <v>113.3536766</v>
      </c>
      <c r="C14" s="3">
        <v>22.929320300000001</v>
      </c>
      <c r="D14" s="3">
        <v>43</v>
      </c>
      <c r="E14" s="13">
        <f t="shared" si="0"/>
        <v>1.3399323117200762E-3</v>
      </c>
      <c r="F14" s="13">
        <f t="shared" si="1"/>
        <v>27.318608225315522</v>
      </c>
      <c r="G14" s="14">
        <f>F14/$F$154*$D$2</f>
        <v>0</v>
      </c>
      <c r="H14" s="14">
        <f>F14/$F$154*$E$2</f>
        <v>60.810930136662243</v>
      </c>
      <c r="I14" s="25" t="str">
        <f t="shared" si="2"/>
        <v>选中</v>
      </c>
    </row>
    <row r="15" spans="1:9" hidden="1" x14ac:dyDescent="0.25">
      <c r="A15" s="3">
        <v>3965</v>
      </c>
      <c r="B15" s="3">
        <v>113.3530277</v>
      </c>
      <c r="C15" s="3">
        <v>22.928288729999998</v>
      </c>
      <c r="D15" s="3">
        <v>43</v>
      </c>
      <c r="E15" s="13">
        <f t="shared" si="0"/>
        <v>1.76397293825539E-3</v>
      </c>
      <c r="F15" s="13">
        <f t="shared" si="1"/>
        <v>23.809706444066396</v>
      </c>
      <c r="G15" s="14">
        <f>F15/$F$124*$D$2</f>
        <v>0</v>
      </c>
      <c r="H15" s="14">
        <f>F15/$F$124*$E$2</f>
        <v>3542.052288760724</v>
      </c>
      <c r="I15" s="25" t="str">
        <f t="shared" si="2"/>
        <v/>
      </c>
    </row>
    <row r="16" spans="1:9" hidden="1" x14ac:dyDescent="0.25">
      <c r="A16" s="3">
        <v>3973</v>
      </c>
      <c r="B16" s="3">
        <v>113.352851</v>
      </c>
      <c r="C16" s="3">
        <v>22.928195049999999</v>
      </c>
      <c r="D16" s="3">
        <v>43</v>
      </c>
      <c r="E16" s="13">
        <f t="shared" si="0"/>
        <v>1.8120030084129806E-3</v>
      </c>
      <c r="F16" s="13">
        <f t="shared" si="1"/>
        <v>23.49202978517468</v>
      </c>
      <c r="G16" s="14">
        <f>F16/$F$124*$D$2</f>
        <v>0</v>
      </c>
      <c r="H16" s="14">
        <f>F16/$F$124*$E$2</f>
        <v>3494.7931031274766</v>
      </c>
      <c r="I16" s="25" t="str">
        <f t="shared" si="2"/>
        <v/>
      </c>
    </row>
    <row r="17" spans="1:9" x14ac:dyDescent="0.25">
      <c r="A17" s="3">
        <v>3932</v>
      </c>
      <c r="B17" s="3">
        <v>113.351039</v>
      </c>
      <c r="C17" s="3">
        <v>22.928870620000001</v>
      </c>
      <c r="D17" s="3">
        <v>43</v>
      </c>
      <c r="E17" s="13">
        <f t="shared" si="0"/>
        <v>1.8364890716806909E-3</v>
      </c>
      <c r="F17" s="13">
        <f t="shared" si="1"/>
        <v>23.33489364563372</v>
      </c>
      <c r="G17" s="14">
        <f>F17/$F$154*$D$2</f>
        <v>0</v>
      </c>
      <c r="H17" s="14">
        <f>F17/$F$154*$E$2</f>
        <v>51.943224029842995</v>
      </c>
      <c r="I17" s="25" t="str">
        <f t="shared" si="2"/>
        <v>选中</v>
      </c>
    </row>
    <row r="18" spans="1:9" hidden="1" x14ac:dyDescent="0.25">
      <c r="A18" s="3">
        <v>3914</v>
      </c>
      <c r="B18" s="3">
        <v>113.351035</v>
      </c>
      <c r="C18" s="3">
        <v>22.92886463</v>
      </c>
      <c r="D18" s="3">
        <v>43</v>
      </c>
      <c r="E18" s="13">
        <f t="shared" si="0"/>
        <v>1.8432871943673537E-3</v>
      </c>
      <c r="F18" s="13">
        <f t="shared" si="1"/>
        <v>23.291823850956156</v>
      </c>
      <c r="G18" s="14">
        <f>F18/$F$124*$D$2</f>
        <v>0</v>
      </c>
      <c r="H18" s="14">
        <f>F18/$F$124*$E$2</f>
        <v>3465.0094563114981</v>
      </c>
      <c r="I18" s="25" t="str">
        <f t="shared" si="2"/>
        <v/>
      </c>
    </row>
    <row r="19" spans="1:9" hidden="1" x14ac:dyDescent="0.25">
      <c r="A19" s="3">
        <v>3966</v>
      </c>
      <c r="B19" s="3">
        <v>113.3536884</v>
      </c>
      <c r="C19" s="3">
        <v>22.931473369999999</v>
      </c>
      <c r="D19" s="3">
        <v>43</v>
      </c>
      <c r="E19" s="13">
        <f t="shared" si="0"/>
        <v>1.9087997519078917E-3</v>
      </c>
      <c r="F19" s="13">
        <f t="shared" si="1"/>
        <v>22.888630860313551</v>
      </c>
      <c r="G19" s="14">
        <f>F19/$F$124*$D$2</f>
        <v>0</v>
      </c>
      <c r="H19" s="14">
        <f>F19/$F$124*$E$2</f>
        <v>3405.0284288816606</v>
      </c>
      <c r="I19" s="25" t="str">
        <f t="shared" si="2"/>
        <v/>
      </c>
    </row>
    <row r="20" spans="1:9" x14ac:dyDescent="0.25">
      <c r="A20" s="3">
        <v>3913</v>
      </c>
      <c r="B20" s="3">
        <v>113.3506017</v>
      </c>
      <c r="C20" s="3">
        <v>22.92956203</v>
      </c>
      <c r="D20" s="3">
        <v>43</v>
      </c>
      <c r="E20" s="13">
        <f t="shared" si="0"/>
        <v>1.9493511163758063E-3</v>
      </c>
      <c r="F20" s="13">
        <f t="shared" si="1"/>
        <v>22.649309397968356</v>
      </c>
      <c r="G20" s="14">
        <f>F20/$F$154*$D$2</f>
        <v>0</v>
      </c>
      <c r="H20" s="14">
        <f>F20/$F$154*$E$2</f>
        <v>50.41712081683449</v>
      </c>
      <c r="I20" s="25" t="str">
        <f t="shared" si="2"/>
        <v>选中</v>
      </c>
    </row>
    <row r="21" spans="1:9" hidden="1" x14ac:dyDescent="0.25">
      <c r="A21" s="3">
        <v>3909</v>
      </c>
      <c r="B21" s="3">
        <v>113.3505827</v>
      </c>
      <c r="C21" s="3">
        <v>22.92898031</v>
      </c>
      <c r="D21" s="3">
        <v>43</v>
      </c>
      <c r="E21" s="13">
        <f t="shared" si="0"/>
        <v>2.1657675438730008E-3</v>
      </c>
      <c r="F21" s="13">
        <f t="shared" si="1"/>
        <v>21.487905206603397</v>
      </c>
      <c r="G21" s="14">
        <f>F21/$F$124*$D$2</f>
        <v>0</v>
      </c>
      <c r="H21" s="14">
        <f>F21/$F$124*$E$2</f>
        <v>3196.6493999631266</v>
      </c>
      <c r="I21" s="25" t="str">
        <f t="shared" si="2"/>
        <v/>
      </c>
    </row>
    <row r="22" spans="1:9" hidden="1" x14ac:dyDescent="0.25">
      <c r="A22" s="3">
        <v>3927</v>
      </c>
      <c r="B22" s="3">
        <v>113.3511905</v>
      </c>
      <c r="C22" s="3">
        <v>22.931741169999999</v>
      </c>
      <c r="D22" s="3">
        <v>43</v>
      </c>
      <c r="E22" s="13">
        <f t="shared" si="0"/>
        <v>2.2035672521851244E-3</v>
      </c>
      <c r="F22" s="13">
        <f t="shared" si="1"/>
        <v>21.302807611263628</v>
      </c>
      <c r="G22" s="14">
        <f>F22/$F$124*$D$2</f>
        <v>0</v>
      </c>
      <c r="H22" s="14">
        <f>F22/$F$124*$E$2</f>
        <v>3169.1133460114524</v>
      </c>
      <c r="I22" s="25" t="str">
        <f t="shared" si="2"/>
        <v/>
      </c>
    </row>
    <row r="23" spans="1:9" x14ac:dyDescent="0.25">
      <c r="A23" s="3">
        <v>3933</v>
      </c>
      <c r="B23" s="3">
        <v>113.351062</v>
      </c>
      <c r="C23" s="3">
        <v>22.928259839999999</v>
      </c>
      <c r="D23" s="3">
        <v>43</v>
      </c>
      <c r="E23" s="13">
        <f t="shared" si="0"/>
        <v>2.2420330835229E-3</v>
      </c>
      <c r="F23" s="13">
        <f t="shared" si="1"/>
        <v>21.119274334655479</v>
      </c>
      <c r="G23" s="14">
        <f>F23/$F$154*$D$2</f>
        <v>0</v>
      </c>
      <c r="H23" s="14">
        <f>F23/$F$154*$E$2</f>
        <v>47.011279107243219</v>
      </c>
      <c r="I23" s="25" t="str">
        <f t="shared" si="2"/>
        <v>选中</v>
      </c>
    </row>
    <row r="24" spans="1:9" hidden="1" x14ac:dyDescent="0.25">
      <c r="A24" s="3">
        <v>4003</v>
      </c>
      <c r="B24" s="3">
        <v>113.3519782</v>
      </c>
      <c r="C24" s="3">
        <v>22.93217774</v>
      </c>
      <c r="D24" s="3">
        <v>43</v>
      </c>
      <c r="E24" s="13">
        <f t="shared" si="0"/>
        <v>2.266199172536018E-3</v>
      </c>
      <c r="F24" s="13">
        <f t="shared" si="1"/>
        <v>21.006367626592102</v>
      </c>
      <c r="G24" s="14">
        <f>F24/$F$124*$D$2</f>
        <v>0</v>
      </c>
      <c r="H24" s="14">
        <f>F24/$F$124*$E$2</f>
        <v>3125.0134353866561</v>
      </c>
      <c r="I24" s="25" t="str">
        <f t="shared" si="2"/>
        <v/>
      </c>
    </row>
    <row r="25" spans="1:9" hidden="1" x14ac:dyDescent="0.25">
      <c r="A25" s="3">
        <v>3941</v>
      </c>
      <c r="B25" s="3">
        <v>113.3544634</v>
      </c>
      <c r="C25" s="3">
        <v>22.928758330000001</v>
      </c>
      <c r="D25" s="3">
        <v>43</v>
      </c>
      <c r="E25" s="13">
        <f t="shared" si="0"/>
        <v>2.3033882983304063E-3</v>
      </c>
      <c r="F25" s="13">
        <f t="shared" si="1"/>
        <v>20.836099462436643</v>
      </c>
      <c r="G25" s="14">
        <f>F25/$F$124*$D$2</f>
        <v>0</v>
      </c>
      <c r="H25" s="14">
        <f>F25/$F$124*$E$2</f>
        <v>3099.6834825807814</v>
      </c>
      <c r="I25" s="25" t="str">
        <f t="shared" si="2"/>
        <v/>
      </c>
    </row>
    <row r="26" spans="1:9" x14ac:dyDescent="0.25">
      <c r="A26" s="3">
        <v>3950</v>
      </c>
      <c r="B26" s="3">
        <v>113.3548607</v>
      </c>
      <c r="C26" s="3">
        <v>22.929678339999999</v>
      </c>
      <c r="D26" s="3">
        <v>43</v>
      </c>
      <c r="E26" s="13">
        <f t="shared" si="0"/>
        <v>2.3722094485104546E-3</v>
      </c>
      <c r="F26" s="13">
        <f t="shared" si="1"/>
        <v>20.531632603319387</v>
      </c>
      <c r="G26" s="14">
        <f>F26/$F$154*$D$2</f>
        <v>0</v>
      </c>
      <c r="H26" s="14">
        <f>F26/$F$154*$E$2</f>
        <v>45.703194889521193</v>
      </c>
      <c r="I26" s="25" t="str">
        <f t="shared" si="2"/>
        <v>选中</v>
      </c>
    </row>
    <row r="27" spans="1:9" hidden="1" x14ac:dyDescent="0.25">
      <c r="A27" s="3">
        <v>3971</v>
      </c>
      <c r="B27" s="3">
        <v>113.3518607</v>
      </c>
      <c r="C27" s="3">
        <v>22.927537869999998</v>
      </c>
      <c r="D27" s="3">
        <v>43</v>
      </c>
      <c r="E27" s="13">
        <f t="shared" si="0"/>
        <v>2.5205000104945429E-3</v>
      </c>
      <c r="F27" s="13">
        <f t="shared" si="1"/>
        <v>19.918500837027214</v>
      </c>
      <c r="G27" s="14">
        <f>F27/$F$124*$D$2</f>
        <v>0</v>
      </c>
      <c r="H27" s="14">
        <f>F27/$F$124*$E$2</f>
        <v>2963.17687260092</v>
      </c>
      <c r="I27" s="25" t="str">
        <f t="shared" si="2"/>
        <v/>
      </c>
    </row>
    <row r="28" spans="1:9" hidden="1" x14ac:dyDescent="0.25">
      <c r="A28" s="3">
        <v>3959</v>
      </c>
      <c r="B28" s="3">
        <v>113.3538205</v>
      </c>
      <c r="C28" s="3">
        <v>22.927813709999999</v>
      </c>
      <c r="D28" s="3">
        <v>43</v>
      </c>
      <c r="E28" s="13">
        <f t="shared" si="0"/>
        <v>2.5283526656871879E-3</v>
      </c>
      <c r="F28" s="13">
        <f t="shared" si="1"/>
        <v>19.88754495840465</v>
      </c>
      <c r="G28" s="14">
        <f>F28/$F$124*$D$2</f>
        <v>0</v>
      </c>
      <c r="H28" s="14">
        <f>F28/$F$124*$E$2</f>
        <v>2958.5717196149631</v>
      </c>
      <c r="I28" s="25" t="str">
        <f t="shared" si="2"/>
        <v/>
      </c>
    </row>
    <row r="29" spans="1:9" x14ac:dyDescent="0.25">
      <c r="A29" s="3">
        <v>3912</v>
      </c>
      <c r="B29" s="3">
        <v>113.3506896</v>
      </c>
      <c r="C29" s="3">
        <v>22.928205460000001</v>
      </c>
      <c r="D29" s="3">
        <v>43</v>
      </c>
      <c r="E29" s="13">
        <f t="shared" si="0"/>
        <v>2.5359475959924336E-3</v>
      </c>
      <c r="F29" s="13">
        <f t="shared" si="1"/>
        <v>19.857741941393584</v>
      </c>
      <c r="G29" s="14">
        <f>F29/$F$154*$D$2</f>
        <v>0</v>
      </c>
      <c r="H29" s="14">
        <f>F29/$F$154*$E$2</f>
        <v>44.203121473477104</v>
      </c>
      <c r="I29" s="25" t="str">
        <f t="shared" si="2"/>
        <v>选中</v>
      </c>
    </row>
    <row r="30" spans="1:9" hidden="1" x14ac:dyDescent="0.25">
      <c r="A30" s="3">
        <v>3946</v>
      </c>
      <c r="B30" s="3">
        <v>113.3550723</v>
      </c>
      <c r="C30" s="3">
        <v>22.929959910000001</v>
      </c>
      <c r="D30" s="3">
        <v>43</v>
      </c>
      <c r="E30" s="13">
        <f t="shared" si="0"/>
        <v>2.565339245811898E-3</v>
      </c>
      <c r="F30" s="13">
        <f t="shared" si="1"/>
        <v>19.743656991288773</v>
      </c>
      <c r="G30" s="14">
        <f>F30/$F$124*$D$2</f>
        <v>0</v>
      </c>
      <c r="H30" s="14">
        <f>F30/$F$124*$E$2</f>
        <v>2937.1662182726764</v>
      </c>
      <c r="I30" s="25" t="str">
        <f t="shared" si="2"/>
        <v/>
      </c>
    </row>
    <row r="31" spans="1:9" hidden="1" x14ac:dyDescent="0.25">
      <c r="A31" s="3">
        <v>3978</v>
      </c>
      <c r="B31" s="3">
        <v>113.35358979999999</v>
      </c>
      <c r="C31" s="3">
        <v>22.927634139999999</v>
      </c>
      <c r="D31" s="3">
        <v>43</v>
      </c>
      <c r="E31" s="13">
        <f t="shared" si="0"/>
        <v>2.5783461058563367E-3</v>
      </c>
      <c r="F31" s="13">
        <f t="shared" si="1"/>
        <v>19.69379408254089</v>
      </c>
      <c r="G31" s="14">
        <f>F31/$F$124*$D$2</f>
        <v>0</v>
      </c>
      <c r="H31" s="14">
        <f>F31/$F$124*$E$2</f>
        <v>2929.7483599101797</v>
      </c>
      <c r="I31" s="25" t="str">
        <f t="shared" si="2"/>
        <v/>
      </c>
    </row>
    <row r="32" spans="1:9" x14ac:dyDescent="0.25">
      <c r="A32" s="3">
        <v>3996</v>
      </c>
      <c r="B32" s="3">
        <v>113.35303639999999</v>
      </c>
      <c r="C32" s="3">
        <v>22.932671880000001</v>
      </c>
      <c r="D32" s="3">
        <v>43</v>
      </c>
      <c r="E32" s="13">
        <f t="shared" si="0"/>
        <v>2.7492328545251003E-3</v>
      </c>
      <c r="F32" s="13">
        <f t="shared" si="1"/>
        <v>19.071912139749383</v>
      </c>
      <c r="G32" s="14">
        <f>F32/$F$154*$D$2</f>
        <v>0</v>
      </c>
      <c r="H32" s="14">
        <f>F32/$F$154*$E$2</f>
        <v>42.453872727971486</v>
      </c>
      <c r="I32" s="25" t="str">
        <f t="shared" si="2"/>
        <v>选中</v>
      </c>
    </row>
    <row r="33" spans="1:9" hidden="1" x14ac:dyDescent="0.25">
      <c r="A33" s="3">
        <v>3940</v>
      </c>
      <c r="B33" s="3">
        <v>113.354726</v>
      </c>
      <c r="C33" s="3">
        <v>22.928335109999999</v>
      </c>
      <c r="D33" s="3">
        <v>43</v>
      </c>
      <c r="E33" s="13">
        <f t="shared" si="0"/>
        <v>2.7586680155620596E-3</v>
      </c>
      <c r="F33" s="13">
        <f t="shared" si="1"/>
        <v>19.03926944992207</v>
      </c>
      <c r="G33" s="14">
        <f>F33/$F$124*$D$2</f>
        <v>0</v>
      </c>
      <c r="H33" s="14">
        <f>F33/$F$124*$E$2</f>
        <v>2832.3779669377154</v>
      </c>
      <c r="I33" s="25" t="str">
        <f t="shared" si="2"/>
        <v/>
      </c>
    </row>
    <row r="34" spans="1:9" hidden="1" x14ac:dyDescent="0.25">
      <c r="A34" s="3">
        <v>4014</v>
      </c>
      <c r="B34" s="3">
        <v>113.354726</v>
      </c>
      <c r="C34" s="3">
        <v>22.928335109999999</v>
      </c>
      <c r="D34" s="3">
        <v>43</v>
      </c>
      <c r="E34" s="13">
        <f t="shared" si="0"/>
        <v>2.7586680155620596E-3</v>
      </c>
      <c r="F34" s="13">
        <f t="shared" si="1"/>
        <v>19.03926944992207</v>
      </c>
      <c r="G34" s="14">
        <f>F34/$F$124*$D$2</f>
        <v>0</v>
      </c>
      <c r="H34" s="14">
        <f>F34/$F$124*$E$2</f>
        <v>2832.3779669377154</v>
      </c>
      <c r="I34" s="25" t="str">
        <f t="shared" si="2"/>
        <v/>
      </c>
    </row>
    <row r="35" spans="1:9" x14ac:dyDescent="0.25">
      <c r="A35" s="3">
        <v>3935</v>
      </c>
      <c r="B35" s="3">
        <v>113.3542568</v>
      </c>
      <c r="C35" s="3">
        <v>22.927660110000001</v>
      </c>
      <c r="D35" s="3">
        <v>43</v>
      </c>
      <c r="E35" s="13">
        <f t="shared" si="0"/>
        <v>2.9010945796517627E-3</v>
      </c>
      <c r="F35" s="13">
        <f t="shared" si="1"/>
        <v>18.566030355323718</v>
      </c>
      <c r="G35" s="14">
        <f>F35/$F$154*$D$2</f>
        <v>0</v>
      </c>
      <c r="H35" s="14">
        <f>F35/$F$154*$E$2</f>
        <v>41.327785278845447</v>
      </c>
      <c r="I35" s="25" t="str">
        <f t="shared" si="2"/>
        <v>选中</v>
      </c>
    </row>
    <row r="36" spans="1:9" hidden="1" x14ac:dyDescent="0.25">
      <c r="A36" s="3">
        <v>3953</v>
      </c>
      <c r="B36" s="3">
        <v>113.35405110000001</v>
      </c>
      <c r="C36" s="3">
        <v>22.927494490000001</v>
      </c>
      <c r="D36" s="3">
        <v>43</v>
      </c>
      <c r="E36" s="13">
        <f t="shared" si="0"/>
        <v>2.9210803758374787E-3</v>
      </c>
      <c r="F36" s="13">
        <f t="shared" si="1"/>
        <v>18.502407702617074</v>
      </c>
      <c r="G36" s="14">
        <f>F36/$F$124*$D$2</f>
        <v>0</v>
      </c>
      <c r="H36" s="14">
        <f>F36/$F$124*$E$2</f>
        <v>2752.5116995707931</v>
      </c>
      <c r="I36" s="25" t="str">
        <f t="shared" si="2"/>
        <v/>
      </c>
    </row>
    <row r="37" spans="1:9" hidden="1" x14ac:dyDescent="0.25">
      <c r="A37" s="3">
        <v>3967</v>
      </c>
      <c r="B37" s="3">
        <v>113.3555566</v>
      </c>
      <c r="C37" s="3">
        <v>22.93010512</v>
      </c>
      <c r="D37" s="3">
        <v>43</v>
      </c>
      <c r="E37" s="13">
        <f t="shared" ref="E37:E68" si="3">SQRT((B37-$B$2)^2+(C37-$C$2)^2)</f>
        <v>3.0524132093120437E-3</v>
      </c>
      <c r="F37" s="13">
        <f t="shared" ref="F37:F68" si="4">SQRT(1/E37)</f>
        <v>18.099990121908483</v>
      </c>
      <c r="G37" s="14">
        <f>F37/$F$124*$D$2</f>
        <v>0</v>
      </c>
      <c r="H37" s="14">
        <f>F37/$F$124*$E$2</f>
        <v>2692.6460260424392</v>
      </c>
      <c r="I37" s="25" t="str">
        <f t="shared" si="2"/>
        <v/>
      </c>
    </row>
    <row r="38" spans="1:9" x14ac:dyDescent="0.25">
      <c r="A38" s="3">
        <v>3911</v>
      </c>
      <c r="B38" s="3">
        <v>113.34970920000001</v>
      </c>
      <c r="C38" s="3">
        <v>22.928615870000002</v>
      </c>
      <c r="D38" s="3">
        <v>43</v>
      </c>
      <c r="E38" s="13">
        <f t="shared" si="3"/>
        <v>3.1100600593673058E-3</v>
      </c>
      <c r="F38" s="13">
        <f t="shared" si="4"/>
        <v>17.931458360441297</v>
      </c>
      <c r="G38" s="14">
        <f>F38/$F$154*$D$2</f>
        <v>0</v>
      </c>
      <c r="H38" s="14">
        <f>F38/$F$154*$E$2</f>
        <v>39.915234795701956</v>
      </c>
      <c r="I38" s="25" t="str">
        <f t="shared" si="2"/>
        <v>选中</v>
      </c>
    </row>
    <row r="39" spans="1:9" hidden="1" x14ac:dyDescent="0.25">
      <c r="A39" s="3">
        <v>4013</v>
      </c>
      <c r="B39" s="3">
        <v>113.3556205</v>
      </c>
      <c r="C39" s="3">
        <v>22.930104020000002</v>
      </c>
      <c r="D39" s="3">
        <v>43</v>
      </c>
      <c r="E39" s="13">
        <f t="shared" si="3"/>
        <v>3.1162094692730158E-3</v>
      </c>
      <c r="F39" s="13">
        <f t="shared" si="4"/>
        <v>17.913756992462918</v>
      </c>
      <c r="G39" s="14">
        <f>F39/$F$124*$D$2</f>
        <v>0</v>
      </c>
      <c r="H39" s="14">
        <f>F39/$F$124*$E$2</f>
        <v>2664.9410442970584</v>
      </c>
      <c r="I39" s="25" t="str">
        <f t="shared" si="2"/>
        <v/>
      </c>
    </row>
    <row r="40" spans="1:9" hidden="1" x14ac:dyDescent="0.25">
      <c r="A40" s="3">
        <v>3924</v>
      </c>
      <c r="B40" s="3">
        <v>113.3510481</v>
      </c>
      <c r="C40" s="3">
        <v>22.927207299999999</v>
      </c>
      <c r="D40" s="3">
        <v>43</v>
      </c>
      <c r="E40" s="13">
        <f t="shared" si="3"/>
        <v>3.1278701139925381E-3</v>
      </c>
      <c r="F40" s="13">
        <f t="shared" si="4"/>
        <v>17.880334728624629</v>
      </c>
      <c r="G40" s="14">
        <f>F40/$F$124*$D$2</f>
        <v>0</v>
      </c>
      <c r="H40" s="14">
        <f>F40/$F$124*$E$2</f>
        <v>2659.9689793788248</v>
      </c>
      <c r="I40" s="25" t="str">
        <f t="shared" si="2"/>
        <v/>
      </c>
    </row>
    <row r="41" spans="1:9" x14ac:dyDescent="0.25">
      <c r="A41" s="3">
        <v>3938</v>
      </c>
      <c r="B41" s="3">
        <v>113.35555359999999</v>
      </c>
      <c r="C41" s="3">
        <v>22.929161520000001</v>
      </c>
      <c r="D41" s="3">
        <v>43</v>
      </c>
      <c r="E41" s="13">
        <f t="shared" si="3"/>
        <v>3.1531028870524888E-3</v>
      </c>
      <c r="F41" s="13">
        <f t="shared" si="4"/>
        <v>17.808647140289541</v>
      </c>
      <c r="G41" s="14">
        <f>F41/$F$154*$D$2</f>
        <v>0</v>
      </c>
      <c r="H41" s="14">
        <f>F41/$F$154*$E$2</f>
        <v>39.641858331313621</v>
      </c>
      <c r="I41" s="25" t="str">
        <f t="shared" si="2"/>
        <v>选中</v>
      </c>
    </row>
    <row r="42" spans="1:9" hidden="1" x14ac:dyDescent="0.25">
      <c r="A42" s="3">
        <v>3922</v>
      </c>
      <c r="B42" s="3">
        <v>113.3502324</v>
      </c>
      <c r="C42" s="3">
        <v>22.927691410000001</v>
      </c>
      <c r="D42" s="3">
        <v>43</v>
      </c>
      <c r="E42" s="13">
        <f t="shared" si="3"/>
        <v>3.2224957402797114E-3</v>
      </c>
      <c r="F42" s="13">
        <f t="shared" si="4"/>
        <v>17.61585894096762</v>
      </c>
      <c r="G42" s="14">
        <f>F42/$F$124*$D$2</f>
        <v>0</v>
      </c>
      <c r="H42" s="14">
        <f>F42/$F$124*$E$2</f>
        <v>2620.6242242810249</v>
      </c>
      <c r="I42" s="25" t="str">
        <f t="shared" si="2"/>
        <v/>
      </c>
    </row>
    <row r="43" spans="1:9" hidden="1" x14ac:dyDescent="0.25">
      <c r="A43" s="3">
        <v>3999</v>
      </c>
      <c r="B43" s="3">
        <v>113.35581620000001</v>
      </c>
      <c r="C43" s="3">
        <v>22.929969790000001</v>
      </c>
      <c r="D43" s="3">
        <v>43</v>
      </c>
      <c r="E43" s="13">
        <f t="shared" si="3"/>
        <v>3.3092028067384718E-3</v>
      </c>
      <c r="F43" s="13">
        <f t="shared" si="4"/>
        <v>17.383543472411581</v>
      </c>
      <c r="G43" s="14">
        <f>F43/$F$124*$D$2</f>
        <v>0</v>
      </c>
      <c r="H43" s="14">
        <f>F43/$F$124*$E$2</f>
        <v>2586.0638008231999</v>
      </c>
      <c r="I43" s="25" t="str">
        <f t="shared" si="2"/>
        <v/>
      </c>
    </row>
    <row r="44" spans="1:9" x14ac:dyDescent="0.25">
      <c r="A44" s="3">
        <v>3986</v>
      </c>
      <c r="B44" s="3">
        <v>113.35415159999999</v>
      </c>
      <c r="C44" s="3">
        <v>22.93290506</v>
      </c>
      <c r="D44" s="3">
        <v>43</v>
      </c>
      <c r="E44" s="13">
        <f t="shared" si="3"/>
        <v>3.3608385384566492E-3</v>
      </c>
      <c r="F44" s="13">
        <f t="shared" si="4"/>
        <v>17.249486683617661</v>
      </c>
      <c r="G44" s="14">
        <f>F44/$F$154*$D$2</f>
        <v>0</v>
      </c>
      <c r="H44" s="14">
        <f>F44/$F$154*$E$2</f>
        <v>38.397173126803537</v>
      </c>
      <c r="I44" s="25" t="str">
        <f t="shared" si="2"/>
        <v>选中</v>
      </c>
    </row>
    <row r="45" spans="1:9" hidden="1" x14ac:dyDescent="0.25">
      <c r="A45" s="3">
        <v>3960</v>
      </c>
      <c r="B45" s="3">
        <v>113.3554096</v>
      </c>
      <c r="C45" s="3">
        <v>22.93218646</v>
      </c>
      <c r="D45" s="3">
        <v>43</v>
      </c>
      <c r="E45" s="13">
        <f t="shared" si="3"/>
        <v>3.6496059416873039E-3</v>
      </c>
      <c r="F45" s="13">
        <f t="shared" si="4"/>
        <v>16.553011337496795</v>
      </c>
      <c r="G45" s="14">
        <f>F45/$F$124*$D$2</f>
        <v>0</v>
      </c>
      <c r="H45" s="14">
        <f>F45/$F$124*$E$2</f>
        <v>2462.5096420907066</v>
      </c>
      <c r="I45" s="25" t="str">
        <f t="shared" si="2"/>
        <v/>
      </c>
    </row>
    <row r="46" spans="1:9" hidden="1" x14ac:dyDescent="0.25">
      <c r="A46" s="3">
        <v>3930</v>
      </c>
      <c r="B46" s="3">
        <v>113.3500258</v>
      </c>
      <c r="C46" s="3">
        <v>22.927274919999999</v>
      </c>
      <c r="D46" s="3">
        <v>43</v>
      </c>
      <c r="E46" s="13">
        <f t="shared" si="3"/>
        <v>3.6663232416726879E-3</v>
      </c>
      <c r="F46" s="13">
        <f t="shared" si="4"/>
        <v>16.515229914469856</v>
      </c>
      <c r="G46" s="14">
        <f>F46/$F$124*$D$2</f>
        <v>0</v>
      </c>
      <c r="H46" s="14">
        <f>F46/$F$124*$E$2</f>
        <v>2456.8890866160064</v>
      </c>
      <c r="I46" s="25" t="str">
        <f t="shared" si="2"/>
        <v/>
      </c>
    </row>
    <row r="47" spans="1:9" x14ac:dyDescent="0.25">
      <c r="A47" s="3">
        <v>3901</v>
      </c>
      <c r="B47" s="3">
        <v>113.3496564</v>
      </c>
      <c r="C47" s="3">
        <v>22.927653360000001</v>
      </c>
      <c r="D47" s="3">
        <v>43</v>
      </c>
      <c r="E47" s="13">
        <f t="shared" si="3"/>
        <v>3.6758338520129267E-3</v>
      </c>
      <c r="F47" s="13">
        <f t="shared" si="4"/>
        <v>16.493850867910751</v>
      </c>
      <c r="G47" s="14">
        <f>F47/$F$154*$D$2</f>
        <v>0</v>
      </c>
      <c r="H47" s="14">
        <f>F47/$F$154*$E$2</f>
        <v>36.715135871511336</v>
      </c>
      <c r="I47" s="25" t="str">
        <f t="shared" si="2"/>
        <v>选中</v>
      </c>
    </row>
    <row r="48" spans="1:9" hidden="1" x14ac:dyDescent="0.25">
      <c r="A48" s="3">
        <v>4004</v>
      </c>
      <c r="B48" s="3">
        <v>113.35174790000001</v>
      </c>
      <c r="C48" s="3">
        <v>22.92637354</v>
      </c>
      <c r="D48" s="3">
        <v>43</v>
      </c>
      <c r="E48" s="13">
        <f t="shared" si="3"/>
        <v>3.6797099238372192E-3</v>
      </c>
      <c r="F48" s="13">
        <f t="shared" si="4"/>
        <v>16.485161569493727</v>
      </c>
      <c r="G48" s="14">
        <f>F48/$F$124*$D$2</f>
        <v>0</v>
      </c>
      <c r="H48" s="14">
        <f>F48/$F$124*$E$2</f>
        <v>2452.4159676217787</v>
      </c>
      <c r="I48" s="25" t="str">
        <f t="shared" si="2"/>
        <v/>
      </c>
    </row>
    <row r="49" spans="1:9" hidden="1" x14ac:dyDescent="0.25">
      <c r="A49" s="3">
        <v>4009</v>
      </c>
      <c r="B49" s="3">
        <v>113.3520934</v>
      </c>
      <c r="C49" s="3">
        <v>22.926277039999999</v>
      </c>
      <c r="D49" s="3">
        <v>43</v>
      </c>
      <c r="E49" s="13">
        <f t="shared" si="3"/>
        <v>3.720123331773299E-3</v>
      </c>
      <c r="F49" s="13">
        <f t="shared" si="4"/>
        <v>16.395374113173585</v>
      </c>
      <c r="G49" s="14">
        <f>F49/$F$124*$D$2</f>
        <v>0</v>
      </c>
      <c r="H49" s="14">
        <f>F49/$F$124*$E$2</f>
        <v>2439.0587317437185</v>
      </c>
      <c r="I49" s="25" t="str">
        <f t="shared" si="2"/>
        <v/>
      </c>
    </row>
    <row r="50" spans="1:9" x14ac:dyDescent="0.25">
      <c r="A50" s="3">
        <v>3987</v>
      </c>
      <c r="B50" s="3">
        <v>113.3562235</v>
      </c>
      <c r="C50" s="3">
        <v>22.930419000000001</v>
      </c>
      <c r="D50" s="3">
        <v>43</v>
      </c>
      <c r="E50" s="13">
        <f t="shared" si="3"/>
        <v>3.7430346324835023E-3</v>
      </c>
      <c r="F50" s="13">
        <f t="shared" si="4"/>
        <v>16.345118641837715</v>
      </c>
      <c r="G50" s="14">
        <f>F50/$F$154*$D$2</f>
        <v>0</v>
      </c>
      <c r="H50" s="14">
        <f>F50/$F$154*$E$2</f>
        <v>36.384059524788213</v>
      </c>
      <c r="I50" s="25" t="str">
        <f t="shared" si="2"/>
        <v>选中</v>
      </c>
    </row>
    <row r="51" spans="1:9" hidden="1" x14ac:dyDescent="0.25">
      <c r="A51" s="3">
        <v>4019</v>
      </c>
      <c r="B51" s="3">
        <v>113.35564530000001</v>
      </c>
      <c r="C51" s="3">
        <v>22.932116140000002</v>
      </c>
      <c r="D51" s="3">
        <v>43</v>
      </c>
      <c r="E51" s="13">
        <f t="shared" si="3"/>
        <v>3.7996397528755142E-3</v>
      </c>
      <c r="F51" s="13">
        <f t="shared" si="4"/>
        <v>16.222911112496945</v>
      </c>
      <c r="G51" s="14">
        <f>F51/$F$124*$D$2</f>
        <v>0</v>
      </c>
      <c r="H51" s="14">
        <f>F51/$F$124*$E$2</f>
        <v>2413.4022639620471</v>
      </c>
      <c r="I51" s="25" t="str">
        <f t="shared" si="2"/>
        <v/>
      </c>
    </row>
    <row r="52" spans="1:9" hidden="1" x14ac:dyDescent="0.25">
      <c r="A52" s="3">
        <v>3905</v>
      </c>
      <c r="B52" s="3">
        <v>113.3495336</v>
      </c>
      <c r="C52" s="3">
        <v>22.927522620000001</v>
      </c>
      <c r="D52" s="3">
        <v>43</v>
      </c>
      <c r="E52" s="13">
        <f t="shared" si="3"/>
        <v>3.8536815839402432E-3</v>
      </c>
      <c r="F52" s="13">
        <f t="shared" si="4"/>
        <v>16.108759075621666</v>
      </c>
      <c r="G52" s="14">
        <f>F52/$F$124*$D$2</f>
        <v>0</v>
      </c>
      <c r="H52" s="14">
        <f>F52/$F$124*$E$2</f>
        <v>2396.4204299175731</v>
      </c>
      <c r="I52" s="25" t="str">
        <f t="shared" si="2"/>
        <v/>
      </c>
    </row>
    <row r="53" spans="1:9" x14ac:dyDescent="0.25">
      <c r="A53" s="3">
        <v>3981</v>
      </c>
      <c r="B53" s="3">
        <v>113.3542309</v>
      </c>
      <c r="C53" s="3">
        <v>22.926463649999999</v>
      </c>
      <c r="D53" s="3">
        <v>43</v>
      </c>
      <c r="E53" s="13">
        <f t="shared" si="3"/>
        <v>3.9108938124817532E-3</v>
      </c>
      <c r="F53" s="13">
        <f t="shared" si="4"/>
        <v>15.990497943346252</v>
      </c>
      <c r="G53" s="14">
        <f>F53/$F$154*$D$2</f>
        <v>0</v>
      </c>
      <c r="H53" s="14">
        <f>F53/$F$154*$E$2</f>
        <v>35.59467763742709</v>
      </c>
      <c r="I53" s="25" t="str">
        <f t="shared" si="2"/>
        <v>选中</v>
      </c>
    </row>
    <row r="54" spans="1:9" hidden="1" x14ac:dyDescent="0.25">
      <c r="A54" s="3">
        <v>3947</v>
      </c>
      <c r="B54" s="3">
        <v>113.35630930000001</v>
      </c>
      <c r="C54" s="3">
        <v>22.93090067</v>
      </c>
      <c r="D54" s="3">
        <v>43</v>
      </c>
      <c r="E54" s="13">
        <f t="shared" si="3"/>
        <v>3.9135683531695657E-3</v>
      </c>
      <c r="F54" s="13">
        <f t="shared" si="4"/>
        <v>15.985033039860461</v>
      </c>
      <c r="G54" s="14">
        <f>F54/$F$124*$D$2</f>
        <v>0</v>
      </c>
      <c r="H54" s="14">
        <f>F54/$F$124*$E$2</f>
        <v>2378.0143194022339</v>
      </c>
      <c r="I54" s="25" t="str">
        <f t="shared" si="2"/>
        <v/>
      </c>
    </row>
    <row r="55" spans="1:9" hidden="1" x14ac:dyDescent="0.25">
      <c r="A55" s="3">
        <v>3948</v>
      </c>
      <c r="B55" s="3">
        <v>113.356008</v>
      </c>
      <c r="C55" s="3">
        <v>22.928170260000002</v>
      </c>
      <c r="D55" s="3">
        <v>43</v>
      </c>
      <c r="E55" s="13">
        <f t="shared" si="3"/>
        <v>3.9383803454707397E-3</v>
      </c>
      <c r="F55" s="13">
        <f t="shared" si="4"/>
        <v>15.934600229965072</v>
      </c>
      <c r="G55" s="14">
        <f>F55/$F$124*$D$2</f>
        <v>0</v>
      </c>
      <c r="H55" s="14">
        <f>F55/$F$124*$E$2</f>
        <v>2370.5116796641828</v>
      </c>
      <c r="I55" s="25" t="str">
        <f t="shared" si="2"/>
        <v/>
      </c>
    </row>
    <row r="56" spans="1:9" x14ac:dyDescent="0.25">
      <c r="A56" s="3">
        <v>4015</v>
      </c>
      <c r="B56" s="3">
        <v>113.3541331</v>
      </c>
      <c r="C56" s="3">
        <v>22.926254879999998</v>
      </c>
      <c r="D56" s="3">
        <v>43</v>
      </c>
      <c r="E56" s="13">
        <f t="shared" si="3"/>
        <v>4.0591623050071904E-3</v>
      </c>
      <c r="F56" s="13">
        <f t="shared" si="4"/>
        <v>15.695739839599669</v>
      </c>
      <c r="G56" s="14">
        <f>F56/$F$154*$D$2</f>
        <v>0</v>
      </c>
      <c r="H56" s="14">
        <f>F56/$F$154*$E$2</f>
        <v>34.938549246613306</v>
      </c>
      <c r="I56" s="25" t="str">
        <f t="shared" si="2"/>
        <v>选中</v>
      </c>
    </row>
    <row r="57" spans="1:9" hidden="1" x14ac:dyDescent="0.25">
      <c r="A57" s="3">
        <v>3951</v>
      </c>
      <c r="B57" s="3">
        <v>113.3564272</v>
      </c>
      <c r="C57" s="3">
        <v>22.931052430000001</v>
      </c>
      <c r="D57" s="3">
        <v>43</v>
      </c>
      <c r="E57" s="13">
        <f t="shared" si="3"/>
        <v>4.0658041798485034E-3</v>
      </c>
      <c r="F57" s="13">
        <f t="shared" si="4"/>
        <v>15.682914363389305</v>
      </c>
      <c r="G57" s="14">
        <f>F57/$F$124*$D$2</f>
        <v>0</v>
      </c>
      <c r="H57" s="14">
        <f>F57/$F$124*$E$2</f>
        <v>2333.0696178795197</v>
      </c>
      <c r="I57" s="25" t="str">
        <f t="shared" si="2"/>
        <v/>
      </c>
    </row>
    <row r="58" spans="1:9" hidden="1" x14ac:dyDescent="0.25">
      <c r="A58" s="3">
        <v>3520</v>
      </c>
      <c r="B58" s="3">
        <v>113.35243629999999</v>
      </c>
      <c r="C58" s="3">
        <v>22.934156189999999</v>
      </c>
      <c r="D58" s="3">
        <v>43</v>
      </c>
      <c r="E58" s="13">
        <f t="shared" si="3"/>
        <v>4.1826875640077667E-3</v>
      </c>
      <c r="F58" s="13">
        <f t="shared" si="4"/>
        <v>15.46223563773683</v>
      </c>
      <c r="G58" s="14">
        <f>F58/$F$124*$D$2</f>
        <v>0</v>
      </c>
      <c r="H58" s="14">
        <f>F58/$F$124*$E$2</f>
        <v>2300.2403351198013</v>
      </c>
      <c r="I58" s="25" t="str">
        <f t="shared" si="2"/>
        <v/>
      </c>
    </row>
    <row r="59" spans="1:9" x14ac:dyDescent="0.25">
      <c r="A59" s="3">
        <v>3502</v>
      </c>
      <c r="B59" s="3">
        <v>113.3527048</v>
      </c>
      <c r="C59" s="3">
        <v>22.934214740000002</v>
      </c>
      <c r="D59" s="3">
        <v>43</v>
      </c>
      <c r="E59" s="13">
        <f t="shared" si="3"/>
        <v>4.2452505755985574E-3</v>
      </c>
      <c r="F59" s="13">
        <f t="shared" si="4"/>
        <v>15.347877890124586</v>
      </c>
      <c r="G59" s="14">
        <f>F59/$F$154*$D$2</f>
        <v>0</v>
      </c>
      <c r="H59" s="14">
        <f>F59/$F$154*$E$2</f>
        <v>34.164212262376687</v>
      </c>
      <c r="I59" s="25" t="str">
        <f t="shared" si="2"/>
        <v>选中</v>
      </c>
    </row>
    <row r="60" spans="1:9" hidden="1" x14ac:dyDescent="0.25">
      <c r="A60" s="3">
        <v>3958</v>
      </c>
      <c r="B60" s="3">
        <v>113.3564701</v>
      </c>
      <c r="C60" s="3">
        <v>22.931511180000001</v>
      </c>
      <c r="D60" s="3">
        <v>43</v>
      </c>
      <c r="E60" s="13">
        <f t="shared" si="3"/>
        <v>4.2507383519042952E-3</v>
      </c>
      <c r="F60" s="13">
        <f t="shared" si="4"/>
        <v>15.337967503336575</v>
      </c>
      <c r="G60" s="14">
        <f>F60/$F$124*$D$2</f>
        <v>0</v>
      </c>
      <c r="H60" s="14">
        <f>F60/$F$124*$E$2</f>
        <v>2281.7535792706062</v>
      </c>
      <c r="I60" s="25" t="str">
        <f t="shared" si="2"/>
        <v/>
      </c>
    </row>
    <row r="61" spans="1:9" hidden="1" x14ac:dyDescent="0.25">
      <c r="A61" s="3">
        <v>4008</v>
      </c>
      <c r="B61" s="3">
        <v>113.3548155</v>
      </c>
      <c r="C61" s="3">
        <v>22.933587769999999</v>
      </c>
      <c r="D61" s="3">
        <v>43</v>
      </c>
      <c r="E61" s="13">
        <f t="shared" si="3"/>
        <v>4.2880978439036443E-3</v>
      </c>
      <c r="F61" s="13">
        <f t="shared" si="4"/>
        <v>15.271006318051763</v>
      </c>
      <c r="G61" s="14">
        <f>F61/$F$124*$D$2</f>
        <v>0</v>
      </c>
      <c r="H61" s="14">
        <f>F61/$F$124*$E$2</f>
        <v>2271.7920948586343</v>
      </c>
      <c r="I61" s="25" t="str">
        <f t="shared" si="2"/>
        <v/>
      </c>
    </row>
    <row r="62" spans="1:9" x14ac:dyDescent="0.25">
      <c r="A62" s="3">
        <v>3942</v>
      </c>
      <c r="B62" s="3">
        <v>113.35558469999999</v>
      </c>
      <c r="C62" s="3">
        <v>22.926905420000001</v>
      </c>
      <c r="D62" s="3">
        <v>43</v>
      </c>
      <c r="E62" s="13">
        <f t="shared" si="3"/>
        <v>4.3461516577701104E-3</v>
      </c>
      <c r="F62" s="13">
        <f t="shared" si="4"/>
        <v>15.168672039103521</v>
      </c>
      <c r="G62" s="14">
        <f>F62/$F$154*$D$2</f>
        <v>0</v>
      </c>
      <c r="H62" s="14">
        <f>F62/$F$154*$E$2</f>
        <v>33.765301951988896</v>
      </c>
      <c r="I62" s="25" t="str">
        <f t="shared" si="2"/>
        <v>选中</v>
      </c>
    </row>
    <row r="63" spans="1:9" hidden="1" x14ac:dyDescent="0.25">
      <c r="A63" s="3">
        <v>3980</v>
      </c>
      <c r="B63" s="3">
        <v>113.35302489999999</v>
      </c>
      <c r="C63" s="3">
        <v>22.925653839999999</v>
      </c>
      <c r="D63" s="3">
        <v>43</v>
      </c>
      <c r="E63" s="13">
        <f t="shared" si="3"/>
        <v>4.3511914319633938E-3</v>
      </c>
      <c r="F63" s="13">
        <f t="shared" si="4"/>
        <v>15.159884925041148</v>
      </c>
      <c r="G63" s="14">
        <f>F63/$F$124*$D$2</f>
        <v>0</v>
      </c>
      <c r="H63" s="14">
        <f>F63/$F$124*$E$2</f>
        <v>2255.2611147153816</v>
      </c>
      <c r="I63" s="25" t="str">
        <f t="shared" si="2"/>
        <v/>
      </c>
    </row>
    <row r="64" spans="1:9" hidden="1" x14ac:dyDescent="0.25">
      <c r="A64" s="3">
        <v>3519</v>
      </c>
      <c r="B64" s="3">
        <v>113.3522007</v>
      </c>
      <c r="C64" s="3">
        <v>22.934375459999998</v>
      </c>
      <c r="D64" s="3">
        <v>43</v>
      </c>
      <c r="E64" s="13">
        <f t="shared" si="3"/>
        <v>4.4120051608760235E-3</v>
      </c>
      <c r="F64" s="13">
        <f t="shared" si="4"/>
        <v>15.055042786280405</v>
      </c>
      <c r="G64" s="14">
        <f>F64/$F$124*$D$2</f>
        <v>0</v>
      </c>
      <c r="H64" s="14">
        <f>F64/$F$124*$E$2</f>
        <v>2239.6642681759909</v>
      </c>
      <c r="I64" s="25" t="str">
        <f t="shared" si="2"/>
        <v/>
      </c>
    </row>
    <row r="65" spans="1:9" x14ac:dyDescent="0.25">
      <c r="A65" s="3">
        <v>3486</v>
      </c>
      <c r="B65" s="3">
        <v>113.35224959999999</v>
      </c>
      <c r="C65" s="3">
        <v>22.93439038</v>
      </c>
      <c r="D65" s="3">
        <v>43</v>
      </c>
      <c r="E65" s="13">
        <f t="shared" si="3"/>
        <v>4.423774835862827E-3</v>
      </c>
      <c r="F65" s="13">
        <f t="shared" si="4"/>
        <v>15.035002099104704</v>
      </c>
      <c r="G65" s="14">
        <f>F65/$F$154*$D$2</f>
        <v>0</v>
      </c>
      <c r="H65" s="14">
        <f>F65/$F$154*$E$2</f>
        <v>33.46775409319617</v>
      </c>
      <c r="I65" s="25" t="str">
        <f t="shared" si="2"/>
        <v>选中</v>
      </c>
    </row>
    <row r="66" spans="1:9" hidden="1" x14ac:dyDescent="0.25">
      <c r="A66" s="3">
        <v>3505</v>
      </c>
      <c r="B66" s="3">
        <v>113.3520639</v>
      </c>
      <c r="C66" s="3">
        <v>22.934381680000001</v>
      </c>
      <c r="D66" s="3">
        <v>43</v>
      </c>
      <c r="E66" s="13">
        <f t="shared" si="3"/>
        <v>4.4297967296952475E-3</v>
      </c>
      <c r="F66" s="13">
        <f t="shared" si="4"/>
        <v>15.02477928497167</v>
      </c>
      <c r="G66" s="14">
        <f>F66/$F$124*$D$2</f>
        <v>0</v>
      </c>
      <c r="H66" s="14">
        <f>F66/$F$124*$E$2</f>
        <v>2235.1621167392086</v>
      </c>
      <c r="I66" s="25" t="str">
        <f t="shared" si="2"/>
        <v/>
      </c>
    </row>
    <row r="67" spans="1:9" hidden="1" x14ac:dyDescent="0.25">
      <c r="A67" s="3">
        <v>3436</v>
      </c>
      <c r="B67" s="3">
        <v>113.351416</v>
      </c>
      <c r="C67" s="3">
        <v>22.934284739999999</v>
      </c>
      <c r="D67" s="3">
        <v>43</v>
      </c>
      <c r="E67" s="13">
        <f t="shared" si="3"/>
        <v>4.446560267173329E-3</v>
      </c>
      <c r="F67" s="13">
        <f t="shared" si="4"/>
        <v>14.99643082345141</v>
      </c>
      <c r="G67" s="14">
        <f>F67/$F$124*$D$2</f>
        <v>0</v>
      </c>
      <c r="H67" s="14">
        <f>F67/$F$124*$E$2</f>
        <v>2230.9448563018923</v>
      </c>
      <c r="I67" s="25" t="str">
        <f t="shared" si="2"/>
        <v/>
      </c>
    </row>
    <row r="68" spans="1:9" x14ac:dyDescent="0.25">
      <c r="A68" s="3">
        <v>3979</v>
      </c>
      <c r="B68" s="3">
        <v>113.3561165</v>
      </c>
      <c r="C68" s="3">
        <v>22.932586239999999</v>
      </c>
      <c r="D68" s="3">
        <v>43</v>
      </c>
      <c r="E68" s="13">
        <f t="shared" si="3"/>
        <v>4.4555320254232216E-3</v>
      </c>
      <c r="F68" s="13">
        <f t="shared" si="4"/>
        <v>14.981324641985015</v>
      </c>
      <c r="G68" s="14">
        <f>F68/$F$154*$D$2</f>
        <v>0</v>
      </c>
      <c r="H68" s="14">
        <f>F68/$F$154*$E$2</f>
        <v>33.348268646942941</v>
      </c>
      <c r="I68" s="25" t="str">
        <f t="shared" si="2"/>
        <v>选中</v>
      </c>
    </row>
    <row r="69" spans="1:9" hidden="1" x14ac:dyDescent="0.25">
      <c r="A69" s="3">
        <v>3997</v>
      </c>
      <c r="B69" s="3">
        <v>113.3560746</v>
      </c>
      <c r="C69" s="3">
        <v>22.932651280000002</v>
      </c>
      <c r="D69" s="3">
        <v>43</v>
      </c>
      <c r="E69" s="13">
        <f t="shared" ref="E69:E100" si="5">SQRT((B69-$B$2)^2+(C69-$C$2)^2)</f>
        <v>4.4603881571440435E-3</v>
      </c>
      <c r="F69" s="13">
        <f t="shared" ref="F69:F100" si="6">SQRT(1/E69)</f>
        <v>14.973167157080709</v>
      </c>
      <c r="G69" s="14">
        <f>F69/$F$124*$D$2</f>
        <v>0</v>
      </c>
      <c r="H69" s="14">
        <f>F69/$F$124*$E$2</f>
        <v>2227.4840356946793</v>
      </c>
      <c r="I69" s="25" t="str">
        <f t="shared" si="2"/>
        <v/>
      </c>
    </row>
    <row r="70" spans="1:9" hidden="1" x14ac:dyDescent="0.25">
      <c r="A70" s="3">
        <v>3904</v>
      </c>
      <c r="B70" s="3">
        <v>113.3489766</v>
      </c>
      <c r="C70" s="3">
        <v>22.9271067</v>
      </c>
      <c r="D70" s="3">
        <v>43</v>
      </c>
      <c r="E70" s="13">
        <f t="shared" si="5"/>
        <v>4.5481542322149552E-3</v>
      </c>
      <c r="F70" s="13">
        <f t="shared" si="6"/>
        <v>14.827994224460737</v>
      </c>
      <c r="G70" s="14">
        <f>F70/$F$124*$D$2</f>
        <v>0</v>
      </c>
      <c r="H70" s="14">
        <f>F70/$F$124*$E$2</f>
        <v>2205.8873763884985</v>
      </c>
      <c r="I70" s="25" t="str">
        <f t="shared" ref="I70:I133" si="7">IF(MOD(ROW()-1,3)=1,"选中","")</f>
        <v/>
      </c>
    </row>
    <row r="71" spans="1:9" x14ac:dyDescent="0.25">
      <c r="A71" s="3">
        <v>3433</v>
      </c>
      <c r="B71" s="3">
        <v>113.35060729999999</v>
      </c>
      <c r="C71" s="3">
        <v>22.934132099999999</v>
      </c>
      <c r="D71" s="3">
        <v>43</v>
      </c>
      <c r="E71" s="13">
        <f t="shared" si="5"/>
        <v>4.5714137955385394E-3</v>
      </c>
      <c r="F71" s="13">
        <f t="shared" si="6"/>
        <v>14.790223360440191</v>
      </c>
      <c r="G71" s="14">
        <f>F71/$F$154*$D$2</f>
        <v>0</v>
      </c>
      <c r="H71" s="14">
        <f>F71/$F$154*$E$2</f>
        <v>32.922879235256886</v>
      </c>
      <c r="I71" s="25" t="str">
        <f t="shared" si="7"/>
        <v>选中</v>
      </c>
    </row>
    <row r="72" spans="1:9" hidden="1" x14ac:dyDescent="0.25">
      <c r="A72" s="3">
        <v>3934</v>
      </c>
      <c r="B72" s="3">
        <v>113.3494718</v>
      </c>
      <c r="C72" s="3">
        <v>22.926490149999999</v>
      </c>
      <c r="D72" s="3">
        <v>43</v>
      </c>
      <c r="E72" s="13">
        <f t="shared" si="5"/>
        <v>4.6206435312079446E-3</v>
      </c>
      <c r="F72" s="13">
        <f t="shared" si="6"/>
        <v>14.711222612827392</v>
      </c>
      <c r="G72" s="14">
        <f>F72/$F$124*$D$2</f>
        <v>0</v>
      </c>
      <c r="H72" s="14">
        <f>F72/$F$124*$E$2</f>
        <v>2188.515841161056</v>
      </c>
      <c r="I72" s="25" t="str">
        <f t="shared" si="7"/>
        <v/>
      </c>
    </row>
    <row r="73" spans="1:9" hidden="1" x14ac:dyDescent="0.25">
      <c r="A73" s="3">
        <v>3434</v>
      </c>
      <c r="B73" s="3">
        <v>113.35113939999999</v>
      </c>
      <c r="C73" s="3">
        <v>22.934388139999999</v>
      </c>
      <c r="D73" s="3">
        <v>43</v>
      </c>
      <c r="E73" s="13">
        <f t="shared" si="5"/>
        <v>4.6210473792883114E-3</v>
      </c>
      <c r="F73" s="13">
        <f t="shared" si="6"/>
        <v>14.710579768431634</v>
      </c>
      <c r="G73" s="14">
        <f>F73/$F$124*$D$2</f>
        <v>0</v>
      </c>
      <c r="H73" s="14">
        <f>F73/$F$124*$E$2</f>
        <v>2188.4202083791624</v>
      </c>
      <c r="I73" s="25" t="str">
        <f t="shared" si="7"/>
        <v/>
      </c>
    </row>
    <row r="74" spans="1:9" x14ac:dyDescent="0.25">
      <c r="A74" s="3">
        <v>3471</v>
      </c>
      <c r="B74" s="3">
        <v>113.3526339</v>
      </c>
      <c r="C74" s="3">
        <v>22.934612680000001</v>
      </c>
      <c r="D74" s="3">
        <v>43</v>
      </c>
      <c r="E74" s="13">
        <f t="shared" si="5"/>
        <v>4.6403155093609171E-3</v>
      </c>
      <c r="F74" s="13">
        <f t="shared" si="6"/>
        <v>14.680006392964344</v>
      </c>
      <c r="G74" s="14">
        <f>F74/$F$154*$D$2</f>
        <v>0</v>
      </c>
      <c r="H74" s="14">
        <f>F74/$F$154*$E$2</f>
        <v>32.677537442813829</v>
      </c>
      <c r="I74" s="25" t="str">
        <f t="shared" si="7"/>
        <v>选中</v>
      </c>
    </row>
    <row r="75" spans="1:9" hidden="1" x14ac:dyDescent="0.25">
      <c r="A75" s="3">
        <v>3937</v>
      </c>
      <c r="B75" s="3">
        <v>113.3562184</v>
      </c>
      <c r="C75" s="3">
        <v>22.932772020000002</v>
      </c>
      <c r="D75" s="3">
        <v>43</v>
      </c>
      <c r="E75" s="13">
        <f t="shared" si="5"/>
        <v>4.6478862170255654E-3</v>
      </c>
      <c r="F75" s="13">
        <f t="shared" si="6"/>
        <v>14.668045759096852</v>
      </c>
      <c r="G75" s="14">
        <f>F75/$F$124*$D$2</f>
        <v>0</v>
      </c>
      <c r="H75" s="14">
        <f>F75/$F$124*$E$2</f>
        <v>2182.0926341409686</v>
      </c>
      <c r="I75" s="25" t="str">
        <f t="shared" si="7"/>
        <v/>
      </c>
    </row>
    <row r="76" spans="1:9" hidden="1" x14ac:dyDescent="0.25">
      <c r="A76" s="3">
        <v>3936</v>
      </c>
      <c r="B76" s="3">
        <v>113.35668200000001</v>
      </c>
      <c r="C76" s="3">
        <v>22.927866399999999</v>
      </c>
      <c r="D76" s="3">
        <v>43</v>
      </c>
      <c r="E76" s="13">
        <f t="shared" si="5"/>
        <v>4.6768605164179584E-3</v>
      </c>
      <c r="F76" s="13">
        <f t="shared" si="6"/>
        <v>14.622539095607024</v>
      </c>
      <c r="G76" s="14">
        <f>F76/$F$124*$D$2</f>
        <v>0</v>
      </c>
      <c r="H76" s="14">
        <f>F76/$F$124*$E$2</f>
        <v>2175.3228328438936</v>
      </c>
      <c r="I76" s="25" t="str">
        <f t="shared" si="7"/>
        <v/>
      </c>
    </row>
    <row r="77" spans="1:9" x14ac:dyDescent="0.25">
      <c r="A77" s="3">
        <v>3908</v>
      </c>
      <c r="B77" s="3">
        <v>113.3492512</v>
      </c>
      <c r="C77" s="3">
        <v>22.926484510000002</v>
      </c>
      <c r="D77" s="3">
        <v>43</v>
      </c>
      <c r="E77" s="13">
        <f t="shared" si="5"/>
        <v>4.7725749871652262E-3</v>
      </c>
      <c r="F77" s="13">
        <f t="shared" si="6"/>
        <v>14.475168223818168</v>
      </c>
      <c r="G77" s="14">
        <f>F77/$F$154*$D$2</f>
        <v>0</v>
      </c>
      <c r="H77" s="14">
        <f>F77/$F$154*$E$2</f>
        <v>32.221569866042223</v>
      </c>
      <c r="I77" s="25" t="str">
        <f t="shared" si="7"/>
        <v>选中</v>
      </c>
    </row>
    <row r="78" spans="1:9" hidden="1" x14ac:dyDescent="0.25">
      <c r="A78" s="3">
        <v>3943</v>
      </c>
      <c r="B78" s="3">
        <v>113.3573019</v>
      </c>
      <c r="C78" s="3">
        <v>22.930599350000001</v>
      </c>
      <c r="D78" s="3">
        <v>43</v>
      </c>
      <c r="E78" s="13">
        <f t="shared" si="5"/>
        <v>4.835494139427467E-3</v>
      </c>
      <c r="F78" s="13">
        <f t="shared" si="6"/>
        <v>14.380684865326304</v>
      </c>
      <c r="G78" s="14">
        <f>F78/$F$124*$D$2</f>
        <v>0</v>
      </c>
      <c r="H78" s="14">
        <f>F78/$F$124*$E$2</f>
        <v>2139.3433749734345</v>
      </c>
      <c r="I78" s="25" t="str">
        <f t="shared" si="7"/>
        <v/>
      </c>
    </row>
    <row r="79" spans="1:9" hidden="1" x14ac:dyDescent="0.25">
      <c r="A79" s="3">
        <v>3475</v>
      </c>
      <c r="B79" s="3">
        <v>113.3554874</v>
      </c>
      <c r="C79" s="3">
        <v>22.933787670000001</v>
      </c>
      <c r="D79" s="3">
        <v>43</v>
      </c>
      <c r="E79" s="13">
        <f t="shared" si="5"/>
        <v>4.8400516841151011E-3</v>
      </c>
      <c r="F79" s="13">
        <f t="shared" si="6"/>
        <v>14.37391261843365</v>
      </c>
      <c r="G79" s="14">
        <f>F79/$F$124*$D$2</f>
        <v>0</v>
      </c>
      <c r="H79" s="14">
        <f>F79/$F$124*$E$2</f>
        <v>2138.3359012919536</v>
      </c>
      <c r="I79" s="25" t="str">
        <f t="shared" si="7"/>
        <v/>
      </c>
    </row>
    <row r="80" spans="1:9" x14ac:dyDescent="0.25">
      <c r="A80" s="3">
        <v>3910</v>
      </c>
      <c r="B80" s="3">
        <v>113.3495716</v>
      </c>
      <c r="C80" s="3">
        <v>22.926121139999999</v>
      </c>
      <c r="D80" s="3">
        <v>43</v>
      </c>
      <c r="E80" s="13">
        <f t="shared" si="5"/>
        <v>4.8437458564202117E-3</v>
      </c>
      <c r="F80" s="13">
        <f t="shared" si="6"/>
        <v>14.368430307871039</v>
      </c>
      <c r="G80" s="14">
        <f>F80/$F$154*$D$2</f>
        <v>0</v>
      </c>
      <c r="H80" s="14">
        <f>F80/$F$154*$E$2</f>
        <v>31.983972405144531</v>
      </c>
      <c r="I80" s="25" t="str">
        <f t="shared" si="7"/>
        <v>选中</v>
      </c>
    </row>
    <row r="81" spans="1:9" hidden="1" x14ac:dyDescent="0.25">
      <c r="A81" s="3">
        <v>3925</v>
      </c>
      <c r="B81" s="3">
        <v>113.3491758</v>
      </c>
      <c r="C81" s="3">
        <v>22.933539669999998</v>
      </c>
      <c r="D81" s="3">
        <v>43</v>
      </c>
      <c r="E81" s="13">
        <f t="shared" si="5"/>
        <v>4.8795678973582498E-3</v>
      </c>
      <c r="F81" s="13">
        <f t="shared" si="6"/>
        <v>14.315592163392768</v>
      </c>
      <c r="G81" s="14">
        <f>F81/$F$124*$D$2</f>
        <v>0</v>
      </c>
      <c r="H81" s="14">
        <f>F81/$F$124*$E$2</f>
        <v>2129.6598555899877</v>
      </c>
      <c r="I81" s="25" t="str">
        <f t="shared" si="7"/>
        <v/>
      </c>
    </row>
    <row r="82" spans="1:9" hidden="1" x14ac:dyDescent="0.25">
      <c r="A82" s="3">
        <v>3906</v>
      </c>
      <c r="B82" s="3">
        <v>113.34783229999999</v>
      </c>
      <c r="C82" s="3">
        <v>22.931441769999999</v>
      </c>
      <c r="D82" s="3">
        <v>43</v>
      </c>
      <c r="E82" s="13">
        <f t="shared" si="5"/>
        <v>4.8996811446246494E-3</v>
      </c>
      <c r="F82" s="13">
        <f t="shared" si="6"/>
        <v>14.286179112154137</v>
      </c>
      <c r="G82" s="14">
        <f>F82/$F$124*$D$2</f>
        <v>0</v>
      </c>
      <c r="H82" s="14">
        <f>F82/$F$124*$E$2</f>
        <v>2125.2842214046618</v>
      </c>
      <c r="I82" s="25" t="str">
        <f t="shared" si="7"/>
        <v/>
      </c>
    </row>
    <row r="83" spans="1:9" x14ac:dyDescent="0.25">
      <c r="A83" s="3">
        <v>3430</v>
      </c>
      <c r="B83" s="3">
        <v>113.3510016</v>
      </c>
      <c r="C83" s="3">
        <v>22.934730210000001</v>
      </c>
      <c r="D83" s="3">
        <v>43</v>
      </c>
      <c r="E83" s="13">
        <f t="shared" si="5"/>
        <v>4.9886683084888169E-3</v>
      </c>
      <c r="F83" s="13">
        <f t="shared" si="6"/>
        <v>14.158188346384911</v>
      </c>
      <c r="G83" s="14">
        <f>F83/$F$154*$D$2</f>
        <v>0</v>
      </c>
      <c r="H83" s="14">
        <f>F83/$F$154*$E$2</f>
        <v>31.515976044338704</v>
      </c>
      <c r="I83" s="25" t="str">
        <f t="shared" si="7"/>
        <v>选中</v>
      </c>
    </row>
    <row r="84" spans="1:9" hidden="1" x14ac:dyDescent="0.25">
      <c r="A84" s="3">
        <v>3444</v>
      </c>
      <c r="B84" s="3">
        <v>113.3510386</v>
      </c>
      <c r="C84" s="3">
        <v>22.934742150000002</v>
      </c>
      <c r="D84" s="3">
        <v>43</v>
      </c>
      <c r="E84" s="13">
        <f t="shared" si="5"/>
        <v>4.9890379195339117E-3</v>
      </c>
      <c r="F84" s="13">
        <f t="shared" si="6"/>
        <v>14.157663884574738</v>
      </c>
      <c r="G84" s="14">
        <f>F84/$F$124*$D$2</f>
        <v>0</v>
      </c>
      <c r="H84" s="14">
        <f>F84/$F$124*$E$2</f>
        <v>2106.1656465050683</v>
      </c>
      <c r="I84" s="25" t="str">
        <f t="shared" si="7"/>
        <v/>
      </c>
    </row>
    <row r="85" spans="1:9" hidden="1" x14ac:dyDescent="0.25">
      <c r="A85" s="3">
        <v>3945</v>
      </c>
      <c r="B85" s="3">
        <v>113.3574546</v>
      </c>
      <c r="C85" s="3">
        <v>22.930698079999999</v>
      </c>
      <c r="D85" s="3">
        <v>43</v>
      </c>
      <c r="E85" s="13">
        <f t="shared" si="5"/>
        <v>5.0002892716664296E-3</v>
      </c>
      <c r="F85" s="13">
        <f t="shared" si="6"/>
        <v>14.141726549567025</v>
      </c>
      <c r="G85" s="14">
        <f>F85/$F$124*$D$2</f>
        <v>0</v>
      </c>
      <c r="H85" s="14">
        <f>F85/$F$124*$E$2</f>
        <v>2103.7947279860418</v>
      </c>
      <c r="I85" s="25" t="str">
        <f t="shared" si="7"/>
        <v/>
      </c>
    </row>
    <row r="86" spans="1:9" x14ac:dyDescent="0.25">
      <c r="A86" s="3">
        <v>3929</v>
      </c>
      <c r="B86" s="3">
        <v>113.3488983</v>
      </c>
      <c r="C86" s="3">
        <v>22.933491149999998</v>
      </c>
      <c r="D86" s="3">
        <v>43</v>
      </c>
      <c r="E86" s="13">
        <f t="shared" si="5"/>
        <v>5.0390828920053735E-3</v>
      </c>
      <c r="F86" s="13">
        <f t="shared" si="6"/>
        <v>14.087185997328362</v>
      </c>
      <c r="G86" s="14">
        <f>F86/$F$154*$D$2</f>
        <v>0</v>
      </c>
      <c r="H86" s="14">
        <f>F86/$F$154*$E$2</f>
        <v>31.357925573670304</v>
      </c>
      <c r="I86" s="25" t="str">
        <f t="shared" si="7"/>
        <v>选中</v>
      </c>
    </row>
    <row r="87" spans="1:9" hidden="1" x14ac:dyDescent="0.25">
      <c r="A87" s="3">
        <v>3465</v>
      </c>
      <c r="B87" s="3">
        <v>113.3555922</v>
      </c>
      <c r="C87" s="3">
        <v>22.934366270000002</v>
      </c>
      <c r="D87" s="3">
        <v>43</v>
      </c>
      <c r="E87" s="13">
        <f t="shared" si="5"/>
        <v>5.3674590216349011E-3</v>
      </c>
      <c r="F87" s="13">
        <f t="shared" si="6"/>
        <v>13.649465063660223</v>
      </c>
      <c r="G87" s="14">
        <f>F87/$F$124*$D$2</f>
        <v>0</v>
      </c>
      <c r="H87" s="14">
        <f>F87/$F$124*$E$2</f>
        <v>2030.5634209591774</v>
      </c>
      <c r="I87" s="25" t="str">
        <f t="shared" si="7"/>
        <v/>
      </c>
    </row>
    <row r="88" spans="1:9" hidden="1" x14ac:dyDescent="0.25">
      <c r="A88" s="3">
        <v>3427</v>
      </c>
      <c r="B88" s="3">
        <v>113.3488084</v>
      </c>
      <c r="C88" s="3">
        <v>22.933868140000001</v>
      </c>
      <c r="D88" s="3">
        <v>43</v>
      </c>
      <c r="E88" s="13">
        <f t="shared" si="5"/>
        <v>5.370585580890536E-3</v>
      </c>
      <c r="F88" s="13">
        <f t="shared" si="6"/>
        <v>13.64549137461106</v>
      </c>
      <c r="G88" s="14">
        <f>F88/$F$124*$D$2</f>
        <v>0</v>
      </c>
      <c r="H88" s="14">
        <f>F88/$F$124*$E$2</f>
        <v>2029.9722748892134</v>
      </c>
      <c r="I88" s="25" t="str">
        <f t="shared" si="7"/>
        <v/>
      </c>
    </row>
    <row r="89" spans="1:9" x14ac:dyDescent="0.25">
      <c r="A89" s="3">
        <v>3918</v>
      </c>
      <c r="B89" s="3">
        <v>113.3482025</v>
      </c>
      <c r="C89" s="3">
        <v>22.93328838</v>
      </c>
      <c r="D89" s="3">
        <v>43</v>
      </c>
      <c r="E89" s="13">
        <f t="shared" si="5"/>
        <v>5.4326027066627647E-3</v>
      </c>
      <c r="F89" s="13">
        <f t="shared" si="6"/>
        <v>13.567381190839219</v>
      </c>
      <c r="G89" s="14">
        <f>F89/$F$154*$D$2</f>
        <v>0</v>
      </c>
      <c r="H89" s="14">
        <f>F89/$F$154*$E$2</f>
        <v>30.200845626134022</v>
      </c>
      <c r="I89" s="25" t="str">
        <f t="shared" si="7"/>
        <v>选中</v>
      </c>
    </row>
    <row r="90" spans="1:9" hidden="1" x14ac:dyDescent="0.25">
      <c r="A90" s="3">
        <v>3928</v>
      </c>
      <c r="B90" s="3">
        <v>113.3506379</v>
      </c>
      <c r="C90" s="3">
        <v>22.924787980000001</v>
      </c>
      <c r="D90" s="3">
        <v>43</v>
      </c>
      <c r="E90" s="13">
        <f t="shared" si="5"/>
        <v>5.5126559356088491E-3</v>
      </c>
      <c r="F90" s="13">
        <f t="shared" si="6"/>
        <v>13.468510099202243</v>
      </c>
      <c r="G90" s="14">
        <f>F90/$F$124*$D$2</f>
        <v>0</v>
      </c>
      <c r="H90" s="14">
        <f>F90/$F$124*$E$2</f>
        <v>2003.6436457184905</v>
      </c>
      <c r="I90" s="25" t="str">
        <f t="shared" si="7"/>
        <v/>
      </c>
    </row>
    <row r="91" spans="1:9" hidden="1" x14ac:dyDescent="0.25">
      <c r="A91" s="3">
        <v>3964</v>
      </c>
      <c r="B91" s="3">
        <v>113.35777210000001</v>
      </c>
      <c r="C91" s="3">
        <v>22.931707200000002</v>
      </c>
      <c r="D91" s="3">
        <v>43</v>
      </c>
      <c r="E91" s="13">
        <f t="shared" si="5"/>
        <v>5.5430058289737084E-3</v>
      </c>
      <c r="F91" s="13">
        <f t="shared" si="6"/>
        <v>13.431587089223123</v>
      </c>
      <c r="G91" s="14">
        <f>F91/$F$124*$D$2</f>
        <v>0</v>
      </c>
      <c r="H91" s="14">
        <f>F91/$F$124*$E$2</f>
        <v>1998.1507921080643</v>
      </c>
      <c r="I91" s="25" t="str">
        <f t="shared" si="7"/>
        <v/>
      </c>
    </row>
    <row r="92" spans="1:9" x14ac:dyDescent="0.25">
      <c r="A92" s="3">
        <v>3422</v>
      </c>
      <c r="B92" s="3">
        <v>113.3486796</v>
      </c>
      <c r="C92" s="3">
        <v>22.9339853</v>
      </c>
      <c r="D92" s="3">
        <v>43</v>
      </c>
      <c r="E92" s="13">
        <f t="shared" si="5"/>
        <v>5.5442507338729413E-3</v>
      </c>
      <c r="F92" s="13">
        <f t="shared" si="6"/>
        <v>13.430079041687478</v>
      </c>
      <c r="G92" s="14">
        <f>F92/$F$154*$D$2</f>
        <v>0</v>
      </c>
      <c r="H92" s="14">
        <f>F92/$F$154*$E$2</f>
        <v>29.895212508560228</v>
      </c>
      <c r="I92" s="25" t="str">
        <f t="shared" si="7"/>
        <v>选中</v>
      </c>
    </row>
    <row r="93" spans="1:9" hidden="1" x14ac:dyDescent="0.25">
      <c r="A93" s="3">
        <v>3926</v>
      </c>
      <c r="B93" s="3">
        <v>113.3483203</v>
      </c>
      <c r="C93" s="3">
        <v>22.93361805</v>
      </c>
      <c r="D93" s="3">
        <v>43</v>
      </c>
      <c r="E93" s="13">
        <f t="shared" si="5"/>
        <v>5.5503899405852401E-3</v>
      </c>
      <c r="F93" s="13">
        <f t="shared" si="6"/>
        <v>13.422649577803027</v>
      </c>
      <c r="G93" s="14">
        <f>F93/$F$124*$D$2</f>
        <v>0</v>
      </c>
      <c r="H93" s="14">
        <f>F93/$F$124*$E$2</f>
        <v>1996.8212027300624</v>
      </c>
      <c r="I93" s="25" t="str">
        <f t="shared" si="7"/>
        <v/>
      </c>
    </row>
    <row r="94" spans="1:9" hidden="1" x14ac:dyDescent="0.25">
      <c r="A94" s="3">
        <v>3472</v>
      </c>
      <c r="B94" s="3">
        <v>113.3560325</v>
      </c>
      <c r="C94" s="3">
        <v>22.934273659999999</v>
      </c>
      <c r="D94" s="3">
        <v>43</v>
      </c>
      <c r="E94" s="13">
        <f t="shared" si="5"/>
        <v>5.5601588505691454E-3</v>
      </c>
      <c r="F94" s="13">
        <f t="shared" si="6"/>
        <v>13.410852945328294</v>
      </c>
      <c r="G94" s="14">
        <f>F94/$F$124*$D$2</f>
        <v>0</v>
      </c>
      <c r="H94" s="14">
        <f>F94/$F$124*$E$2</f>
        <v>1995.0662760511066</v>
      </c>
      <c r="I94" s="25" t="str">
        <f t="shared" si="7"/>
        <v/>
      </c>
    </row>
    <row r="95" spans="1:9" x14ac:dyDescent="0.25">
      <c r="A95" s="3">
        <v>3921</v>
      </c>
      <c r="B95" s="3">
        <v>113.34824039999999</v>
      </c>
      <c r="C95" s="3">
        <v>22.933585189999999</v>
      </c>
      <c r="D95" s="3">
        <v>43</v>
      </c>
      <c r="E95" s="13">
        <f t="shared" si="5"/>
        <v>5.5896195351891401E-3</v>
      </c>
      <c r="F95" s="13">
        <f t="shared" si="6"/>
        <v>13.375464590371029</v>
      </c>
      <c r="G95" s="14">
        <f>F95/$F$154*$D$2</f>
        <v>0</v>
      </c>
      <c r="H95" s="14">
        <f>F95/$F$154*$E$2</f>
        <v>29.773641323232457</v>
      </c>
      <c r="I95" s="25" t="str">
        <f t="shared" si="7"/>
        <v>选中</v>
      </c>
    </row>
    <row r="96" spans="1:9" hidden="1" x14ac:dyDescent="0.25">
      <c r="A96" s="3">
        <v>3525</v>
      </c>
      <c r="B96" s="3">
        <v>113.3561923</v>
      </c>
      <c r="C96" s="3">
        <v>22.934274420000001</v>
      </c>
      <c r="D96" s="3">
        <v>43</v>
      </c>
      <c r="E96" s="13">
        <f t="shared" si="5"/>
        <v>5.6634078250135805E-3</v>
      </c>
      <c r="F96" s="13">
        <f t="shared" si="6"/>
        <v>13.288044741455916</v>
      </c>
      <c r="G96" s="14">
        <f>F96/$F$124*$D$2</f>
        <v>0</v>
      </c>
      <c r="H96" s="14">
        <f>F96/$F$124*$E$2</f>
        <v>1976.7967068471926</v>
      </c>
      <c r="I96" s="25" t="str">
        <f t="shared" si="7"/>
        <v/>
      </c>
    </row>
    <row r="97" spans="1:9" hidden="1" x14ac:dyDescent="0.25">
      <c r="A97" s="3">
        <v>3915</v>
      </c>
      <c r="B97" s="3">
        <v>113.347915</v>
      </c>
      <c r="C97" s="3">
        <v>22.933322839999999</v>
      </c>
      <c r="D97" s="3">
        <v>43</v>
      </c>
      <c r="E97" s="13">
        <f t="shared" si="5"/>
        <v>5.6833549587915746E-3</v>
      </c>
      <c r="F97" s="13">
        <f t="shared" si="6"/>
        <v>13.264705412045906</v>
      </c>
      <c r="G97" s="14">
        <f>F97/$F$124*$D$2</f>
        <v>0</v>
      </c>
      <c r="H97" s="14">
        <f>F97/$F$124*$E$2</f>
        <v>1973.3246302237756</v>
      </c>
      <c r="I97" s="25" t="str">
        <f t="shared" si="7"/>
        <v/>
      </c>
    </row>
    <row r="98" spans="1:9" x14ac:dyDescent="0.25">
      <c r="A98" s="3">
        <v>3939</v>
      </c>
      <c r="B98" s="3">
        <v>113.3577064</v>
      </c>
      <c r="C98" s="3">
        <v>22.92762901</v>
      </c>
      <c r="D98" s="3">
        <v>43</v>
      </c>
      <c r="E98" s="13">
        <f t="shared" si="5"/>
        <v>5.7037888695184273E-3</v>
      </c>
      <c r="F98" s="13">
        <f t="shared" si="6"/>
        <v>13.240923588397342</v>
      </c>
      <c r="G98" s="14">
        <f>F98/$F$154*$D$2</f>
        <v>0</v>
      </c>
      <c r="H98" s="14">
        <f>F98/$F$154*$E$2</f>
        <v>29.474154489786937</v>
      </c>
      <c r="I98" s="25" t="str">
        <f t="shared" si="7"/>
        <v>选中</v>
      </c>
    </row>
    <row r="99" spans="1:9" hidden="1" x14ac:dyDescent="0.25">
      <c r="A99" s="3">
        <v>3982</v>
      </c>
      <c r="B99" s="3">
        <v>113.354843</v>
      </c>
      <c r="C99" s="3">
        <v>22.924770429999999</v>
      </c>
      <c r="D99" s="3">
        <v>43</v>
      </c>
      <c r="E99" s="13">
        <f t="shared" si="5"/>
        <v>5.7039527933618727E-3</v>
      </c>
      <c r="F99" s="13">
        <f t="shared" si="6"/>
        <v>13.240733323965063</v>
      </c>
      <c r="G99" s="14">
        <f>F99/$F$124*$D$2</f>
        <v>0</v>
      </c>
      <c r="H99" s="14">
        <f>F99/$F$124*$E$2</f>
        <v>1969.7584212218881</v>
      </c>
      <c r="I99" s="25" t="str">
        <f t="shared" si="7"/>
        <v/>
      </c>
    </row>
    <row r="100" spans="1:9" hidden="1" x14ac:dyDescent="0.25">
      <c r="A100" s="3">
        <v>3919</v>
      </c>
      <c r="B100" s="3">
        <v>113.34758859999999</v>
      </c>
      <c r="C100" s="3">
        <v>22.93325741</v>
      </c>
      <c r="D100" s="3">
        <v>43</v>
      </c>
      <c r="E100" s="13">
        <f t="shared" si="5"/>
        <v>5.9136099901992084E-3</v>
      </c>
      <c r="F100" s="13">
        <f t="shared" si="6"/>
        <v>13.00390118112697</v>
      </c>
      <c r="G100" s="14">
        <f>F100/$F$124*$D$2</f>
        <v>0</v>
      </c>
      <c r="H100" s="14">
        <f>F100/$F$124*$E$2</f>
        <v>1934.526074466062</v>
      </c>
      <c r="I100" s="25" t="str">
        <f t="shared" si="7"/>
        <v/>
      </c>
    </row>
    <row r="101" spans="1:9" x14ac:dyDescent="0.25">
      <c r="A101" s="3">
        <v>3895</v>
      </c>
      <c r="B101" s="3">
        <v>113.3466426</v>
      </c>
      <c r="C101" s="3">
        <v>22.929109749999999</v>
      </c>
      <c r="D101" s="3">
        <v>43</v>
      </c>
      <c r="E101" s="13">
        <f t="shared" ref="E101:E132" si="8">SQRT((B101-$B$2)^2+(C101-$C$2)^2)</f>
        <v>5.92775575429567E-3</v>
      </c>
      <c r="F101" s="13">
        <f t="shared" ref="F101:F132" si="9">SQRT(1/E101)</f>
        <v>12.988375913213718</v>
      </c>
      <c r="G101" s="14">
        <f>F101/$F$154*$D$2</f>
        <v>0</v>
      </c>
      <c r="H101" s="14">
        <f>F101/$F$154*$E$2</f>
        <v>28.911986062131234</v>
      </c>
      <c r="I101" s="25" t="str">
        <f t="shared" si="7"/>
        <v>选中</v>
      </c>
    </row>
    <row r="102" spans="1:9" hidden="1" x14ac:dyDescent="0.25">
      <c r="A102" s="3">
        <v>4016</v>
      </c>
      <c r="B102" s="3">
        <v>113.3584942</v>
      </c>
      <c r="C102" s="3">
        <v>22.929307179999999</v>
      </c>
      <c r="D102" s="3">
        <v>43</v>
      </c>
      <c r="E102" s="13">
        <f t="shared" si="8"/>
        <v>6.0242299197751283E-3</v>
      </c>
      <c r="F102" s="13">
        <f t="shared" si="9"/>
        <v>12.883955930235123</v>
      </c>
      <c r="G102" s="14">
        <f>F102/$F$124*$D$2</f>
        <v>0</v>
      </c>
      <c r="H102" s="14">
        <f>F102/$F$124*$E$2</f>
        <v>1916.6824126197682</v>
      </c>
      <c r="I102" s="25" t="str">
        <f t="shared" si="7"/>
        <v/>
      </c>
    </row>
    <row r="103" spans="1:9" hidden="1" x14ac:dyDescent="0.25">
      <c r="A103" s="3">
        <v>3898</v>
      </c>
      <c r="B103" s="3">
        <v>113.3466117</v>
      </c>
      <c r="C103" s="3">
        <v>22.928318130000001</v>
      </c>
      <c r="D103" s="3">
        <v>43</v>
      </c>
      <c r="E103" s="13">
        <f t="shared" si="8"/>
        <v>6.1234629688570446E-3</v>
      </c>
      <c r="F103" s="13">
        <f t="shared" si="9"/>
        <v>12.779134823314179</v>
      </c>
      <c r="G103" s="14">
        <f>F103/$F$124*$D$2</f>
        <v>0</v>
      </c>
      <c r="H103" s="14">
        <f>F103/$F$124*$E$2</f>
        <v>1901.0886948831812</v>
      </c>
      <c r="I103" s="25" t="str">
        <f t="shared" si="7"/>
        <v/>
      </c>
    </row>
    <row r="104" spans="1:9" x14ac:dyDescent="0.25">
      <c r="A104" s="3">
        <v>3897</v>
      </c>
      <c r="B104" s="3">
        <v>113.3463351</v>
      </c>
      <c r="C104" s="3">
        <v>22.92961605</v>
      </c>
      <c r="D104" s="3">
        <v>43</v>
      </c>
      <c r="E104" s="13">
        <f t="shared" si="8"/>
        <v>6.1822770410648476E-3</v>
      </c>
      <c r="F104" s="13">
        <f t="shared" si="9"/>
        <v>12.718203466974217</v>
      </c>
      <c r="G104" s="14">
        <f>F104/$F$154*$D$2</f>
        <v>0</v>
      </c>
      <c r="H104" s="14">
        <f>F104/$F$154*$E$2</f>
        <v>28.31058508234425</v>
      </c>
      <c r="I104" s="25" t="str">
        <f t="shared" si="7"/>
        <v>选中</v>
      </c>
    </row>
    <row r="105" spans="1:9" hidden="1" x14ac:dyDescent="0.25">
      <c r="A105" s="3">
        <v>3425</v>
      </c>
      <c r="B105" s="3">
        <v>113.3475656</v>
      </c>
      <c r="C105" s="3">
        <v>22.933696269999999</v>
      </c>
      <c r="D105" s="3">
        <v>43</v>
      </c>
      <c r="E105" s="13">
        <f t="shared" si="8"/>
        <v>6.1864354412671492E-3</v>
      </c>
      <c r="F105" s="13">
        <f t="shared" si="9"/>
        <v>12.713928285343011</v>
      </c>
      <c r="G105" s="14">
        <f>F105/$F$124*$D$2</f>
        <v>0</v>
      </c>
      <c r="H105" s="14">
        <f>F105/$F$124*$E$2</f>
        <v>1891.3882406753348</v>
      </c>
      <c r="I105" s="25" t="str">
        <f t="shared" si="7"/>
        <v/>
      </c>
    </row>
    <row r="106" spans="1:9" hidden="1" x14ac:dyDescent="0.25">
      <c r="A106" s="3">
        <v>3931</v>
      </c>
      <c r="B106" s="3">
        <v>113.34707349999999</v>
      </c>
      <c r="C106" s="3">
        <v>22.932947410000001</v>
      </c>
      <c r="D106" s="3">
        <v>43</v>
      </c>
      <c r="E106" s="13">
        <f t="shared" si="8"/>
        <v>6.1938271372562227E-3</v>
      </c>
      <c r="F106" s="13">
        <f t="shared" si="9"/>
        <v>12.706339637364062</v>
      </c>
      <c r="G106" s="14">
        <f>F106/$F$124*$D$2</f>
        <v>0</v>
      </c>
      <c r="H106" s="14">
        <f>F106/$F$124*$E$2</f>
        <v>1890.2593150413468</v>
      </c>
      <c r="I106" s="25" t="str">
        <f t="shared" si="7"/>
        <v/>
      </c>
    </row>
    <row r="107" spans="1:9" x14ac:dyDescent="0.25">
      <c r="A107" s="3">
        <v>3954</v>
      </c>
      <c r="B107" s="3">
        <v>113.3586978</v>
      </c>
      <c r="C107" s="3">
        <v>22.93070131</v>
      </c>
      <c r="D107" s="3">
        <v>43</v>
      </c>
      <c r="E107" s="13">
        <f t="shared" si="8"/>
        <v>6.2333649840264271E-3</v>
      </c>
      <c r="F107" s="13">
        <f t="shared" si="9"/>
        <v>12.665977770954054</v>
      </c>
      <c r="G107" s="14">
        <f>F107/$F$154*$D$2</f>
        <v>0</v>
      </c>
      <c r="H107" s="14">
        <f>F107/$F$154*$E$2</f>
        <v>28.194331240793215</v>
      </c>
      <c r="I107" s="25" t="str">
        <f t="shared" si="7"/>
        <v>选中</v>
      </c>
    </row>
    <row r="108" spans="1:9" hidden="1" x14ac:dyDescent="0.25">
      <c r="A108" s="3">
        <v>4018</v>
      </c>
      <c r="B108" s="3">
        <v>113.3556378</v>
      </c>
      <c r="C108" s="3">
        <v>22.924496349999998</v>
      </c>
      <c r="D108" s="3">
        <v>43</v>
      </c>
      <c r="E108" s="13">
        <f t="shared" si="8"/>
        <v>6.3093306857756031E-3</v>
      </c>
      <c r="F108" s="13">
        <f t="shared" si="9"/>
        <v>12.589496308898791</v>
      </c>
      <c r="G108" s="14">
        <f>F108/$F$124*$D$2</f>
        <v>0</v>
      </c>
      <c r="H108" s="14">
        <f>F108/$F$124*$E$2</f>
        <v>1872.8771108554579</v>
      </c>
      <c r="I108" s="25" t="str">
        <f t="shared" si="7"/>
        <v/>
      </c>
    </row>
    <row r="109" spans="1:9" hidden="1" x14ac:dyDescent="0.25">
      <c r="A109" s="3">
        <v>3991</v>
      </c>
      <c r="B109" s="3">
        <v>113.35527039999999</v>
      </c>
      <c r="C109" s="3">
        <v>22.924171040000001</v>
      </c>
      <c r="D109" s="3">
        <v>43</v>
      </c>
      <c r="E109" s="13">
        <f t="shared" si="8"/>
        <v>6.4274322185095068E-3</v>
      </c>
      <c r="F109" s="13">
        <f t="shared" si="9"/>
        <v>12.473296537485647</v>
      </c>
      <c r="G109" s="14">
        <f>F109/$F$124*$D$2</f>
        <v>0</v>
      </c>
      <c r="H109" s="14">
        <f>F109/$F$124*$E$2</f>
        <v>1855.5906454698265</v>
      </c>
      <c r="I109" s="25" t="str">
        <f t="shared" si="7"/>
        <v/>
      </c>
    </row>
    <row r="110" spans="1:9" x14ac:dyDescent="0.25">
      <c r="A110" s="3">
        <v>3896</v>
      </c>
      <c r="B110" s="3">
        <v>113.34646600000001</v>
      </c>
      <c r="C110" s="3">
        <v>22.927730619999998</v>
      </c>
      <c r="D110" s="3">
        <v>43</v>
      </c>
      <c r="E110" s="13">
        <f t="shared" si="8"/>
        <v>6.4441355906247636E-3</v>
      </c>
      <c r="F110" s="13">
        <f t="shared" si="9"/>
        <v>12.457120489079061</v>
      </c>
      <c r="G110" s="14">
        <f>F110/$F$154*$D$2</f>
        <v>0</v>
      </c>
      <c r="H110" s="14">
        <f>F110/$F$154*$E$2</f>
        <v>27.729417162012883</v>
      </c>
      <c r="I110" s="25" t="str">
        <f t="shared" si="7"/>
        <v>选中</v>
      </c>
    </row>
    <row r="111" spans="1:9" hidden="1" x14ac:dyDescent="0.25">
      <c r="A111" s="3">
        <v>3432</v>
      </c>
      <c r="B111" s="3">
        <v>113.3515306</v>
      </c>
      <c r="C111" s="3">
        <v>22.936366679999999</v>
      </c>
      <c r="D111" s="3">
        <v>43</v>
      </c>
      <c r="E111" s="13">
        <f t="shared" si="8"/>
        <v>6.4667175612050497E-3</v>
      </c>
      <c r="F111" s="13">
        <f t="shared" si="9"/>
        <v>12.435351149535036</v>
      </c>
      <c r="G111" s="14">
        <f>F111/$F$124*$D$2</f>
        <v>0</v>
      </c>
      <c r="H111" s="14">
        <f>F111/$F$124*$E$2</f>
        <v>1849.9456977442373</v>
      </c>
      <c r="I111" s="25" t="str">
        <f t="shared" si="7"/>
        <v/>
      </c>
    </row>
    <row r="112" spans="1:9" hidden="1" x14ac:dyDescent="0.25">
      <c r="A112" s="3">
        <v>3975</v>
      </c>
      <c r="B112" s="3">
        <v>113.3565863</v>
      </c>
      <c r="C112" s="3">
        <v>22.92491377</v>
      </c>
      <c r="D112" s="3">
        <v>43</v>
      </c>
      <c r="E112" s="13">
        <f t="shared" si="8"/>
        <v>6.4998175512008026E-3</v>
      </c>
      <c r="F112" s="13">
        <f t="shared" si="9"/>
        <v>12.403647539419287</v>
      </c>
      <c r="G112" s="14">
        <f>F112/$F$124*$D$2</f>
        <v>0</v>
      </c>
      <c r="H112" s="14">
        <f>F112/$F$124*$E$2</f>
        <v>1845.2293084415692</v>
      </c>
      <c r="I112" s="25" t="str">
        <f t="shared" si="7"/>
        <v/>
      </c>
    </row>
    <row r="113" spans="1:9" x14ac:dyDescent="0.25">
      <c r="A113" s="3">
        <v>3442</v>
      </c>
      <c r="B113" s="3">
        <v>113.35134290000001</v>
      </c>
      <c r="C113" s="3">
        <v>22.936438949999999</v>
      </c>
      <c r="D113" s="3">
        <v>43</v>
      </c>
      <c r="E113" s="13">
        <f t="shared" si="8"/>
        <v>6.568821380772815E-3</v>
      </c>
      <c r="F113" s="13">
        <f t="shared" si="9"/>
        <v>12.33832693111736</v>
      </c>
      <c r="G113" s="14">
        <f>F113/$F$154*$D$2</f>
        <v>0</v>
      </c>
      <c r="H113" s="14">
        <f>F113/$F$154*$E$2</f>
        <v>27.46498397074949</v>
      </c>
      <c r="I113" s="25" t="str">
        <f t="shared" si="7"/>
        <v>选中</v>
      </c>
    </row>
    <row r="114" spans="1:9" hidden="1" x14ac:dyDescent="0.25">
      <c r="A114" s="3">
        <v>3902</v>
      </c>
      <c r="B114" s="3">
        <v>113.3466956</v>
      </c>
      <c r="C114" s="3">
        <v>22.92669167</v>
      </c>
      <c r="D114" s="3">
        <v>43</v>
      </c>
      <c r="E114" s="13">
        <f t="shared" si="8"/>
        <v>6.6743326756222602E-3</v>
      </c>
      <c r="F114" s="13">
        <f t="shared" si="9"/>
        <v>12.240413102165036</v>
      </c>
      <c r="G114" s="14">
        <f>F114/$F$124*$D$2</f>
        <v>0</v>
      </c>
      <c r="H114" s="14">
        <f>F114/$F$124*$E$2</f>
        <v>1820.94572840503</v>
      </c>
      <c r="I114" s="25" t="str">
        <f t="shared" si="7"/>
        <v/>
      </c>
    </row>
    <row r="115" spans="1:9" hidden="1" x14ac:dyDescent="0.25">
      <c r="A115" s="3">
        <v>3514</v>
      </c>
      <c r="B115" s="3">
        <v>113.35251</v>
      </c>
      <c r="C115" s="3">
        <v>22.936682009999998</v>
      </c>
      <c r="D115" s="3">
        <v>43</v>
      </c>
      <c r="E115" s="13">
        <f t="shared" si="8"/>
        <v>6.7079106708491237E-3</v>
      </c>
      <c r="F115" s="13">
        <f t="shared" si="9"/>
        <v>12.209738560282894</v>
      </c>
      <c r="G115" s="14">
        <f>F115/$F$124*$D$2</f>
        <v>0</v>
      </c>
      <c r="H115" s="14">
        <f>F115/$F$124*$E$2</f>
        <v>1816.3824284947361</v>
      </c>
      <c r="I115" s="25" t="str">
        <f t="shared" si="7"/>
        <v/>
      </c>
    </row>
    <row r="116" spans="1:9" x14ac:dyDescent="0.25">
      <c r="A116" s="3">
        <v>4010</v>
      </c>
      <c r="B116" s="3">
        <v>113.35514860000001</v>
      </c>
      <c r="C116" s="3">
        <v>22.923781380000001</v>
      </c>
      <c r="D116" s="3">
        <v>43</v>
      </c>
      <c r="E116" s="13">
        <f t="shared" si="8"/>
        <v>6.7325947121740686E-3</v>
      </c>
      <c r="F116" s="13">
        <f t="shared" si="9"/>
        <v>12.18733542613241</v>
      </c>
      <c r="G116" s="14">
        <f>F116/$F$154*$D$2</f>
        <v>0</v>
      </c>
      <c r="H116" s="14">
        <f>F116/$F$154*$E$2</f>
        <v>27.128878493298391</v>
      </c>
      <c r="I116" s="25" t="str">
        <f t="shared" si="7"/>
        <v>选中</v>
      </c>
    </row>
    <row r="117" spans="1:9" hidden="1" x14ac:dyDescent="0.25">
      <c r="A117" s="3">
        <v>3534</v>
      </c>
      <c r="B117" s="3">
        <v>113.3526038</v>
      </c>
      <c r="C117" s="3">
        <v>22.936710850000001</v>
      </c>
      <c r="D117" s="3">
        <v>43</v>
      </c>
      <c r="E117" s="13">
        <f t="shared" si="8"/>
        <v>6.7374454211163943E-3</v>
      </c>
      <c r="F117" s="13">
        <f t="shared" si="9"/>
        <v>12.182947423141821</v>
      </c>
      <c r="G117" s="14">
        <f>F117/$F$124*$D$2</f>
        <v>0</v>
      </c>
      <c r="H117" s="14">
        <f>F117/$F$124*$E$2</f>
        <v>1812.3968435043473</v>
      </c>
      <c r="I117" s="25" t="str">
        <f t="shared" si="7"/>
        <v/>
      </c>
    </row>
    <row r="118" spans="1:9" hidden="1" x14ac:dyDescent="0.25">
      <c r="A118" s="3">
        <v>3900</v>
      </c>
      <c r="B118" s="3">
        <v>113.3465808</v>
      </c>
      <c r="C118" s="3">
        <v>22.926766829999998</v>
      </c>
      <c r="D118" s="3">
        <v>43</v>
      </c>
      <c r="E118" s="13">
        <f t="shared" si="8"/>
        <v>6.7384291413474153E-3</v>
      </c>
      <c r="F118" s="13">
        <f t="shared" si="9"/>
        <v>12.182058117264125</v>
      </c>
      <c r="G118" s="14">
        <f>F118/$F$124*$D$2</f>
        <v>0</v>
      </c>
      <c r="H118" s="14">
        <f>F118/$F$124*$E$2</f>
        <v>1812.264545866537</v>
      </c>
      <c r="I118" s="25" t="str">
        <f t="shared" si="7"/>
        <v/>
      </c>
    </row>
    <row r="119" spans="1:9" x14ac:dyDescent="0.25">
      <c r="A119" s="3">
        <v>3977</v>
      </c>
      <c r="B119" s="3">
        <v>113.358401</v>
      </c>
      <c r="C119" s="3">
        <v>22.93325166</v>
      </c>
      <c r="D119" s="3">
        <v>43</v>
      </c>
      <c r="E119" s="13">
        <f t="shared" si="8"/>
        <v>6.7440073808960046E-3</v>
      </c>
      <c r="F119" s="13">
        <f t="shared" si="9"/>
        <v>12.177018940087235</v>
      </c>
      <c r="G119" s="14">
        <f>F119/$F$154*$D$2</f>
        <v>0</v>
      </c>
      <c r="H119" s="14">
        <f>F119/$F$154*$E$2</f>
        <v>27.105914105545732</v>
      </c>
      <c r="I119" s="25" t="str">
        <f t="shared" si="7"/>
        <v>选中</v>
      </c>
    </row>
    <row r="120" spans="1:9" hidden="1" x14ac:dyDescent="0.25">
      <c r="A120" s="3">
        <v>4000</v>
      </c>
      <c r="B120" s="3">
        <v>113.3557926</v>
      </c>
      <c r="C120" s="3">
        <v>22.924067300000001</v>
      </c>
      <c r="D120" s="3">
        <v>43</v>
      </c>
      <c r="E120" s="13">
        <f t="shared" si="8"/>
        <v>6.7591015379239935E-3</v>
      </c>
      <c r="F120" s="13">
        <f t="shared" si="9"/>
        <v>12.163414723279729</v>
      </c>
      <c r="G120" s="14">
        <f>F120/$F$124*$D$2</f>
        <v>0</v>
      </c>
      <c r="H120" s="14">
        <f>F120/$F$124*$E$2</f>
        <v>1809.4910603350029</v>
      </c>
      <c r="I120" s="25" t="str">
        <f t="shared" si="7"/>
        <v/>
      </c>
    </row>
    <row r="121" spans="1:9" hidden="1" x14ac:dyDescent="0.25">
      <c r="A121" s="3">
        <v>3992</v>
      </c>
      <c r="B121" s="3">
        <v>113.35834509999999</v>
      </c>
      <c r="C121" s="3">
        <v>22.933397670000002</v>
      </c>
      <c r="D121" s="3">
        <v>43</v>
      </c>
      <c r="E121" s="13">
        <f t="shared" si="8"/>
        <v>6.7678832107841598E-3</v>
      </c>
      <c r="F121" s="13">
        <f t="shared" si="9"/>
        <v>12.155520836989963</v>
      </c>
      <c r="G121" s="14">
        <f>F121/$F$124*$D$2</f>
        <v>0</v>
      </c>
      <c r="H121" s="14">
        <f>F121/$F$124*$E$2</f>
        <v>1808.3167259069169</v>
      </c>
      <c r="I121" s="25" t="str">
        <f t="shared" si="7"/>
        <v/>
      </c>
    </row>
    <row r="122" spans="1:9" x14ac:dyDescent="0.25">
      <c r="A122" s="3">
        <v>3414</v>
      </c>
      <c r="B122" s="3">
        <v>113.3489141</v>
      </c>
      <c r="C122" s="3">
        <v>22.93571918</v>
      </c>
      <c r="D122" s="3">
        <v>43</v>
      </c>
      <c r="E122" s="13">
        <f t="shared" si="8"/>
        <v>6.7760515506018063E-3</v>
      </c>
      <c r="F122" s="13">
        <f t="shared" si="9"/>
        <v>12.148192058193112</v>
      </c>
      <c r="G122" s="14">
        <f>F122/$F$154*$D$2</f>
        <v>0</v>
      </c>
      <c r="H122" s="14">
        <f>F122/$F$154*$E$2</f>
        <v>27.041745774331229</v>
      </c>
      <c r="I122" s="25" t="str">
        <f t="shared" si="7"/>
        <v>选中</v>
      </c>
    </row>
    <row r="123" spans="1:9" hidden="1" x14ac:dyDescent="0.25">
      <c r="A123" s="3">
        <v>3994</v>
      </c>
      <c r="B123" s="3">
        <v>113.3552784</v>
      </c>
      <c r="C123" s="3">
        <v>22.923754200000001</v>
      </c>
      <c r="D123" s="3">
        <v>43</v>
      </c>
      <c r="E123" s="13">
        <f t="shared" si="8"/>
        <v>6.8093916005745186E-3</v>
      </c>
      <c r="F123" s="13">
        <f t="shared" si="9"/>
        <v>12.118415659913756</v>
      </c>
      <c r="G123" s="14">
        <f>F123/$F$124*$D$2</f>
        <v>0</v>
      </c>
      <c r="H123" s="14">
        <f>F123/$F$124*$E$2</f>
        <v>1802.7967721982729</v>
      </c>
      <c r="I123" s="25" t="str">
        <f t="shared" si="7"/>
        <v/>
      </c>
    </row>
    <row r="124" spans="1:9" hidden="1" x14ac:dyDescent="0.25">
      <c r="A124" s="3">
        <v>3488</v>
      </c>
      <c r="B124" s="3">
        <v>113.3517732</v>
      </c>
      <c r="C124" s="3">
        <v>22.936881079999999</v>
      </c>
      <c r="D124" s="3">
        <v>43</v>
      </c>
      <c r="E124" s="13">
        <f t="shared" si="8"/>
        <v>6.9458502114867551E-3</v>
      </c>
      <c r="F124" s="13">
        <f t="shared" si="9"/>
        <v>11.998785601645741</v>
      </c>
      <c r="G124" s="14">
        <f>F124/$F$124*$D$2</f>
        <v>0</v>
      </c>
      <c r="H124" s="14">
        <f>F124/$F$124*$E$2</f>
        <v>1785</v>
      </c>
      <c r="I124" s="25" t="str">
        <f t="shared" si="7"/>
        <v/>
      </c>
    </row>
    <row r="125" spans="1:9" x14ac:dyDescent="0.25">
      <c r="A125" s="3">
        <v>3923</v>
      </c>
      <c r="B125" s="3">
        <v>113.34635179999999</v>
      </c>
      <c r="C125" s="3">
        <v>22.93346141</v>
      </c>
      <c r="D125" s="3">
        <v>43</v>
      </c>
      <c r="E125" s="13">
        <f t="shared" si="8"/>
        <v>7.0744482524233952E-3</v>
      </c>
      <c r="F125" s="13">
        <f t="shared" si="9"/>
        <v>11.889229568488178</v>
      </c>
      <c r="G125" s="14">
        <f>F125/$F$154*$D$2</f>
        <v>0</v>
      </c>
      <c r="H125" s="14">
        <f>F125/$F$154*$E$2</f>
        <v>26.46529803806369</v>
      </c>
      <c r="I125" s="25" t="str">
        <f t="shared" si="7"/>
        <v>选中</v>
      </c>
    </row>
    <row r="126" spans="1:9" hidden="1" x14ac:dyDescent="0.25">
      <c r="A126" s="3">
        <v>4012</v>
      </c>
      <c r="B126" s="3">
        <v>113.3594227</v>
      </c>
      <c r="C126" s="3">
        <v>22.93156493</v>
      </c>
      <c r="D126" s="3">
        <v>43</v>
      </c>
      <c r="E126" s="13">
        <f t="shared" si="8"/>
        <v>7.0963121816061481E-3</v>
      </c>
      <c r="F126" s="13">
        <f t="shared" si="9"/>
        <v>11.870899920615564</v>
      </c>
      <c r="G126" s="14">
        <f>F126/$F$124*$D$2</f>
        <v>0</v>
      </c>
      <c r="H126" s="14">
        <f>F126/$F$124*$E$2</f>
        <v>1765.9750796274286</v>
      </c>
      <c r="I126" s="25" t="str">
        <f t="shared" si="7"/>
        <v/>
      </c>
    </row>
    <row r="127" spans="1:9" hidden="1" x14ac:dyDescent="0.25">
      <c r="A127" s="3">
        <v>4239</v>
      </c>
      <c r="B127" s="3">
        <v>113.3494321</v>
      </c>
      <c r="C127" s="3">
        <v>22.923492469999999</v>
      </c>
      <c r="D127" s="3">
        <v>43</v>
      </c>
      <c r="E127" s="13">
        <f t="shared" si="8"/>
        <v>7.1740182232069016E-3</v>
      </c>
      <c r="F127" s="13">
        <f t="shared" si="9"/>
        <v>11.806434504594053</v>
      </c>
      <c r="G127" s="14">
        <f>F127/$F$124*$D$2</f>
        <v>0</v>
      </c>
      <c r="H127" s="14">
        <f>F127/$F$124*$E$2</f>
        <v>1756.3848784671866</v>
      </c>
      <c r="I127" s="25" t="str">
        <f t="shared" si="7"/>
        <v/>
      </c>
    </row>
    <row r="128" spans="1:9" x14ac:dyDescent="0.25">
      <c r="A128" s="3">
        <v>3970</v>
      </c>
      <c r="B128" s="3">
        <v>113.3594836</v>
      </c>
      <c r="C128" s="3">
        <v>22.93179275</v>
      </c>
      <c r="D128" s="3">
        <v>43</v>
      </c>
      <c r="E128" s="13">
        <f t="shared" si="8"/>
        <v>7.2097458611606983E-3</v>
      </c>
      <c r="F128" s="13">
        <f t="shared" si="9"/>
        <v>11.777144991620236</v>
      </c>
      <c r="G128" s="14">
        <f>F128/$F$154*$D$2</f>
        <v>0</v>
      </c>
      <c r="H128" s="14">
        <f>F128/$F$154*$E$2</f>
        <v>26.215798967060596</v>
      </c>
      <c r="I128" s="25" t="str">
        <f t="shared" si="7"/>
        <v>选中</v>
      </c>
    </row>
    <row r="129" spans="1:9" hidden="1" x14ac:dyDescent="0.25">
      <c r="A129" s="3">
        <v>4274</v>
      </c>
      <c r="B129" s="3">
        <v>113.3554292</v>
      </c>
      <c r="C129" s="3">
        <v>22.923372130000001</v>
      </c>
      <c r="D129" s="3">
        <v>43</v>
      </c>
      <c r="E129" s="13">
        <f t="shared" si="8"/>
        <v>7.2197825951257994E-3</v>
      </c>
      <c r="F129" s="13">
        <f t="shared" si="9"/>
        <v>11.768956020612775</v>
      </c>
      <c r="G129" s="14">
        <f>F129/$F$124*$D$2</f>
        <v>0</v>
      </c>
      <c r="H129" s="14">
        <f>F129/$F$124*$E$2</f>
        <v>1750.8093897362767</v>
      </c>
      <c r="I129" s="25" t="str">
        <f t="shared" si="7"/>
        <v/>
      </c>
    </row>
    <row r="130" spans="1:9" hidden="1" x14ac:dyDescent="0.25">
      <c r="A130" s="3">
        <v>3409</v>
      </c>
      <c r="B130" s="3">
        <v>113.3488392</v>
      </c>
      <c r="C130" s="3">
        <v>22.936193100000001</v>
      </c>
      <c r="D130" s="3">
        <v>43</v>
      </c>
      <c r="E130" s="13">
        <f t="shared" si="8"/>
        <v>7.2200220110492817E-3</v>
      </c>
      <c r="F130" s="13">
        <f t="shared" si="9"/>
        <v>11.768760889709524</v>
      </c>
      <c r="G130" s="14">
        <f>F130/$F$124*$D$2</f>
        <v>0</v>
      </c>
      <c r="H130" s="14">
        <f>F130/$F$124*$E$2</f>
        <v>1750.7803610767219</v>
      </c>
      <c r="I130" s="25" t="str">
        <f t="shared" si="7"/>
        <v/>
      </c>
    </row>
    <row r="131" spans="1:9" x14ac:dyDescent="0.25">
      <c r="A131" s="3">
        <v>3920</v>
      </c>
      <c r="B131" s="3">
        <v>113.3460413</v>
      </c>
      <c r="C131" s="3">
        <v>22.933565890000001</v>
      </c>
      <c r="D131" s="3">
        <v>43</v>
      </c>
      <c r="E131" s="13">
        <f t="shared" si="8"/>
        <v>7.3963661276466612E-3</v>
      </c>
      <c r="F131" s="13">
        <f t="shared" si="9"/>
        <v>11.627619176571104</v>
      </c>
      <c r="G131" s="14">
        <f>F131/$F$154*$D$2</f>
        <v>0</v>
      </c>
      <c r="H131" s="14">
        <f>F131/$F$154*$E$2</f>
        <v>25.882956099752509</v>
      </c>
      <c r="I131" s="25" t="str">
        <f t="shared" si="7"/>
        <v>选中</v>
      </c>
    </row>
    <row r="132" spans="1:9" hidden="1" x14ac:dyDescent="0.25">
      <c r="A132" s="3">
        <v>4241</v>
      </c>
      <c r="B132" s="3">
        <v>113.34945399999999</v>
      </c>
      <c r="C132" s="3">
        <v>22.923194559999999</v>
      </c>
      <c r="D132" s="3">
        <v>43</v>
      </c>
      <c r="E132" s="13">
        <f t="shared" si="8"/>
        <v>7.4352519534749617E-3</v>
      </c>
      <c r="F132" s="13">
        <f t="shared" si="9"/>
        <v>11.597173516811377</v>
      </c>
      <c r="G132" s="14">
        <f>F132/$F$124*$D$2</f>
        <v>0</v>
      </c>
      <c r="H132" s="14">
        <f>F132/$F$124*$E$2</f>
        <v>1725.2541561096807</v>
      </c>
      <c r="I132" s="25" t="str">
        <f t="shared" si="7"/>
        <v/>
      </c>
    </row>
    <row r="133" spans="1:9" hidden="1" x14ac:dyDescent="0.25">
      <c r="A133" s="3">
        <v>4251</v>
      </c>
      <c r="B133" s="3">
        <v>113.34930629999999</v>
      </c>
      <c r="C133" s="3">
        <v>22.9231938</v>
      </c>
      <c r="D133" s="3">
        <v>43</v>
      </c>
      <c r="E133" s="13">
        <f t="shared" ref="E133:E152" si="10">SQRT((B133-$B$2)^2+(C133-$C$2)^2)</f>
        <v>7.4977962482343802E-3</v>
      </c>
      <c r="F133" s="13">
        <f t="shared" ref="F133:F152" si="11">SQRT(1/E133)</f>
        <v>11.548702206639451</v>
      </c>
      <c r="G133" s="14">
        <f>F133/$F$124*$D$2</f>
        <v>0</v>
      </c>
      <c r="H133" s="14">
        <f>F133/$F$124*$E$2</f>
        <v>1718.0433189858784</v>
      </c>
      <c r="I133" s="25" t="str">
        <f t="shared" si="7"/>
        <v/>
      </c>
    </row>
    <row r="134" spans="1:9" x14ac:dyDescent="0.25">
      <c r="A134" s="3">
        <v>4271</v>
      </c>
      <c r="B134" s="3">
        <v>113.3536211</v>
      </c>
      <c r="C134" s="3">
        <v>22.922472249999998</v>
      </c>
      <c r="D134" s="3">
        <v>43</v>
      </c>
      <c r="E134" s="13">
        <f t="shared" si="10"/>
        <v>7.5841263328413899E-3</v>
      </c>
      <c r="F134" s="13">
        <f t="shared" si="11"/>
        <v>11.482784665733462</v>
      </c>
      <c r="G134" s="14">
        <f>F134/$F$154*$D$2</f>
        <v>0</v>
      </c>
      <c r="H134" s="14">
        <f>F134/$F$154*$E$2</f>
        <v>25.56055602551433</v>
      </c>
      <c r="I134" s="25" t="str">
        <f t="shared" ref="I134:I152" si="12">IF(MOD(ROW()-1,3)=1,"选中","")</f>
        <v>选中</v>
      </c>
    </row>
    <row r="135" spans="1:9" hidden="1" x14ac:dyDescent="0.25">
      <c r="A135" s="3">
        <v>3903</v>
      </c>
      <c r="B135" s="3">
        <v>113.34488570000001</v>
      </c>
      <c r="C135" s="3">
        <v>22.930005359999999</v>
      </c>
      <c r="D135" s="3">
        <v>43</v>
      </c>
      <c r="E135" s="13">
        <f t="shared" si="10"/>
        <v>7.6213641087111202E-3</v>
      </c>
      <c r="F135" s="13">
        <f t="shared" si="11"/>
        <v>11.454698030724215</v>
      </c>
      <c r="G135" s="14">
        <f>F135/$F$124*$D$2</f>
        <v>0</v>
      </c>
      <c r="H135" s="14">
        <f>F135/$F$124*$E$2</f>
        <v>1704.0587825853213</v>
      </c>
      <c r="I135" s="25" t="str">
        <f t="shared" si="12"/>
        <v/>
      </c>
    </row>
    <row r="136" spans="1:9" hidden="1" x14ac:dyDescent="0.25">
      <c r="A136" s="3">
        <v>3907</v>
      </c>
      <c r="B136" s="3">
        <v>113.3461437</v>
      </c>
      <c r="C136" s="3">
        <v>22.925727009999999</v>
      </c>
      <c r="D136" s="3">
        <v>43</v>
      </c>
      <c r="E136" s="13">
        <f t="shared" si="10"/>
        <v>7.6504483762814277E-3</v>
      </c>
      <c r="F136" s="13">
        <f t="shared" si="11"/>
        <v>11.432903965849974</v>
      </c>
      <c r="G136" s="14">
        <f>F136/$F$124*$D$2</f>
        <v>0</v>
      </c>
      <c r="H136" s="14">
        <f>F136/$F$124*$E$2</f>
        <v>1700.8165873255623</v>
      </c>
      <c r="I136" s="25" t="str">
        <f t="shared" si="12"/>
        <v/>
      </c>
    </row>
    <row r="137" spans="1:9" x14ac:dyDescent="0.25">
      <c r="A137" s="3">
        <v>3995</v>
      </c>
      <c r="B137" s="3">
        <v>113.35949050000001</v>
      </c>
      <c r="C137" s="3">
        <v>22.933148169999999</v>
      </c>
      <c r="D137" s="3">
        <v>43</v>
      </c>
      <c r="E137" s="13">
        <f t="shared" si="10"/>
        <v>7.6709838101091336E-3</v>
      </c>
      <c r="F137" s="13">
        <f t="shared" si="11"/>
        <v>11.417590611838323</v>
      </c>
      <c r="G137" s="14">
        <f>F137/$F$154*$D$2</f>
        <v>0</v>
      </c>
      <c r="H137" s="14">
        <f>F137/$F$154*$E$2</f>
        <v>25.41543475784048</v>
      </c>
      <c r="I137" s="25" t="str">
        <f t="shared" si="12"/>
        <v>选中</v>
      </c>
    </row>
    <row r="138" spans="1:9" hidden="1" x14ac:dyDescent="0.25">
      <c r="A138" s="3">
        <v>3500</v>
      </c>
      <c r="B138" s="3">
        <v>113.3585537</v>
      </c>
      <c r="C138" s="3">
        <v>22.934845769999999</v>
      </c>
      <c r="D138" s="3">
        <v>43</v>
      </c>
      <c r="E138" s="13">
        <f t="shared" si="10"/>
        <v>7.7650337719089189E-3</v>
      </c>
      <c r="F138" s="13">
        <f t="shared" si="11"/>
        <v>11.348235128740193</v>
      </c>
      <c r="G138" s="14">
        <f>F138/$F$124*$D$2</f>
        <v>0</v>
      </c>
      <c r="H138" s="14">
        <f>F138/$F$124*$E$2</f>
        <v>1688.2208231158718</v>
      </c>
      <c r="I138" s="25" t="str">
        <f t="shared" si="12"/>
        <v/>
      </c>
    </row>
    <row r="139" spans="1:9" hidden="1" x14ac:dyDescent="0.25">
      <c r="A139" s="3">
        <v>3461</v>
      </c>
      <c r="B139" s="3">
        <v>113.3573614</v>
      </c>
      <c r="C139" s="3">
        <v>22.936081949999998</v>
      </c>
      <c r="D139" s="3">
        <v>43</v>
      </c>
      <c r="E139" s="13">
        <f t="shared" si="10"/>
        <v>7.8019889119688574E-3</v>
      </c>
      <c r="F139" s="13">
        <f t="shared" si="11"/>
        <v>11.321327028137654</v>
      </c>
      <c r="G139" s="14">
        <f>F139/$F$124*$D$2</f>
        <v>0</v>
      </c>
      <c r="H139" s="14">
        <f>F139/$F$124*$E$2</f>
        <v>1684.2178380497044</v>
      </c>
      <c r="I139" s="25" t="str">
        <f t="shared" si="12"/>
        <v/>
      </c>
    </row>
    <row r="140" spans="1:9" x14ac:dyDescent="0.25">
      <c r="A140" s="3">
        <v>3504</v>
      </c>
      <c r="B140" s="3">
        <v>113.35299310000001</v>
      </c>
      <c r="C140" s="3">
        <v>22.93790474</v>
      </c>
      <c r="D140" s="3">
        <v>43</v>
      </c>
      <c r="E140" s="13">
        <f t="shared" si="10"/>
        <v>7.9455235208025152E-3</v>
      </c>
      <c r="F140" s="13">
        <f t="shared" si="11"/>
        <v>11.2186020069941</v>
      </c>
      <c r="G140" s="14">
        <f>F140/$F$154*$D$2</f>
        <v>0</v>
      </c>
      <c r="H140" s="14">
        <f>F140/$F$154*$E$2</f>
        <v>24.972488248729501</v>
      </c>
      <c r="I140" s="25" t="str">
        <f t="shared" si="12"/>
        <v>选中</v>
      </c>
    </row>
    <row r="141" spans="1:9" hidden="1" x14ac:dyDescent="0.25">
      <c r="A141" s="3">
        <v>4246</v>
      </c>
      <c r="B141" s="3">
        <v>113.3485057</v>
      </c>
      <c r="C141" s="3">
        <v>22.923102149999998</v>
      </c>
      <c r="D141" s="3">
        <v>43</v>
      </c>
      <c r="E141" s="13">
        <f t="shared" si="10"/>
        <v>7.9519870782402708E-3</v>
      </c>
      <c r="F141" s="13">
        <f t="shared" si="11"/>
        <v>11.214041711649591</v>
      </c>
      <c r="G141" s="14">
        <f>F141/$F$124*$D$2</f>
        <v>0</v>
      </c>
      <c r="H141" s="14">
        <f>F141/$F$124*$E$2</f>
        <v>1668.2575320413257</v>
      </c>
      <c r="I141" s="25" t="str">
        <f t="shared" si="12"/>
        <v/>
      </c>
    </row>
    <row r="142" spans="1:9" hidden="1" x14ac:dyDescent="0.25">
      <c r="A142" s="3">
        <v>4242</v>
      </c>
      <c r="B142" s="3">
        <v>113.35073989999999</v>
      </c>
      <c r="C142" s="3">
        <v>22.922144920000001</v>
      </c>
      <c r="D142" s="3">
        <v>43</v>
      </c>
      <c r="E142" s="13">
        <f t="shared" si="10"/>
        <v>8.0261262064836077E-3</v>
      </c>
      <c r="F142" s="13">
        <f t="shared" si="11"/>
        <v>11.16212823996907</v>
      </c>
      <c r="G142" s="14">
        <f>F142/$F$124*$D$2</f>
        <v>0</v>
      </c>
      <c r="H142" s="14">
        <f>F142/$F$124*$E$2</f>
        <v>1660.534621571368</v>
      </c>
      <c r="I142" s="25" t="str">
        <f t="shared" si="12"/>
        <v/>
      </c>
    </row>
    <row r="143" spans="1:9" x14ac:dyDescent="0.25">
      <c r="A143" s="3">
        <v>3513</v>
      </c>
      <c r="B143" s="3">
        <v>113.35303500000001</v>
      </c>
      <c r="C143" s="3">
        <v>22.938012619999999</v>
      </c>
      <c r="D143" s="3">
        <v>43</v>
      </c>
      <c r="E143" s="13">
        <f t="shared" si="10"/>
        <v>8.055841842439234E-3</v>
      </c>
      <c r="F143" s="13">
        <f t="shared" si="11"/>
        <v>11.141522312759179</v>
      </c>
      <c r="G143" s="14">
        <f>F143/$F$154*$D$2</f>
        <v>0</v>
      </c>
      <c r="H143" s="14">
        <f>F143/$F$154*$E$2</f>
        <v>24.800909672602355</v>
      </c>
      <c r="I143" s="25" t="str">
        <f t="shared" si="12"/>
        <v>选中</v>
      </c>
    </row>
    <row r="144" spans="1:9" hidden="1" x14ac:dyDescent="0.25">
      <c r="A144" s="3">
        <v>3401</v>
      </c>
      <c r="B144" s="3">
        <v>113.3486255</v>
      </c>
      <c r="C144" s="3">
        <v>22.937163049999999</v>
      </c>
      <c r="D144" s="3">
        <v>43</v>
      </c>
      <c r="E144" s="13">
        <f t="shared" si="10"/>
        <v>8.169886434494681E-3</v>
      </c>
      <c r="F144" s="13">
        <f t="shared" si="11"/>
        <v>11.063485988394723</v>
      </c>
      <c r="G144" s="14">
        <f>F144/$F$124*$D$2</f>
        <v>0</v>
      </c>
      <c r="H144" s="14">
        <f>F144/$F$124*$E$2</f>
        <v>1645.8601015902741</v>
      </c>
      <c r="I144" s="25" t="str">
        <f t="shared" si="12"/>
        <v/>
      </c>
    </row>
    <row r="145" spans="1:9" hidden="1" x14ac:dyDescent="0.25">
      <c r="A145" s="3">
        <v>4266</v>
      </c>
      <c r="B145" s="3">
        <v>113.3544399</v>
      </c>
      <c r="C145" s="3">
        <v>22.9219972</v>
      </c>
      <c r="D145" s="3">
        <v>43</v>
      </c>
      <c r="E145" s="13">
        <f t="shared" si="10"/>
        <v>8.2077424435703684E-3</v>
      </c>
      <c r="F145" s="13">
        <f t="shared" si="11"/>
        <v>11.037942821755822</v>
      </c>
      <c r="G145" s="14">
        <f>F145/$F$124*$D$2</f>
        <v>0</v>
      </c>
      <c r="H145" s="14">
        <f>F145/$F$124*$E$2</f>
        <v>1642.0601710002832</v>
      </c>
      <c r="I145" s="25" t="str">
        <f t="shared" si="12"/>
        <v/>
      </c>
    </row>
    <row r="146" spans="1:9" x14ac:dyDescent="0.25">
      <c r="A146" s="3">
        <v>4261</v>
      </c>
      <c r="B146" s="3">
        <v>113.354995</v>
      </c>
      <c r="C146" s="3">
        <v>22.92200935</v>
      </c>
      <c r="D146" s="3">
        <v>43</v>
      </c>
      <c r="E146" s="13">
        <f t="shared" si="10"/>
        <v>8.3443026408734043E-3</v>
      </c>
      <c r="F146" s="13">
        <f t="shared" si="11"/>
        <v>10.947248495440016</v>
      </c>
      <c r="G146" s="14">
        <f>F146/$F$154*$D$2</f>
        <v>0</v>
      </c>
      <c r="H146" s="14">
        <f>F146/$F$154*$E$2</f>
        <v>24.368458230166475</v>
      </c>
      <c r="I146" s="25" t="str">
        <f t="shared" si="12"/>
        <v>选中</v>
      </c>
    </row>
    <row r="147" spans="1:9" hidden="1" x14ac:dyDescent="0.25">
      <c r="A147" s="3">
        <v>4264</v>
      </c>
      <c r="B147" s="3">
        <v>113.3536082</v>
      </c>
      <c r="C147" s="3">
        <v>22.921537659999998</v>
      </c>
      <c r="D147" s="3">
        <v>43</v>
      </c>
      <c r="E147" s="13">
        <f t="shared" si="10"/>
        <v>8.5080057189446754E-3</v>
      </c>
      <c r="F147" s="13">
        <f t="shared" si="11"/>
        <v>10.841418601324666</v>
      </c>
      <c r="G147" s="14">
        <f>F147/$F$124*$D$2</f>
        <v>0</v>
      </c>
      <c r="H147" s="14">
        <f>F147/$F$124*$E$2</f>
        <v>1612.8242345383885</v>
      </c>
      <c r="I147" s="25" t="str">
        <f t="shared" si="12"/>
        <v/>
      </c>
    </row>
    <row r="148" spans="1:9" hidden="1" x14ac:dyDescent="0.25">
      <c r="A148" s="3">
        <v>3899</v>
      </c>
      <c r="B148" s="3">
        <v>113.34634440000001</v>
      </c>
      <c r="C148" s="3">
        <v>22.923974399999999</v>
      </c>
      <c r="D148" s="3">
        <v>43</v>
      </c>
      <c r="E148" s="13">
        <f t="shared" si="10"/>
        <v>8.6008161734777017E-3</v>
      </c>
      <c r="F148" s="13">
        <f t="shared" si="11"/>
        <v>10.782765669264629</v>
      </c>
      <c r="G148" s="14">
        <f>F148/$F$124*$D$2</f>
        <v>0</v>
      </c>
      <c r="H148" s="14">
        <f>F148/$F$124*$E$2</f>
        <v>1604.0987278743801</v>
      </c>
      <c r="I148" s="25" t="str">
        <f t="shared" si="12"/>
        <v/>
      </c>
    </row>
    <row r="149" spans="1:9" x14ac:dyDescent="0.25">
      <c r="A149" s="3">
        <v>4273</v>
      </c>
      <c r="B149" s="3">
        <v>113.354995</v>
      </c>
      <c r="C149" s="3">
        <v>22.921672489999999</v>
      </c>
      <c r="D149" s="3">
        <v>43</v>
      </c>
      <c r="E149" s="13">
        <f t="shared" si="10"/>
        <v>8.6664221332739752E-3</v>
      </c>
      <c r="F149" s="13">
        <f t="shared" si="11"/>
        <v>10.741874654759693</v>
      </c>
      <c r="G149" s="14">
        <f>F149/$F$154*$D$2</f>
        <v>0</v>
      </c>
      <c r="H149" s="14">
        <f>F149/$F$154*$E$2</f>
        <v>23.911298254281032</v>
      </c>
      <c r="I149" s="25" t="str">
        <f t="shared" si="12"/>
        <v>选中</v>
      </c>
    </row>
    <row r="150" spans="1:9" hidden="1" x14ac:dyDescent="0.25">
      <c r="A150" s="3">
        <v>4234</v>
      </c>
      <c r="B150" s="3">
        <v>113.34712210000001</v>
      </c>
      <c r="C150" s="3">
        <v>22.923144440000002</v>
      </c>
      <c r="D150" s="3">
        <v>43</v>
      </c>
      <c r="E150" s="13">
        <f t="shared" si="10"/>
        <v>8.6972066622289564E-3</v>
      </c>
      <c r="F150" s="13">
        <f t="shared" si="11"/>
        <v>10.722846896531683</v>
      </c>
      <c r="G150" s="14">
        <f>F150/$F$124*$D$2</f>
        <v>0</v>
      </c>
      <c r="H150" s="14">
        <f>F150/$F$124*$E$2</f>
        <v>1595.1849083530412</v>
      </c>
      <c r="I150" s="25" t="str">
        <f t="shared" si="12"/>
        <v/>
      </c>
    </row>
    <row r="151" spans="1:9" hidden="1" x14ac:dyDescent="0.25">
      <c r="A151" s="3">
        <v>3420</v>
      </c>
      <c r="B151" s="3">
        <v>113.3471591</v>
      </c>
      <c r="C151" s="3">
        <v>22.937036540000001</v>
      </c>
      <c r="D151" s="3">
        <v>43</v>
      </c>
      <c r="E151" s="13">
        <f t="shared" si="10"/>
        <v>8.8587862127760472E-3</v>
      </c>
      <c r="F151" s="13">
        <f t="shared" si="11"/>
        <v>10.624607362662786</v>
      </c>
      <c r="G151" s="14">
        <f>F151/$F$124*$D$2</f>
        <v>0</v>
      </c>
      <c r="H151" s="14">
        <f>F151/$F$124*$E$2</f>
        <v>1580.5702986935498</v>
      </c>
      <c r="I151" s="25" t="str">
        <f t="shared" si="12"/>
        <v/>
      </c>
    </row>
    <row r="152" spans="1:9" x14ac:dyDescent="0.25">
      <c r="A152" s="3">
        <v>4257</v>
      </c>
      <c r="B152" s="3">
        <v>113.35540140000001</v>
      </c>
      <c r="C152" s="3">
        <v>22.921529939999999</v>
      </c>
      <c r="D152" s="3">
        <v>43</v>
      </c>
      <c r="E152" s="13">
        <f t="shared" si="10"/>
        <v>8.9264432707327913E-3</v>
      </c>
      <c r="F152" s="13">
        <f t="shared" si="11"/>
        <v>10.584266718882425</v>
      </c>
      <c r="G152" s="14">
        <f>F152/$F$154*$D$2</f>
        <v>0</v>
      </c>
      <c r="H152" s="14">
        <f>F152/$F$154*$E$2</f>
        <v>23.560464672329573</v>
      </c>
      <c r="I152" s="25" t="str">
        <f t="shared" si="12"/>
        <v>选中</v>
      </c>
    </row>
    <row r="153" spans="1:9" x14ac:dyDescent="0.25">
      <c r="A153" s="3"/>
      <c r="B153" s="3"/>
      <c r="C153" s="3"/>
      <c r="D153" s="3"/>
      <c r="G153" s="14"/>
      <c r="H153" s="14"/>
    </row>
    <row r="154" spans="1:9" x14ac:dyDescent="0.25">
      <c r="A154" s="3"/>
      <c r="B154" s="3"/>
      <c r="C154" s="3"/>
      <c r="D154" s="3"/>
      <c r="F154" s="13">
        <f>SUBTOTAL(9,F5:F152)</f>
        <v>801.89063993265745</v>
      </c>
      <c r="G154" s="13">
        <f>SUBTOTAL(9,G5:G152)</f>
        <v>0</v>
      </c>
      <c r="H154" s="13">
        <f>SUBTOTAL(9,H5:H152)</f>
        <v>1785.0000000000005</v>
      </c>
    </row>
    <row r="155" spans="1:9" x14ac:dyDescent="0.25">
      <c r="A155" s="3"/>
      <c r="B155" s="3"/>
      <c r="C155" s="3"/>
      <c r="D155" s="3"/>
      <c r="G155" s="14"/>
      <c r="H155" s="14"/>
    </row>
    <row r="156" spans="1:9" x14ac:dyDescent="0.25">
      <c r="A156" s="3"/>
      <c r="B156" s="3"/>
      <c r="C156" s="3"/>
      <c r="D156" s="3"/>
      <c r="G156" s="14"/>
      <c r="H156" s="14"/>
    </row>
    <row r="157" spans="1:9" x14ac:dyDescent="0.25">
      <c r="A157" s="3"/>
      <c r="B157" s="3"/>
      <c r="C157" s="3"/>
      <c r="D157" s="3"/>
      <c r="G157" s="14"/>
      <c r="H157" s="14"/>
    </row>
    <row r="158" spans="1:9" x14ac:dyDescent="0.25">
      <c r="A158" s="3"/>
      <c r="B158" s="3"/>
      <c r="C158" s="3"/>
      <c r="D158" s="3"/>
      <c r="G158" s="14"/>
      <c r="H158" s="14"/>
    </row>
    <row r="159" spans="1:9" x14ac:dyDescent="0.25">
      <c r="A159" s="3"/>
      <c r="B159" s="3"/>
      <c r="C159" s="3"/>
      <c r="D159" s="3"/>
      <c r="G159" s="14"/>
      <c r="H159" s="14"/>
    </row>
    <row r="160" spans="1:9" x14ac:dyDescent="0.25">
      <c r="A160" s="3"/>
      <c r="B160" s="3"/>
      <c r="C160" s="3"/>
      <c r="D160" s="3"/>
      <c r="G160" s="14"/>
      <c r="H160" s="14"/>
    </row>
    <row r="161" spans="1:8" x14ac:dyDescent="0.25">
      <c r="A161" s="3"/>
      <c r="B161" s="3"/>
      <c r="C161" s="3"/>
      <c r="D161" s="3"/>
      <c r="G161" s="14"/>
      <c r="H161" s="14"/>
    </row>
    <row r="162" spans="1:8" x14ac:dyDescent="0.25">
      <c r="A162" s="3"/>
      <c r="B162" s="3"/>
      <c r="C162" s="3"/>
      <c r="D162" s="3"/>
      <c r="G162" s="14"/>
      <c r="H162" s="14"/>
    </row>
    <row r="163" spans="1:8" x14ac:dyDescent="0.25">
      <c r="A163" s="3"/>
      <c r="B163" s="3"/>
      <c r="C163" s="3"/>
      <c r="D163" s="3"/>
      <c r="G163" s="14"/>
      <c r="H163" s="14"/>
    </row>
    <row r="164" spans="1:8" x14ac:dyDescent="0.25">
      <c r="A164" s="3"/>
      <c r="B164" s="3"/>
      <c r="C164" s="3"/>
      <c r="D164" s="3"/>
      <c r="G164" s="14"/>
      <c r="H164" s="14"/>
    </row>
    <row r="165" spans="1:8" x14ac:dyDescent="0.25">
      <c r="A165" s="3"/>
      <c r="B165" s="3"/>
      <c r="C165" s="3"/>
      <c r="D165" s="3"/>
      <c r="G165" s="14"/>
      <c r="H165" s="14"/>
    </row>
    <row r="166" spans="1:8" x14ac:dyDescent="0.25">
      <c r="A166" s="3"/>
      <c r="B166" s="3"/>
      <c r="C166" s="3"/>
      <c r="D166" s="3"/>
      <c r="G166" s="14"/>
      <c r="H166" s="14"/>
    </row>
    <row r="167" spans="1:8" x14ac:dyDescent="0.25">
      <c r="A167" s="3"/>
      <c r="B167" s="3"/>
      <c r="C167" s="3"/>
      <c r="D167" s="3"/>
      <c r="G167" s="14"/>
      <c r="H167" s="14"/>
    </row>
    <row r="168" spans="1:8" x14ac:dyDescent="0.25">
      <c r="A168" s="3"/>
      <c r="B168" s="3"/>
      <c r="C168" s="3"/>
      <c r="D168" s="3"/>
      <c r="G168" s="14"/>
      <c r="H168" s="14"/>
    </row>
    <row r="169" spans="1:8" x14ac:dyDescent="0.25">
      <c r="A169" s="3"/>
      <c r="B169" s="3"/>
      <c r="C169" s="3"/>
      <c r="D169" s="3"/>
      <c r="G169" s="14"/>
      <c r="H169" s="14"/>
    </row>
    <row r="170" spans="1:8" x14ac:dyDescent="0.25">
      <c r="A170" s="3"/>
      <c r="B170" s="3"/>
      <c r="C170" s="3"/>
      <c r="D170" s="3"/>
      <c r="G170" s="14"/>
      <c r="H170" s="14"/>
    </row>
    <row r="171" spans="1:8" x14ac:dyDescent="0.25">
      <c r="A171" s="3"/>
      <c r="B171" s="3"/>
      <c r="C171" s="3"/>
      <c r="D171" s="3"/>
      <c r="G171" s="14"/>
      <c r="H171" s="14"/>
    </row>
    <row r="172" spans="1:8" x14ac:dyDescent="0.25">
      <c r="A172" s="3"/>
      <c r="B172" s="3"/>
      <c r="C172" s="3"/>
      <c r="D172" s="3"/>
      <c r="G172" s="14"/>
      <c r="H172" s="14"/>
    </row>
    <row r="173" spans="1:8" x14ac:dyDescent="0.25">
      <c r="A173" s="3"/>
      <c r="B173" s="3"/>
      <c r="C173" s="3"/>
      <c r="D173" s="3"/>
      <c r="G173" s="14"/>
      <c r="H173" s="14"/>
    </row>
    <row r="174" spans="1:8" x14ac:dyDescent="0.25">
      <c r="A174" s="3"/>
      <c r="B174" s="3"/>
      <c r="C174" s="3"/>
      <c r="D174" s="3"/>
      <c r="G174" s="14"/>
      <c r="H174" s="14"/>
    </row>
    <row r="175" spans="1:8" x14ac:dyDescent="0.25">
      <c r="A175" s="3"/>
      <c r="B175" s="3"/>
      <c r="C175" s="3"/>
      <c r="D175" s="3"/>
      <c r="G175" s="14"/>
      <c r="H175" s="14"/>
    </row>
    <row r="176" spans="1:8" x14ac:dyDescent="0.25">
      <c r="A176" s="3"/>
      <c r="B176" s="3"/>
      <c r="C176" s="3"/>
      <c r="D176" s="3"/>
      <c r="G176" s="14"/>
      <c r="H176" s="14"/>
    </row>
    <row r="177" spans="1:8" x14ac:dyDescent="0.25">
      <c r="A177" s="3"/>
      <c r="B177" s="3"/>
      <c r="C177" s="3"/>
      <c r="D177" s="3"/>
      <c r="G177" s="14"/>
      <c r="H177" s="14"/>
    </row>
    <row r="178" spans="1:8" x14ac:dyDescent="0.25">
      <c r="A178" s="3"/>
      <c r="B178" s="3"/>
      <c r="C178" s="3"/>
      <c r="D178" s="3"/>
      <c r="G178" s="14"/>
      <c r="H178" s="14"/>
    </row>
    <row r="179" spans="1:8" x14ac:dyDescent="0.25">
      <c r="A179" s="3"/>
      <c r="B179" s="3"/>
      <c r="C179" s="3"/>
      <c r="D179" s="3"/>
      <c r="G179" s="14"/>
      <c r="H179" s="14"/>
    </row>
    <row r="180" spans="1:8" x14ac:dyDescent="0.25">
      <c r="A180" s="3"/>
      <c r="B180" s="3"/>
      <c r="C180" s="3"/>
      <c r="D180" s="3"/>
      <c r="G180" s="14"/>
      <c r="H180" s="14"/>
    </row>
    <row r="181" spans="1:8" x14ac:dyDescent="0.25">
      <c r="A181" s="3"/>
      <c r="B181" s="3"/>
      <c r="C181" s="3"/>
      <c r="D181" s="3"/>
      <c r="G181" s="14"/>
      <c r="H181" s="14"/>
    </row>
    <row r="182" spans="1:8" x14ac:dyDescent="0.25">
      <c r="A182" s="3"/>
      <c r="B182" s="3"/>
      <c r="C182" s="3"/>
      <c r="D182" s="3"/>
      <c r="G182" s="14"/>
      <c r="H182" s="14"/>
    </row>
    <row r="183" spans="1:8" x14ac:dyDescent="0.25">
      <c r="A183" s="3"/>
      <c r="B183" s="3"/>
      <c r="C183" s="3"/>
      <c r="D183" s="3"/>
      <c r="G183" s="14"/>
      <c r="H183" s="14"/>
    </row>
    <row r="184" spans="1:8" x14ac:dyDescent="0.25">
      <c r="A184" s="3"/>
      <c r="B184" s="3"/>
      <c r="C184" s="3"/>
      <c r="D184" s="3"/>
      <c r="G184" s="14"/>
      <c r="H184" s="14"/>
    </row>
    <row r="185" spans="1:8" x14ac:dyDescent="0.25">
      <c r="A185" s="3"/>
      <c r="B185" s="3"/>
      <c r="C185" s="3"/>
      <c r="D185" s="3"/>
      <c r="G185" s="14"/>
      <c r="H185" s="14"/>
    </row>
    <row r="186" spans="1:8" x14ac:dyDescent="0.25">
      <c r="A186" s="3"/>
      <c r="B186" s="3"/>
      <c r="C186" s="3"/>
      <c r="D186" s="3"/>
      <c r="G186" s="14"/>
      <c r="H186" s="14"/>
    </row>
    <row r="187" spans="1:8" x14ac:dyDescent="0.25">
      <c r="A187" s="3"/>
      <c r="B187" s="3"/>
      <c r="C187" s="3"/>
      <c r="D187" s="3"/>
      <c r="G187" s="14"/>
      <c r="H187" s="14"/>
    </row>
    <row r="188" spans="1:8" x14ac:dyDescent="0.25">
      <c r="A188" s="3"/>
      <c r="B188" s="3"/>
      <c r="C188" s="3"/>
      <c r="D188" s="3"/>
      <c r="G188" s="14"/>
      <c r="H188" s="14"/>
    </row>
    <row r="189" spans="1:8" x14ac:dyDescent="0.25">
      <c r="A189" s="3"/>
      <c r="B189" s="3"/>
      <c r="C189" s="3"/>
      <c r="D189" s="3"/>
      <c r="G189" s="14"/>
      <c r="H189" s="14"/>
    </row>
    <row r="190" spans="1:8" x14ac:dyDescent="0.25">
      <c r="A190" s="3"/>
      <c r="B190" s="3"/>
      <c r="C190" s="3"/>
      <c r="D190" s="3"/>
      <c r="G190" s="14"/>
      <c r="H190" s="14"/>
    </row>
    <row r="191" spans="1:8" x14ac:dyDescent="0.25">
      <c r="A191" s="3"/>
      <c r="B191" s="3"/>
      <c r="C191" s="3"/>
      <c r="D191" s="3"/>
      <c r="G191" s="14"/>
      <c r="H191" s="14"/>
    </row>
    <row r="192" spans="1:8" x14ac:dyDescent="0.25">
      <c r="A192" s="3"/>
      <c r="B192" s="3"/>
      <c r="C192" s="3"/>
      <c r="D192" s="3"/>
      <c r="G192" s="14"/>
      <c r="H192" s="14"/>
    </row>
    <row r="193" spans="1:8" x14ac:dyDescent="0.25">
      <c r="A193" s="3"/>
      <c r="B193" s="3"/>
      <c r="C193" s="3"/>
      <c r="D193" s="3"/>
      <c r="G193" s="14"/>
      <c r="H193" s="14"/>
    </row>
    <row r="194" spans="1:8" x14ac:dyDescent="0.25">
      <c r="A194" s="3"/>
      <c r="B194" s="3"/>
      <c r="C194" s="3"/>
      <c r="D194" s="3"/>
      <c r="G194" s="14"/>
      <c r="H194" s="14"/>
    </row>
    <row r="195" spans="1:8" x14ac:dyDescent="0.25">
      <c r="A195" s="3"/>
      <c r="B195" s="3"/>
      <c r="C195" s="3"/>
      <c r="D195" s="3"/>
      <c r="G195" s="14"/>
      <c r="H195" s="14"/>
    </row>
    <row r="196" spans="1:8" x14ac:dyDescent="0.25">
      <c r="A196" s="3"/>
      <c r="B196" s="3"/>
      <c r="C196" s="3"/>
      <c r="D196" s="3"/>
      <c r="G196" s="14"/>
      <c r="H196" s="14"/>
    </row>
    <row r="197" spans="1:8" x14ac:dyDescent="0.25">
      <c r="A197" s="3"/>
      <c r="B197" s="3"/>
      <c r="C197" s="3"/>
      <c r="D197" s="3"/>
      <c r="G197" s="14"/>
      <c r="H197" s="14"/>
    </row>
    <row r="198" spans="1:8" x14ac:dyDescent="0.25">
      <c r="A198" s="3"/>
      <c r="B198" s="3"/>
      <c r="C198" s="3"/>
      <c r="D198" s="3"/>
      <c r="G198" s="14"/>
      <c r="H198" s="14"/>
    </row>
    <row r="199" spans="1:8" x14ac:dyDescent="0.25">
      <c r="A199" s="3"/>
      <c r="B199" s="3"/>
      <c r="C199" s="3"/>
      <c r="D199" s="3"/>
      <c r="G199" s="14"/>
      <c r="H199" s="14"/>
    </row>
    <row r="200" spans="1:8" x14ac:dyDescent="0.25">
      <c r="A200" s="3"/>
      <c r="B200" s="3"/>
      <c r="C200" s="3"/>
      <c r="D200" s="3"/>
      <c r="G200" s="14"/>
      <c r="H200" s="14"/>
    </row>
    <row r="201" spans="1:8" x14ac:dyDescent="0.25">
      <c r="A201" s="3"/>
      <c r="B201" s="3"/>
      <c r="C201" s="3"/>
      <c r="D201" s="3"/>
      <c r="G201" s="14"/>
      <c r="H201" s="14"/>
    </row>
    <row r="202" spans="1:8" x14ac:dyDescent="0.25">
      <c r="A202" s="3"/>
      <c r="B202" s="3"/>
      <c r="C202" s="3"/>
      <c r="D202" s="3"/>
      <c r="G202" s="14"/>
      <c r="H202" s="14"/>
    </row>
    <row r="203" spans="1:8" x14ac:dyDescent="0.25">
      <c r="A203" s="3"/>
      <c r="B203" s="3"/>
      <c r="C203" s="3"/>
      <c r="D203" s="3"/>
      <c r="G203" s="14"/>
      <c r="H203" s="14"/>
    </row>
    <row r="204" spans="1:8" x14ac:dyDescent="0.25">
      <c r="A204" s="3"/>
      <c r="B204" s="3"/>
      <c r="C204" s="3"/>
      <c r="D204" s="3"/>
      <c r="G204" s="14"/>
      <c r="H204" s="14"/>
    </row>
    <row r="205" spans="1:8" x14ac:dyDescent="0.25">
      <c r="A205" s="3"/>
      <c r="B205" s="3"/>
      <c r="C205" s="3"/>
      <c r="D205" s="3"/>
      <c r="G205" s="14"/>
      <c r="H205" s="14"/>
    </row>
    <row r="206" spans="1:8" x14ac:dyDescent="0.25">
      <c r="A206" s="3"/>
      <c r="B206" s="3"/>
      <c r="C206" s="3"/>
      <c r="D206" s="3"/>
      <c r="G206" s="14"/>
      <c r="H206" s="14"/>
    </row>
    <row r="207" spans="1:8" x14ac:dyDescent="0.25">
      <c r="A207" s="3"/>
      <c r="B207" s="3"/>
      <c r="C207" s="3"/>
      <c r="D207" s="3"/>
      <c r="G207" s="14"/>
      <c r="H207" s="14"/>
    </row>
    <row r="208" spans="1:8" x14ac:dyDescent="0.25">
      <c r="A208" s="3"/>
      <c r="B208" s="3"/>
      <c r="C208" s="3"/>
      <c r="D208" s="3"/>
      <c r="G208" s="14"/>
      <c r="H208" s="14"/>
    </row>
    <row r="209" spans="1:8" x14ac:dyDescent="0.25">
      <c r="A209" s="3"/>
      <c r="B209" s="3"/>
      <c r="C209" s="3"/>
      <c r="D209" s="3"/>
      <c r="G209" s="14"/>
      <c r="H209" s="14"/>
    </row>
    <row r="210" spans="1:8" x14ac:dyDescent="0.25">
      <c r="A210" s="3"/>
      <c r="B210" s="3"/>
      <c r="C210" s="3"/>
      <c r="D210" s="3"/>
      <c r="G210" s="14"/>
      <c r="H210" s="14"/>
    </row>
    <row r="211" spans="1:8" x14ac:dyDescent="0.25">
      <c r="A211" s="3"/>
      <c r="B211" s="3"/>
      <c r="C211" s="3"/>
      <c r="D211" s="3"/>
      <c r="G211" s="14"/>
      <c r="H211" s="14"/>
    </row>
    <row r="212" spans="1:8" x14ac:dyDescent="0.25">
      <c r="A212" s="3"/>
      <c r="B212" s="3"/>
      <c r="C212" s="3"/>
      <c r="D212" s="3"/>
      <c r="G212" s="14"/>
      <c r="H212" s="14"/>
    </row>
    <row r="213" spans="1:8" x14ac:dyDescent="0.25">
      <c r="A213" s="3"/>
      <c r="B213" s="3"/>
      <c r="C213" s="3"/>
      <c r="D213" s="3"/>
      <c r="G213" s="14"/>
      <c r="H213" s="14"/>
    </row>
    <row r="214" spans="1:8" x14ac:dyDescent="0.25">
      <c r="A214" s="3"/>
      <c r="B214" s="3"/>
      <c r="C214" s="3"/>
      <c r="D214" s="3"/>
      <c r="G214" s="14"/>
      <c r="H214" s="14"/>
    </row>
    <row r="215" spans="1:8" x14ac:dyDescent="0.25">
      <c r="A215" s="3"/>
      <c r="B215" s="3"/>
      <c r="C215" s="3"/>
      <c r="D215" s="3"/>
      <c r="G215" s="14"/>
      <c r="H215" s="14"/>
    </row>
    <row r="216" spans="1:8" x14ac:dyDescent="0.25">
      <c r="A216" s="3"/>
      <c r="B216" s="3"/>
      <c r="C216" s="3"/>
      <c r="D216" s="3"/>
      <c r="G216" s="14"/>
      <c r="H216" s="14"/>
    </row>
    <row r="217" spans="1:8" x14ac:dyDescent="0.25">
      <c r="A217" s="3"/>
      <c r="B217" s="3"/>
      <c r="C217" s="3"/>
      <c r="D217" s="3"/>
      <c r="G217" s="14"/>
      <c r="H217" s="14"/>
    </row>
    <row r="218" spans="1:8" x14ac:dyDescent="0.25">
      <c r="A218" s="3"/>
      <c r="B218" s="3"/>
      <c r="C218" s="3"/>
      <c r="D218" s="3"/>
      <c r="G218" s="14"/>
      <c r="H218" s="14"/>
    </row>
    <row r="219" spans="1:8" x14ac:dyDescent="0.25">
      <c r="A219" s="3"/>
      <c r="B219" s="3"/>
      <c r="C219" s="3"/>
      <c r="D219" s="3"/>
      <c r="G219" s="14"/>
      <c r="H219" s="14"/>
    </row>
    <row r="220" spans="1:8" x14ac:dyDescent="0.25">
      <c r="A220" s="3"/>
      <c r="B220" s="3"/>
      <c r="C220" s="3"/>
      <c r="D220" s="3"/>
      <c r="G220" s="14"/>
      <c r="H220" s="14"/>
    </row>
    <row r="221" spans="1:8" x14ac:dyDescent="0.25">
      <c r="A221" s="3"/>
      <c r="B221" s="3"/>
      <c r="C221" s="3"/>
      <c r="D221" s="3"/>
      <c r="G221" s="14"/>
      <c r="H221" s="14"/>
    </row>
    <row r="222" spans="1:8" x14ac:dyDescent="0.25">
      <c r="A222" s="3"/>
      <c r="B222" s="3"/>
      <c r="C222" s="3"/>
      <c r="D222" s="3"/>
      <c r="G222" s="14"/>
      <c r="H222" s="14"/>
    </row>
    <row r="223" spans="1:8" x14ac:dyDescent="0.25">
      <c r="A223" s="3"/>
      <c r="B223" s="3"/>
      <c r="C223" s="3"/>
      <c r="D223" s="3"/>
      <c r="G223" s="14"/>
      <c r="H223" s="14"/>
    </row>
    <row r="224" spans="1:8" x14ac:dyDescent="0.25">
      <c r="A224" s="3"/>
      <c r="B224" s="3"/>
      <c r="C224" s="3"/>
      <c r="D224" s="3"/>
      <c r="G224" s="14"/>
      <c r="H224" s="14"/>
    </row>
    <row r="225" spans="1:8" x14ac:dyDescent="0.25">
      <c r="A225" s="3"/>
      <c r="B225" s="3"/>
      <c r="C225" s="3"/>
      <c r="D225" s="3"/>
      <c r="G225" s="14"/>
      <c r="H225" s="14"/>
    </row>
    <row r="226" spans="1:8" x14ac:dyDescent="0.25">
      <c r="A226" s="3"/>
      <c r="B226" s="3"/>
      <c r="C226" s="3"/>
      <c r="D226" s="3"/>
      <c r="G226" s="14"/>
      <c r="H226" s="14"/>
    </row>
    <row r="227" spans="1:8" x14ac:dyDescent="0.25">
      <c r="A227" s="3"/>
      <c r="B227" s="3"/>
      <c r="C227" s="3"/>
      <c r="D227" s="3"/>
      <c r="G227" s="14"/>
      <c r="H227" s="14"/>
    </row>
    <row r="228" spans="1:8" x14ac:dyDescent="0.25">
      <c r="A228" s="3"/>
      <c r="B228" s="3"/>
      <c r="C228" s="3"/>
      <c r="D228" s="3"/>
      <c r="G228" s="14"/>
      <c r="H228" s="14"/>
    </row>
    <row r="229" spans="1:8" x14ac:dyDescent="0.25">
      <c r="A229" s="3"/>
      <c r="B229" s="3"/>
      <c r="C229" s="3"/>
      <c r="D229" s="3"/>
      <c r="G229" s="14"/>
      <c r="H229" s="14"/>
    </row>
    <row r="230" spans="1:8" x14ac:dyDescent="0.25">
      <c r="A230" s="3"/>
      <c r="B230" s="3"/>
      <c r="C230" s="3"/>
      <c r="D230" s="3"/>
      <c r="G230" s="14"/>
      <c r="H230" s="14"/>
    </row>
    <row r="231" spans="1:8" x14ac:dyDescent="0.25">
      <c r="A231" s="3"/>
      <c r="B231" s="3"/>
      <c r="C231" s="3"/>
      <c r="D231" s="3"/>
      <c r="G231" s="14"/>
      <c r="H231" s="14"/>
    </row>
    <row r="232" spans="1:8" x14ac:dyDescent="0.25">
      <c r="A232" s="3"/>
      <c r="B232" s="3"/>
      <c r="C232" s="3"/>
      <c r="D232" s="3"/>
      <c r="G232" s="14"/>
      <c r="H232" s="14"/>
    </row>
    <row r="233" spans="1:8" x14ac:dyDescent="0.25">
      <c r="A233" s="3"/>
      <c r="B233" s="3"/>
      <c r="C233" s="3"/>
      <c r="D233" s="3"/>
      <c r="G233" s="14"/>
      <c r="H233" s="14"/>
    </row>
    <row r="234" spans="1:8" x14ac:dyDescent="0.25">
      <c r="A234" s="3"/>
      <c r="B234" s="3"/>
      <c r="C234" s="3"/>
      <c r="D234" s="3"/>
      <c r="G234" s="14"/>
      <c r="H234" s="14"/>
    </row>
    <row r="235" spans="1:8" x14ac:dyDescent="0.25">
      <c r="A235" s="3"/>
      <c r="B235" s="3"/>
      <c r="C235" s="3"/>
      <c r="D235" s="3"/>
      <c r="G235" s="14"/>
      <c r="H235" s="14"/>
    </row>
    <row r="236" spans="1:8" x14ac:dyDescent="0.25">
      <c r="A236" s="3"/>
      <c r="B236" s="3"/>
      <c r="C236" s="3"/>
      <c r="D236" s="3"/>
      <c r="G236" s="14"/>
      <c r="H236" s="14"/>
    </row>
    <row r="237" spans="1:8" x14ac:dyDescent="0.25">
      <c r="A237" s="3"/>
      <c r="B237" s="3"/>
      <c r="C237" s="3"/>
      <c r="D237" s="3"/>
      <c r="G237" s="14"/>
      <c r="H237" s="14"/>
    </row>
    <row r="238" spans="1:8" x14ac:dyDescent="0.25">
      <c r="A238" s="3"/>
      <c r="B238" s="3"/>
      <c r="C238" s="3"/>
      <c r="D238" s="3"/>
      <c r="G238" s="14"/>
      <c r="H238" s="14"/>
    </row>
    <row r="239" spans="1:8" x14ac:dyDescent="0.25">
      <c r="A239" s="3"/>
      <c r="B239" s="3"/>
      <c r="C239" s="3"/>
      <c r="D239" s="3"/>
      <c r="G239" s="14"/>
      <c r="H239" s="14"/>
    </row>
    <row r="240" spans="1:8" x14ac:dyDescent="0.25">
      <c r="A240" s="3"/>
      <c r="B240" s="3"/>
      <c r="C240" s="3"/>
      <c r="D240" s="3"/>
      <c r="G240" s="14"/>
      <c r="H240" s="14"/>
    </row>
    <row r="241" spans="1:8" x14ac:dyDescent="0.25">
      <c r="A241" s="3"/>
      <c r="B241" s="3"/>
      <c r="C241" s="3"/>
      <c r="D241" s="3"/>
      <c r="G241" s="14"/>
      <c r="H241" s="14"/>
    </row>
    <row r="242" spans="1:8" x14ac:dyDescent="0.25">
      <c r="A242" s="3"/>
      <c r="B242" s="3"/>
      <c r="C242" s="3"/>
      <c r="D242" s="3"/>
      <c r="G242" s="14"/>
      <c r="H242" s="14"/>
    </row>
    <row r="243" spans="1:8" x14ac:dyDescent="0.25">
      <c r="A243" s="3"/>
      <c r="B243" s="3"/>
      <c r="C243" s="3"/>
      <c r="D243" s="3"/>
      <c r="G243" s="14"/>
      <c r="H243" s="14"/>
    </row>
    <row r="244" spans="1:8" x14ac:dyDescent="0.25">
      <c r="A244" s="3"/>
      <c r="B244" s="3"/>
      <c r="C244" s="3"/>
      <c r="D244" s="3"/>
      <c r="G244" s="14"/>
      <c r="H244" s="14"/>
    </row>
    <row r="245" spans="1:8" x14ac:dyDescent="0.25">
      <c r="A245" s="3"/>
      <c r="B245" s="3"/>
      <c r="C245" s="3"/>
      <c r="D245" s="3"/>
      <c r="G245" s="14"/>
      <c r="H245" s="14"/>
    </row>
    <row r="247" spans="1:8" x14ac:dyDescent="0.25">
      <c r="A247" s="3"/>
      <c r="G247" s="14"/>
      <c r="H247" s="14"/>
    </row>
  </sheetData>
  <phoneticPr fontId="1" type="noConversion"/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7AB7AD-D764-4F06-95B4-A76F0A627C0C}">
  <sheetPr/>
  <dimension ref="A1:I247"/>
  <sheetViews>
    <sheetView topLeftCell="A86" zoomScale="115" zoomScaleNormal="115" workbookViewId="0">
      <selection activeCell="A5" sqref="A5:H176"/>
    </sheetView>
  </sheetViews>
  <sheetFormatPr defaultRowHeight="15" x14ac:dyDescent="0.25"/>
  <cols>
    <col min="1" max="1" width="8.875" style="4" customWidth="1"/>
    <col min="2" max="3" width="15.125" style="4" customWidth="1"/>
    <col min="4" max="4" width="10.25" style="4" customWidth="1"/>
    <col min="5" max="5" width="12" style="13" customWidth="1"/>
    <col min="6" max="6" width="15" style="13" customWidth="1"/>
    <col min="7" max="7" width="13.875" customWidth="1"/>
    <col min="8" max="8" width="11.125" customWidth="1"/>
    <col min="11" max="12" width="15.125" customWidth="1"/>
    <col min="13" max="13" width="11.125" customWidth="1"/>
  </cols>
  <sheetData>
    <row r="1" spans="1:9" ht="14.25" x14ac:dyDescent="0.2">
      <c r="A1" s="2" t="s">
        <v>12</v>
      </c>
      <c r="B1" s="2" t="s">
        <v>4</v>
      </c>
      <c r="C1" s="2" t="s">
        <v>5</v>
      </c>
      <c r="D1" s="2" t="s">
        <v>13</v>
      </c>
      <c r="E1" s="2" t="s">
        <v>14</v>
      </c>
      <c r="F1" s="2" t="s">
        <v>15</v>
      </c>
      <c r="G1" s="2" t="s">
        <v>16</v>
      </c>
    </row>
    <row r="2" spans="1:9" x14ac:dyDescent="0.25">
      <c r="A2" s="11">
        <v>44</v>
      </c>
      <c r="B2" s="3">
        <v>113.3801376</v>
      </c>
      <c r="C2" s="8">
        <v>22.93495051</v>
      </c>
      <c r="D2" s="3">
        <v>0</v>
      </c>
      <c r="E2" s="13">
        <v>560</v>
      </c>
      <c r="F2" s="13">
        <v>11</v>
      </c>
      <c r="G2" s="19">
        <f>SUBTOTAL(2,A5:A250)</f>
        <v>58</v>
      </c>
    </row>
    <row r="3" spans="1:9" x14ac:dyDescent="0.25">
      <c r="A3" s="3"/>
      <c r="B3" s="3"/>
      <c r="C3" s="3"/>
      <c r="D3" s="3"/>
    </row>
    <row r="4" spans="1:9" ht="14.25" x14ac:dyDescent="0.2">
      <c r="A4" s="2" t="s">
        <v>0</v>
      </c>
      <c r="B4" s="2" t="s">
        <v>1</v>
      </c>
      <c r="C4" s="2" t="s">
        <v>2</v>
      </c>
      <c r="D4" s="2" t="s">
        <v>3</v>
      </c>
      <c r="E4" s="2" t="s">
        <v>7</v>
      </c>
      <c r="F4" s="2" t="s">
        <v>8</v>
      </c>
      <c r="G4" s="2" t="s">
        <v>13</v>
      </c>
      <c r="H4" s="2" t="s">
        <v>14</v>
      </c>
      <c r="I4" s="24" t="s">
        <v>20</v>
      </c>
    </row>
    <row r="5" spans="1:9" x14ac:dyDescent="0.25">
      <c r="A5" s="3">
        <v>3710</v>
      </c>
      <c r="B5" s="3">
        <v>113.3803221</v>
      </c>
      <c r="C5" s="3">
        <v>22.934995409999999</v>
      </c>
      <c r="D5" s="3">
        <v>44</v>
      </c>
      <c r="E5" s="13">
        <f t="shared" ref="E5:E36" si="0">SQRT((B5-$B$2)^2+(C5-$C$2)^2)</f>
        <v>1.898848598521231E-4</v>
      </c>
      <c r="F5" s="13">
        <f t="shared" ref="F5:F36" si="1">SQRT(1/E5)</f>
        <v>72.569616965472449</v>
      </c>
      <c r="G5" s="14">
        <f>F5/$F$179*$D$2</f>
        <v>0</v>
      </c>
      <c r="H5" s="14">
        <f>F5/$F$179*$E$2</f>
        <v>42.212530016805587</v>
      </c>
      <c r="I5" s="25" t="str">
        <f>IF(MOD(ROW()-1,3)=1,"选中","")</f>
        <v>选中</v>
      </c>
    </row>
    <row r="6" spans="1:9" hidden="1" x14ac:dyDescent="0.25">
      <c r="A6" s="3">
        <v>3680</v>
      </c>
      <c r="B6" s="3">
        <v>113.3801792</v>
      </c>
      <c r="C6" s="3">
        <v>22.935215410000001</v>
      </c>
      <c r="D6" s="3">
        <v>44</v>
      </c>
      <c r="E6" s="13">
        <f t="shared" si="0"/>
        <v>2.68146545756049E-4</v>
      </c>
      <c r="F6" s="13">
        <f t="shared" si="1"/>
        <v>61.068028078735296</v>
      </c>
      <c r="G6" s="14">
        <f>F6/$F$124*$D$2</f>
        <v>0</v>
      </c>
      <c r="H6" s="14">
        <f>F6/$F$124*$E$2</f>
        <v>2764.6583414062775</v>
      </c>
      <c r="I6" s="25" t="str">
        <f t="shared" ref="I6:I69" si="2">IF(MOD(ROW()-1,3)=1,"选中","")</f>
        <v/>
      </c>
    </row>
    <row r="7" spans="1:9" hidden="1" x14ac:dyDescent="0.25">
      <c r="A7" s="3">
        <v>3705</v>
      </c>
      <c r="B7" s="3">
        <v>113.3802201</v>
      </c>
      <c r="C7" s="3">
        <v>22.935296350000002</v>
      </c>
      <c r="D7" s="3">
        <v>44</v>
      </c>
      <c r="E7" s="13">
        <f t="shared" si="0"/>
        <v>3.5554402765586421E-4</v>
      </c>
      <c r="F7" s="13">
        <f t="shared" si="1"/>
        <v>53.033868333776944</v>
      </c>
      <c r="G7" s="14">
        <f>F7/$F$124*$D$2</f>
        <v>0</v>
      </c>
      <c r="H7" s="14">
        <f>F7/$F$124*$E$2</f>
        <v>2400.9376277383662</v>
      </c>
      <c r="I7" s="25" t="str">
        <f t="shared" si="2"/>
        <v/>
      </c>
    </row>
    <row r="8" spans="1:9" x14ac:dyDescent="0.25">
      <c r="A8" s="3">
        <v>3699</v>
      </c>
      <c r="B8" s="3">
        <v>113.380359</v>
      </c>
      <c r="C8" s="3">
        <v>22.935435200000001</v>
      </c>
      <c r="D8" s="3">
        <v>44</v>
      </c>
      <c r="E8" s="13">
        <f t="shared" si="0"/>
        <v>5.328624176096457E-4</v>
      </c>
      <c r="F8" s="13">
        <f t="shared" si="1"/>
        <v>43.320399654094878</v>
      </c>
      <c r="G8" s="14">
        <f>F8/$F$179*$D$2</f>
        <v>0</v>
      </c>
      <c r="H8" s="14">
        <f>F8/$F$179*$E$2</f>
        <v>25.198750485462057</v>
      </c>
      <c r="I8" s="25" t="str">
        <f t="shared" si="2"/>
        <v>选中</v>
      </c>
    </row>
    <row r="9" spans="1:9" hidden="1" x14ac:dyDescent="0.25">
      <c r="A9" s="3">
        <v>3748</v>
      </c>
      <c r="B9" s="3">
        <v>113.38044499999999</v>
      </c>
      <c r="C9" s="3">
        <v>22.93543614</v>
      </c>
      <c r="D9" s="3">
        <v>44</v>
      </c>
      <c r="E9" s="13">
        <f t="shared" si="0"/>
        <v>5.7474451445676741E-4</v>
      </c>
      <c r="F9" s="13">
        <f t="shared" si="1"/>
        <v>41.71215066837685</v>
      </c>
      <c r="G9" s="14">
        <f>F9/$F$124*$D$2</f>
        <v>0</v>
      </c>
      <c r="H9" s="14">
        <f>F9/$F$124*$E$2</f>
        <v>1888.3833146641166</v>
      </c>
      <c r="I9" s="25" t="str">
        <f t="shared" si="2"/>
        <v/>
      </c>
    </row>
    <row r="10" spans="1:9" hidden="1" x14ac:dyDescent="0.25">
      <c r="A10" s="3">
        <v>3706</v>
      </c>
      <c r="B10" s="3">
        <v>113.38075980000001</v>
      </c>
      <c r="C10" s="3">
        <v>22.935370949999999</v>
      </c>
      <c r="D10" s="3">
        <v>44</v>
      </c>
      <c r="E10" s="13">
        <f t="shared" si="0"/>
        <v>7.5093450687190077E-4</v>
      </c>
      <c r="F10" s="13">
        <f t="shared" si="1"/>
        <v>36.492109493135246</v>
      </c>
      <c r="G10" s="14">
        <f>F10/$F$124*$D$2</f>
        <v>0</v>
      </c>
      <c r="H10" s="14">
        <f>F10/$F$124*$E$2</f>
        <v>1652.0627582019174</v>
      </c>
      <c r="I10" s="25" t="str">
        <f t="shared" si="2"/>
        <v/>
      </c>
    </row>
    <row r="11" spans="1:9" x14ac:dyDescent="0.25">
      <c r="A11" s="3">
        <v>3707</v>
      </c>
      <c r="B11" s="3">
        <v>113.3795337</v>
      </c>
      <c r="C11" s="3">
        <v>22.93436522</v>
      </c>
      <c r="D11" s="3">
        <v>44</v>
      </c>
      <c r="E11" s="13">
        <f t="shared" si="0"/>
        <v>8.4098727344826671E-4</v>
      </c>
      <c r="F11" s="13">
        <f t="shared" si="1"/>
        <v>34.483019531267679</v>
      </c>
      <c r="G11" s="14">
        <f>F11/$F$179*$D$2</f>
        <v>0</v>
      </c>
      <c r="H11" s="14">
        <f>F11/$F$179*$E$2</f>
        <v>20.058194570963359</v>
      </c>
      <c r="I11" s="25" t="str">
        <f t="shared" si="2"/>
        <v>选中</v>
      </c>
    </row>
    <row r="12" spans="1:9" hidden="1" x14ac:dyDescent="0.25">
      <c r="A12" s="3">
        <v>3717</v>
      </c>
      <c r="B12" s="3">
        <v>113.3798845</v>
      </c>
      <c r="C12" s="3">
        <v>22.934090090000002</v>
      </c>
      <c r="D12" s="3">
        <v>44</v>
      </c>
      <c r="E12" s="13">
        <f t="shared" si="0"/>
        <v>8.9687356210060192E-4</v>
      </c>
      <c r="F12" s="13">
        <f t="shared" si="1"/>
        <v>33.391381612276774</v>
      </c>
      <c r="G12" s="14">
        <f>F12/$F$124*$D$2</f>
        <v>0</v>
      </c>
      <c r="H12" s="14">
        <f>F12/$F$124*$E$2</f>
        <v>1511.6872872731053</v>
      </c>
      <c r="I12" s="25" t="str">
        <f t="shared" si="2"/>
        <v/>
      </c>
    </row>
    <row r="13" spans="1:9" hidden="1" x14ac:dyDescent="0.25">
      <c r="A13" s="3">
        <v>3688</v>
      </c>
      <c r="B13" s="3">
        <v>113.3797974</v>
      </c>
      <c r="C13" s="3">
        <v>22.935927379999999</v>
      </c>
      <c r="D13" s="3">
        <v>44</v>
      </c>
      <c r="E13" s="13">
        <f t="shared" si="0"/>
        <v>1.0344133781498173E-3</v>
      </c>
      <c r="F13" s="13">
        <f t="shared" si="1"/>
        <v>31.092306173886005</v>
      </c>
      <c r="G13" s="14">
        <f>F13/$F$124*$D$2</f>
        <v>0</v>
      </c>
      <c r="H13" s="14">
        <f>F13/$F$124*$E$2</f>
        <v>1407.6040494768183</v>
      </c>
      <c r="I13" s="25" t="str">
        <f t="shared" si="2"/>
        <v/>
      </c>
    </row>
    <row r="14" spans="1:9" x14ac:dyDescent="0.25">
      <c r="A14" s="3">
        <v>3689</v>
      </c>
      <c r="B14" s="3">
        <v>113.3797974</v>
      </c>
      <c r="C14" s="3">
        <v>22.935927379999999</v>
      </c>
      <c r="D14" s="3">
        <v>44</v>
      </c>
      <c r="E14" s="13">
        <f t="shared" si="0"/>
        <v>1.0344133781498173E-3</v>
      </c>
      <c r="F14" s="13">
        <f t="shared" si="1"/>
        <v>31.092306173886005</v>
      </c>
      <c r="G14" s="14">
        <f>F14/$F$179*$D$2</f>
        <v>0</v>
      </c>
      <c r="H14" s="14">
        <f>F14/$F$179*$E$2</f>
        <v>18.08587343490229</v>
      </c>
      <c r="I14" s="25" t="str">
        <f t="shared" si="2"/>
        <v>选中</v>
      </c>
    </row>
    <row r="15" spans="1:9" hidden="1" x14ac:dyDescent="0.25">
      <c r="A15" s="3">
        <v>3715</v>
      </c>
      <c r="B15" s="3">
        <v>113.3811216</v>
      </c>
      <c r="C15" s="3">
        <v>22.935312740000001</v>
      </c>
      <c r="D15" s="3">
        <v>44</v>
      </c>
      <c r="E15" s="13">
        <f t="shared" si="0"/>
        <v>1.0485545159433774E-3</v>
      </c>
      <c r="F15" s="13">
        <f t="shared" si="1"/>
        <v>30.881934143480596</v>
      </c>
      <c r="G15" s="14">
        <f>F15/$F$124*$D$2</f>
        <v>0</v>
      </c>
      <c r="H15" s="14">
        <f>F15/$F$124*$E$2</f>
        <v>1398.0801331664861</v>
      </c>
      <c r="I15" s="25" t="str">
        <f t="shared" si="2"/>
        <v/>
      </c>
    </row>
    <row r="16" spans="1:9" hidden="1" x14ac:dyDescent="0.25">
      <c r="A16" s="3">
        <v>3750</v>
      </c>
      <c r="B16" s="3">
        <v>113.3808087</v>
      </c>
      <c r="C16" s="3">
        <v>22.935886700000001</v>
      </c>
      <c r="D16" s="3">
        <v>44</v>
      </c>
      <c r="E16" s="13">
        <f t="shared" si="0"/>
        <v>1.151879735957153E-3</v>
      </c>
      <c r="F16" s="13">
        <f t="shared" si="1"/>
        <v>29.46432056627868</v>
      </c>
      <c r="G16" s="14">
        <f>F16/$F$124*$D$2</f>
        <v>0</v>
      </c>
      <c r="H16" s="14">
        <f>F16/$F$124*$E$2</f>
        <v>1333.9022429610091</v>
      </c>
      <c r="I16" s="25" t="str">
        <f t="shared" si="2"/>
        <v/>
      </c>
    </row>
    <row r="17" spans="1:9" x14ac:dyDescent="0.25">
      <c r="A17" s="3">
        <v>3693</v>
      </c>
      <c r="B17" s="3">
        <v>113.3788141</v>
      </c>
      <c r="C17" s="3">
        <v>22.93496949</v>
      </c>
      <c r="D17" s="3">
        <v>44</v>
      </c>
      <c r="E17" s="13">
        <f t="shared" si="0"/>
        <v>1.3236360868436618E-3</v>
      </c>
      <c r="F17" s="13">
        <f t="shared" si="1"/>
        <v>27.486263177813896</v>
      </c>
      <c r="G17" s="14">
        <f>F17/$F$179*$D$2</f>
        <v>0</v>
      </c>
      <c r="H17" s="14">
        <f>F17/$F$179*$E$2</f>
        <v>15.988298656658529</v>
      </c>
      <c r="I17" s="25" t="str">
        <f t="shared" si="2"/>
        <v>选中</v>
      </c>
    </row>
    <row r="18" spans="1:9" hidden="1" x14ac:dyDescent="0.25">
      <c r="A18" s="3">
        <v>3761</v>
      </c>
      <c r="B18" s="3">
        <v>113.3814134</v>
      </c>
      <c r="C18" s="3">
        <v>22.935601429999998</v>
      </c>
      <c r="D18" s="3">
        <v>44</v>
      </c>
      <c r="E18" s="13">
        <f t="shared" si="0"/>
        <v>1.4322578281868903E-3</v>
      </c>
      <c r="F18" s="13">
        <f t="shared" si="1"/>
        <v>26.423442497225178</v>
      </c>
      <c r="G18" s="14">
        <f>F18/$F$124*$D$2</f>
        <v>0</v>
      </c>
      <c r="H18" s="14">
        <f>F18/$F$124*$E$2</f>
        <v>1196.2362795542815</v>
      </c>
      <c r="I18" s="25" t="str">
        <f t="shared" si="2"/>
        <v/>
      </c>
    </row>
    <row r="19" spans="1:9" hidden="1" x14ac:dyDescent="0.25">
      <c r="A19" s="3">
        <v>3719</v>
      </c>
      <c r="B19" s="3">
        <v>113.3814134</v>
      </c>
      <c r="C19" s="3">
        <v>22.935644409999998</v>
      </c>
      <c r="D19" s="3">
        <v>44</v>
      </c>
      <c r="E19" s="13">
        <f t="shared" si="0"/>
        <v>1.4522957171328285E-3</v>
      </c>
      <c r="F19" s="13">
        <f t="shared" si="1"/>
        <v>26.24052209232984</v>
      </c>
      <c r="G19" s="14">
        <f>F19/$F$124*$D$2</f>
        <v>0</v>
      </c>
      <c r="H19" s="14">
        <f>F19/$F$124*$E$2</f>
        <v>1187.9551471988157</v>
      </c>
      <c r="I19" s="25" t="str">
        <f t="shared" si="2"/>
        <v/>
      </c>
    </row>
    <row r="20" spans="1:9" x14ac:dyDescent="0.25">
      <c r="A20" s="3">
        <v>3747</v>
      </c>
      <c r="B20" s="3">
        <v>113.3800402</v>
      </c>
      <c r="C20" s="3">
        <v>22.936583930000001</v>
      </c>
      <c r="D20" s="3">
        <v>44</v>
      </c>
      <c r="E20" s="13">
        <f t="shared" si="0"/>
        <v>1.6363213793150529E-3</v>
      </c>
      <c r="F20" s="13">
        <f t="shared" si="1"/>
        <v>24.720980819950793</v>
      </c>
      <c r="G20" s="14">
        <f>F20/$F$179*$D$2</f>
        <v>0</v>
      </c>
      <c r="H20" s="14">
        <f>F20/$F$179*$E$2</f>
        <v>14.379780251610622</v>
      </c>
      <c r="I20" s="25" t="str">
        <f t="shared" si="2"/>
        <v>选中</v>
      </c>
    </row>
    <row r="21" spans="1:9" hidden="1" x14ac:dyDescent="0.25">
      <c r="A21" s="3">
        <v>3681</v>
      </c>
      <c r="B21" s="3">
        <v>113.3800112</v>
      </c>
      <c r="C21" s="3">
        <v>22.936610940000001</v>
      </c>
      <c r="D21" s="3">
        <v>44</v>
      </c>
      <c r="E21" s="13">
        <f t="shared" si="0"/>
        <v>1.6652341411656306E-3</v>
      </c>
      <c r="F21" s="13">
        <f t="shared" si="1"/>
        <v>24.505431088263283</v>
      </c>
      <c r="G21" s="14">
        <f>F21/$F$124*$D$2</f>
        <v>0</v>
      </c>
      <c r="H21" s="14">
        <f>F21/$F$124*$E$2</f>
        <v>1109.4044887215698</v>
      </c>
      <c r="I21" s="25" t="str">
        <f t="shared" si="2"/>
        <v/>
      </c>
    </row>
    <row r="22" spans="1:9" hidden="1" x14ac:dyDescent="0.25">
      <c r="A22" s="3">
        <v>3816</v>
      </c>
      <c r="B22" s="3">
        <v>113.3818761</v>
      </c>
      <c r="C22" s="3">
        <v>22.935250280000002</v>
      </c>
      <c r="D22" s="3">
        <v>44</v>
      </c>
      <c r="E22" s="13">
        <f t="shared" si="0"/>
        <v>1.7641554078106133E-3</v>
      </c>
      <c r="F22" s="13">
        <f t="shared" si="1"/>
        <v>23.808475073272088</v>
      </c>
      <c r="G22" s="14">
        <f>F22/$F$124*$D$2</f>
        <v>0</v>
      </c>
      <c r="H22" s="14">
        <f>F22/$F$124*$E$2</f>
        <v>1077.8520492363059</v>
      </c>
      <c r="I22" s="25" t="str">
        <f t="shared" si="2"/>
        <v/>
      </c>
    </row>
    <row r="23" spans="1:9" x14ac:dyDescent="0.25">
      <c r="A23" s="3">
        <v>3678</v>
      </c>
      <c r="B23" s="3">
        <v>113.3799222</v>
      </c>
      <c r="C23" s="3">
        <v>22.936852900000002</v>
      </c>
      <c r="D23" s="3">
        <v>44</v>
      </c>
      <c r="E23" s="13">
        <f t="shared" si="0"/>
        <v>1.9145456046034564E-3</v>
      </c>
      <c r="F23" s="13">
        <f t="shared" si="1"/>
        <v>22.854258860128194</v>
      </c>
      <c r="G23" s="14">
        <f>F23/$F$179*$D$2</f>
        <v>0</v>
      </c>
      <c r="H23" s="14">
        <f>F23/$F$179*$E$2</f>
        <v>13.293939371404063</v>
      </c>
      <c r="I23" s="25" t="str">
        <f t="shared" si="2"/>
        <v>选中</v>
      </c>
    </row>
    <row r="24" spans="1:9" hidden="1" x14ac:dyDescent="0.25">
      <c r="A24" s="3">
        <v>3736</v>
      </c>
      <c r="B24" s="3">
        <v>113.37983029999999</v>
      </c>
      <c r="C24" s="3">
        <v>22.936846970000001</v>
      </c>
      <c r="D24" s="3">
        <v>44</v>
      </c>
      <c r="E24" s="13">
        <f t="shared" si="0"/>
        <v>1.9211959352460511E-3</v>
      </c>
      <c r="F24" s="13">
        <f t="shared" si="1"/>
        <v>22.814668901473198</v>
      </c>
      <c r="G24" s="14">
        <f>F24/$F$124*$D$2</f>
        <v>0</v>
      </c>
      <c r="H24" s="14">
        <f>F24/$F$124*$E$2</f>
        <v>1032.8606747143967</v>
      </c>
      <c r="I24" s="25" t="str">
        <f t="shared" si="2"/>
        <v/>
      </c>
    </row>
    <row r="25" spans="1:9" hidden="1" x14ac:dyDescent="0.25">
      <c r="A25" s="3">
        <v>4131</v>
      </c>
      <c r="B25" s="3">
        <v>113.37883220000001</v>
      </c>
      <c r="C25" s="3">
        <v>22.933371149999999</v>
      </c>
      <c r="D25" s="3">
        <v>44</v>
      </c>
      <c r="E25" s="13">
        <f t="shared" si="0"/>
        <v>2.0490112663388432E-3</v>
      </c>
      <c r="F25" s="13">
        <f t="shared" si="1"/>
        <v>22.091633355433224</v>
      </c>
      <c r="G25" s="14">
        <f>F25/$F$124*$D$2</f>
        <v>0</v>
      </c>
      <c r="H25" s="14">
        <f>F25/$F$124*$E$2</f>
        <v>1000.1275684330642</v>
      </c>
      <c r="I25" s="25" t="str">
        <f t="shared" si="2"/>
        <v/>
      </c>
    </row>
    <row r="26" spans="1:9" x14ac:dyDescent="0.25">
      <c r="A26" s="3">
        <v>3819</v>
      </c>
      <c r="B26" s="3">
        <v>113.3823768</v>
      </c>
      <c r="C26" s="3">
        <v>22.935313950000001</v>
      </c>
      <c r="D26" s="3">
        <v>44</v>
      </c>
      <c r="E26" s="13">
        <f t="shared" si="0"/>
        <v>2.2685028705347874E-3</v>
      </c>
      <c r="F26" s="13">
        <f t="shared" si="1"/>
        <v>20.995698779813576</v>
      </c>
      <c r="G26" s="14">
        <f>F26/$F$179*$D$2</f>
        <v>0</v>
      </c>
      <c r="H26" s="14">
        <f>F26/$F$179*$E$2</f>
        <v>12.212846119724851</v>
      </c>
      <c r="I26" s="25" t="str">
        <f t="shared" si="2"/>
        <v>选中</v>
      </c>
    </row>
    <row r="27" spans="1:9" hidden="1" x14ac:dyDescent="0.25">
      <c r="A27" s="3">
        <v>3656</v>
      </c>
      <c r="B27" s="3">
        <v>113.3780288</v>
      </c>
      <c r="C27" s="3">
        <v>22.934066470000001</v>
      </c>
      <c r="D27" s="3">
        <v>44</v>
      </c>
      <c r="E27" s="13">
        <f t="shared" si="0"/>
        <v>2.2866053795105768E-3</v>
      </c>
      <c r="F27" s="13">
        <f t="shared" si="1"/>
        <v>20.912424669222826</v>
      </c>
      <c r="G27" s="14">
        <f>F27/$F$124*$D$2</f>
        <v>0</v>
      </c>
      <c r="H27" s="14">
        <f>F27/$F$124*$E$2</f>
        <v>946.74269203936365</v>
      </c>
      <c r="I27" s="25" t="str">
        <f t="shared" si="2"/>
        <v/>
      </c>
    </row>
    <row r="28" spans="1:9" hidden="1" x14ac:dyDescent="0.25">
      <c r="A28" s="3">
        <v>4128</v>
      </c>
      <c r="B28" s="3">
        <v>113.37883720000001</v>
      </c>
      <c r="C28" s="3">
        <v>22.93306128</v>
      </c>
      <c r="D28" s="3">
        <v>44</v>
      </c>
      <c r="E28" s="13">
        <f t="shared" si="0"/>
        <v>2.2935191633983751E-3</v>
      </c>
      <c r="F28" s="13">
        <f t="shared" si="1"/>
        <v>20.880880762107878</v>
      </c>
      <c r="G28" s="14">
        <f>F28/$F$124*$D$2</f>
        <v>0</v>
      </c>
      <c r="H28" s="14">
        <f>F28/$F$124*$E$2</f>
        <v>945.3146432113673</v>
      </c>
      <c r="I28" s="25" t="str">
        <f t="shared" si="2"/>
        <v/>
      </c>
    </row>
    <row r="29" spans="1:9" x14ac:dyDescent="0.25">
      <c r="A29" s="3">
        <v>3664</v>
      </c>
      <c r="B29" s="3">
        <v>113.3799542</v>
      </c>
      <c r="C29" s="3">
        <v>22.93730669</v>
      </c>
      <c r="D29" s="3">
        <v>44</v>
      </c>
      <c r="E29" s="13">
        <f t="shared" si="0"/>
        <v>2.363306952640123E-3</v>
      </c>
      <c r="F29" s="13">
        <f t="shared" si="1"/>
        <v>20.570267230024353</v>
      </c>
      <c r="G29" s="14">
        <f>F29/$F$179*$D$2</f>
        <v>0</v>
      </c>
      <c r="H29" s="14">
        <f>F29/$F$179*$E$2</f>
        <v>11.965379716889652</v>
      </c>
      <c r="I29" s="25" t="str">
        <f t="shared" si="2"/>
        <v>选中</v>
      </c>
    </row>
    <row r="30" spans="1:9" hidden="1" x14ac:dyDescent="0.25">
      <c r="A30" s="3">
        <v>3697</v>
      </c>
      <c r="B30" s="3">
        <v>113.37777800000001</v>
      </c>
      <c r="C30" s="3">
        <v>22.934150630000001</v>
      </c>
      <c r="D30" s="3">
        <v>44</v>
      </c>
      <c r="E30" s="13">
        <f t="shared" si="0"/>
        <v>2.4914895493172102E-3</v>
      </c>
      <c r="F30" s="13">
        <f t="shared" si="1"/>
        <v>20.034128963350003</v>
      </c>
      <c r="G30" s="14">
        <f>F30/$F$124*$D$2</f>
        <v>0</v>
      </c>
      <c r="H30" s="14">
        <f>F30/$F$124*$E$2</f>
        <v>906.98068193594361</v>
      </c>
      <c r="I30" s="25" t="str">
        <f t="shared" si="2"/>
        <v/>
      </c>
    </row>
    <row r="31" spans="1:9" hidden="1" x14ac:dyDescent="0.25">
      <c r="A31" s="3">
        <v>4127</v>
      </c>
      <c r="B31" s="3">
        <v>113.3798766</v>
      </c>
      <c r="C31" s="3">
        <v>22.93237882</v>
      </c>
      <c r="D31" s="3">
        <v>44</v>
      </c>
      <c r="E31" s="13">
        <f t="shared" si="0"/>
        <v>2.5849004731510962E-3</v>
      </c>
      <c r="F31" s="13">
        <f t="shared" si="1"/>
        <v>19.668810086000324</v>
      </c>
      <c r="G31" s="14">
        <f>F31/$F$124*$D$2</f>
        <v>0</v>
      </c>
      <c r="H31" s="14">
        <f>F31/$F$124*$E$2</f>
        <v>890.44204603573405</v>
      </c>
      <c r="I31" s="25" t="str">
        <f t="shared" si="2"/>
        <v/>
      </c>
    </row>
    <row r="32" spans="1:9" x14ac:dyDescent="0.25">
      <c r="A32" s="3">
        <v>4123</v>
      </c>
      <c r="B32" s="3">
        <v>113.37953779999999</v>
      </c>
      <c r="C32" s="3">
        <v>22.932435030000001</v>
      </c>
      <c r="D32" s="3">
        <v>44</v>
      </c>
      <c r="E32" s="13">
        <f t="shared" si="0"/>
        <v>2.5860007096677063E-3</v>
      </c>
      <c r="F32" s="13">
        <f t="shared" si="1"/>
        <v>19.664625507614122</v>
      </c>
      <c r="G32" s="14">
        <f>F32/$F$179*$D$2</f>
        <v>0</v>
      </c>
      <c r="H32" s="14">
        <f>F32/$F$179*$E$2</f>
        <v>11.438583104336187</v>
      </c>
      <c r="I32" s="25" t="str">
        <f t="shared" si="2"/>
        <v>选中</v>
      </c>
    </row>
    <row r="33" spans="1:9" hidden="1" x14ac:dyDescent="0.25">
      <c r="A33" s="3">
        <v>3759</v>
      </c>
      <c r="B33" s="3">
        <v>113.3777039</v>
      </c>
      <c r="C33" s="3">
        <v>22.935984909999998</v>
      </c>
      <c r="D33" s="3">
        <v>44</v>
      </c>
      <c r="E33" s="13">
        <f t="shared" si="0"/>
        <v>2.644405235583948E-3</v>
      </c>
      <c r="F33" s="13">
        <f t="shared" si="1"/>
        <v>19.446255870750623</v>
      </c>
      <c r="G33" s="14">
        <f>F33/$F$124*$D$2</f>
        <v>0</v>
      </c>
      <c r="H33" s="14">
        <f>F33/$F$124*$E$2</f>
        <v>880.3666205313782</v>
      </c>
      <c r="I33" s="25" t="str">
        <f t="shared" si="2"/>
        <v/>
      </c>
    </row>
    <row r="34" spans="1:9" hidden="1" x14ac:dyDescent="0.25">
      <c r="A34" s="3">
        <v>3720</v>
      </c>
      <c r="B34" s="3">
        <v>113.37768490000001</v>
      </c>
      <c r="C34" s="3">
        <v>22.936184839999999</v>
      </c>
      <c r="D34" s="3">
        <v>44</v>
      </c>
      <c r="E34" s="13">
        <f t="shared" si="0"/>
        <v>2.7457800055464914E-3</v>
      </c>
      <c r="F34" s="13">
        <f t="shared" si="1"/>
        <v>19.083899943339524</v>
      </c>
      <c r="G34" s="14">
        <f>F34/$F$124*$D$2</f>
        <v>0</v>
      </c>
      <c r="H34" s="14">
        <f>F34/$F$124*$E$2</f>
        <v>863.96212264938526</v>
      </c>
      <c r="I34" s="25" t="str">
        <f t="shared" si="2"/>
        <v/>
      </c>
    </row>
    <row r="35" spans="1:9" x14ac:dyDescent="0.25">
      <c r="A35" s="3">
        <v>3654</v>
      </c>
      <c r="B35" s="3">
        <v>113.3777218</v>
      </c>
      <c r="C35" s="3">
        <v>22.93644171</v>
      </c>
      <c r="D35" s="3">
        <v>44</v>
      </c>
      <c r="E35" s="13">
        <f t="shared" si="0"/>
        <v>2.8389728917291948E-3</v>
      </c>
      <c r="F35" s="13">
        <f t="shared" si="1"/>
        <v>18.768059740915501</v>
      </c>
      <c r="G35" s="14">
        <f>F35/$F$179*$D$2</f>
        <v>0</v>
      </c>
      <c r="H35" s="14">
        <f>F35/$F$179*$E$2</f>
        <v>10.917065823119</v>
      </c>
      <c r="I35" s="25" t="str">
        <f t="shared" si="2"/>
        <v>选中</v>
      </c>
    </row>
    <row r="36" spans="1:9" hidden="1" x14ac:dyDescent="0.25">
      <c r="A36" s="3">
        <v>3691</v>
      </c>
      <c r="B36" s="3">
        <v>113.3799901</v>
      </c>
      <c r="C36" s="3">
        <v>22.937818440000001</v>
      </c>
      <c r="D36" s="3">
        <v>44</v>
      </c>
      <c r="E36" s="13">
        <f t="shared" si="0"/>
        <v>2.8717205182439642E-3</v>
      </c>
      <c r="F36" s="13">
        <f t="shared" si="1"/>
        <v>18.660742256214217</v>
      </c>
      <c r="G36" s="14">
        <f>F36/$F$124*$D$2</f>
        <v>0</v>
      </c>
      <c r="H36" s="14">
        <f>F36/$F$124*$E$2</f>
        <v>844.80502086884587</v>
      </c>
      <c r="I36" s="25" t="str">
        <f t="shared" si="2"/>
        <v/>
      </c>
    </row>
    <row r="37" spans="1:9" hidden="1" x14ac:dyDescent="0.25">
      <c r="A37" s="3">
        <v>3671</v>
      </c>
      <c r="B37" s="3">
        <v>113.3776289</v>
      </c>
      <c r="C37" s="3">
        <v>22.936348819999999</v>
      </c>
      <c r="D37" s="3">
        <v>44</v>
      </c>
      <c r="E37" s="13">
        <f t="shared" ref="E37:E68" si="3">SQRT((B37-$B$2)^2+(C37-$C$2)^2)</f>
        <v>2.8720805256923399E-3</v>
      </c>
      <c r="F37" s="13">
        <f t="shared" ref="F37:F68" si="4">SQRT(1/E37)</f>
        <v>18.65957268302877</v>
      </c>
      <c r="G37" s="14">
        <f>F37/$F$124*$D$2</f>
        <v>0</v>
      </c>
      <c r="H37" s="14">
        <f>F37/$F$124*$E$2</f>
        <v>844.75207220872437</v>
      </c>
      <c r="I37" s="25" t="str">
        <f t="shared" si="2"/>
        <v/>
      </c>
    </row>
    <row r="38" spans="1:9" x14ac:dyDescent="0.25">
      <c r="A38" s="3">
        <v>3726</v>
      </c>
      <c r="B38" s="3">
        <v>113.3799901</v>
      </c>
      <c r="C38" s="3">
        <v>22.937893410000001</v>
      </c>
      <c r="D38" s="3">
        <v>44</v>
      </c>
      <c r="E38" s="13">
        <f t="shared" si="3"/>
        <v>2.9465940779149643E-3</v>
      </c>
      <c r="F38" s="13">
        <f t="shared" si="4"/>
        <v>18.422130063129984</v>
      </c>
      <c r="G38" s="14">
        <f>F38/$F$179*$D$2</f>
        <v>0</v>
      </c>
      <c r="H38" s="14">
        <f>F38/$F$179*$E$2</f>
        <v>10.715844326880806</v>
      </c>
      <c r="I38" s="25" t="str">
        <f t="shared" si="2"/>
        <v>选中</v>
      </c>
    </row>
    <row r="39" spans="1:9" hidden="1" x14ac:dyDescent="0.25">
      <c r="A39" s="3">
        <v>3679</v>
      </c>
      <c r="B39" s="3">
        <v>113.37714440000001</v>
      </c>
      <c r="C39" s="3">
        <v>22.93506575</v>
      </c>
      <c r="D39" s="3">
        <v>44</v>
      </c>
      <c r="E39" s="13">
        <f t="shared" si="3"/>
        <v>2.9954175831676984E-3</v>
      </c>
      <c r="F39" s="13">
        <f t="shared" si="4"/>
        <v>18.27137842837169</v>
      </c>
      <c r="G39" s="14">
        <f>F39/$F$124*$D$2</f>
        <v>0</v>
      </c>
      <c r="H39" s="14">
        <f>F39/$F$124*$E$2</f>
        <v>827.17782725619418</v>
      </c>
      <c r="I39" s="25" t="str">
        <f t="shared" si="2"/>
        <v/>
      </c>
    </row>
    <row r="40" spans="1:9" hidden="1" x14ac:dyDescent="0.25">
      <c r="A40" s="3">
        <v>3673</v>
      </c>
      <c r="B40" s="3">
        <v>113.37715729999999</v>
      </c>
      <c r="C40" s="3">
        <v>22.93559651</v>
      </c>
      <c r="D40" s="3">
        <v>44</v>
      </c>
      <c r="E40" s="13">
        <f t="shared" si="3"/>
        <v>3.0495088276681053E-3</v>
      </c>
      <c r="F40" s="13">
        <f t="shared" si="4"/>
        <v>18.108607373262789</v>
      </c>
      <c r="G40" s="14">
        <f>F40/$F$124*$D$2</f>
        <v>0</v>
      </c>
      <c r="H40" s="14">
        <f>F40/$F$124*$E$2</f>
        <v>819.80889183443583</v>
      </c>
      <c r="I40" s="25" t="str">
        <f t="shared" si="2"/>
        <v/>
      </c>
    </row>
    <row r="41" spans="1:9" x14ac:dyDescent="0.25">
      <c r="A41" s="3">
        <v>3683</v>
      </c>
      <c r="B41" s="3">
        <v>113.3770574</v>
      </c>
      <c r="C41" s="3">
        <v>22.935232750000001</v>
      </c>
      <c r="D41" s="3">
        <v>44</v>
      </c>
      <c r="E41" s="13">
        <f t="shared" si="3"/>
        <v>3.0931038549645907E-3</v>
      </c>
      <c r="F41" s="13">
        <f t="shared" si="4"/>
        <v>17.980540759638835</v>
      </c>
      <c r="G41" s="14">
        <f>F41/$F$179*$D$2</f>
        <v>0</v>
      </c>
      <c r="H41" s="14">
        <f>F41/$F$179*$E$2</f>
        <v>10.458979229500047</v>
      </c>
      <c r="I41" s="25" t="str">
        <f t="shared" si="2"/>
        <v>选中</v>
      </c>
    </row>
    <row r="42" spans="1:9" hidden="1" x14ac:dyDescent="0.25">
      <c r="A42" s="3">
        <v>3708</v>
      </c>
      <c r="B42" s="3">
        <v>113.3776199</v>
      </c>
      <c r="C42" s="3">
        <v>22.936819629999999</v>
      </c>
      <c r="D42" s="3">
        <v>44</v>
      </c>
      <c r="E42" s="13">
        <f t="shared" si="3"/>
        <v>3.1356694443749832E-3</v>
      </c>
      <c r="F42" s="13">
        <f t="shared" si="4"/>
        <v>17.858084063409407</v>
      </c>
      <c r="G42" s="14">
        <f>F42/$F$124*$D$2</f>
        <v>0</v>
      </c>
      <c r="H42" s="14">
        <f>F42/$F$124*$E$2</f>
        <v>808.46725562817289</v>
      </c>
      <c r="I42" s="25" t="str">
        <f t="shared" si="2"/>
        <v/>
      </c>
    </row>
    <row r="43" spans="1:9" hidden="1" x14ac:dyDescent="0.25">
      <c r="A43" s="3">
        <v>3801</v>
      </c>
      <c r="B43" s="3">
        <v>113.3827855</v>
      </c>
      <c r="C43" s="3">
        <v>22.93670912</v>
      </c>
      <c r="D43" s="3">
        <v>44</v>
      </c>
      <c r="E43" s="13">
        <f t="shared" si="3"/>
        <v>3.1786921118748934E-3</v>
      </c>
      <c r="F43" s="13">
        <f t="shared" si="4"/>
        <v>17.736820377585037</v>
      </c>
      <c r="G43" s="14">
        <f>F43/$F$124*$D$2</f>
        <v>0</v>
      </c>
      <c r="H43" s="14">
        <f>F43/$F$124*$E$2</f>
        <v>802.97743270329033</v>
      </c>
      <c r="I43" s="25" t="str">
        <f t="shared" si="2"/>
        <v/>
      </c>
    </row>
    <row r="44" spans="1:9" x14ac:dyDescent="0.25">
      <c r="A44" s="3">
        <v>3731</v>
      </c>
      <c r="B44" s="3">
        <v>113.3770985</v>
      </c>
      <c r="C44" s="3">
        <v>22.933949250000001</v>
      </c>
      <c r="D44" s="3">
        <v>44</v>
      </c>
      <c r="E44" s="13">
        <f t="shared" si="3"/>
        <v>3.1997891176714336E-3</v>
      </c>
      <c r="F44" s="13">
        <f t="shared" si="4"/>
        <v>17.678252044097761</v>
      </c>
      <c r="G44" s="14">
        <f>F44/$F$179*$D$2</f>
        <v>0</v>
      </c>
      <c r="H44" s="14">
        <f>F44/$F$179*$E$2</f>
        <v>10.283142949633909</v>
      </c>
      <c r="I44" s="25" t="str">
        <f t="shared" si="2"/>
        <v>选中</v>
      </c>
    </row>
    <row r="45" spans="1:9" hidden="1" x14ac:dyDescent="0.25">
      <c r="A45" s="3">
        <v>3763</v>
      </c>
      <c r="B45" s="3">
        <v>113.37710149999999</v>
      </c>
      <c r="C45" s="3">
        <v>22.933893279999999</v>
      </c>
      <c r="D45" s="3">
        <v>44</v>
      </c>
      <c r="E45" s="13">
        <f t="shared" si="3"/>
        <v>3.2149087829856419E-3</v>
      </c>
      <c r="F45" s="13">
        <f t="shared" si="4"/>
        <v>17.636632782437896</v>
      </c>
      <c r="G45" s="14">
        <f>F45/$F$124*$D$2</f>
        <v>0</v>
      </c>
      <c r="H45" s="14">
        <f>F45/$F$124*$E$2</f>
        <v>798.44176192197972</v>
      </c>
      <c r="I45" s="25" t="str">
        <f t="shared" si="2"/>
        <v/>
      </c>
    </row>
    <row r="46" spans="1:9" hidden="1" x14ac:dyDescent="0.25">
      <c r="A46" s="3">
        <v>4113</v>
      </c>
      <c r="B46" s="3">
        <v>113.3780998</v>
      </c>
      <c r="C46" s="3">
        <v>22.932441099999998</v>
      </c>
      <c r="D46" s="3">
        <v>44</v>
      </c>
      <c r="E46" s="13">
        <f t="shared" si="3"/>
        <v>3.2326099962870602E-3</v>
      </c>
      <c r="F46" s="13">
        <f t="shared" si="4"/>
        <v>17.588278921682804</v>
      </c>
      <c r="G46" s="14">
        <f>F46/$F$124*$D$2</f>
        <v>0</v>
      </c>
      <c r="H46" s="14">
        <f>F46/$F$124*$E$2</f>
        <v>796.25269656844637</v>
      </c>
      <c r="I46" s="25" t="str">
        <f t="shared" si="2"/>
        <v/>
      </c>
    </row>
    <row r="47" spans="1:9" x14ac:dyDescent="0.25">
      <c r="A47" s="3">
        <v>3666</v>
      </c>
      <c r="B47" s="3">
        <v>113.3777667</v>
      </c>
      <c r="C47" s="3">
        <v>22.9373243</v>
      </c>
      <c r="D47" s="3">
        <v>44</v>
      </c>
      <c r="E47" s="13">
        <f t="shared" si="3"/>
        <v>3.3550030959914314E-3</v>
      </c>
      <c r="F47" s="13">
        <f t="shared" si="4"/>
        <v>17.264481402372947</v>
      </c>
      <c r="G47" s="14">
        <f>F47/$F$179*$D$2</f>
        <v>0</v>
      </c>
      <c r="H47" s="14">
        <f>F47/$F$179*$E$2</f>
        <v>10.042459501598188</v>
      </c>
      <c r="I47" s="25" t="str">
        <f t="shared" si="2"/>
        <v>选中</v>
      </c>
    </row>
    <row r="48" spans="1:9" hidden="1" x14ac:dyDescent="0.25">
      <c r="A48" s="3">
        <v>3739</v>
      </c>
      <c r="B48" s="3">
        <v>113.37712430000001</v>
      </c>
      <c r="C48" s="3">
        <v>22.93645218</v>
      </c>
      <c r="D48" s="3">
        <v>44</v>
      </c>
      <c r="E48" s="13">
        <f t="shared" si="3"/>
        <v>3.3667476410998648E-3</v>
      </c>
      <c r="F48" s="13">
        <f t="shared" si="4"/>
        <v>17.234342431308324</v>
      </c>
      <c r="G48" s="14">
        <f>F48/$F$124*$D$2</f>
        <v>0</v>
      </c>
      <c r="H48" s="14">
        <f>F48/$F$124*$E$2</f>
        <v>780.2293615889663</v>
      </c>
      <c r="I48" s="25" t="str">
        <f t="shared" si="2"/>
        <v/>
      </c>
    </row>
    <row r="49" spans="1:9" hidden="1" x14ac:dyDescent="0.25">
      <c r="A49" s="3">
        <v>4120</v>
      </c>
      <c r="B49" s="3">
        <v>113.3804243</v>
      </c>
      <c r="C49" s="3">
        <v>22.931556789999998</v>
      </c>
      <c r="D49" s="3">
        <v>44</v>
      </c>
      <c r="E49" s="13">
        <f t="shared" si="3"/>
        <v>3.4058086159404945E-3</v>
      </c>
      <c r="F49" s="13">
        <f t="shared" si="4"/>
        <v>17.135227707989916</v>
      </c>
      <c r="G49" s="14">
        <f>F49/$F$124*$D$2</f>
        <v>0</v>
      </c>
      <c r="H49" s="14">
        <f>F49/$F$124*$E$2</f>
        <v>775.74226162521563</v>
      </c>
      <c r="I49" s="25" t="str">
        <f t="shared" si="2"/>
        <v/>
      </c>
    </row>
    <row r="50" spans="1:9" x14ac:dyDescent="0.25">
      <c r="A50" s="3">
        <v>3702</v>
      </c>
      <c r="B50" s="3">
        <v>113.3769017</v>
      </c>
      <c r="C50" s="3">
        <v>22.933778490000002</v>
      </c>
      <c r="D50" s="3">
        <v>44</v>
      </c>
      <c r="E50" s="13">
        <f t="shared" si="3"/>
        <v>3.441610043330043E-3</v>
      </c>
      <c r="F50" s="13">
        <f t="shared" si="4"/>
        <v>17.045869914283838</v>
      </c>
      <c r="G50" s="14">
        <f>F50/$F$179*$D$2</f>
        <v>0</v>
      </c>
      <c r="H50" s="14">
        <f>F50/$F$179*$E$2</f>
        <v>9.9152968626198028</v>
      </c>
      <c r="I50" s="25" t="str">
        <f t="shared" si="2"/>
        <v>选中</v>
      </c>
    </row>
    <row r="51" spans="1:9" hidden="1" x14ac:dyDescent="0.25">
      <c r="A51" s="3">
        <v>4143</v>
      </c>
      <c r="B51" s="3">
        <v>113.37769110000001</v>
      </c>
      <c r="C51" s="3">
        <v>22.932464410000001</v>
      </c>
      <c r="D51" s="3">
        <v>44</v>
      </c>
      <c r="E51" s="13">
        <f t="shared" si="3"/>
        <v>3.487987307882307E-3</v>
      </c>
      <c r="F51" s="13">
        <f t="shared" si="4"/>
        <v>16.932167343337646</v>
      </c>
      <c r="G51" s="14">
        <f>F51/$F$124*$D$2</f>
        <v>0</v>
      </c>
      <c r="H51" s="14">
        <f>F51/$F$124*$E$2</f>
        <v>766.54935743939382</v>
      </c>
      <c r="I51" s="25" t="str">
        <f t="shared" si="2"/>
        <v/>
      </c>
    </row>
    <row r="52" spans="1:9" hidden="1" x14ac:dyDescent="0.25">
      <c r="A52" s="3">
        <v>4130</v>
      </c>
      <c r="B52" s="3">
        <v>113.37781510000001</v>
      </c>
      <c r="C52" s="3">
        <v>22.932270389999999</v>
      </c>
      <c r="D52" s="3">
        <v>44</v>
      </c>
      <c r="E52" s="13">
        <f t="shared" si="3"/>
        <v>3.5464136059353362E-3</v>
      </c>
      <c r="F52" s="13">
        <f t="shared" si="4"/>
        <v>16.792111440105849</v>
      </c>
      <c r="G52" s="14">
        <f>F52/$F$124*$D$2</f>
        <v>0</v>
      </c>
      <c r="H52" s="14">
        <f>F52/$F$124*$E$2</f>
        <v>760.20877737950138</v>
      </c>
      <c r="I52" s="25" t="str">
        <f t="shared" si="2"/>
        <v/>
      </c>
    </row>
    <row r="53" spans="1:9" x14ac:dyDescent="0.25">
      <c r="A53" s="3">
        <v>3729</v>
      </c>
      <c r="B53" s="3">
        <v>113.3775689</v>
      </c>
      <c r="C53" s="3">
        <v>22.93743941</v>
      </c>
      <c r="D53" s="3">
        <v>44</v>
      </c>
      <c r="E53" s="13">
        <f t="shared" si="3"/>
        <v>3.5767083890059074E-3</v>
      </c>
      <c r="F53" s="13">
        <f t="shared" si="4"/>
        <v>16.720845473329231</v>
      </c>
      <c r="G53" s="14">
        <f>F53/$F$179*$D$2</f>
        <v>0</v>
      </c>
      <c r="H53" s="14">
        <f>F53/$F$179*$E$2</f>
        <v>9.7262355923016788</v>
      </c>
      <c r="I53" s="25" t="str">
        <f t="shared" si="2"/>
        <v>选中</v>
      </c>
    </row>
    <row r="54" spans="1:9" hidden="1" x14ac:dyDescent="0.25">
      <c r="A54" s="3">
        <v>3730</v>
      </c>
      <c r="B54" s="3">
        <v>113.37669579999999</v>
      </c>
      <c r="C54" s="3">
        <v>22.933953580000001</v>
      </c>
      <c r="D54" s="3">
        <v>44</v>
      </c>
      <c r="E54" s="13">
        <f t="shared" si="3"/>
        <v>3.5832745729192767E-3</v>
      </c>
      <c r="F54" s="13">
        <f t="shared" si="4"/>
        <v>16.705518362928387</v>
      </c>
      <c r="G54" s="14">
        <f>F54/$F$124*$D$2</f>
        <v>0</v>
      </c>
      <c r="H54" s="14">
        <f>F54/$F$124*$E$2</f>
        <v>756.28855462696629</v>
      </c>
      <c r="I54" s="25" t="str">
        <f t="shared" si="2"/>
        <v/>
      </c>
    </row>
    <row r="55" spans="1:9" hidden="1" x14ac:dyDescent="0.25">
      <c r="A55" s="3">
        <v>3767</v>
      </c>
      <c r="B55" s="3">
        <v>113.3766868</v>
      </c>
      <c r="C55" s="3">
        <v>22.933929599999999</v>
      </c>
      <c r="D55" s="3">
        <v>44</v>
      </c>
      <c r="E55" s="13">
        <f t="shared" si="3"/>
        <v>3.5986494505681715E-3</v>
      </c>
      <c r="F55" s="13">
        <f t="shared" si="4"/>
        <v>16.669793818396489</v>
      </c>
      <c r="G55" s="14">
        <f>F55/$F$124*$D$2</f>
        <v>0</v>
      </c>
      <c r="H55" s="14">
        <f>F55/$F$124*$E$2</f>
        <v>754.6712409009408</v>
      </c>
      <c r="I55" s="25" t="str">
        <f t="shared" si="2"/>
        <v/>
      </c>
    </row>
    <row r="56" spans="1:9" x14ac:dyDescent="0.25">
      <c r="A56" s="3">
        <v>3807</v>
      </c>
      <c r="B56" s="3">
        <v>113.3837431</v>
      </c>
      <c r="C56" s="3">
        <v>22.935176219999999</v>
      </c>
      <c r="D56" s="3">
        <v>44</v>
      </c>
      <c r="E56" s="13">
        <f t="shared" si="3"/>
        <v>3.6125579931876157E-3</v>
      </c>
      <c r="F56" s="13">
        <f t="shared" si="4"/>
        <v>16.637673070434545</v>
      </c>
      <c r="G56" s="14">
        <f>F56/$F$179*$D$2</f>
        <v>0</v>
      </c>
      <c r="H56" s="14">
        <f>F56/$F$179*$E$2</f>
        <v>9.677855599398697</v>
      </c>
      <c r="I56" s="25" t="str">
        <f t="shared" si="2"/>
        <v>选中</v>
      </c>
    </row>
    <row r="57" spans="1:9" hidden="1" x14ac:dyDescent="0.25">
      <c r="A57" s="3">
        <v>3672</v>
      </c>
      <c r="B57" s="3">
        <v>113.3777128</v>
      </c>
      <c r="C57" s="3">
        <v>22.937668200000001</v>
      </c>
      <c r="D57" s="3">
        <v>44</v>
      </c>
      <c r="E57" s="13">
        <f t="shared" si="3"/>
        <v>3.6421825841251036E-3</v>
      </c>
      <c r="F57" s="13">
        <f t="shared" si="4"/>
        <v>16.569871608913115</v>
      </c>
      <c r="G57" s="14">
        <f>F57/$F$124*$D$2</f>
        <v>0</v>
      </c>
      <c r="H57" s="14">
        <f>F57/$F$124*$E$2</f>
        <v>750.14758460105531</v>
      </c>
      <c r="I57" s="25" t="str">
        <f t="shared" si="2"/>
        <v/>
      </c>
    </row>
    <row r="58" spans="1:9" hidden="1" x14ac:dyDescent="0.25">
      <c r="A58" s="3">
        <v>4119</v>
      </c>
      <c r="B58" s="3">
        <v>113.37700460000001</v>
      </c>
      <c r="C58" s="3">
        <v>22.933089689999999</v>
      </c>
      <c r="D58" s="3">
        <v>44</v>
      </c>
      <c r="E58" s="13">
        <f t="shared" si="3"/>
        <v>3.6439456736274676E-3</v>
      </c>
      <c r="F58" s="13">
        <f t="shared" si="4"/>
        <v>16.565862534147392</v>
      </c>
      <c r="G58" s="14">
        <f>F58/$F$124*$D$2</f>
        <v>0</v>
      </c>
      <c r="H58" s="14">
        <f>F58/$F$124*$E$2</f>
        <v>749.96608664965436</v>
      </c>
      <c r="I58" s="25" t="str">
        <f t="shared" si="2"/>
        <v/>
      </c>
    </row>
    <row r="59" spans="1:9" x14ac:dyDescent="0.25">
      <c r="A59" s="3">
        <v>4124</v>
      </c>
      <c r="B59" s="3">
        <v>113.3767048</v>
      </c>
      <c r="C59" s="3">
        <v>22.933372819999999</v>
      </c>
      <c r="D59" s="3">
        <v>44</v>
      </c>
      <c r="E59" s="13">
        <f t="shared" si="3"/>
        <v>3.7779917384896172E-3</v>
      </c>
      <c r="F59" s="13">
        <f t="shared" si="4"/>
        <v>16.269323622855211</v>
      </c>
      <c r="G59" s="14">
        <f>F59/$F$179*$D$2</f>
        <v>0</v>
      </c>
      <c r="H59" s="14">
        <f>F59/$F$179*$E$2</f>
        <v>9.4635928987975024</v>
      </c>
      <c r="I59" s="25" t="str">
        <f t="shared" si="2"/>
        <v>选中</v>
      </c>
    </row>
    <row r="60" spans="1:9" hidden="1" x14ac:dyDescent="0.25">
      <c r="A60" s="3">
        <v>4140</v>
      </c>
      <c r="B60" s="3">
        <v>113.3766639</v>
      </c>
      <c r="C60" s="3">
        <v>22.933318870000001</v>
      </c>
      <c r="D60" s="3">
        <v>44</v>
      </c>
      <c r="E60" s="13">
        <f t="shared" si="3"/>
        <v>3.8378171894454232E-3</v>
      </c>
      <c r="F60" s="13">
        <f t="shared" si="4"/>
        <v>16.14201914805642</v>
      </c>
      <c r="G60" s="14">
        <f>F60/$F$124*$D$2</f>
        <v>0</v>
      </c>
      <c r="H60" s="14">
        <f>F60/$F$124*$E$2</f>
        <v>730.77794205629198</v>
      </c>
      <c r="I60" s="25" t="str">
        <f t="shared" si="2"/>
        <v/>
      </c>
    </row>
    <row r="61" spans="1:9" hidden="1" x14ac:dyDescent="0.25">
      <c r="A61" s="3">
        <v>3660</v>
      </c>
      <c r="B61" s="3">
        <v>113.3764429</v>
      </c>
      <c r="C61" s="3">
        <v>22.936447739999998</v>
      </c>
      <c r="D61" s="3">
        <v>44</v>
      </c>
      <c r="E61" s="13">
        <f t="shared" si="3"/>
        <v>3.9865405758466995E-3</v>
      </c>
      <c r="F61" s="13">
        <f t="shared" si="4"/>
        <v>15.838057145061008</v>
      </c>
      <c r="G61" s="14">
        <f>F61/$F$124*$D$2</f>
        <v>0</v>
      </c>
      <c r="H61" s="14">
        <f>F61/$F$124*$E$2</f>
        <v>717.01704108257206</v>
      </c>
      <c r="I61" s="25" t="str">
        <f t="shared" si="2"/>
        <v/>
      </c>
    </row>
    <row r="62" spans="1:9" x14ac:dyDescent="0.25">
      <c r="A62" s="3">
        <v>3795</v>
      </c>
      <c r="B62" s="3">
        <v>113.383911</v>
      </c>
      <c r="C62" s="3">
        <v>22.936351630000001</v>
      </c>
      <c r="D62" s="3">
        <v>44</v>
      </c>
      <c r="E62" s="13">
        <f t="shared" si="3"/>
        <v>4.025131651809905E-3</v>
      </c>
      <c r="F62" s="13">
        <f t="shared" si="4"/>
        <v>15.761950351822579</v>
      </c>
      <c r="G62" s="14">
        <f>F62/$F$179*$D$2</f>
        <v>0</v>
      </c>
      <c r="H62" s="14">
        <f>F62/$F$179*$E$2</f>
        <v>9.16846236995125</v>
      </c>
      <c r="I62" s="25" t="str">
        <f t="shared" si="2"/>
        <v>选中</v>
      </c>
    </row>
    <row r="63" spans="1:9" hidden="1" x14ac:dyDescent="0.25">
      <c r="A63" s="3">
        <v>3661</v>
      </c>
      <c r="B63" s="3">
        <v>113.37731410000001</v>
      </c>
      <c r="C63" s="3">
        <v>22.93789542</v>
      </c>
      <c r="D63" s="3">
        <v>44</v>
      </c>
      <c r="E63" s="13">
        <f t="shared" si="3"/>
        <v>4.0797851852823769E-3</v>
      </c>
      <c r="F63" s="13">
        <f t="shared" si="4"/>
        <v>15.656019432479544</v>
      </c>
      <c r="G63" s="14">
        <f>F63/$F$124*$D$2</f>
        <v>0</v>
      </c>
      <c r="H63" s="14">
        <f>F63/$F$124*$E$2</f>
        <v>708.77586977948056</v>
      </c>
      <c r="I63" s="25" t="str">
        <f t="shared" si="2"/>
        <v/>
      </c>
    </row>
    <row r="64" spans="1:9" hidden="1" x14ac:dyDescent="0.25">
      <c r="A64" s="3">
        <v>3815</v>
      </c>
      <c r="B64" s="3">
        <v>113.383724</v>
      </c>
      <c r="C64" s="3">
        <v>22.937088419999998</v>
      </c>
      <c r="D64" s="3">
        <v>44</v>
      </c>
      <c r="E64" s="13">
        <f t="shared" si="3"/>
        <v>4.1752753356055156E-3</v>
      </c>
      <c r="F64" s="13">
        <f t="shared" si="4"/>
        <v>15.47595434996285</v>
      </c>
      <c r="G64" s="14">
        <f>F64/$F$124*$D$2</f>
        <v>0</v>
      </c>
      <c r="H64" s="14">
        <f>F64/$F$124*$E$2</f>
        <v>700.62400295099951</v>
      </c>
      <c r="I64" s="25" t="str">
        <f t="shared" si="2"/>
        <v/>
      </c>
    </row>
    <row r="65" spans="1:9" x14ac:dyDescent="0.25">
      <c r="A65" s="3">
        <v>3718</v>
      </c>
      <c r="B65" s="3">
        <v>113.3770942</v>
      </c>
      <c r="C65" s="3">
        <v>22.938003550000001</v>
      </c>
      <c r="D65" s="3">
        <v>44</v>
      </c>
      <c r="E65" s="13">
        <f t="shared" si="3"/>
        <v>4.3108394543963603E-3</v>
      </c>
      <c r="F65" s="13">
        <f t="shared" si="4"/>
        <v>15.230672350926481</v>
      </c>
      <c r="G65" s="14">
        <f>F65/$F$179*$D$2</f>
        <v>0</v>
      </c>
      <c r="H65" s="14">
        <f>F65/$F$179*$E$2</f>
        <v>8.8594268603554749</v>
      </c>
      <c r="I65" s="25" t="str">
        <f t="shared" si="2"/>
        <v>选中</v>
      </c>
    </row>
    <row r="66" spans="1:9" hidden="1" x14ac:dyDescent="0.25">
      <c r="A66" s="3">
        <v>4145</v>
      </c>
      <c r="B66" s="3">
        <v>113.3774944</v>
      </c>
      <c r="C66" s="3">
        <v>22.931518959999998</v>
      </c>
      <c r="D66" s="3">
        <v>44</v>
      </c>
      <c r="E66" s="13">
        <f t="shared" si="3"/>
        <v>4.3315172448558032E-3</v>
      </c>
      <c r="F66" s="13">
        <f t="shared" si="4"/>
        <v>15.194274779999247</v>
      </c>
      <c r="G66" s="14">
        <f>F66/$F$124*$D$2</f>
        <v>0</v>
      </c>
      <c r="H66" s="14">
        <f>F66/$F$124*$E$2</f>
        <v>687.87186738671437</v>
      </c>
      <c r="I66" s="25" t="str">
        <f t="shared" si="2"/>
        <v/>
      </c>
    </row>
    <row r="67" spans="1:9" hidden="1" x14ac:dyDescent="0.25">
      <c r="A67" s="3">
        <v>3692</v>
      </c>
      <c r="B67" s="3">
        <v>113.3768244</v>
      </c>
      <c r="C67" s="3">
        <v>22.937879819999999</v>
      </c>
      <c r="D67" s="3">
        <v>44</v>
      </c>
      <c r="E67" s="13">
        <f t="shared" si="3"/>
        <v>4.4224598716158907E-3</v>
      </c>
      <c r="F67" s="13">
        <f t="shared" si="4"/>
        <v>15.037237169786748</v>
      </c>
      <c r="G67" s="14">
        <f>F67/$F$124*$D$2</f>
        <v>0</v>
      </c>
      <c r="H67" s="14">
        <f>F67/$F$124*$E$2</f>
        <v>680.76249522181104</v>
      </c>
      <c r="I67" s="25" t="str">
        <f t="shared" si="2"/>
        <v/>
      </c>
    </row>
    <row r="68" spans="1:9" x14ac:dyDescent="0.25">
      <c r="A68" s="3">
        <v>3818</v>
      </c>
      <c r="B68" s="3">
        <v>113.38373</v>
      </c>
      <c r="C68" s="3">
        <v>22.93758021</v>
      </c>
      <c r="D68" s="3">
        <v>44</v>
      </c>
      <c r="E68" s="13">
        <f t="shared" si="3"/>
        <v>4.4520399650066142E-3</v>
      </c>
      <c r="F68" s="13">
        <f t="shared" si="4"/>
        <v>14.987198964368449</v>
      </c>
      <c r="G68" s="14">
        <f>F68/$F$179*$D$2</f>
        <v>0</v>
      </c>
      <c r="H68" s="14">
        <f>F68/$F$179*$E$2</f>
        <v>8.7178024716906677</v>
      </c>
      <c r="I68" s="25" t="str">
        <f t="shared" si="2"/>
        <v>选中</v>
      </c>
    </row>
    <row r="69" spans="1:9" hidden="1" x14ac:dyDescent="0.25">
      <c r="A69" s="3">
        <v>3802</v>
      </c>
      <c r="B69" s="3">
        <v>113.3847287</v>
      </c>
      <c r="C69" s="3">
        <v>22.934945800000001</v>
      </c>
      <c r="D69" s="3">
        <v>44</v>
      </c>
      <c r="E69" s="13">
        <f t="shared" ref="E69:E100" si="5">SQRT((B69-$B$2)^2+(C69-$C$2)^2)</f>
        <v>4.5911024159879556E-3</v>
      </c>
      <c r="F69" s="13">
        <f t="shared" ref="F69:F100" si="6">SQRT(1/E69)</f>
        <v>14.758475869791116</v>
      </c>
      <c r="G69" s="14">
        <f>F69/$F$124*$D$2</f>
        <v>0</v>
      </c>
      <c r="H69" s="14">
        <f>F69/$F$124*$E$2</f>
        <v>668.14247493393577</v>
      </c>
      <c r="I69" s="25" t="str">
        <f t="shared" si="2"/>
        <v/>
      </c>
    </row>
    <row r="70" spans="1:9" hidden="1" x14ac:dyDescent="0.25">
      <c r="A70" s="3">
        <v>4122</v>
      </c>
      <c r="B70" s="3">
        <v>113.38127179999999</v>
      </c>
      <c r="C70" s="3">
        <v>22.93039971</v>
      </c>
      <c r="D70" s="3">
        <v>44</v>
      </c>
      <c r="E70" s="13">
        <f t="shared" si="5"/>
        <v>4.6900096247230521E-3</v>
      </c>
      <c r="F70" s="13">
        <f t="shared" si="6"/>
        <v>14.602026525130304</v>
      </c>
      <c r="G70" s="14">
        <f>F70/$F$124*$D$2</f>
        <v>0</v>
      </c>
      <c r="H70" s="14">
        <f>F70/$F$124*$E$2</f>
        <v>661.05973459775851</v>
      </c>
      <c r="I70" s="25" t="str">
        <f t="shared" ref="I70:I133" si="7">IF(MOD(ROW()-1,3)=1,"选中","")</f>
        <v/>
      </c>
    </row>
    <row r="71" spans="1:9" x14ac:dyDescent="0.25">
      <c r="A71" s="3">
        <v>4117</v>
      </c>
      <c r="B71" s="3">
        <v>113.37608640000001</v>
      </c>
      <c r="C71" s="3">
        <v>22.932543679999998</v>
      </c>
      <c r="D71" s="3">
        <v>44</v>
      </c>
      <c r="E71" s="13">
        <f t="shared" si="5"/>
        <v>4.7122236883285588E-3</v>
      </c>
      <c r="F71" s="13">
        <f t="shared" si="6"/>
        <v>14.567567896604656</v>
      </c>
      <c r="G71" s="14">
        <f>F71/$F$179*$D$2</f>
        <v>0</v>
      </c>
      <c r="H71" s="14">
        <f>F71/$F$179*$E$2</f>
        <v>8.4737101120411573</v>
      </c>
      <c r="I71" s="25" t="str">
        <f t="shared" si="7"/>
        <v>选中</v>
      </c>
    </row>
    <row r="72" spans="1:9" hidden="1" x14ac:dyDescent="0.25">
      <c r="A72" s="3">
        <v>4103</v>
      </c>
      <c r="B72" s="3">
        <v>113.3815846</v>
      </c>
      <c r="C72" s="3">
        <v>22.930424500000001</v>
      </c>
      <c r="D72" s="3">
        <v>44</v>
      </c>
      <c r="E72" s="13">
        <f t="shared" si="5"/>
        <v>4.7516918587057399E-3</v>
      </c>
      <c r="F72" s="13">
        <f t="shared" si="6"/>
        <v>14.506941685308137</v>
      </c>
      <c r="G72" s="14">
        <f>F72/$F$124*$D$2</f>
        <v>0</v>
      </c>
      <c r="H72" s="14">
        <f>F72/$F$124*$E$2</f>
        <v>656.75507463368194</v>
      </c>
      <c r="I72" s="25" t="str">
        <f t="shared" si="7"/>
        <v/>
      </c>
    </row>
    <row r="73" spans="1:9" hidden="1" x14ac:dyDescent="0.25">
      <c r="A73" s="3">
        <v>4149</v>
      </c>
      <c r="B73" s="3">
        <v>113.3815846</v>
      </c>
      <c r="C73" s="3">
        <v>22.930424500000001</v>
      </c>
      <c r="D73" s="3">
        <v>44</v>
      </c>
      <c r="E73" s="13">
        <f t="shared" si="5"/>
        <v>4.7516918587057399E-3</v>
      </c>
      <c r="F73" s="13">
        <f t="shared" si="6"/>
        <v>14.506941685308137</v>
      </c>
      <c r="G73" s="14">
        <f>F73/$F$124*$D$2</f>
        <v>0</v>
      </c>
      <c r="H73" s="14">
        <f>F73/$F$124*$E$2</f>
        <v>656.75507463368194</v>
      </c>
      <c r="I73" s="25" t="str">
        <f t="shared" si="7"/>
        <v/>
      </c>
    </row>
    <row r="74" spans="1:9" x14ac:dyDescent="0.25">
      <c r="A74" s="3">
        <v>4115</v>
      </c>
      <c r="B74" s="3">
        <v>113.3758196</v>
      </c>
      <c r="C74" s="3">
        <v>22.93292675</v>
      </c>
      <c r="D74" s="3">
        <v>44</v>
      </c>
      <c r="E74" s="13">
        <f t="shared" si="5"/>
        <v>4.768723994695208E-3</v>
      </c>
      <c r="F74" s="13">
        <f t="shared" si="6"/>
        <v>14.481011769642937</v>
      </c>
      <c r="G74" s="14">
        <f>F74/$F$179*$D$2</f>
        <v>0</v>
      </c>
      <c r="H74" s="14">
        <f>F74/$F$179*$E$2</f>
        <v>8.4233618635551775</v>
      </c>
      <c r="I74" s="25" t="str">
        <f t="shared" si="7"/>
        <v>选中</v>
      </c>
    </row>
    <row r="75" spans="1:9" hidden="1" x14ac:dyDescent="0.25">
      <c r="A75" s="3">
        <v>4141</v>
      </c>
      <c r="B75" s="3">
        <v>113.3760465</v>
      </c>
      <c r="C75" s="3">
        <v>22.932462749999999</v>
      </c>
      <c r="D75" s="3">
        <v>44</v>
      </c>
      <c r="E75" s="13">
        <f t="shared" si="5"/>
        <v>4.7881153941375758E-3</v>
      </c>
      <c r="F75" s="13">
        <f t="shared" si="6"/>
        <v>14.451658678927259</v>
      </c>
      <c r="G75" s="14">
        <f>F75/$F$124*$D$2</f>
        <v>0</v>
      </c>
      <c r="H75" s="14">
        <f>F75/$F$124*$E$2</f>
        <v>654.25231452274704</v>
      </c>
      <c r="I75" s="25" t="str">
        <f t="shared" si="7"/>
        <v/>
      </c>
    </row>
    <row r="76" spans="1:9" hidden="1" x14ac:dyDescent="0.25">
      <c r="A76" s="3">
        <v>3658</v>
      </c>
      <c r="B76" s="3">
        <v>113.37592220000001</v>
      </c>
      <c r="C76" s="3">
        <v>22.93725783</v>
      </c>
      <c r="D76" s="3">
        <v>44</v>
      </c>
      <c r="E76" s="13">
        <f t="shared" si="5"/>
        <v>4.8055512422964146E-3</v>
      </c>
      <c r="F76" s="13">
        <f t="shared" si="6"/>
        <v>14.425417578847735</v>
      </c>
      <c r="G76" s="14">
        <f>F76/$F$124*$D$2</f>
        <v>0</v>
      </c>
      <c r="H76" s="14">
        <f>F76/$F$124*$E$2</f>
        <v>653.06433320903898</v>
      </c>
      <c r="I76" s="25" t="str">
        <f t="shared" si="7"/>
        <v/>
      </c>
    </row>
    <row r="77" spans="1:9" x14ac:dyDescent="0.25">
      <c r="A77" s="3">
        <v>3783</v>
      </c>
      <c r="B77" s="3">
        <v>113.38495949999999</v>
      </c>
      <c r="C77" s="3">
        <v>22.935250549999999</v>
      </c>
      <c r="D77" s="3">
        <v>44</v>
      </c>
      <c r="E77" s="13">
        <f t="shared" si="5"/>
        <v>4.8312258911751716E-3</v>
      </c>
      <c r="F77" s="13">
        <f t="shared" si="6"/>
        <v>14.38703592233273</v>
      </c>
      <c r="G77" s="14">
        <f>F77/$F$179*$D$2</f>
        <v>0</v>
      </c>
      <c r="H77" s="14">
        <f>F77/$F$179*$E$2</f>
        <v>8.3686976880873054</v>
      </c>
      <c r="I77" s="25" t="str">
        <f t="shared" si="7"/>
        <v>选中</v>
      </c>
    </row>
    <row r="78" spans="1:9" hidden="1" x14ac:dyDescent="0.25">
      <c r="A78" s="3">
        <v>3788</v>
      </c>
      <c r="B78" s="3">
        <v>113.38343</v>
      </c>
      <c r="C78" s="3">
        <v>22.938543970000001</v>
      </c>
      <c r="D78" s="3">
        <v>44</v>
      </c>
      <c r="E78" s="13">
        <f t="shared" si="5"/>
        <v>4.873689827189589E-3</v>
      </c>
      <c r="F78" s="13">
        <f t="shared" si="6"/>
        <v>14.324222451854689</v>
      </c>
      <c r="G78" s="14">
        <f>F78/$F$124*$D$2</f>
        <v>0</v>
      </c>
      <c r="H78" s="14">
        <f>F78/$F$124*$E$2</f>
        <v>648.48304966750595</v>
      </c>
      <c r="I78" s="25" t="str">
        <f t="shared" si="7"/>
        <v/>
      </c>
    </row>
    <row r="79" spans="1:9" hidden="1" x14ac:dyDescent="0.25">
      <c r="A79" s="3">
        <v>3781</v>
      </c>
      <c r="B79" s="3">
        <v>113.38423969999999</v>
      </c>
      <c r="C79" s="3">
        <v>22.937599930000001</v>
      </c>
      <c r="D79" s="3">
        <v>44</v>
      </c>
      <c r="E79" s="13">
        <f t="shared" si="5"/>
        <v>4.8833032617667709E-3</v>
      </c>
      <c r="F79" s="13">
        <f t="shared" si="6"/>
        <v>14.310115933431108</v>
      </c>
      <c r="G79" s="14">
        <f>F79/$F$124*$D$2</f>
        <v>0</v>
      </c>
      <c r="H79" s="14">
        <f>F79/$F$124*$E$2</f>
        <v>647.84442246674428</v>
      </c>
      <c r="I79" s="25" t="str">
        <f t="shared" si="7"/>
        <v/>
      </c>
    </row>
    <row r="80" spans="1:9" x14ac:dyDescent="0.25">
      <c r="A80" s="3">
        <v>4142</v>
      </c>
      <c r="B80" s="3">
        <v>113.3771886</v>
      </c>
      <c r="C80" s="3">
        <v>22.930949439999999</v>
      </c>
      <c r="D80" s="3">
        <v>44</v>
      </c>
      <c r="E80" s="13">
        <f t="shared" si="5"/>
        <v>4.9704287687194733E-3</v>
      </c>
      <c r="F80" s="13">
        <f t="shared" si="6"/>
        <v>14.184142079561781</v>
      </c>
      <c r="G80" s="14">
        <f>F80/$F$179*$D$2</f>
        <v>0</v>
      </c>
      <c r="H80" s="14">
        <f>F80/$F$179*$E$2</f>
        <v>8.2506777399832849</v>
      </c>
      <c r="I80" s="25" t="str">
        <f t="shared" si="7"/>
        <v>选中</v>
      </c>
    </row>
    <row r="81" spans="1:9" hidden="1" x14ac:dyDescent="0.25">
      <c r="A81" s="3">
        <v>4147</v>
      </c>
      <c r="B81" s="3">
        <v>113.3835655</v>
      </c>
      <c r="C81" s="3">
        <v>22.931165010000001</v>
      </c>
      <c r="D81" s="3">
        <v>44</v>
      </c>
      <c r="E81" s="13">
        <f t="shared" si="5"/>
        <v>5.106907935339397E-3</v>
      </c>
      <c r="F81" s="13">
        <f t="shared" si="6"/>
        <v>13.993327086580967</v>
      </c>
      <c r="G81" s="14">
        <f>F81/$F$124*$D$2</f>
        <v>0</v>
      </c>
      <c r="H81" s="14">
        <f>F81/$F$124*$E$2</f>
        <v>633.50282743800813</v>
      </c>
      <c r="I81" s="25" t="str">
        <f t="shared" si="7"/>
        <v/>
      </c>
    </row>
    <row r="82" spans="1:9" hidden="1" x14ac:dyDescent="0.25">
      <c r="A82" s="3">
        <v>3686</v>
      </c>
      <c r="B82" s="3">
        <v>113.38036169999999</v>
      </c>
      <c r="C82" s="3">
        <v>22.940075230000001</v>
      </c>
      <c r="D82" s="3">
        <v>44</v>
      </c>
      <c r="E82" s="13">
        <f t="shared" si="5"/>
        <v>5.1296175187251535E-3</v>
      </c>
      <c r="F82" s="13">
        <f t="shared" si="6"/>
        <v>13.962317452269316</v>
      </c>
      <c r="G82" s="14">
        <f>F82/$F$124*$D$2</f>
        <v>0</v>
      </c>
      <c r="H82" s="14">
        <f>F82/$F$124*$E$2</f>
        <v>632.09896609090288</v>
      </c>
      <c r="I82" s="25" t="str">
        <f t="shared" si="7"/>
        <v/>
      </c>
    </row>
    <row r="83" spans="1:9" x14ac:dyDescent="0.25">
      <c r="A83" s="3">
        <v>4125</v>
      </c>
      <c r="B83" s="3">
        <v>113.37687390000001</v>
      </c>
      <c r="C83" s="3">
        <v>22.930962690000001</v>
      </c>
      <c r="D83" s="3">
        <v>44</v>
      </c>
      <c r="E83" s="13">
        <f t="shared" si="5"/>
        <v>5.1531006241225565E-3</v>
      </c>
      <c r="F83" s="13">
        <f t="shared" si="6"/>
        <v>13.930467407774906</v>
      </c>
      <c r="G83" s="14">
        <f>F83/$F$179*$D$2</f>
        <v>0</v>
      </c>
      <c r="H83" s="14">
        <f>F83/$F$179*$E$2</f>
        <v>8.1031194346610782</v>
      </c>
      <c r="I83" s="25" t="str">
        <f t="shared" si="7"/>
        <v>选中</v>
      </c>
    </row>
    <row r="84" spans="1:9" hidden="1" x14ac:dyDescent="0.25">
      <c r="A84" s="3">
        <v>4135</v>
      </c>
      <c r="B84" s="3">
        <v>113.3768649</v>
      </c>
      <c r="C84" s="3">
        <v>22.930962699999998</v>
      </c>
      <c r="D84" s="3">
        <v>44</v>
      </c>
      <c r="E84" s="13">
        <f t="shared" si="5"/>
        <v>5.158797717113083E-3</v>
      </c>
      <c r="F84" s="13">
        <f t="shared" si="6"/>
        <v>13.922773261215443</v>
      </c>
      <c r="G84" s="14">
        <f>F84/$F$124*$D$2</f>
        <v>0</v>
      </c>
      <c r="H84" s="14">
        <f>F84/$F$124*$E$2</f>
        <v>630.30873016728185</v>
      </c>
      <c r="I84" s="25" t="str">
        <f t="shared" si="7"/>
        <v/>
      </c>
    </row>
    <row r="85" spans="1:9" hidden="1" x14ac:dyDescent="0.25">
      <c r="A85" s="3">
        <v>3695</v>
      </c>
      <c r="B85" s="3">
        <v>113.37495029999999</v>
      </c>
      <c r="C85" s="3">
        <v>22.934489849999999</v>
      </c>
      <c r="D85" s="3">
        <v>44</v>
      </c>
      <c r="E85" s="13">
        <f t="shared" si="5"/>
        <v>5.2077143667478096E-3</v>
      </c>
      <c r="F85" s="13">
        <f t="shared" si="6"/>
        <v>13.857229892594296</v>
      </c>
      <c r="G85" s="14">
        <f>F85/$F$124*$D$2</f>
        <v>0</v>
      </c>
      <c r="H85" s="14">
        <f>F85/$F$124*$E$2</f>
        <v>627.34146519274077</v>
      </c>
      <c r="I85" s="25" t="str">
        <f t="shared" si="7"/>
        <v/>
      </c>
    </row>
    <row r="86" spans="1:9" x14ac:dyDescent="0.25">
      <c r="A86" s="3">
        <v>3684</v>
      </c>
      <c r="B86" s="3">
        <v>113.3749572</v>
      </c>
      <c r="C86" s="3">
        <v>22.935537400000001</v>
      </c>
      <c r="D86" s="3">
        <v>44</v>
      </c>
      <c r="E86" s="13">
        <f t="shared" si="5"/>
        <v>5.2135385327151378E-3</v>
      </c>
      <c r="F86" s="13">
        <f t="shared" si="6"/>
        <v>13.849487611732661</v>
      </c>
      <c r="G86" s="14">
        <f>F86/$F$179*$D$2</f>
        <v>0</v>
      </c>
      <c r="H86" s="14">
        <f>F86/$F$179*$E$2</f>
        <v>8.0560148444189323</v>
      </c>
      <c r="I86" s="25" t="str">
        <f t="shared" si="7"/>
        <v>选中</v>
      </c>
    </row>
    <row r="87" spans="1:9" hidden="1" x14ac:dyDescent="0.25">
      <c r="A87" s="3">
        <v>4146</v>
      </c>
      <c r="B87" s="3">
        <v>113.38304979999999</v>
      </c>
      <c r="C87" s="3">
        <v>22.930511580000001</v>
      </c>
      <c r="D87" s="3">
        <v>44</v>
      </c>
      <c r="E87" s="13">
        <f t="shared" si="5"/>
        <v>5.3089554890653106E-3</v>
      </c>
      <c r="F87" s="13">
        <f t="shared" si="6"/>
        <v>13.724466071356975</v>
      </c>
      <c r="G87" s="14">
        <f>F87/$F$124*$D$2</f>
        <v>0</v>
      </c>
      <c r="H87" s="14">
        <f>F87/$F$124*$E$2</f>
        <v>621.33101066574181</v>
      </c>
      <c r="I87" s="25" t="str">
        <f t="shared" si="7"/>
        <v/>
      </c>
    </row>
    <row r="88" spans="1:9" hidden="1" x14ac:dyDescent="0.25">
      <c r="A88" s="3">
        <v>3778</v>
      </c>
      <c r="B88" s="3">
        <v>113.3841097</v>
      </c>
      <c r="C88" s="3">
        <v>22.93850162</v>
      </c>
      <c r="D88" s="3">
        <v>44</v>
      </c>
      <c r="E88" s="13">
        <f t="shared" si="5"/>
        <v>5.3280353454241806E-3</v>
      </c>
      <c r="F88" s="13">
        <f t="shared" si="6"/>
        <v>13.699870167064383</v>
      </c>
      <c r="G88" s="14">
        <f>F88/$F$124*$D$2</f>
        <v>0</v>
      </c>
      <c r="H88" s="14">
        <f>F88/$F$124*$E$2</f>
        <v>620.21751029400446</v>
      </c>
      <c r="I88" s="25" t="str">
        <f t="shared" si="7"/>
        <v/>
      </c>
    </row>
    <row r="89" spans="1:9" x14ac:dyDescent="0.25">
      <c r="A89" s="3">
        <v>4156</v>
      </c>
      <c r="B89" s="3">
        <v>113.3832237</v>
      </c>
      <c r="C89" s="3">
        <v>22.93047649</v>
      </c>
      <c r="D89" s="3">
        <v>44</v>
      </c>
      <c r="E89" s="13">
        <f t="shared" si="5"/>
        <v>5.4351511635305052E-3</v>
      </c>
      <c r="F89" s="13">
        <f t="shared" si="6"/>
        <v>13.564200052108639</v>
      </c>
      <c r="G89" s="14">
        <f>F89/$F$179*$D$2</f>
        <v>0</v>
      </c>
      <c r="H89" s="14">
        <f>F89/$F$179*$E$2</f>
        <v>7.8900678520325735</v>
      </c>
      <c r="I89" s="25" t="str">
        <f t="shared" si="7"/>
        <v>选中</v>
      </c>
    </row>
    <row r="90" spans="1:9" hidden="1" x14ac:dyDescent="0.25">
      <c r="A90" s="3">
        <v>4107</v>
      </c>
      <c r="B90" s="3">
        <v>113.3763683</v>
      </c>
      <c r="C90" s="3">
        <v>22.930994099999999</v>
      </c>
      <c r="D90" s="3">
        <v>44</v>
      </c>
      <c r="E90" s="13">
        <f t="shared" si="5"/>
        <v>5.4645038730080052E-3</v>
      </c>
      <c r="F90" s="13">
        <f t="shared" si="6"/>
        <v>13.527720791030413</v>
      </c>
      <c r="G90" s="14">
        <f>F90/$F$124*$D$2</f>
        <v>0</v>
      </c>
      <c r="H90" s="14">
        <f>F90/$F$124*$E$2</f>
        <v>612.42400158914529</v>
      </c>
      <c r="I90" s="25" t="str">
        <f t="shared" si="7"/>
        <v/>
      </c>
    </row>
    <row r="91" spans="1:9" hidden="1" x14ac:dyDescent="0.25">
      <c r="A91" s="3">
        <v>4126</v>
      </c>
      <c r="B91" s="3">
        <v>113.3747985</v>
      </c>
      <c r="C91" s="3">
        <v>22.9335074</v>
      </c>
      <c r="D91" s="3">
        <v>44</v>
      </c>
      <c r="E91" s="13">
        <f t="shared" si="5"/>
        <v>5.5306921160109841E-3</v>
      </c>
      <c r="F91" s="13">
        <f t="shared" si="6"/>
        <v>13.446531037285594</v>
      </c>
      <c r="G91" s="14">
        <f>F91/$F$124*$D$2</f>
        <v>0</v>
      </c>
      <c r="H91" s="14">
        <f>F91/$F$124*$E$2</f>
        <v>608.74839690713509</v>
      </c>
      <c r="I91" s="25" t="str">
        <f t="shared" si="7"/>
        <v/>
      </c>
    </row>
    <row r="92" spans="1:9" x14ac:dyDescent="0.25">
      <c r="A92" s="3">
        <v>3821</v>
      </c>
      <c r="B92" s="3">
        <v>113.383354</v>
      </c>
      <c r="C92" s="3">
        <v>22.939474619999999</v>
      </c>
      <c r="D92" s="3">
        <v>44</v>
      </c>
      <c r="E92" s="13">
        <f t="shared" si="5"/>
        <v>5.5509278730751085E-3</v>
      </c>
      <c r="F92" s="13">
        <f t="shared" si="6"/>
        <v>13.421999177148111</v>
      </c>
      <c r="G92" s="14">
        <f>F92/$F$179*$D$2</f>
        <v>0</v>
      </c>
      <c r="H92" s="14">
        <f>F92/$F$179*$E$2</f>
        <v>7.8073519861689942</v>
      </c>
      <c r="I92" s="25" t="str">
        <f t="shared" si="7"/>
        <v>选中</v>
      </c>
    </row>
    <row r="93" spans="1:9" hidden="1" x14ac:dyDescent="0.25">
      <c r="A93" s="3">
        <v>3776</v>
      </c>
      <c r="B93" s="3">
        <v>113.3844835</v>
      </c>
      <c r="C93" s="3">
        <v>22.938520409999999</v>
      </c>
      <c r="D93" s="3">
        <v>44</v>
      </c>
      <c r="E93" s="13">
        <f t="shared" si="5"/>
        <v>5.6241472971488233E-3</v>
      </c>
      <c r="F93" s="13">
        <f t="shared" si="6"/>
        <v>13.334344059034523</v>
      </c>
      <c r="G93" s="14">
        <f>F93/$F$124*$D$2</f>
        <v>0</v>
      </c>
      <c r="H93" s="14">
        <f>F93/$F$124*$E$2</f>
        <v>603.66949269200143</v>
      </c>
      <c r="I93" s="25" t="str">
        <f t="shared" si="7"/>
        <v/>
      </c>
    </row>
    <row r="94" spans="1:9" hidden="1" x14ac:dyDescent="0.25">
      <c r="A94" s="3">
        <v>4164</v>
      </c>
      <c r="B94" s="3">
        <v>113.3837224</v>
      </c>
      <c r="C94" s="3">
        <v>22.930560180000001</v>
      </c>
      <c r="D94" s="3">
        <v>44</v>
      </c>
      <c r="E94" s="13">
        <f t="shared" si="5"/>
        <v>5.667961586751263E-3</v>
      </c>
      <c r="F94" s="13">
        <f t="shared" si="6"/>
        <v>13.282705718991961</v>
      </c>
      <c r="G94" s="14">
        <f>F94/$F$124*$D$2</f>
        <v>0</v>
      </c>
      <c r="H94" s="14">
        <f>F94/$F$124*$E$2</f>
        <v>601.33173311425685</v>
      </c>
      <c r="I94" s="25" t="str">
        <f t="shared" si="7"/>
        <v/>
      </c>
    </row>
    <row r="95" spans="1:9" x14ac:dyDescent="0.25">
      <c r="A95" s="3">
        <v>4112</v>
      </c>
      <c r="B95" s="3">
        <v>113.3751662</v>
      </c>
      <c r="C95" s="3">
        <v>22.93216464</v>
      </c>
      <c r="D95" s="3">
        <v>44</v>
      </c>
      <c r="E95" s="13">
        <f t="shared" si="5"/>
        <v>5.6987621126806526E-3</v>
      </c>
      <c r="F95" s="13">
        <f t="shared" si="6"/>
        <v>13.246762069701903</v>
      </c>
      <c r="G95" s="14">
        <f>F95/$F$179*$D$2</f>
        <v>0</v>
      </c>
      <c r="H95" s="14">
        <f>F95/$F$179*$E$2</f>
        <v>7.7054194975126098</v>
      </c>
      <c r="I95" s="25" t="str">
        <f t="shared" si="7"/>
        <v>选中</v>
      </c>
    </row>
    <row r="96" spans="1:9" hidden="1" x14ac:dyDescent="0.25">
      <c r="A96" s="3">
        <v>4163</v>
      </c>
      <c r="B96" s="3">
        <v>113.3841692</v>
      </c>
      <c r="C96" s="3">
        <v>22.93092278</v>
      </c>
      <c r="D96" s="3">
        <v>44</v>
      </c>
      <c r="E96" s="13">
        <f t="shared" si="5"/>
        <v>5.6988075518430359E-3</v>
      </c>
      <c r="F96" s="13">
        <f t="shared" si="6"/>
        <v>13.246709258392949</v>
      </c>
      <c r="G96" s="14">
        <f>F96/$F$124*$D$2</f>
        <v>0</v>
      </c>
      <c r="H96" s="14">
        <f>F96/$F$124*$E$2</f>
        <v>599.7021092638214</v>
      </c>
      <c r="I96" s="25" t="str">
        <f t="shared" si="7"/>
        <v/>
      </c>
    </row>
    <row r="97" spans="1:9" hidden="1" x14ac:dyDescent="0.25">
      <c r="A97" s="3">
        <v>4129</v>
      </c>
      <c r="B97" s="3">
        <v>113.37476650000001</v>
      </c>
      <c r="C97" s="3">
        <v>22.933036619999999</v>
      </c>
      <c r="D97" s="3">
        <v>44</v>
      </c>
      <c r="E97" s="13">
        <f t="shared" si="5"/>
        <v>5.7019023265927581E-3</v>
      </c>
      <c r="F97" s="13">
        <f t="shared" si="6"/>
        <v>13.243113866609619</v>
      </c>
      <c r="G97" s="14">
        <f>F97/$F$124*$D$2</f>
        <v>0</v>
      </c>
      <c r="H97" s="14">
        <f>F97/$F$124*$E$2</f>
        <v>599.53933947745156</v>
      </c>
      <c r="I97" s="25" t="str">
        <f t="shared" si="7"/>
        <v/>
      </c>
    </row>
    <row r="98" spans="1:9" x14ac:dyDescent="0.25">
      <c r="A98" s="3">
        <v>3804</v>
      </c>
      <c r="B98" s="3">
        <v>113.3858292</v>
      </c>
      <c r="C98" s="3">
        <v>22.934589410000001</v>
      </c>
      <c r="D98" s="3">
        <v>44</v>
      </c>
      <c r="E98" s="13">
        <f t="shared" si="5"/>
        <v>5.7030433778874042E-3</v>
      </c>
      <c r="F98" s="13">
        <f t="shared" si="6"/>
        <v>13.241788975043507</v>
      </c>
      <c r="G98" s="14">
        <f>F98/$F$179*$D$2</f>
        <v>0</v>
      </c>
      <c r="H98" s="14">
        <f>F98/$F$179*$E$2</f>
        <v>7.7025267316923927</v>
      </c>
      <c r="I98" s="25" t="str">
        <f t="shared" si="7"/>
        <v>选中</v>
      </c>
    </row>
    <row r="99" spans="1:9" hidden="1" x14ac:dyDescent="0.25">
      <c r="A99" s="3">
        <v>3723</v>
      </c>
      <c r="B99" s="3">
        <v>113.3744627</v>
      </c>
      <c r="C99" s="3">
        <v>22.933709610000001</v>
      </c>
      <c r="D99" s="3">
        <v>44</v>
      </c>
      <c r="E99" s="13">
        <f t="shared" si="5"/>
        <v>5.8089863849062279E-3</v>
      </c>
      <c r="F99" s="13">
        <f t="shared" si="6"/>
        <v>13.120482934673781</v>
      </c>
      <c r="G99" s="14">
        <f>F99/$F$124*$D$2</f>
        <v>0</v>
      </c>
      <c r="H99" s="14">
        <f>F99/$F$124*$E$2</f>
        <v>593.98761888719889</v>
      </c>
      <c r="I99" s="25" t="str">
        <f t="shared" si="7"/>
        <v/>
      </c>
    </row>
    <row r="100" spans="1:9" hidden="1" x14ac:dyDescent="0.25">
      <c r="A100" s="3">
        <v>3797</v>
      </c>
      <c r="B100" s="3">
        <v>113.3831641</v>
      </c>
      <c r="C100" s="3">
        <v>22.93995653</v>
      </c>
      <c r="D100" s="3">
        <v>44</v>
      </c>
      <c r="E100" s="13">
        <f t="shared" si="5"/>
        <v>5.8497810634606674E-3</v>
      </c>
      <c r="F100" s="13">
        <f t="shared" si="6"/>
        <v>13.074653671281563</v>
      </c>
      <c r="G100" s="14">
        <f>F100/$F$124*$D$2</f>
        <v>0</v>
      </c>
      <c r="H100" s="14">
        <f>F100/$F$124*$E$2</f>
        <v>591.91284655044615</v>
      </c>
      <c r="I100" s="25" t="str">
        <f t="shared" si="7"/>
        <v/>
      </c>
    </row>
    <row r="101" spans="1:9" x14ac:dyDescent="0.25">
      <c r="A101" s="3">
        <v>3813</v>
      </c>
      <c r="B101" s="3">
        <v>113.3821186</v>
      </c>
      <c r="C101" s="3">
        <v>22.940502909999999</v>
      </c>
      <c r="D101" s="3">
        <v>44</v>
      </c>
      <c r="E101" s="13">
        <f t="shared" ref="E101:E132" si="8">SQRT((B101-$B$2)^2+(C101-$C$2)^2)</f>
        <v>5.8952104932727348E-3</v>
      </c>
      <c r="F101" s="13">
        <f t="shared" ref="F101:F132" si="9">SQRT(1/E101)</f>
        <v>13.02417856041893</v>
      </c>
      <c r="G101" s="14">
        <f>F101/$F$179*$D$2</f>
        <v>0</v>
      </c>
      <c r="H101" s="14">
        <f>F101/$F$179*$E$2</f>
        <v>7.5759464003716417</v>
      </c>
      <c r="I101" s="25" t="str">
        <f t="shared" si="7"/>
        <v>选中</v>
      </c>
    </row>
    <row r="102" spans="1:9" hidden="1" x14ac:dyDescent="0.25">
      <c r="A102" s="3">
        <v>3787</v>
      </c>
      <c r="B102" s="3">
        <v>113.386059</v>
      </c>
      <c r="C102" s="3">
        <v>22.935785800000001</v>
      </c>
      <c r="D102" s="3">
        <v>44</v>
      </c>
      <c r="E102" s="13">
        <f t="shared" si="8"/>
        <v>5.9800240253836887E-3</v>
      </c>
      <c r="F102" s="13">
        <f t="shared" si="9"/>
        <v>12.931489025901019</v>
      </c>
      <c r="G102" s="14">
        <f>F102/$F$124*$D$2</f>
        <v>0</v>
      </c>
      <c r="H102" s="14">
        <f>F102/$F$124*$E$2</f>
        <v>585.43152819945112</v>
      </c>
      <c r="I102" s="25" t="str">
        <f t="shared" si="7"/>
        <v/>
      </c>
    </row>
    <row r="103" spans="1:9" hidden="1" x14ac:dyDescent="0.25">
      <c r="A103" s="3">
        <v>3663</v>
      </c>
      <c r="B103" s="3">
        <v>113.3762538</v>
      </c>
      <c r="C103" s="3">
        <v>22.93960556</v>
      </c>
      <c r="D103" s="3">
        <v>44</v>
      </c>
      <c r="E103" s="13">
        <f t="shared" si="8"/>
        <v>6.0624576652112527E-3</v>
      </c>
      <c r="F103" s="13">
        <f t="shared" si="9"/>
        <v>12.843270824089133</v>
      </c>
      <c r="G103" s="14">
        <f>F103/$F$124*$D$2</f>
        <v>0</v>
      </c>
      <c r="H103" s="14">
        <f>F103/$F$124*$E$2</f>
        <v>581.43773316174918</v>
      </c>
      <c r="I103" s="25" t="str">
        <f t="shared" si="7"/>
        <v/>
      </c>
    </row>
    <row r="104" spans="1:9" x14ac:dyDescent="0.25">
      <c r="A104" s="3">
        <v>3800</v>
      </c>
      <c r="B104" s="3">
        <v>113.386223</v>
      </c>
      <c r="C104" s="3">
        <v>22.93473517</v>
      </c>
      <c r="D104" s="3">
        <v>44</v>
      </c>
      <c r="E104" s="13">
        <f t="shared" si="8"/>
        <v>6.089208854657747E-3</v>
      </c>
      <c r="F104" s="13">
        <f t="shared" si="9"/>
        <v>12.815028160931622</v>
      </c>
      <c r="G104" s="14">
        <f>F104/$F$179*$D$2</f>
        <v>0</v>
      </c>
      <c r="H104" s="14">
        <f>F104/$F$179*$E$2</f>
        <v>7.4542871180774357</v>
      </c>
      <c r="I104" s="25" t="str">
        <f t="shared" si="7"/>
        <v>选中</v>
      </c>
    </row>
    <row r="105" spans="1:9" hidden="1" x14ac:dyDescent="0.25">
      <c r="A105" s="3">
        <v>4106</v>
      </c>
      <c r="B105" s="3">
        <v>113.37518729999999</v>
      </c>
      <c r="C105" s="3">
        <v>22.931348960000001</v>
      </c>
      <c r="D105" s="3">
        <v>44</v>
      </c>
      <c r="E105" s="13">
        <f t="shared" si="8"/>
        <v>6.121816110643709E-3</v>
      </c>
      <c r="F105" s="13">
        <f t="shared" si="9"/>
        <v>12.780853594963908</v>
      </c>
      <c r="G105" s="14">
        <f>F105/$F$124*$D$2</f>
        <v>0</v>
      </c>
      <c r="H105" s="14">
        <f>F105/$F$124*$E$2</f>
        <v>578.61199408718733</v>
      </c>
      <c r="I105" s="25" t="str">
        <f t="shared" si="7"/>
        <v/>
      </c>
    </row>
    <row r="106" spans="1:9" hidden="1" x14ac:dyDescent="0.25">
      <c r="A106" s="3">
        <v>3775</v>
      </c>
      <c r="B106" s="3">
        <v>113.385993</v>
      </c>
      <c r="C106" s="3">
        <v>22.936762420000001</v>
      </c>
      <c r="D106" s="3">
        <v>44</v>
      </c>
      <c r="E106" s="13">
        <f t="shared" si="8"/>
        <v>6.1293333249318556E-3</v>
      </c>
      <c r="F106" s="13">
        <f t="shared" si="9"/>
        <v>12.773013762631901</v>
      </c>
      <c r="G106" s="14">
        <f>F106/$F$124*$D$2</f>
        <v>0</v>
      </c>
      <c r="H106" s="14">
        <f>F106/$F$124*$E$2</f>
        <v>578.2570709214358</v>
      </c>
      <c r="I106" s="25" t="str">
        <f t="shared" si="7"/>
        <v/>
      </c>
    </row>
    <row r="107" spans="1:9" x14ac:dyDescent="0.25">
      <c r="A107" s="3">
        <v>3786</v>
      </c>
      <c r="B107" s="3">
        <v>113.386213</v>
      </c>
      <c r="C107" s="3">
        <v>22.93579673</v>
      </c>
      <c r="D107" s="3">
        <v>44</v>
      </c>
      <c r="E107" s="13">
        <f t="shared" si="8"/>
        <v>6.134050329790499E-3</v>
      </c>
      <c r="F107" s="13">
        <f t="shared" si="9"/>
        <v>12.768101677457276</v>
      </c>
      <c r="G107" s="14">
        <f>F107/$F$179*$D$2</f>
        <v>0</v>
      </c>
      <c r="H107" s="14">
        <f>F107/$F$179*$E$2</f>
        <v>7.4269907690669879</v>
      </c>
      <c r="I107" s="25" t="str">
        <f t="shared" si="7"/>
        <v>选中</v>
      </c>
    </row>
    <row r="108" spans="1:9" hidden="1" x14ac:dyDescent="0.25">
      <c r="A108" s="3">
        <v>4104</v>
      </c>
      <c r="B108" s="3">
        <v>113.3757198</v>
      </c>
      <c r="C108" s="3">
        <v>22.930646790000001</v>
      </c>
      <c r="D108" s="3">
        <v>44</v>
      </c>
      <c r="E108" s="13">
        <f t="shared" si="8"/>
        <v>6.1675734838252082E-3</v>
      </c>
      <c r="F108" s="13">
        <f t="shared" si="9"/>
        <v>12.733354604747429</v>
      </c>
      <c r="G108" s="14">
        <f>F108/$F$124*$D$2</f>
        <v>0</v>
      </c>
      <c r="H108" s="14">
        <f>F108/$F$124*$E$2</f>
        <v>576.46163024473526</v>
      </c>
      <c r="I108" s="25" t="str">
        <f t="shared" si="7"/>
        <v/>
      </c>
    </row>
    <row r="109" spans="1:9" hidden="1" x14ac:dyDescent="0.25">
      <c r="A109" s="3">
        <v>3782</v>
      </c>
      <c r="B109" s="3">
        <v>113.3863449</v>
      </c>
      <c r="C109" s="3">
        <v>22.93601658</v>
      </c>
      <c r="D109" s="3">
        <v>44</v>
      </c>
      <c r="E109" s="13">
        <f t="shared" si="8"/>
        <v>6.2981805733797521E-3</v>
      </c>
      <c r="F109" s="13">
        <f t="shared" si="9"/>
        <v>12.600635416735225</v>
      </c>
      <c r="G109" s="14">
        <f>F109/$F$124*$D$2</f>
        <v>0</v>
      </c>
      <c r="H109" s="14">
        <f>F109/$F$124*$E$2</f>
        <v>570.45319634329121</v>
      </c>
      <c r="I109" s="25" t="str">
        <f t="shared" si="7"/>
        <v/>
      </c>
    </row>
    <row r="110" spans="1:9" x14ac:dyDescent="0.25">
      <c r="A110" s="3">
        <v>3690</v>
      </c>
      <c r="B110" s="3">
        <v>113.37383320000001</v>
      </c>
      <c r="C110" s="3">
        <v>22.934986649999999</v>
      </c>
      <c r="D110" s="3">
        <v>44</v>
      </c>
      <c r="E110" s="13">
        <f t="shared" si="8"/>
        <v>6.3045035854919435E-3</v>
      </c>
      <c r="F110" s="13">
        <f t="shared" si="9"/>
        <v>12.594315017652784</v>
      </c>
      <c r="G110" s="14">
        <f>F110/$F$179*$D$2</f>
        <v>0</v>
      </c>
      <c r="H110" s="14">
        <f>F110/$F$179*$E$2</f>
        <v>7.3259019814961812</v>
      </c>
      <c r="I110" s="25" t="str">
        <f t="shared" si="7"/>
        <v>选中</v>
      </c>
    </row>
    <row r="111" spans="1:9" hidden="1" x14ac:dyDescent="0.25">
      <c r="A111" s="3">
        <v>3704</v>
      </c>
      <c r="B111" s="3">
        <v>113.3738183</v>
      </c>
      <c r="C111" s="3">
        <v>22.93451087</v>
      </c>
      <c r="D111" s="3">
        <v>44</v>
      </c>
      <c r="E111" s="13">
        <f t="shared" si="8"/>
        <v>6.3345746360442831E-3</v>
      </c>
      <c r="F111" s="13">
        <f t="shared" si="9"/>
        <v>12.564386029620369</v>
      </c>
      <c r="G111" s="14">
        <f>F111/$F$124*$D$2</f>
        <v>0</v>
      </c>
      <c r="H111" s="14">
        <f>F111/$F$124*$E$2</f>
        <v>568.81212205923634</v>
      </c>
      <c r="I111" s="25" t="str">
        <f t="shared" si="7"/>
        <v/>
      </c>
    </row>
    <row r="112" spans="1:9" hidden="1" x14ac:dyDescent="0.25">
      <c r="A112" s="3">
        <v>3799</v>
      </c>
      <c r="B112" s="3">
        <v>113.3865199</v>
      </c>
      <c r="C112" s="3">
        <v>22.934736040000001</v>
      </c>
      <c r="D112" s="3">
        <v>44</v>
      </c>
      <c r="E112" s="13">
        <f t="shared" si="8"/>
        <v>6.3859024946267976E-3</v>
      </c>
      <c r="F112" s="13">
        <f t="shared" si="9"/>
        <v>12.513789880869595</v>
      </c>
      <c r="G112" s="14">
        <f>F112/$F$124*$D$2</f>
        <v>0</v>
      </c>
      <c r="H112" s="14">
        <f>F112/$F$124*$E$2</f>
        <v>566.52154433652834</v>
      </c>
      <c r="I112" s="25" t="str">
        <f t="shared" si="7"/>
        <v/>
      </c>
    </row>
    <row r="113" spans="1:9" x14ac:dyDescent="0.25">
      <c r="A113" s="3">
        <v>3741</v>
      </c>
      <c r="B113" s="3">
        <v>113.37375230000001</v>
      </c>
      <c r="C113" s="3">
        <v>22.935325580000001</v>
      </c>
      <c r="D113" s="3">
        <v>44</v>
      </c>
      <c r="E113" s="13">
        <f t="shared" si="8"/>
        <v>6.3963062461693141E-3</v>
      </c>
      <c r="F113" s="13">
        <f t="shared" si="9"/>
        <v>12.503608743637615</v>
      </c>
      <c r="G113" s="14">
        <f>F113/$F$179*$D$2</f>
        <v>0</v>
      </c>
      <c r="H113" s="14">
        <f>F113/$F$179*$E$2</f>
        <v>7.2731396620202542</v>
      </c>
      <c r="I113" s="25" t="str">
        <f t="shared" si="7"/>
        <v>选中</v>
      </c>
    </row>
    <row r="114" spans="1:9" hidden="1" x14ac:dyDescent="0.25">
      <c r="A114" s="3">
        <v>3737</v>
      </c>
      <c r="B114" s="3">
        <v>113.37374730000001</v>
      </c>
      <c r="C114" s="3">
        <v>22.934595900000001</v>
      </c>
      <c r="D114" s="3">
        <v>44</v>
      </c>
      <c r="E114" s="13">
        <f t="shared" si="8"/>
        <v>6.4001314316194709E-3</v>
      </c>
      <c r="F114" s="13">
        <f t="shared" si="9"/>
        <v>12.499871650785959</v>
      </c>
      <c r="G114" s="14">
        <f>F114/$F$124*$D$2</f>
        <v>0</v>
      </c>
      <c r="H114" s="14">
        <f>F114/$F$124*$E$2</f>
        <v>565.8914412840976</v>
      </c>
      <c r="I114" s="25" t="str">
        <f t="shared" si="7"/>
        <v/>
      </c>
    </row>
    <row r="115" spans="1:9" hidden="1" x14ac:dyDescent="0.25">
      <c r="A115" s="3">
        <v>3742</v>
      </c>
      <c r="B115" s="3">
        <v>113.37371640000001</v>
      </c>
      <c r="C115" s="3">
        <v>22.934593929999998</v>
      </c>
      <c r="D115" s="3">
        <v>44</v>
      </c>
      <c r="E115" s="13">
        <f t="shared" si="8"/>
        <v>6.4310931214132542E-3</v>
      </c>
      <c r="F115" s="13">
        <f t="shared" si="9"/>
        <v>12.46974581702508</v>
      </c>
      <c r="G115" s="14">
        <f>F115/$F$124*$D$2</f>
        <v>0</v>
      </c>
      <c r="H115" s="14">
        <f>F115/$F$124*$E$2</f>
        <v>564.527591161224</v>
      </c>
      <c r="I115" s="25" t="str">
        <f t="shared" si="7"/>
        <v/>
      </c>
    </row>
    <row r="116" spans="1:9" x14ac:dyDescent="0.25">
      <c r="A116" s="3">
        <v>3733</v>
      </c>
      <c r="B116" s="3">
        <v>113.3737163</v>
      </c>
      <c r="C116" s="3">
        <v>22.935354610000001</v>
      </c>
      <c r="D116" s="3">
        <v>44</v>
      </c>
      <c r="E116" s="13">
        <f t="shared" si="8"/>
        <v>6.4340026810683305E-3</v>
      </c>
      <c r="F116" s="13">
        <f t="shared" si="9"/>
        <v>12.466925988231804</v>
      </c>
      <c r="G116" s="14">
        <f>F116/$F$179*$D$2</f>
        <v>0</v>
      </c>
      <c r="H116" s="14">
        <f>F116/$F$179*$E$2</f>
        <v>7.2518019179557696</v>
      </c>
      <c r="I116" s="25" t="str">
        <f t="shared" si="7"/>
        <v>选中</v>
      </c>
    </row>
    <row r="117" spans="1:9" hidden="1" x14ac:dyDescent="0.25">
      <c r="A117" s="3">
        <v>3823</v>
      </c>
      <c r="B117" s="3">
        <v>113.38655</v>
      </c>
      <c r="C117" s="3">
        <v>22.934269220000001</v>
      </c>
      <c r="D117" s="3">
        <v>44</v>
      </c>
      <c r="E117" s="13">
        <f t="shared" si="8"/>
        <v>6.4484905074075963E-3</v>
      </c>
      <c r="F117" s="13">
        <f t="shared" si="9"/>
        <v>12.452913389343617</v>
      </c>
      <c r="G117" s="14">
        <f>F117/$F$124*$D$2</f>
        <v>0</v>
      </c>
      <c r="H117" s="14">
        <f>F117/$F$124*$E$2</f>
        <v>563.76555719582939</v>
      </c>
      <c r="I117" s="25" t="str">
        <f t="shared" si="7"/>
        <v/>
      </c>
    </row>
    <row r="118" spans="1:9" hidden="1" x14ac:dyDescent="0.25">
      <c r="A118" s="3">
        <v>3725</v>
      </c>
      <c r="B118" s="3">
        <v>113.373912</v>
      </c>
      <c r="C118" s="3">
        <v>22.936696860000001</v>
      </c>
      <c r="D118" s="3">
        <v>44</v>
      </c>
      <c r="E118" s="13">
        <f t="shared" si="8"/>
        <v>6.4658977476002525E-3</v>
      </c>
      <c r="F118" s="13">
        <f t="shared" si="9"/>
        <v>12.436139465970333</v>
      </c>
      <c r="G118" s="14">
        <f>F118/$F$124*$D$2</f>
        <v>0</v>
      </c>
      <c r="H118" s="14">
        <f>F118/$F$124*$E$2</f>
        <v>563.00617182461235</v>
      </c>
      <c r="I118" s="25" t="str">
        <f t="shared" si="7"/>
        <v/>
      </c>
    </row>
    <row r="119" spans="1:9" x14ac:dyDescent="0.25">
      <c r="A119" s="3">
        <v>4121</v>
      </c>
      <c r="B119" s="3">
        <v>113.3739982</v>
      </c>
      <c r="C119" s="3">
        <v>22.932918369999999</v>
      </c>
      <c r="D119" s="3">
        <v>44</v>
      </c>
      <c r="E119" s="13">
        <f t="shared" si="8"/>
        <v>6.4669796149007504E-3</v>
      </c>
      <c r="F119" s="13">
        <f t="shared" si="9"/>
        <v>12.435099195536941</v>
      </c>
      <c r="G119" s="14">
        <f>F119/$F$179*$D$2</f>
        <v>0</v>
      </c>
      <c r="H119" s="14">
        <f>F119/$F$179*$E$2</f>
        <v>7.2332888060206502</v>
      </c>
      <c r="I119" s="25" t="str">
        <f t="shared" si="7"/>
        <v>选中</v>
      </c>
    </row>
    <row r="120" spans="1:9" hidden="1" x14ac:dyDescent="0.25">
      <c r="A120" s="3">
        <v>4133</v>
      </c>
      <c r="B120" s="3">
        <v>113.3738773</v>
      </c>
      <c r="C120" s="3">
        <v>22.93326034</v>
      </c>
      <c r="D120" s="3">
        <v>44</v>
      </c>
      <c r="E120" s="13">
        <f t="shared" si="8"/>
        <v>6.4844452899860995E-3</v>
      </c>
      <c r="F120" s="13">
        <f t="shared" si="9"/>
        <v>12.418341104686721</v>
      </c>
      <c r="G120" s="14">
        <f>F120/$F$124*$D$2</f>
        <v>0</v>
      </c>
      <c r="H120" s="14">
        <f>F120/$F$124*$E$2</f>
        <v>562.20040832554116</v>
      </c>
      <c r="I120" s="25" t="str">
        <f t="shared" si="7"/>
        <v/>
      </c>
    </row>
    <row r="121" spans="1:9" hidden="1" x14ac:dyDescent="0.25">
      <c r="A121" s="3">
        <v>3665</v>
      </c>
      <c r="B121" s="3">
        <v>113.37417170000001</v>
      </c>
      <c r="C121" s="3">
        <v>22.937499280000001</v>
      </c>
      <c r="D121" s="3">
        <v>44</v>
      </c>
      <c r="E121" s="13">
        <f t="shared" si="8"/>
        <v>6.4875412386214667E-3</v>
      </c>
      <c r="F121" s="13">
        <f t="shared" si="9"/>
        <v>12.415377644980708</v>
      </c>
      <c r="G121" s="14">
        <f>F121/$F$124*$D$2</f>
        <v>0</v>
      </c>
      <c r="H121" s="14">
        <f>F121/$F$124*$E$2</f>
        <v>562.0662472292455</v>
      </c>
      <c r="I121" s="25" t="str">
        <f t="shared" si="7"/>
        <v/>
      </c>
    </row>
    <row r="122" spans="1:9" x14ac:dyDescent="0.25">
      <c r="A122" s="3">
        <v>3722</v>
      </c>
      <c r="B122" s="3">
        <v>113.3737234</v>
      </c>
      <c r="C122" s="3">
        <v>22.933879220000001</v>
      </c>
      <c r="D122" s="3">
        <v>44</v>
      </c>
      <c r="E122" s="13">
        <f t="shared" si="8"/>
        <v>6.5030472783172482E-3</v>
      </c>
      <c r="F122" s="13">
        <f t="shared" si="9"/>
        <v>12.400567031904631</v>
      </c>
      <c r="G122" s="14">
        <f>F122/$F$179*$D$2</f>
        <v>0</v>
      </c>
      <c r="H122" s="14">
        <f>F122/$F$179*$E$2</f>
        <v>7.2132020251497009</v>
      </c>
      <c r="I122" s="25" t="str">
        <f t="shared" si="7"/>
        <v>选中</v>
      </c>
    </row>
    <row r="123" spans="1:9" hidden="1" x14ac:dyDescent="0.25">
      <c r="A123" s="3">
        <v>3675</v>
      </c>
      <c r="B123" s="3">
        <v>113.3738371</v>
      </c>
      <c r="C123" s="3">
        <v>22.93664695</v>
      </c>
      <c r="D123" s="3">
        <v>44</v>
      </c>
      <c r="E123" s="13">
        <f t="shared" si="8"/>
        <v>6.5248914874910429E-3</v>
      </c>
      <c r="F123" s="13">
        <f t="shared" si="9"/>
        <v>12.379792151871804</v>
      </c>
      <c r="G123" s="14">
        <f>F123/$F$124*$D$2</f>
        <v>0</v>
      </c>
      <c r="H123" s="14">
        <f>F123/$F$124*$E$2</f>
        <v>560.4552286086714</v>
      </c>
      <c r="I123" s="25" t="str">
        <f t="shared" si="7"/>
        <v/>
      </c>
    </row>
    <row r="124" spans="1:9" hidden="1" x14ac:dyDescent="0.25">
      <c r="A124" s="3">
        <v>4153</v>
      </c>
      <c r="B124" s="3">
        <v>113.38417629999999</v>
      </c>
      <c r="C124" s="3">
        <v>22.929812250000001</v>
      </c>
      <c r="D124" s="3">
        <v>44</v>
      </c>
      <c r="E124" s="13">
        <f t="shared" si="8"/>
        <v>6.5355040752455469E-3</v>
      </c>
      <c r="F124" s="13">
        <f t="shared" si="9"/>
        <v>12.369736691115504</v>
      </c>
      <c r="G124" s="14">
        <f>F124/$F$124*$D$2</f>
        <v>0</v>
      </c>
      <c r="H124" s="14">
        <f>F124/$F$124*$E$2</f>
        <v>560</v>
      </c>
      <c r="I124" s="25" t="str">
        <f t="shared" si="7"/>
        <v/>
      </c>
    </row>
    <row r="125" spans="1:9" x14ac:dyDescent="0.25">
      <c r="A125" s="3">
        <v>3659</v>
      </c>
      <c r="B125" s="3">
        <v>113.3746373</v>
      </c>
      <c r="C125" s="3">
        <v>22.938536419999998</v>
      </c>
      <c r="D125" s="3">
        <v>44</v>
      </c>
      <c r="E125" s="13">
        <f t="shared" si="8"/>
        <v>6.5659767451631814E-3</v>
      </c>
      <c r="F125" s="13">
        <f t="shared" si="9"/>
        <v>12.340999362415749</v>
      </c>
      <c r="G125" s="14">
        <f>F125/$F$179*$D$2</f>
        <v>0</v>
      </c>
      <c r="H125" s="14">
        <f>F125/$F$179*$E$2</f>
        <v>7.1785525100843675</v>
      </c>
      <c r="I125" s="25" t="str">
        <f t="shared" si="7"/>
        <v>选中</v>
      </c>
    </row>
    <row r="126" spans="1:9" hidden="1" x14ac:dyDescent="0.25">
      <c r="A126" s="3">
        <v>4152</v>
      </c>
      <c r="B126" s="3">
        <v>113.3840703</v>
      </c>
      <c r="C126" s="3">
        <v>22.929625380000001</v>
      </c>
      <c r="D126" s="3">
        <v>44</v>
      </c>
      <c r="E126" s="13">
        <f t="shared" si="8"/>
        <v>6.6199047430418375E-3</v>
      </c>
      <c r="F126" s="13">
        <f t="shared" si="9"/>
        <v>12.290629579053112</v>
      </c>
      <c r="G126" s="14">
        <f>F126/$F$124*$D$2</f>
        <v>0</v>
      </c>
      <c r="H126" s="14">
        <f>F126/$F$124*$E$2</f>
        <v>556.41868021436881</v>
      </c>
      <c r="I126" s="25" t="str">
        <f t="shared" si="7"/>
        <v/>
      </c>
    </row>
    <row r="127" spans="1:9" hidden="1" x14ac:dyDescent="0.25">
      <c r="A127" s="3">
        <v>4136</v>
      </c>
      <c r="B127" s="3">
        <v>113.3741491</v>
      </c>
      <c r="C127" s="3">
        <v>22.932048600000002</v>
      </c>
      <c r="D127" s="3">
        <v>44</v>
      </c>
      <c r="E127" s="13">
        <f t="shared" si="8"/>
        <v>6.6545633889911523E-3</v>
      </c>
      <c r="F127" s="13">
        <f t="shared" si="9"/>
        <v>12.258581445191925</v>
      </c>
      <c r="G127" s="14">
        <f>F127/$F$124*$D$2</f>
        <v>0</v>
      </c>
      <c r="H127" s="14">
        <f>F127/$F$124*$E$2</f>
        <v>554.96780414397085</v>
      </c>
      <c r="I127" s="25" t="str">
        <f t="shared" si="7"/>
        <v/>
      </c>
    </row>
    <row r="128" spans="1:9" x14ac:dyDescent="0.25">
      <c r="A128" s="3">
        <v>3809</v>
      </c>
      <c r="B128" s="3">
        <v>113.3823235</v>
      </c>
      <c r="C128" s="3">
        <v>22.941253469999999</v>
      </c>
      <c r="D128" s="3">
        <v>44</v>
      </c>
      <c r="E128" s="13">
        <f t="shared" si="8"/>
        <v>6.671241531498763E-3</v>
      </c>
      <c r="F128" s="13">
        <f t="shared" si="9"/>
        <v>12.243248593797455</v>
      </c>
      <c r="G128" s="14">
        <f>F128/$F$179*$D$2</f>
        <v>0</v>
      </c>
      <c r="H128" s="14">
        <f>F128/$F$179*$E$2</f>
        <v>7.1216925261543329</v>
      </c>
      <c r="I128" s="25" t="str">
        <f t="shared" si="7"/>
        <v>选中</v>
      </c>
    </row>
    <row r="129" spans="1:9" hidden="1" x14ac:dyDescent="0.25">
      <c r="A129" s="3">
        <v>4144</v>
      </c>
      <c r="B129" s="3">
        <v>113.37360049999999</v>
      </c>
      <c r="C129" s="3">
        <v>22.933500500000001</v>
      </c>
      <c r="D129" s="3">
        <v>44</v>
      </c>
      <c r="E129" s="13">
        <f t="shared" si="8"/>
        <v>6.6959842749317704E-3</v>
      </c>
      <c r="F129" s="13">
        <f t="shared" si="9"/>
        <v>12.220607268057512</v>
      </c>
      <c r="G129" s="14">
        <f>F129/$F$124*$D$2</f>
        <v>0</v>
      </c>
      <c r="H129" s="14">
        <f>F129/$F$124*$E$2</f>
        <v>553.24864554534474</v>
      </c>
      <c r="I129" s="25" t="str">
        <f t="shared" si="7"/>
        <v/>
      </c>
    </row>
    <row r="130" spans="1:9" hidden="1" x14ac:dyDescent="0.25">
      <c r="A130" s="3">
        <v>4102</v>
      </c>
      <c r="B130" s="3">
        <v>113.3760616</v>
      </c>
      <c r="C130" s="3">
        <v>22.92963293</v>
      </c>
      <c r="D130" s="3">
        <v>44</v>
      </c>
      <c r="E130" s="13">
        <f t="shared" si="8"/>
        <v>6.7000323175623374E-3</v>
      </c>
      <c r="F130" s="13">
        <f t="shared" si="9"/>
        <v>12.216914971418952</v>
      </c>
      <c r="G130" s="14">
        <f>F130/$F$124*$D$2</f>
        <v>0</v>
      </c>
      <c r="H130" s="14">
        <f>F130/$F$124*$E$2</f>
        <v>553.08148870367336</v>
      </c>
      <c r="I130" s="25" t="str">
        <f t="shared" si="7"/>
        <v/>
      </c>
    </row>
    <row r="131" spans="1:9" x14ac:dyDescent="0.25">
      <c r="A131" s="3">
        <v>3822</v>
      </c>
      <c r="B131" s="3">
        <v>113.3866048</v>
      </c>
      <c r="C131" s="3">
        <v>22.936711169999999</v>
      </c>
      <c r="D131" s="3">
        <v>44</v>
      </c>
      <c r="E131" s="13">
        <f t="shared" si="8"/>
        <v>6.7025815530759531E-3</v>
      </c>
      <c r="F131" s="13">
        <f t="shared" si="9"/>
        <v>12.214591481946432</v>
      </c>
      <c r="G131" s="14">
        <f>F131/$F$179*$D$2</f>
        <v>0</v>
      </c>
      <c r="H131" s="14">
        <f>F131/$F$179*$E$2</f>
        <v>7.1050231644463633</v>
      </c>
      <c r="I131" s="25" t="str">
        <f t="shared" si="7"/>
        <v>选中</v>
      </c>
    </row>
    <row r="132" spans="1:9" hidden="1" x14ac:dyDescent="0.25">
      <c r="A132" s="3">
        <v>3669</v>
      </c>
      <c r="B132" s="3">
        <v>113.3741727</v>
      </c>
      <c r="C132" s="3">
        <v>22.938018060000001</v>
      </c>
      <c r="D132" s="3">
        <v>44</v>
      </c>
      <c r="E132" s="13">
        <f t="shared" si="8"/>
        <v>6.7074507089091573E-3</v>
      </c>
      <c r="F132" s="13">
        <f t="shared" si="9"/>
        <v>12.210157193158665</v>
      </c>
      <c r="G132" s="14">
        <f>F132/$F$124*$D$2</f>
        <v>0</v>
      </c>
      <c r="H132" s="14">
        <f>F132/$F$124*$E$2</f>
        <v>552.77555205196768</v>
      </c>
      <c r="I132" s="25" t="str">
        <f t="shared" si="7"/>
        <v/>
      </c>
    </row>
    <row r="133" spans="1:9" hidden="1" x14ac:dyDescent="0.25">
      <c r="A133" s="3">
        <v>3657</v>
      </c>
      <c r="B133" s="3">
        <v>113.3740209</v>
      </c>
      <c r="C133" s="3">
        <v>22.937761309999999</v>
      </c>
      <c r="D133" s="3">
        <v>44</v>
      </c>
      <c r="E133" s="13">
        <f t="shared" ref="E133:E164" si="10">SQRT((B133-$B$2)^2+(C133-$C$2)^2)</f>
        <v>6.7316131447004461E-3</v>
      </c>
      <c r="F133" s="13">
        <f t="shared" ref="F133:F164" si="11">SQRT(1/E133)</f>
        <v>12.188223939460142</v>
      </c>
      <c r="G133" s="14">
        <f>F133/$F$124*$D$2</f>
        <v>0</v>
      </c>
      <c r="H133" s="14">
        <f>F133/$F$124*$E$2</f>
        <v>551.78259461254254</v>
      </c>
      <c r="I133" s="25" t="str">
        <f t="shared" si="7"/>
        <v/>
      </c>
    </row>
    <row r="134" spans="1:9" x14ac:dyDescent="0.25">
      <c r="A134" s="3">
        <v>3677</v>
      </c>
      <c r="B134" s="3">
        <v>113.3734006</v>
      </c>
      <c r="C134" s="3">
        <v>22.93531192</v>
      </c>
      <c r="D134" s="3">
        <v>44</v>
      </c>
      <c r="E134" s="13">
        <f t="shared" si="10"/>
        <v>6.7466870527774494E-3</v>
      </c>
      <c r="F134" s="13">
        <f t="shared" si="11"/>
        <v>12.174600445224019</v>
      </c>
      <c r="G134" s="14">
        <f>F134/$F$179*$D$2</f>
        <v>0</v>
      </c>
      <c r="H134" s="14">
        <f>F134/$F$179*$E$2</f>
        <v>7.0817610485824858</v>
      </c>
      <c r="I134" s="25" t="str">
        <f t="shared" ref="I134:I177" si="12">IF(MOD(ROW()-1,3)=1,"选中","")</f>
        <v>选中</v>
      </c>
    </row>
    <row r="135" spans="1:9" hidden="1" x14ac:dyDescent="0.25">
      <c r="A135" s="3">
        <v>3728</v>
      </c>
      <c r="B135" s="3">
        <v>113.3741807</v>
      </c>
      <c r="C135" s="3">
        <v>22.938139</v>
      </c>
      <c r="D135" s="3">
        <v>44</v>
      </c>
      <c r="E135" s="13">
        <f t="shared" si="10"/>
        <v>6.7565617062311208E-3</v>
      </c>
      <c r="F135" s="13">
        <f t="shared" si="11"/>
        <v>12.165700658410518</v>
      </c>
      <c r="G135" s="14">
        <f>F135/$F$124*$D$2</f>
        <v>0</v>
      </c>
      <c r="H135" s="14">
        <f>F135/$F$124*$E$2</f>
        <v>550.76292558459556</v>
      </c>
      <c r="I135" s="25" t="str">
        <f t="shared" si="12"/>
        <v/>
      </c>
    </row>
    <row r="136" spans="1:9" hidden="1" x14ac:dyDescent="0.25">
      <c r="A136" s="3">
        <v>3790</v>
      </c>
      <c r="B136" s="3">
        <v>113.3840706</v>
      </c>
      <c r="C136" s="3">
        <v>22.94050579</v>
      </c>
      <c r="D136" s="3">
        <v>44</v>
      </c>
      <c r="E136" s="13">
        <f t="shared" si="10"/>
        <v>6.806586874375499E-3</v>
      </c>
      <c r="F136" s="13">
        <f t="shared" si="11"/>
        <v>12.120912163512054</v>
      </c>
      <c r="G136" s="14">
        <f>F136/$F$124*$D$2</f>
        <v>0</v>
      </c>
      <c r="H136" s="14">
        <f>F136/$F$124*$E$2</f>
        <v>548.73527069027966</v>
      </c>
      <c r="I136" s="25" t="str">
        <f t="shared" si="12"/>
        <v/>
      </c>
    </row>
    <row r="137" spans="1:9" x14ac:dyDescent="0.25">
      <c r="A137" s="3">
        <v>4114</v>
      </c>
      <c r="B137" s="3">
        <v>113.3739053</v>
      </c>
      <c r="C137" s="3">
        <v>22.93216477</v>
      </c>
      <c r="D137" s="3">
        <v>44</v>
      </c>
      <c r="E137" s="13">
        <f t="shared" si="10"/>
        <v>6.8265592092591181E-3</v>
      </c>
      <c r="F137" s="13">
        <f t="shared" si="11"/>
        <v>12.103168214236861</v>
      </c>
      <c r="G137" s="14">
        <f>F137/$F$179*$D$2</f>
        <v>0</v>
      </c>
      <c r="H137" s="14">
        <f>F137/$F$179*$E$2</f>
        <v>7.0402101169281623</v>
      </c>
      <c r="I137" s="25" t="str">
        <f t="shared" si="12"/>
        <v>选中</v>
      </c>
    </row>
    <row r="138" spans="1:9" hidden="1" x14ac:dyDescent="0.25">
      <c r="A138" s="3">
        <v>3711</v>
      </c>
      <c r="B138" s="3">
        <v>113.37326469999999</v>
      </c>
      <c r="C138" s="3">
        <v>22.935107129999999</v>
      </c>
      <c r="D138" s="3">
        <v>44</v>
      </c>
      <c r="E138" s="13">
        <f t="shared" si="10"/>
        <v>6.8746843007126222E-3</v>
      </c>
      <c r="F138" s="13">
        <f t="shared" si="11"/>
        <v>12.060730700041381</v>
      </c>
      <c r="G138" s="14">
        <f>F138/$F$124*$D$2</f>
        <v>0</v>
      </c>
      <c r="H138" s="14">
        <f>F138/$F$124*$E$2</f>
        <v>546.01074870689877</v>
      </c>
      <c r="I138" s="25" t="str">
        <f t="shared" si="12"/>
        <v/>
      </c>
    </row>
    <row r="139" spans="1:9" hidden="1" x14ac:dyDescent="0.25">
      <c r="A139" s="3">
        <v>4154</v>
      </c>
      <c r="B139" s="3">
        <v>113.3860723</v>
      </c>
      <c r="C139" s="3">
        <v>22.93145062</v>
      </c>
      <c r="D139" s="3">
        <v>44</v>
      </c>
      <c r="E139" s="13">
        <f t="shared" si="10"/>
        <v>6.8898399184649239E-3</v>
      </c>
      <c r="F139" s="13">
        <f t="shared" si="11"/>
        <v>12.047458370276411</v>
      </c>
      <c r="G139" s="14">
        <f>F139/$F$124*$D$2</f>
        <v>0</v>
      </c>
      <c r="H139" s="14">
        <f>F139/$F$124*$E$2</f>
        <v>545.40988671169384</v>
      </c>
      <c r="I139" s="25" t="str">
        <f t="shared" si="12"/>
        <v/>
      </c>
    </row>
    <row r="140" spans="1:9" x14ac:dyDescent="0.25">
      <c r="A140" s="3">
        <v>3794</v>
      </c>
      <c r="B140" s="3">
        <v>113.38384069999999</v>
      </c>
      <c r="C140" s="3">
        <v>22.940811790000001</v>
      </c>
      <c r="D140" s="3">
        <v>44</v>
      </c>
      <c r="E140" s="13">
        <f t="shared" si="10"/>
        <v>6.9330767230994118E-3</v>
      </c>
      <c r="F140" s="13">
        <f t="shared" si="11"/>
        <v>12.009833785966149</v>
      </c>
      <c r="G140" s="14">
        <f>F140/$F$179*$D$2</f>
        <v>0</v>
      </c>
      <c r="H140" s="14">
        <f>F140/$F$179*$E$2</f>
        <v>6.9859190441662191</v>
      </c>
      <c r="I140" s="25" t="str">
        <f t="shared" si="12"/>
        <v>选中</v>
      </c>
    </row>
    <row r="141" spans="1:9" hidden="1" x14ac:dyDescent="0.25">
      <c r="A141" s="3">
        <v>4105</v>
      </c>
      <c r="B141" s="3">
        <v>113.374325</v>
      </c>
      <c r="C141" s="3">
        <v>22.93115981</v>
      </c>
      <c r="D141" s="3">
        <v>44</v>
      </c>
      <c r="E141" s="13">
        <f t="shared" si="10"/>
        <v>6.9394326317057733E-3</v>
      </c>
      <c r="F141" s="13">
        <f t="shared" si="11"/>
        <v>12.00433255145245</v>
      </c>
      <c r="G141" s="14">
        <f>F141/$F$124*$D$2</f>
        <v>0</v>
      </c>
      <c r="H141" s="14">
        <f>F141/$F$124*$E$2</f>
        <v>543.45750412308439</v>
      </c>
      <c r="I141" s="25" t="str">
        <f t="shared" si="12"/>
        <v/>
      </c>
    </row>
    <row r="142" spans="1:9" hidden="1" x14ac:dyDescent="0.25">
      <c r="A142" s="3">
        <v>3798</v>
      </c>
      <c r="B142" s="3">
        <v>113.38711670000001</v>
      </c>
      <c r="C142" s="3">
        <v>22.935054650000001</v>
      </c>
      <c r="D142" s="3">
        <v>44</v>
      </c>
      <c r="E142" s="13">
        <f t="shared" si="10"/>
        <v>6.9798769294115923E-3</v>
      </c>
      <c r="F142" s="13">
        <f t="shared" si="11"/>
        <v>11.969502986669935</v>
      </c>
      <c r="G142" s="14">
        <f>F142/$F$124*$D$2</f>
        <v>0</v>
      </c>
      <c r="H142" s="14">
        <f>F142/$F$124*$E$2</f>
        <v>541.88070772351205</v>
      </c>
      <c r="I142" s="25" t="str">
        <f t="shared" si="12"/>
        <v/>
      </c>
    </row>
    <row r="143" spans="1:9" x14ac:dyDescent="0.25">
      <c r="A143" s="3">
        <v>4111</v>
      </c>
      <c r="B143" s="3">
        <v>113.374439</v>
      </c>
      <c r="C143" s="3">
        <v>22.930829849999999</v>
      </c>
      <c r="D143" s="3">
        <v>44</v>
      </c>
      <c r="E143" s="13">
        <f t="shared" si="10"/>
        <v>7.0323453268195148E-3</v>
      </c>
      <c r="F143" s="13">
        <f t="shared" si="11"/>
        <v>11.924767097166706</v>
      </c>
      <c r="G143" s="14">
        <f>F143/$F$179*$D$2</f>
        <v>0</v>
      </c>
      <c r="H143" s="14">
        <f>F143/$F$179*$E$2</f>
        <v>6.9364371768981963</v>
      </c>
      <c r="I143" s="25" t="str">
        <f t="shared" si="12"/>
        <v>选中</v>
      </c>
    </row>
    <row r="144" spans="1:9" hidden="1" x14ac:dyDescent="0.25">
      <c r="A144" s="3">
        <v>3779</v>
      </c>
      <c r="B144" s="3">
        <v>113.3871827</v>
      </c>
      <c r="C144" s="3">
        <v>22.935379489999999</v>
      </c>
      <c r="D144" s="3">
        <v>44</v>
      </c>
      <c r="E144" s="13">
        <f t="shared" si="10"/>
        <v>7.0581483301491209E-3</v>
      </c>
      <c r="F144" s="13">
        <f t="shared" si="11"/>
        <v>11.902950005652636</v>
      </c>
      <c r="G144" s="14">
        <f>F144/$F$124*$D$2</f>
        <v>0</v>
      </c>
      <c r="H144" s="14">
        <f>F144/$F$124*$E$2</f>
        <v>538.86773579853525</v>
      </c>
      <c r="I144" s="25" t="str">
        <f t="shared" si="12"/>
        <v/>
      </c>
    </row>
    <row r="145" spans="1:9" hidden="1" x14ac:dyDescent="0.25">
      <c r="A145" s="3">
        <v>3727</v>
      </c>
      <c r="B145" s="3">
        <v>113.3731829</v>
      </c>
      <c r="C145" s="3">
        <v>22.93369981</v>
      </c>
      <c r="D145" s="3">
        <v>44</v>
      </c>
      <c r="E145" s="13">
        <f t="shared" si="10"/>
        <v>7.0662651082393458E-3</v>
      </c>
      <c r="F145" s="13">
        <f t="shared" si="11"/>
        <v>11.896111784720532</v>
      </c>
      <c r="G145" s="14">
        <f>F145/$F$124*$D$2</f>
        <v>0</v>
      </c>
      <c r="H145" s="14">
        <f>F145/$F$124*$E$2</f>
        <v>538.55815736387626</v>
      </c>
      <c r="I145" s="25" t="str">
        <f t="shared" si="12"/>
        <v/>
      </c>
    </row>
    <row r="146" spans="1:9" x14ac:dyDescent="0.25">
      <c r="A146" s="3">
        <v>3655</v>
      </c>
      <c r="B146" s="3">
        <v>113.3760169</v>
      </c>
      <c r="C146" s="3">
        <v>22.94074728</v>
      </c>
      <c r="D146" s="3">
        <v>44</v>
      </c>
      <c r="E146" s="13">
        <f t="shared" si="10"/>
        <v>7.1121523410927088E-3</v>
      </c>
      <c r="F146" s="13">
        <f t="shared" si="11"/>
        <v>11.857673139570755</v>
      </c>
      <c r="G146" s="14">
        <f>F146/$F$179*$D$2</f>
        <v>0</v>
      </c>
      <c r="H146" s="14">
        <f>F146/$F$179*$E$2</f>
        <v>6.897409746171741</v>
      </c>
      <c r="I146" s="25" t="str">
        <f t="shared" si="12"/>
        <v>选中</v>
      </c>
    </row>
    <row r="147" spans="1:9" hidden="1" x14ac:dyDescent="0.25">
      <c r="A147" s="3">
        <v>4150</v>
      </c>
      <c r="B147" s="3">
        <v>113.384798</v>
      </c>
      <c r="C147" s="3">
        <v>22.929564030000002</v>
      </c>
      <c r="D147" s="3">
        <v>44</v>
      </c>
      <c r="E147" s="13">
        <f t="shared" si="10"/>
        <v>7.1227449028053134E-3</v>
      </c>
      <c r="F147" s="13">
        <f t="shared" si="11"/>
        <v>11.848852813381974</v>
      </c>
      <c r="G147" s="14">
        <f>F147/$F$124*$D$2</f>
        <v>0</v>
      </c>
      <c r="H147" s="14">
        <f>F147/$F$124*$E$2</f>
        <v>536.41865960329744</v>
      </c>
      <c r="I147" s="25" t="str">
        <f t="shared" si="12"/>
        <v/>
      </c>
    </row>
    <row r="148" spans="1:9" hidden="1" x14ac:dyDescent="0.25">
      <c r="A148" s="3">
        <v>3810</v>
      </c>
      <c r="B148" s="3">
        <v>113.38354080000001</v>
      </c>
      <c r="C148" s="3">
        <v>22.941257759999999</v>
      </c>
      <c r="D148" s="3">
        <v>44</v>
      </c>
      <c r="E148" s="13">
        <f t="shared" si="10"/>
        <v>7.1668105041603229E-3</v>
      </c>
      <c r="F148" s="13">
        <f t="shared" si="11"/>
        <v>11.812369925779867</v>
      </c>
      <c r="G148" s="14">
        <f>F148/$F$124*$D$2</f>
        <v>0</v>
      </c>
      <c r="H148" s="14">
        <f>F148/$F$124*$E$2</f>
        <v>534.76701433651863</v>
      </c>
      <c r="I148" s="25" t="str">
        <f t="shared" si="12"/>
        <v/>
      </c>
    </row>
    <row r="149" spans="1:9" x14ac:dyDescent="0.25">
      <c r="A149" s="3">
        <v>4101</v>
      </c>
      <c r="B149" s="3">
        <v>113.3761176</v>
      </c>
      <c r="C149" s="3">
        <v>22.92894317</v>
      </c>
      <c r="D149" s="3">
        <v>44</v>
      </c>
      <c r="E149" s="13">
        <f t="shared" si="10"/>
        <v>7.2283147327420949E-3</v>
      </c>
      <c r="F149" s="13">
        <f t="shared" si="11"/>
        <v>11.762008066263455</v>
      </c>
      <c r="G149" s="14">
        <f>F149/$F$179*$D$2</f>
        <v>0</v>
      </c>
      <c r="H149" s="14">
        <f>F149/$F$179*$E$2</f>
        <v>6.8417629762505818</v>
      </c>
      <c r="I149" s="25" t="str">
        <f t="shared" si="12"/>
        <v>选中</v>
      </c>
    </row>
    <row r="150" spans="1:9" hidden="1" x14ac:dyDescent="0.25">
      <c r="A150" s="3">
        <v>3662</v>
      </c>
      <c r="B150" s="3">
        <v>113.374813</v>
      </c>
      <c r="C150" s="3">
        <v>22.940558410000001</v>
      </c>
      <c r="D150" s="3">
        <v>44</v>
      </c>
      <c r="E150" s="13">
        <f t="shared" si="10"/>
        <v>7.7330399953675051E-3</v>
      </c>
      <c r="F150" s="13">
        <f t="shared" si="11"/>
        <v>11.371686329047925</v>
      </c>
      <c r="G150" s="14">
        <f>F150/$F$124*$D$2</f>
        <v>0</v>
      </c>
      <c r="H150" s="14">
        <f>F150/$F$124*$E$2</f>
        <v>514.81648342932988</v>
      </c>
      <c r="I150" s="25" t="str">
        <f t="shared" si="12"/>
        <v/>
      </c>
    </row>
    <row r="151" spans="1:9" hidden="1" x14ac:dyDescent="0.25">
      <c r="A151" s="3">
        <v>3773</v>
      </c>
      <c r="B151" s="3">
        <v>113.3857349</v>
      </c>
      <c r="C151" s="3">
        <v>22.94029505</v>
      </c>
      <c r="D151" s="3">
        <v>44</v>
      </c>
      <c r="E151" s="13">
        <f t="shared" si="10"/>
        <v>7.7391133278723245E-3</v>
      </c>
      <c r="F151" s="13">
        <f t="shared" si="11"/>
        <v>11.367223441359723</v>
      </c>
      <c r="G151" s="14">
        <f>F151/$F$124*$D$2</f>
        <v>0</v>
      </c>
      <c r="H151" s="14">
        <f>F151/$F$124*$E$2</f>
        <v>514.61444055907305</v>
      </c>
      <c r="I151" s="25" t="str">
        <f t="shared" si="12"/>
        <v/>
      </c>
    </row>
    <row r="152" spans="1:9" x14ac:dyDescent="0.25">
      <c r="A152" s="3">
        <v>4148</v>
      </c>
      <c r="B152" s="3">
        <v>113.38637629999999</v>
      </c>
      <c r="C152" s="3">
        <v>22.930329960000002</v>
      </c>
      <c r="D152" s="3">
        <v>44</v>
      </c>
      <c r="E152" s="13">
        <f t="shared" si="10"/>
        <v>7.763430942080444E-3</v>
      </c>
      <c r="F152" s="13">
        <f t="shared" si="11"/>
        <v>11.349406540656011</v>
      </c>
      <c r="G152" s="14">
        <f>F152/$F$179*$D$2</f>
        <v>0</v>
      </c>
      <c r="H152" s="14">
        <f>F152/$F$179*$E$2</f>
        <v>6.6017595834674738</v>
      </c>
      <c r="I152" s="25" t="str">
        <f t="shared" si="12"/>
        <v>选中</v>
      </c>
    </row>
    <row r="153" spans="1:9" hidden="1" x14ac:dyDescent="0.25">
      <c r="A153" s="3">
        <v>3785</v>
      </c>
      <c r="B153" s="3">
        <v>113.38772640000001</v>
      </c>
      <c r="C153" s="3">
        <v>22.936631739999999</v>
      </c>
      <c r="D153" s="3">
        <v>44</v>
      </c>
      <c r="E153" s="13">
        <f t="shared" si="10"/>
        <v>7.7727999944044715E-3</v>
      </c>
      <c r="F153" s="13">
        <f t="shared" si="11"/>
        <v>11.342564395890079</v>
      </c>
      <c r="G153" s="14">
        <f>F153/$F$124*$D$2</f>
        <v>0</v>
      </c>
      <c r="H153" s="14">
        <f>F153/$F$124*$E$2</f>
        <v>513.4980816738497</v>
      </c>
      <c r="I153" s="25" t="str">
        <f t="shared" si="12"/>
        <v/>
      </c>
    </row>
    <row r="154" spans="1:9" hidden="1" x14ac:dyDescent="0.25">
      <c r="A154" s="3">
        <v>3770</v>
      </c>
      <c r="B154" s="3">
        <v>113.3874284</v>
      </c>
      <c r="C154" s="3">
        <v>22.937848349999999</v>
      </c>
      <c r="D154" s="3">
        <v>44</v>
      </c>
      <c r="E154" s="13">
        <f t="shared" si="10"/>
        <v>7.8455873779913199E-3</v>
      </c>
      <c r="F154" s="13">
        <f t="shared" si="11"/>
        <v>11.289826509964888</v>
      </c>
      <c r="G154" s="14">
        <f>F154/$F$124*$D$2</f>
        <v>0</v>
      </c>
      <c r="H154" s="14">
        <f>F154/$F$124*$E$2</f>
        <v>511.11054369664123</v>
      </c>
      <c r="I154" s="25" t="str">
        <f t="shared" si="12"/>
        <v/>
      </c>
    </row>
    <row r="155" spans="1:9" x14ac:dyDescent="0.25">
      <c r="A155" s="3">
        <v>4109</v>
      </c>
      <c r="B155" s="3">
        <v>113.37329699999999</v>
      </c>
      <c r="C155" s="3">
        <v>22.930680970000001</v>
      </c>
      <c r="D155" s="3">
        <v>44</v>
      </c>
      <c r="E155" s="13">
        <f t="shared" si="10"/>
        <v>8.0636703908112655E-3</v>
      </c>
      <c r="F155" s="13">
        <f t="shared" si="11"/>
        <v>11.136112671609691</v>
      </c>
      <c r="G155" s="14">
        <f>F155/$F$179*$D$2</f>
        <v>0</v>
      </c>
      <c r="H155" s="14">
        <f>F155/$F$179*$E$2</f>
        <v>6.4776901143699286</v>
      </c>
      <c r="I155" s="25" t="str">
        <f t="shared" si="12"/>
        <v>选中</v>
      </c>
    </row>
    <row r="156" spans="1:9" hidden="1" x14ac:dyDescent="0.25">
      <c r="A156" s="3">
        <v>4161</v>
      </c>
      <c r="B156" s="3">
        <v>113.38812849999999</v>
      </c>
      <c r="C156" s="3">
        <v>22.933556889999998</v>
      </c>
      <c r="D156" s="3">
        <v>44</v>
      </c>
      <c r="E156" s="13">
        <f t="shared" si="10"/>
        <v>8.1115140087617346E-3</v>
      </c>
      <c r="F156" s="13">
        <f t="shared" si="11"/>
        <v>11.103222395018861</v>
      </c>
      <c r="G156" s="14">
        <f>F156/$F$124*$D$2</f>
        <v>0</v>
      </c>
      <c r="H156" s="14">
        <f>F156/$F$124*$E$2</f>
        <v>502.66264322962235</v>
      </c>
      <c r="I156" s="25" t="str">
        <f t="shared" si="12"/>
        <v/>
      </c>
    </row>
    <row r="157" spans="1:9" hidden="1" x14ac:dyDescent="0.25">
      <c r="A157" s="3">
        <v>3796</v>
      </c>
      <c r="B157" s="3">
        <v>113.3883153</v>
      </c>
      <c r="C157" s="3">
        <v>22.93571391</v>
      </c>
      <c r="D157" s="3">
        <v>44</v>
      </c>
      <c r="E157" s="13">
        <f t="shared" si="10"/>
        <v>8.2132549485617549E-3</v>
      </c>
      <c r="F157" s="13">
        <f t="shared" si="11"/>
        <v>11.034238022114392</v>
      </c>
      <c r="G157" s="14">
        <f>F157/$F$124*$D$2</f>
        <v>0</v>
      </c>
      <c r="H157" s="14">
        <f>F157/$F$124*$E$2</f>
        <v>499.5395978656698</v>
      </c>
      <c r="I157" s="25" t="str">
        <f t="shared" si="12"/>
        <v/>
      </c>
    </row>
    <row r="158" spans="1:9" x14ac:dyDescent="0.25">
      <c r="A158" s="3">
        <v>4137</v>
      </c>
      <c r="B158" s="3">
        <v>113.3731602</v>
      </c>
      <c r="C158" s="3">
        <v>22.930525159999998</v>
      </c>
      <c r="D158" s="3">
        <v>44</v>
      </c>
      <c r="E158" s="13">
        <f t="shared" si="10"/>
        <v>8.2624350758399006E-3</v>
      </c>
      <c r="F158" s="13">
        <f t="shared" si="11"/>
        <v>11.001349705402186</v>
      </c>
      <c r="G158" s="14">
        <f>F158/$F$179*$D$2</f>
        <v>0</v>
      </c>
      <c r="H158" s="14">
        <f>F158/$F$179*$E$2</f>
        <v>6.3993007553783459</v>
      </c>
      <c r="I158" s="25" t="str">
        <f t="shared" si="12"/>
        <v>选中</v>
      </c>
    </row>
    <row r="159" spans="1:9" hidden="1" x14ac:dyDescent="0.25">
      <c r="A159" s="3">
        <v>4151</v>
      </c>
      <c r="B159" s="3">
        <v>113.3873329</v>
      </c>
      <c r="C159" s="3">
        <v>22.930739379999999</v>
      </c>
      <c r="D159" s="3">
        <v>44</v>
      </c>
      <c r="E159" s="13">
        <f t="shared" si="10"/>
        <v>8.3370233277235417E-3</v>
      </c>
      <c r="F159" s="13">
        <f t="shared" si="11"/>
        <v>10.95202664345355</v>
      </c>
      <c r="G159" s="14">
        <f>F159/$F$124*$D$2</f>
        <v>0</v>
      </c>
      <c r="H159" s="14">
        <f>F159/$F$124*$E$2</f>
        <v>495.81774240506496</v>
      </c>
      <c r="I159" s="25" t="str">
        <f t="shared" si="12"/>
        <v/>
      </c>
    </row>
    <row r="160" spans="1:9" hidden="1" x14ac:dyDescent="0.25">
      <c r="A160" s="3">
        <v>3777</v>
      </c>
      <c r="B160" s="3">
        <v>113.3879402</v>
      </c>
      <c r="C160" s="3">
        <v>22.937960100000002</v>
      </c>
      <c r="D160" s="3">
        <v>44</v>
      </c>
      <c r="E160" s="13">
        <f t="shared" si="10"/>
        <v>8.3629061173845325E-3</v>
      </c>
      <c r="F160" s="13">
        <f t="shared" si="11"/>
        <v>10.935065513628027</v>
      </c>
      <c r="G160" s="14">
        <f>F160/$F$124*$D$2</f>
        <v>0</v>
      </c>
      <c r="H160" s="14">
        <f>F160/$F$124*$E$2</f>
        <v>495.04988186449953</v>
      </c>
      <c r="I160" s="25" t="str">
        <f t="shared" si="12"/>
        <v/>
      </c>
    </row>
    <row r="161" spans="1:9" x14ac:dyDescent="0.25">
      <c r="A161" s="3">
        <v>3774</v>
      </c>
      <c r="B161" s="3">
        <v>113.38655850000001</v>
      </c>
      <c r="C161" s="3">
        <v>22.94049459</v>
      </c>
      <c r="D161" s="3">
        <v>44</v>
      </c>
      <c r="E161" s="13">
        <f t="shared" si="10"/>
        <v>8.4832057535176968E-3</v>
      </c>
      <c r="F161" s="13">
        <f t="shared" si="11"/>
        <v>10.857254041276116</v>
      </c>
      <c r="G161" s="14">
        <f>F161/$F$179*$D$2</f>
        <v>0</v>
      </c>
      <c r="H161" s="14">
        <f>F161/$F$179*$E$2</f>
        <v>6.315482722411363</v>
      </c>
      <c r="I161" s="25" t="str">
        <f t="shared" si="12"/>
        <v>选中</v>
      </c>
    </row>
    <row r="162" spans="1:9" hidden="1" x14ac:dyDescent="0.25">
      <c r="A162" s="3">
        <v>3820</v>
      </c>
      <c r="B162" s="3">
        <v>113.3862316</v>
      </c>
      <c r="C162" s="3">
        <v>22.94097253</v>
      </c>
      <c r="D162" s="3">
        <v>44</v>
      </c>
      <c r="E162" s="13">
        <f t="shared" si="10"/>
        <v>8.5674710901438231E-3</v>
      </c>
      <c r="F162" s="13">
        <f t="shared" si="11"/>
        <v>10.803728859323273</v>
      </c>
      <c r="G162" s="14">
        <f>F162/$F$124*$D$2</f>
        <v>0</v>
      </c>
      <c r="H162" s="14">
        <f>F162/$F$124*$E$2</f>
        <v>489.10403772510989</v>
      </c>
      <c r="I162" s="25" t="str">
        <f t="shared" si="12"/>
        <v/>
      </c>
    </row>
    <row r="163" spans="1:9" hidden="1" x14ac:dyDescent="0.25">
      <c r="A163" s="3">
        <v>3772</v>
      </c>
      <c r="B163" s="3">
        <v>113.38738530000001</v>
      </c>
      <c r="C163" s="3">
        <v>22.939779550000001</v>
      </c>
      <c r="D163" s="3">
        <v>44</v>
      </c>
      <c r="E163" s="13">
        <f t="shared" si="10"/>
        <v>8.7091206566287833E-3</v>
      </c>
      <c r="F163" s="13">
        <f t="shared" si="11"/>
        <v>10.715510010083349</v>
      </c>
      <c r="G163" s="14">
        <f>F163/$F$124*$D$2</f>
        <v>0</v>
      </c>
      <c r="H163" s="14">
        <f>F163/$F$124*$E$2</f>
        <v>485.11021337718813</v>
      </c>
      <c r="I163" s="25" t="str">
        <f t="shared" si="12"/>
        <v/>
      </c>
    </row>
    <row r="164" spans="1:9" x14ac:dyDescent="0.25">
      <c r="A164" s="3">
        <v>3784</v>
      </c>
      <c r="B164" s="3">
        <v>113.3884551</v>
      </c>
      <c r="C164" s="3">
        <v>22.937739010000001</v>
      </c>
      <c r="D164" s="3">
        <v>44</v>
      </c>
      <c r="E164" s="13">
        <f t="shared" si="10"/>
        <v>8.7724875890520786E-3</v>
      </c>
      <c r="F164" s="13">
        <f t="shared" si="11"/>
        <v>10.676738816397076</v>
      </c>
      <c r="G164" s="14">
        <f>F164/$F$179*$D$2</f>
        <v>0</v>
      </c>
      <c r="H164" s="14">
        <f>F164/$F$179*$E$2</f>
        <v>6.2104800412986556</v>
      </c>
      <c r="I164" s="25" t="str">
        <f t="shared" si="12"/>
        <v>选中</v>
      </c>
    </row>
    <row r="165" spans="1:9" hidden="1" x14ac:dyDescent="0.25">
      <c r="A165" s="3">
        <v>4160</v>
      </c>
      <c r="B165" s="3">
        <v>113.3889823</v>
      </c>
      <c r="C165" s="3">
        <v>22.933186750000001</v>
      </c>
      <c r="D165" s="3">
        <v>44</v>
      </c>
      <c r="E165" s="13">
        <f t="shared" ref="E165:E177" si="13">SQRT((B165-$B$2)^2+(C165-$C$2)^2)</f>
        <v>9.0188451271518803E-3</v>
      </c>
      <c r="F165" s="13">
        <f t="shared" ref="F165:F177" si="14">SQRT(1/E165)</f>
        <v>10.529906996801383</v>
      </c>
      <c r="G165" s="14">
        <f>F165/$F$124*$D$2</f>
        <v>0</v>
      </c>
      <c r="H165" s="14">
        <f>F165/$F$124*$E$2</f>
        <v>476.70763456461299</v>
      </c>
      <c r="I165" s="25" t="str">
        <f t="shared" si="12"/>
        <v/>
      </c>
    </row>
    <row r="166" spans="1:9" hidden="1" x14ac:dyDescent="0.25">
      <c r="A166" s="3">
        <v>3771</v>
      </c>
      <c r="B166" s="3">
        <v>113.3879551</v>
      </c>
      <c r="C166" s="3">
        <v>22.94040506</v>
      </c>
      <c r="D166" s="3">
        <v>44</v>
      </c>
      <c r="E166" s="13">
        <f t="shared" si="13"/>
        <v>9.532335597980203E-3</v>
      </c>
      <c r="F166" s="13">
        <f t="shared" si="14"/>
        <v>10.242367114555233</v>
      </c>
      <c r="G166" s="14">
        <f>F166/$F$124*$D$2</f>
        <v>0</v>
      </c>
      <c r="H166" s="14">
        <f>F166/$F$124*$E$2</f>
        <v>463.69019223105886</v>
      </c>
      <c r="I166" s="25" t="str">
        <f t="shared" si="12"/>
        <v/>
      </c>
    </row>
    <row r="167" spans="1:9" x14ac:dyDescent="0.25">
      <c r="A167" s="3">
        <v>3780</v>
      </c>
      <c r="B167" s="3">
        <v>113.38867190000001</v>
      </c>
      <c r="C167" s="3">
        <v>22.94004696</v>
      </c>
      <c r="D167" s="3">
        <v>44</v>
      </c>
      <c r="E167" s="13">
        <f t="shared" si="13"/>
        <v>9.940225303917187E-3</v>
      </c>
      <c r="F167" s="13">
        <f t="shared" si="14"/>
        <v>10.030022007011564</v>
      </c>
      <c r="G167" s="14">
        <f>F167/$F$179*$D$2</f>
        <v>0</v>
      </c>
      <c r="H167" s="14">
        <f>F167/$F$179*$E$2</f>
        <v>5.8342957114082621</v>
      </c>
      <c r="I167" s="25" t="str">
        <f t="shared" si="12"/>
        <v>选中</v>
      </c>
    </row>
    <row r="168" spans="1:9" hidden="1" x14ac:dyDescent="0.25">
      <c r="A168" s="3">
        <v>3817</v>
      </c>
      <c r="B168" s="3">
        <v>113.3903759</v>
      </c>
      <c r="C168" s="3">
        <v>22.934104940000001</v>
      </c>
      <c r="D168" s="3">
        <v>44</v>
      </c>
      <c r="E168" s="13">
        <f t="shared" si="13"/>
        <v>1.0273158010799165E-2</v>
      </c>
      <c r="F168" s="13">
        <f t="shared" si="14"/>
        <v>9.8661568611230042</v>
      </c>
      <c r="G168" s="14">
        <f>F168/$F$124*$D$2</f>
        <v>0</v>
      </c>
      <c r="H168" s="14">
        <f>F168/$F$124*$E$2</f>
        <v>446.65848434730367</v>
      </c>
      <c r="I168" s="25" t="str">
        <f t="shared" si="12"/>
        <v/>
      </c>
    </row>
    <row r="169" spans="1:9" hidden="1" x14ac:dyDescent="0.25">
      <c r="A169" s="3">
        <v>3791</v>
      </c>
      <c r="B169" s="3">
        <v>113.3888528</v>
      </c>
      <c r="C169" s="3">
        <v>22.94054968</v>
      </c>
      <c r="D169" s="3">
        <v>44</v>
      </c>
      <c r="E169" s="13">
        <f t="shared" si="13"/>
        <v>1.0358832739689156E-2</v>
      </c>
      <c r="F169" s="13">
        <f t="shared" si="14"/>
        <v>9.825272170526091</v>
      </c>
      <c r="G169" s="14">
        <f>F169/$F$124*$D$2</f>
        <v>0</v>
      </c>
      <c r="H169" s="14">
        <f>F169/$F$124*$E$2</f>
        <v>444.80756162307824</v>
      </c>
      <c r="I169" s="25" t="str">
        <f t="shared" si="12"/>
        <v/>
      </c>
    </row>
    <row r="170" spans="1:9" x14ac:dyDescent="0.25">
      <c r="A170" s="3">
        <v>3792</v>
      </c>
      <c r="B170" s="3">
        <v>113.3891247</v>
      </c>
      <c r="C170" s="3">
        <v>22.940619559999998</v>
      </c>
      <c r="D170" s="3">
        <v>44</v>
      </c>
      <c r="E170" s="13">
        <f t="shared" si="13"/>
        <v>1.0625727942708517E-2</v>
      </c>
      <c r="F170" s="13">
        <f t="shared" si="14"/>
        <v>9.7010926852776294</v>
      </c>
      <c r="G170" s="14">
        <f>F170/$F$179*$D$2</f>
        <v>0</v>
      </c>
      <c r="H170" s="14">
        <f>F170/$F$179*$E$2</f>
        <v>5.6429630373815076</v>
      </c>
      <c r="I170" s="25" t="str">
        <f t="shared" si="12"/>
        <v>选中</v>
      </c>
    </row>
    <row r="171" spans="1:9" hidden="1" x14ac:dyDescent="0.25">
      <c r="A171" s="3">
        <v>3793</v>
      </c>
      <c r="B171" s="3">
        <v>113.3890167</v>
      </c>
      <c r="C171" s="3">
        <v>22.940838500000002</v>
      </c>
      <c r="D171" s="3">
        <v>44</v>
      </c>
      <c r="E171" s="13">
        <f t="shared" si="13"/>
        <v>1.0653959031747021E-2</v>
      </c>
      <c r="F171" s="13">
        <f t="shared" si="14"/>
        <v>9.6882310777017988</v>
      </c>
      <c r="G171" s="14">
        <f>F171/$F$124*$D$2</f>
        <v>0</v>
      </c>
      <c r="H171" s="14">
        <f>F171/$F$124*$E$2</f>
        <v>438.60346739714981</v>
      </c>
      <c r="I171" s="25" t="str">
        <f t="shared" si="12"/>
        <v/>
      </c>
    </row>
    <row r="172" spans="1:9" hidden="1" x14ac:dyDescent="0.25">
      <c r="A172" s="3">
        <v>3806</v>
      </c>
      <c r="B172" s="3">
        <v>113.39060259999999</v>
      </c>
      <c r="C172" s="3">
        <v>22.937113610000001</v>
      </c>
      <c r="D172" s="3">
        <v>44</v>
      </c>
      <c r="E172" s="13">
        <f t="shared" si="13"/>
        <v>1.0686216664934661E-2</v>
      </c>
      <c r="F172" s="13">
        <f t="shared" si="14"/>
        <v>9.6735974793406037</v>
      </c>
      <c r="G172" s="14">
        <f>F172/$F$124*$D$2</f>
        <v>0</v>
      </c>
      <c r="H172" s="14">
        <f>F172/$F$124*$E$2</f>
        <v>437.94097834933081</v>
      </c>
      <c r="I172" s="25" t="str">
        <f t="shared" si="12"/>
        <v/>
      </c>
    </row>
    <row r="173" spans="1:9" x14ac:dyDescent="0.25">
      <c r="A173" s="3">
        <v>4118</v>
      </c>
      <c r="B173" s="3">
        <v>113.3760989</v>
      </c>
      <c r="C173" s="3">
        <v>22.925016830000001</v>
      </c>
      <c r="D173" s="3">
        <v>44</v>
      </c>
      <c r="E173" s="13">
        <f t="shared" si="13"/>
        <v>1.072329688259885E-2</v>
      </c>
      <c r="F173" s="13">
        <f t="shared" si="14"/>
        <v>9.6568577709824464</v>
      </c>
      <c r="G173" s="14">
        <f>F173/$F$179*$D$2</f>
        <v>0</v>
      </c>
      <c r="H173" s="14">
        <f>F173/$F$179*$E$2</f>
        <v>5.6172323290553958</v>
      </c>
      <c r="I173" s="25" t="str">
        <f t="shared" si="12"/>
        <v>选中</v>
      </c>
    </row>
    <row r="174" spans="1:9" hidden="1" x14ac:dyDescent="0.25">
      <c r="A174" s="3">
        <v>3789</v>
      </c>
      <c r="B174" s="3">
        <v>113.3895466</v>
      </c>
      <c r="C174" s="3">
        <v>22.940298559999999</v>
      </c>
      <c r="D174" s="3">
        <v>44</v>
      </c>
      <c r="E174" s="13">
        <f t="shared" si="13"/>
        <v>1.0822703904412244E-2</v>
      </c>
      <c r="F174" s="13">
        <f t="shared" si="14"/>
        <v>9.6124061265884446</v>
      </c>
      <c r="G174" s="14">
        <f>F174/$F$124*$D$2</f>
        <v>0</v>
      </c>
      <c r="H174" s="14">
        <f>F174/$F$124*$E$2</f>
        <v>435.17073688042217</v>
      </c>
      <c r="I174" s="25" t="str">
        <f t="shared" si="12"/>
        <v/>
      </c>
    </row>
    <row r="175" spans="1:9" hidden="1" x14ac:dyDescent="0.25">
      <c r="A175" s="3">
        <v>4325</v>
      </c>
      <c r="B175" s="3">
        <v>113.3796004</v>
      </c>
      <c r="C175" s="3">
        <v>22.923600700000001</v>
      </c>
      <c r="D175" s="3">
        <v>44</v>
      </c>
      <c r="E175" s="13">
        <f t="shared" si="13"/>
        <v>1.136251604514011E-2</v>
      </c>
      <c r="F175" s="13">
        <f t="shared" si="14"/>
        <v>9.381293972680103</v>
      </c>
      <c r="G175" s="14">
        <f>F175/$F$124*$D$2</f>
        <v>0</v>
      </c>
      <c r="H175" s="14">
        <f>F175/$F$124*$E$2</f>
        <v>424.70787825857064</v>
      </c>
      <c r="I175" s="25" t="str">
        <f t="shared" si="12"/>
        <v/>
      </c>
    </row>
    <row r="176" spans="1:9" x14ac:dyDescent="0.25">
      <c r="A176" s="3">
        <v>4327</v>
      </c>
      <c r="B176" s="3">
        <v>113.38075360000001</v>
      </c>
      <c r="C176" s="3">
        <v>22.923347010000001</v>
      </c>
      <c r="D176" s="3">
        <v>44</v>
      </c>
      <c r="E176" s="13">
        <f t="shared" si="13"/>
        <v>1.161983942444997E-2</v>
      </c>
      <c r="F176" s="13">
        <f t="shared" si="14"/>
        <v>9.2768372327787159</v>
      </c>
      <c r="G176" s="14">
        <f>F176/$F$179*$D$2</f>
        <v>0</v>
      </c>
      <c r="H176" s="14">
        <f>F176/$F$179*$E$2</f>
        <v>5.3961807506302266</v>
      </c>
      <c r="I176" s="25" t="str">
        <f t="shared" si="12"/>
        <v>选中</v>
      </c>
    </row>
    <row r="177" spans="1:9" hidden="1" x14ac:dyDescent="0.25">
      <c r="A177" s="3">
        <v>4344</v>
      </c>
      <c r="B177" s="3">
        <v>113.38208280000001</v>
      </c>
      <c r="C177" s="3">
        <v>22.923490099999999</v>
      </c>
      <c r="D177" s="3">
        <v>44</v>
      </c>
      <c r="E177" s="13">
        <f t="shared" si="13"/>
        <v>1.1624319352468285E-2</v>
      </c>
      <c r="F177" s="13">
        <f t="shared" si="14"/>
        <v>9.2750494477592138</v>
      </c>
      <c r="G177" s="14">
        <f>F177/$F$124*$D$2</f>
        <v>0</v>
      </c>
      <c r="H177" s="14">
        <f>F177/$F$124*$E$2</f>
        <v>419.89799948415572</v>
      </c>
      <c r="I177" s="25" t="str">
        <f t="shared" si="12"/>
        <v/>
      </c>
    </row>
    <row r="178" spans="1:9" x14ac:dyDescent="0.25">
      <c r="A178" s="3"/>
      <c r="B178" s="3"/>
      <c r="C178" s="3"/>
      <c r="D178" s="3"/>
      <c r="G178" s="14"/>
      <c r="H178" s="14"/>
    </row>
    <row r="179" spans="1:9" x14ac:dyDescent="0.25">
      <c r="A179" s="3"/>
      <c r="B179" s="3"/>
      <c r="C179" s="3"/>
      <c r="D179" s="3"/>
      <c r="F179" s="13">
        <f>SUBTOTAL(9,F5:F177)</f>
        <v>962.72328345364383</v>
      </c>
      <c r="G179" s="13">
        <f>SUBTOTAL(9,G5:G177)</f>
        <v>0</v>
      </c>
      <c r="H179" s="13">
        <f>SUBTOTAL(9,H5:H177)</f>
        <v>560.00000000000023</v>
      </c>
    </row>
    <row r="180" spans="1:9" x14ac:dyDescent="0.25">
      <c r="A180" s="3"/>
      <c r="B180" s="3"/>
      <c r="C180" s="3"/>
      <c r="D180" s="3"/>
      <c r="G180" s="14"/>
      <c r="H180" s="14"/>
    </row>
    <row r="181" spans="1:9" x14ac:dyDescent="0.25">
      <c r="A181" s="3"/>
      <c r="B181" s="3"/>
      <c r="C181" s="3"/>
      <c r="D181" s="3"/>
      <c r="G181" s="14"/>
      <c r="H181" s="14"/>
    </row>
    <row r="182" spans="1:9" x14ac:dyDescent="0.25">
      <c r="A182" s="3"/>
      <c r="B182" s="3"/>
      <c r="C182" s="3"/>
      <c r="D182" s="3"/>
      <c r="G182" s="14"/>
      <c r="H182" s="14"/>
    </row>
    <row r="183" spans="1:9" x14ac:dyDescent="0.25">
      <c r="A183" s="3"/>
      <c r="B183" s="3"/>
      <c r="C183" s="3"/>
      <c r="D183" s="3"/>
      <c r="G183" s="14"/>
      <c r="H183" s="14"/>
    </row>
    <row r="184" spans="1:9" x14ac:dyDescent="0.25">
      <c r="A184" s="3"/>
      <c r="B184" s="3"/>
      <c r="C184" s="3"/>
      <c r="D184" s="3"/>
      <c r="G184" s="14"/>
      <c r="H184" s="14"/>
    </row>
    <row r="185" spans="1:9" x14ac:dyDescent="0.25">
      <c r="A185" s="3"/>
      <c r="B185" s="3"/>
      <c r="C185" s="3"/>
      <c r="D185" s="3"/>
      <c r="G185" s="14"/>
      <c r="H185" s="14"/>
    </row>
    <row r="186" spans="1:9" x14ac:dyDescent="0.25">
      <c r="A186" s="3"/>
      <c r="B186" s="3"/>
      <c r="C186" s="3"/>
      <c r="D186" s="3"/>
      <c r="G186" s="14"/>
      <c r="H186" s="14"/>
    </row>
    <row r="187" spans="1:9" x14ac:dyDescent="0.25">
      <c r="A187" s="3"/>
      <c r="B187" s="3"/>
      <c r="C187" s="3"/>
      <c r="D187" s="3"/>
      <c r="G187" s="14"/>
      <c r="H187" s="14"/>
    </row>
    <row r="188" spans="1:9" x14ac:dyDescent="0.25">
      <c r="A188" s="3"/>
      <c r="B188" s="3"/>
      <c r="C188" s="3"/>
      <c r="D188" s="3"/>
      <c r="G188" s="14"/>
      <c r="H188" s="14"/>
    </row>
    <row r="189" spans="1:9" x14ac:dyDescent="0.25">
      <c r="A189" s="3"/>
      <c r="B189" s="3"/>
      <c r="C189" s="3"/>
      <c r="D189" s="3"/>
      <c r="G189" s="14"/>
      <c r="H189" s="14"/>
    </row>
    <row r="190" spans="1:9" x14ac:dyDescent="0.25">
      <c r="A190" s="3"/>
      <c r="B190" s="3"/>
      <c r="C190" s="3"/>
      <c r="D190" s="3"/>
      <c r="G190" s="14"/>
      <c r="H190" s="14"/>
    </row>
    <row r="191" spans="1:9" x14ac:dyDescent="0.25">
      <c r="A191" s="3"/>
      <c r="B191" s="3"/>
      <c r="C191" s="3"/>
      <c r="D191" s="3"/>
      <c r="G191" s="14"/>
      <c r="H191" s="14"/>
    </row>
    <row r="192" spans="1:9" x14ac:dyDescent="0.25">
      <c r="A192" s="3"/>
      <c r="B192" s="3"/>
      <c r="C192" s="3"/>
      <c r="D192" s="3"/>
      <c r="G192" s="14"/>
      <c r="H192" s="14"/>
    </row>
    <row r="193" spans="1:8" x14ac:dyDescent="0.25">
      <c r="A193" s="3"/>
      <c r="B193" s="3"/>
      <c r="C193" s="3"/>
      <c r="D193" s="3"/>
      <c r="G193" s="14"/>
      <c r="H193" s="14"/>
    </row>
    <row r="194" spans="1:8" x14ac:dyDescent="0.25">
      <c r="A194" s="3"/>
      <c r="B194" s="3"/>
      <c r="C194" s="3"/>
      <c r="D194" s="3"/>
      <c r="G194" s="14"/>
      <c r="H194" s="14"/>
    </row>
    <row r="195" spans="1:8" x14ac:dyDescent="0.25">
      <c r="A195" s="3"/>
      <c r="B195" s="3"/>
      <c r="C195" s="3"/>
      <c r="D195" s="3"/>
      <c r="G195" s="14"/>
      <c r="H195" s="14"/>
    </row>
    <row r="196" spans="1:8" x14ac:dyDescent="0.25">
      <c r="A196" s="3"/>
      <c r="B196" s="3"/>
      <c r="C196" s="3"/>
      <c r="D196" s="3"/>
      <c r="G196" s="14"/>
      <c r="H196" s="14"/>
    </row>
    <row r="197" spans="1:8" x14ac:dyDescent="0.25">
      <c r="A197" s="3"/>
      <c r="B197" s="3"/>
      <c r="C197" s="3"/>
      <c r="D197" s="3"/>
      <c r="G197" s="14"/>
      <c r="H197" s="14"/>
    </row>
    <row r="198" spans="1:8" x14ac:dyDescent="0.25">
      <c r="A198" s="3"/>
      <c r="B198" s="3"/>
      <c r="C198" s="3"/>
      <c r="D198" s="3"/>
      <c r="G198" s="14"/>
      <c r="H198" s="14"/>
    </row>
    <row r="199" spans="1:8" x14ac:dyDescent="0.25">
      <c r="A199" s="3"/>
      <c r="B199" s="3"/>
      <c r="C199" s="3"/>
      <c r="D199" s="3"/>
      <c r="G199" s="14"/>
      <c r="H199" s="14"/>
    </row>
    <row r="200" spans="1:8" x14ac:dyDescent="0.25">
      <c r="A200" s="3"/>
      <c r="B200" s="3"/>
      <c r="C200" s="3"/>
      <c r="D200" s="3"/>
      <c r="G200" s="14"/>
      <c r="H200" s="14"/>
    </row>
    <row r="201" spans="1:8" x14ac:dyDescent="0.25">
      <c r="A201" s="3"/>
      <c r="B201" s="3"/>
      <c r="C201" s="3"/>
      <c r="D201" s="3"/>
      <c r="G201" s="14"/>
      <c r="H201" s="14"/>
    </row>
    <row r="202" spans="1:8" x14ac:dyDescent="0.25">
      <c r="A202" s="3"/>
      <c r="B202" s="3"/>
      <c r="C202" s="3"/>
      <c r="D202" s="3"/>
      <c r="G202" s="14"/>
      <c r="H202" s="14"/>
    </row>
    <row r="203" spans="1:8" x14ac:dyDescent="0.25">
      <c r="A203" s="3"/>
      <c r="B203" s="3"/>
      <c r="C203" s="3"/>
      <c r="D203" s="3"/>
      <c r="G203" s="14"/>
      <c r="H203" s="14"/>
    </row>
    <row r="204" spans="1:8" x14ac:dyDescent="0.25">
      <c r="A204" s="3"/>
      <c r="B204" s="3"/>
      <c r="C204" s="3"/>
      <c r="D204" s="3"/>
      <c r="G204" s="14"/>
      <c r="H204" s="14"/>
    </row>
    <row r="205" spans="1:8" x14ac:dyDescent="0.25">
      <c r="A205" s="3"/>
      <c r="B205" s="3"/>
      <c r="C205" s="3"/>
      <c r="D205" s="3"/>
      <c r="G205" s="14"/>
      <c r="H205" s="14"/>
    </row>
    <row r="206" spans="1:8" x14ac:dyDescent="0.25">
      <c r="A206" s="3"/>
      <c r="B206" s="3"/>
      <c r="C206" s="3"/>
      <c r="D206" s="3"/>
      <c r="G206" s="14"/>
      <c r="H206" s="14"/>
    </row>
    <row r="207" spans="1:8" x14ac:dyDescent="0.25">
      <c r="A207" s="3"/>
      <c r="B207" s="3"/>
      <c r="C207" s="3"/>
      <c r="D207" s="3"/>
      <c r="G207" s="14"/>
      <c r="H207" s="14"/>
    </row>
    <row r="208" spans="1:8" x14ac:dyDescent="0.25">
      <c r="A208" s="3"/>
      <c r="B208" s="3"/>
      <c r="C208" s="3"/>
      <c r="D208" s="3"/>
      <c r="G208" s="14"/>
      <c r="H208" s="14"/>
    </row>
    <row r="209" spans="1:8" x14ac:dyDescent="0.25">
      <c r="A209" s="3"/>
      <c r="B209" s="3"/>
      <c r="C209" s="3"/>
      <c r="D209" s="3"/>
      <c r="G209" s="14"/>
      <c r="H209" s="14"/>
    </row>
    <row r="210" spans="1:8" x14ac:dyDescent="0.25">
      <c r="A210" s="3"/>
      <c r="B210" s="3"/>
      <c r="C210" s="3"/>
      <c r="D210" s="3"/>
      <c r="G210" s="14"/>
      <c r="H210" s="14"/>
    </row>
    <row r="211" spans="1:8" x14ac:dyDescent="0.25">
      <c r="A211" s="3"/>
      <c r="B211" s="3"/>
      <c r="C211" s="3"/>
      <c r="D211" s="3"/>
      <c r="G211" s="14"/>
      <c r="H211" s="14"/>
    </row>
    <row r="212" spans="1:8" x14ac:dyDescent="0.25">
      <c r="A212" s="3"/>
      <c r="B212" s="3"/>
      <c r="C212" s="3"/>
      <c r="D212" s="3"/>
      <c r="G212" s="14"/>
      <c r="H212" s="14"/>
    </row>
    <row r="213" spans="1:8" x14ac:dyDescent="0.25">
      <c r="A213" s="3"/>
      <c r="B213" s="3"/>
      <c r="C213" s="3"/>
      <c r="D213" s="3"/>
      <c r="G213" s="14"/>
      <c r="H213" s="14"/>
    </row>
    <row r="214" spans="1:8" x14ac:dyDescent="0.25">
      <c r="A214" s="3"/>
      <c r="B214" s="3"/>
      <c r="C214" s="3"/>
      <c r="D214" s="3"/>
      <c r="G214" s="14"/>
      <c r="H214" s="14"/>
    </row>
    <row r="215" spans="1:8" x14ac:dyDescent="0.25">
      <c r="A215" s="3"/>
      <c r="B215" s="3"/>
      <c r="C215" s="3"/>
      <c r="D215" s="3"/>
      <c r="G215" s="14"/>
      <c r="H215" s="14"/>
    </row>
    <row r="216" spans="1:8" x14ac:dyDescent="0.25">
      <c r="A216" s="3"/>
      <c r="B216" s="3"/>
      <c r="C216" s="3"/>
      <c r="D216" s="3"/>
      <c r="G216" s="14"/>
      <c r="H216" s="14"/>
    </row>
    <row r="217" spans="1:8" x14ac:dyDescent="0.25">
      <c r="A217" s="3"/>
      <c r="B217" s="3"/>
      <c r="C217" s="3"/>
      <c r="D217" s="3"/>
      <c r="G217" s="14"/>
      <c r="H217" s="14"/>
    </row>
    <row r="218" spans="1:8" x14ac:dyDescent="0.25">
      <c r="A218" s="3"/>
      <c r="B218" s="3"/>
      <c r="C218" s="3"/>
      <c r="D218" s="3"/>
      <c r="G218" s="14"/>
      <c r="H218" s="14"/>
    </row>
    <row r="219" spans="1:8" x14ac:dyDescent="0.25">
      <c r="A219" s="3"/>
      <c r="B219" s="3"/>
      <c r="C219" s="3"/>
      <c r="D219" s="3"/>
      <c r="G219" s="14"/>
      <c r="H219" s="14"/>
    </row>
    <row r="220" spans="1:8" x14ac:dyDescent="0.25">
      <c r="A220" s="3"/>
      <c r="B220" s="3"/>
      <c r="C220" s="3"/>
      <c r="D220" s="3"/>
      <c r="G220" s="14"/>
      <c r="H220" s="14"/>
    </row>
    <row r="221" spans="1:8" x14ac:dyDescent="0.25">
      <c r="A221" s="3"/>
      <c r="B221" s="3"/>
      <c r="C221" s="3"/>
      <c r="D221" s="3"/>
      <c r="G221" s="14"/>
      <c r="H221" s="14"/>
    </row>
    <row r="222" spans="1:8" x14ac:dyDescent="0.25">
      <c r="A222" s="3"/>
      <c r="B222" s="3"/>
      <c r="C222" s="3"/>
      <c r="D222" s="3"/>
      <c r="G222" s="14"/>
      <c r="H222" s="14"/>
    </row>
    <row r="223" spans="1:8" x14ac:dyDescent="0.25">
      <c r="A223" s="3"/>
      <c r="B223" s="3"/>
      <c r="C223" s="3"/>
      <c r="D223" s="3"/>
      <c r="G223" s="14"/>
      <c r="H223" s="14"/>
    </row>
    <row r="224" spans="1:8" x14ac:dyDescent="0.25">
      <c r="A224" s="3"/>
      <c r="B224" s="3"/>
      <c r="C224" s="3"/>
      <c r="D224" s="3"/>
      <c r="G224" s="14"/>
      <c r="H224" s="14"/>
    </row>
    <row r="225" spans="1:8" x14ac:dyDescent="0.25">
      <c r="A225" s="3"/>
      <c r="B225" s="3"/>
      <c r="C225" s="3"/>
      <c r="D225" s="3"/>
      <c r="G225" s="14"/>
      <c r="H225" s="14"/>
    </row>
    <row r="226" spans="1:8" x14ac:dyDescent="0.25">
      <c r="A226" s="3"/>
      <c r="B226" s="3"/>
      <c r="C226" s="3"/>
      <c r="D226" s="3"/>
      <c r="G226" s="14"/>
      <c r="H226" s="14"/>
    </row>
    <row r="227" spans="1:8" x14ac:dyDescent="0.25">
      <c r="A227" s="3"/>
      <c r="B227" s="3"/>
      <c r="C227" s="3"/>
      <c r="D227" s="3"/>
      <c r="G227" s="14"/>
      <c r="H227" s="14"/>
    </row>
    <row r="228" spans="1:8" x14ac:dyDescent="0.25">
      <c r="A228" s="3"/>
      <c r="B228" s="3"/>
      <c r="C228" s="3"/>
      <c r="D228" s="3"/>
      <c r="G228" s="14"/>
      <c r="H228" s="14"/>
    </row>
    <row r="229" spans="1:8" x14ac:dyDescent="0.25">
      <c r="A229" s="3"/>
      <c r="B229" s="3"/>
      <c r="C229" s="3"/>
      <c r="D229" s="3"/>
      <c r="G229" s="14"/>
      <c r="H229" s="14"/>
    </row>
    <row r="230" spans="1:8" x14ac:dyDescent="0.25">
      <c r="A230" s="3"/>
      <c r="B230" s="3"/>
      <c r="C230" s="3"/>
      <c r="D230" s="3"/>
      <c r="G230" s="14"/>
      <c r="H230" s="14"/>
    </row>
    <row r="231" spans="1:8" x14ac:dyDescent="0.25">
      <c r="A231" s="3"/>
      <c r="B231" s="3"/>
      <c r="C231" s="3"/>
      <c r="D231" s="3"/>
      <c r="G231" s="14"/>
      <c r="H231" s="14"/>
    </row>
    <row r="232" spans="1:8" x14ac:dyDescent="0.25">
      <c r="A232" s="3"/>
      <c r="B232" s="3"/>
      <c r="C232" s="3"/>
      <c r="D232" s="3"/>
      <c r="G232" s="14"/>
      <c r="H232" s="14"/>
    </row>
    <row r="233" spans="1:8" x14ac:dyDescent="0.25">
      <c r="A233" s="3"/>
      <c r="B233" s="3"/>
      <c r="C233" s="3"/>
      <c r="D233" s="3"/>
      <c r="G233" s="14"/>
      <c r="H233" s="14"/>
    </row>
    <row r="234" spans="1:8" x14ac:dyDescent="0.25">
      <c r="A234" s="3"/>
      <c r="B234" s="3"/>
      <c r="C234" s="3"/>
      <c r="D234" s="3"/>
      <c r="G234" s="14"/>
      <c r="H234" s="14"/>
    </row>
    <row r="235" spans="1:8" x14ac:dyDescent="0.25">
      <c r="A235" s="3"/>
      <c r="B235" s="3"/>
      <c r="C235" s="3"/>
      <c r="D235" s="3"/>
      <c r="G235" s="14"/>
      <c r="H235" s="14"/>
    </row>
    <row r="236" spans="1:8" x14ac:dyDescent="0.25">
      <c r="A236" s="3"/>
      <c r="B236" s="3"/>
      <c r="C236" s="3"/>
      <c r="D236" s="3"/>
      <c r="G236" s="14"/>
      <c r="H236" s="14"/>
    </row>
    <row r="237" spans="1:8" x14ac:dyDescent="0.25">
      <c r="A237" s="3"/>
      <c r="B237" s="3"/>
      <c r="C237" s="3"/>
      <c r="D237" s="3"/>
      <c r="G237" s="14"/>
      <c r="H237" s="14"/>
    </row>
    <row r="238" spans="1:8" x14ac:dyDescent="0.25">
      <c r="A238" s="3"/>
      <c r="B238" s="3"/>
      <c r="C238" s="3"/>
      <c r="D238" s="3"/>
      <c r="G238" s="14"/>
      <c r="H238" s="14"/>
    </row>
    <row r="239" spans="1:8" x14ac:dyDescent="0.25">
      <c r="A239" s="3"/>
      <c r="B239" s="3"/>
      <c r="C239" s="3"/>
      <c r="D239" s="3"/>
      <c r="G239" s="14"/>
      <c r="H239" s="14"/>
    </row>
    <row r="240" spans="1:8" x14ac:dyDescent="0.25">
      <c r="A240" s="3"/>
      <c r="B240" s="3"/>
      <c r="C240" s="3"/>
      <c r="D240" s="3"/>
      <c r="G240" s="14"/>
      <c r="H240" s="14"/>
    </row>
    <row r="241" spans="1:8" x14ac:dyDescent="0.25">
      <c r="A241" s="3"/>
      <c r="B241" s="3"/>
      <c r="C241" s="3"/>
      <c r="D241" s="3"/>
      <c r="G241" s="14"/>
      <c r="H241" s="14"/>
    </row>
    <row r="242" spans="1:8" x14ac:dyDescent="0.25">
      <c r="A242" s="3"/>
      <c r="B242" s="3"/>
      <c r="C242" s="3"/>
      <c r="D242" s="3"/>
      <c r="G242" s="14"/>
      <c r="H242" s="14"/>
    </row>
    <row r="243" spans="1:8" x14ac:dyDescent="0.25">
      <c r="A243" s="3"/>
      <c r="B243" s="3"/>
      <c r="C243" s="3"/>
      <c r="D243" s="3"/>
      <c r="G243" s="14"/>
      <c r="H243" s="14"/>
    </row>
    <row r="244" spans="1:8" x14ac:dyDescent="0.25">
      <c r="A244" s="3"/>
      <c r="B244" s="3"/>
      <c r="C244" s="3"/>
      <c r="D244" s="3"/>
      <c r="G244" s="14"/>
      <c r="H244" s="14"/>
    </row>
    <row r="245" spans="1:8" x14ac:dyDescent="0.25">
      <c r="A245" s="3"/>
      <c r="B245" s="3"/>
      <c r="C245" s="3"/>
      <c r="D245" s="3"/>
      <c r="G245" s="14"/>
      <c r="H245" s="14"/>
    </row>
    <row r="247" spans="1:8" x14ac:dyDescent="0.25">
      <c r="A247" s="3"/>
      <c r="G247" s="14"/>
      <c r="H247" s="14"/>
    </row>
  </sheetData>
  <phoneticPr fontId="1" type="noConversion"/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E0B7D0-FDF3-4480-89D2-4BAA73B76019}">
  <sheetPr/>
  <dimension ref="A1:I247"/>
  <sheetViews>
    <sheetView topLeftCell="A68" zoomScale="115" zoomScaleNormal="115" workbookViewId="0">
      <selection activeCell="A5" sqref="A5:H158"/>
    </sheetView>
  </sheetViews>
  <sheetFormatPr defaultRowHeight="15" x14ac:dyDescent="0.25"/>
  <cols>
    <col min="1" max="1" width="8.875" style="4" customWidth="1"/>
    <col min="2" max="3" width="15.125" style="4" customWidth="1"/>
    <col min="4" max="4" width="10.25" style="4" customWidth="1"/>
    <col min="5" max="5" width="12" style="13" customWidth="1"/>
    <col min="6" max="6" width="15" style="13" customWidth="1"/>
    <col min="7" max="7" width="13.875" customWidth="1"/>
    <col min="8" max="8" width="11.125" customWidth="1"/>
    <col min="11" max="12" width="15.125" customWidth="1"/>
    <col min="13" max="13" width="11.125" customWidth="1"/>
  </cols>
  <sheetData>
    <row r="1" spans="1:9" ht="14.25" x14ac:dyDescent="0.2">
      <c r="A1" s="2" t="s">
        <v>12</v>
      </c>
      <c r="B1" s="2" t="s">
        <v>4</v>
      </c>
      <c r="C1" s="2" t="s">
        <v>5</v>
      </c>
      <c r="D1" s="2" t="s">
        <v>13</v>
      </c>
      <c r="E1" s="2" t="s">
        <v>14</v>
      </c>
      <c r="F1" s="2" t="s">
        <v>15</v>
      </c>
      <c r="G1" s="2" t="s">
        <v>16</v>
      </c>
    </row>
    <row r="2" spans="1:9" x14ac:dyDescent="0.25">
      <c r="A2" s="11">
        <v>45</v>
      </c>
      <c r="B2" s="3">
        <v>113.35821749999999</v>
      </c>
      <c r="C2" s="8">
        <v>22.957515189999999</v>
      </c>
      <c r="D2" s="3">
        <v>1050</v>
      </c>
      <c r="E2" s="13">
        <v>1610</v>
      </c>
      <c r="F2" s="13">
        <v>28</v>
      </c>
      <c r="G2" s="19">
        <f>SUBTOTAL(2,A5:A250)</f>
        <v>52</v>
      </c>
    </row>
    <row r="3" spans="1:9" x14ac:dyDescent="0.25">
      <c r="A3" s="3"/>
      <c r="B3" s="3"/>
      <c r="C3" s="3"/>
      <c r="D3" s="3"/>
    </row>
    <row r="4" spans="1:9" ht="14.25" x14ac:dyDescent="0.2">
      <c r="A4" s="2" t="s">
        <v>0</v>
      </c>
      <c r="B4" s="2" t="s">
        <v>1</v>
      </c>
      <c r="C4" s="2" t="s">
        <v>2</v>
      </c>
      <c r="D4" s="2" t="s">
        <v>3</v>
      </c>
      <c r="E4" s="2" t="s">
        <v>7</v>
      </c>
      <c r="F4" s="2" t="s">
        <v>8</v>
      </c>
      <c r="G4" s="2" t="s">
        <v>13</v>
      </c>
      <c r="H4" s="2" t="s">
        <v>14</v>
      </c>
      <c r="I4" s="24" t="s">
        <v>20</v>
      </c>
    </row>
    <row r="5" spans="1:9" x14ac:dyDescent="0.25">
      <c r="A5" s="3">
        <v>2569</v>
      </c>
      <c r="B5" s="3">
        <v>113.3581827</v>
      </c>
      <c r="C5" s="3">
        <v>22.957496670000001</v>
      </c>
      <c r="D5" s="3">
        <v>45</v>
      </c>
      <c r="E5" s="13">
        <f t="shared" ref="E5:E36" si="0">SQRT((B5-$B$2)^2+(C5-$C$2)^2)</f>
        <v>3.942119226421004E-5</v>
      </c>
      <c r="F5" s="13">
        <f t="shared" ref="F5:F36" si="1">SQRT(1/E5)</f>
        <v>159.27041896105243</v>
      </c>
      <c r="G5" s="14">
        <f>F5/$F$160*$D$2</f>
        <v>166.08216253932287</v>
      </c>
      <c r="H5" s="14">
        <f>F5/$F$160*$E$2</f>
        <v>254.65931589362839</v>
      </c>
      <c r="I5" s="25" t="str">
        <f>IF(MOD(ROW()-1,3)=1,"选中","")</f>
        <v>选中</v>
      </c>
    </row>
    <row r="6" spans="1:9" hidden="1" x14ac:dyDescent="0.25">
      <c r="A6" s="3">
        <v>2641</v>
      </c>
      <c r="B6" s="3">
        <v>113.3583235</v>
      </c>
      <c r="C6" s="3">
        <v>22.957242579999999</v>
      </c>
      <c r="D6" s="3">
        <v>45</v>
      </c>
      <c r="E6" s="13">
        <f t="shared" si="0"/>
        <v>2.9249309752595341E-4</v>
      </c>
      <c r="F6" s="13">
        <f t="shared" si="1"/>
        <v>58.471224532418816</v>
      </c>
      <c r="G6" s="14">
        <f>F6/$F$124*$D$2</f>
        <v>4731.8422732306244</v>
      </c>
      <c r="H6" s="14">
        <f>F6/$F$124*$E$2</f>
        <v>7255.4914856202913</v>
      </c>
      <c r="I6" s="25" t="str">
        <f t="shared" ref="I6:I69" si="2">IF(MOD(ROW()-1,3)=1,"选中","")</f>
        <v/>
      </c>
    </row>
    <row r="7" spans="1:9" hidden="1" x14ac:dyDescent="0.25">
      <c r="A7" s="3">
        <v>2614</v>
      </c>
      <c r="B7" s="3">
        <v>113.357946</v>
      </c>
      <c r="C7" s="3">
        <v>22.957636950000001</v>
      </c>
      <c r="D7" s="3">
        <v>45</v>
      </c>
      <c r="E7" s="13">
        <f t="shared" si="0"/>
        <v>2.9755293243185381E-4</v>
      </c>
      <c r="F7" s="13">
        <f t="shared" si="1"/>
        <v>57.971946490245116</v>
      </c>
      <c r="G7" s="14">
        <f>F7/$F$124*$D$2</f>
        <v>4691.4376987592377</v>
      </c>
      <c r="H7" s="14">
        <f>F7/$F$124*$E$2</f>
        <v>7193.5378047641643</v>
      </c>
      <c r="I7" s="25" t="str">
        <f t="shared" si="2"/>
        <v/>
      </c>
    </row>
    <row r="8" spans="1:9" x14ac:dyDescent="0.25">
      <c r="A8" s="3">
        <v>2585</v>
      </c>
      <c r="B8" s="3">
        <v>113.3587079</v>
      </c>
      <c r="C8" s="3">
        <v>22.957345</v>
      </c>
      <c r="D8" s="3">
        <v>45</v>
      </c>
      <c r="E8" s="13">
        <f t="shared" si="0"/>
        <v>5.1909228091288895E-4</v>
      </c>
      <c r="F8" s="13">
        <f t="shared" si="1"/>
        <v>43.891226259322892</v>
      </c>
      <c r="G8" s="14">
        <f>F8/$F$160*$D$2</f>
        <v>45.768384494760632</v>
      </c>
      <c r="H8" s="14">
        <f>F8/$F$160*$E$2</f>
        <v>70.178189558632965</v>
      </c>
      <c r="I8" s="25" t="str">
        <f t="shared" si="2"/>
        <v>选中</v>
      </c>
    </row>
    <row r="9" spans="1:9" hidden="1" x14ac:dyDescent="0.25">
      <c r="A9" s="3">
        <v>2608</v>
      </c>
      <c r="B9" s="3">
        <v>113.3574957</v>
      </c>
      <c r="C9" s="3">
        <v>22.957779540000001</v>
      </c>
      <c r="D9" s="3">
        <v>45</v>
      </c>
      <c r="E9" s="13">
        <f t="shared" si="0"/>
        <v>7.6868469640810962E-4</v>
      </c>
      <c r="F9" s="13">
        <f t="shared" si="1"/>
        <v>36.068317380649695</v>
      </c>
      <c r="G9" s="14">
        <f>F9/$F$124*$D$2</f>
        <v>2918.8646256489969</v>
      </c>
      <c r="H9" s="14">
        <f>F9/$F$124*$E$2</f>
        <v>4475.5924259951289</v>
      </c>
      <c r="I9" s="25" t="str">
        <f t="shared" si="2"/>
        <v/>
      </c>
    </row>
    <row r="10" spans="1:9" hidden="1" x14ac:dyDescent="0.25">
      <c r="A10" s="3">
        <v>2593</v>
      </c>
      <c r="B10" s="3">
        <v>113.3585353</v>
      </c>
      <c r="C10" s="3">
        <v>22.956554579999999</v>
      </c>
      <c r="D10" s="3">
        <v>45</v>
      </c>
      <c r="E10" s="13">
        <f t="shared" si="0"/>
        <v>1.0118144158406213E-3</v>
      </c>
      <c r="F10" s="13">
        <f t="shared" si="1"/>
        <v>31.437613375940202</v>
      </c>
      <c r="G10" s="14">
        <f>F10/$F$124*$D$2</f>
        <v>2544.1202767914842</v>
      </c>
      <c r="H10" s="14">
        <f>F10/$F$124*$E$2</f>
        <v>3900.9844244136093</v>
      </c>
      <c r="I10" s="25" t="str">
        <f t="shared" si="2"/>
        <v/>
      </c>
    </row>
    <row r="11" spans="1:9" x14ac:dyDescent="0.25">
      <c r="A11" s="3">
        <v>2640</v>
      </c>
      <c r="B11" s="3">
        <v>113.3586391</v>
      </c>
      <c r="C11" s="3">
        <v>22.95656743</v>
      </c>
      <c r="D11" s="3">
        <v>45</v>
      </c>
      <c r="E11" s="13">
        <f t="shared" si="0"/>
        <v>1.0373020667126757E-3</v>
      </c>
      <c r="F11" s="13">
        <f t="shared" si="1"/>
        <v>31.04898291760232</v>
      </c>
      <c r="G11" s="14">
        <f>F11/$F$160*$D$2</f>
        <v>32.376898743908555</v>
      </c>
      <c r="H11" s="14">
        <f>F11/$F$160*$E$2</f>
        <v>49.644578073993124</v>
      </c>
      <c r="I11" s="25" t="str">
        <f t="shared" si="2"/>
        <v>选中</v>
      </c>
    </row>
    <row r="12" spans="1:9" hidden="1" x14ac:dyDescent="0.25">
      <c r="A12" s="3">
        <v>2588</v>
      </c>
      <c r="B12" s="3">
        <v>113.35861010000001</v>
      </c>
      <c r="C12" s="3">
        <v>22.956528479999999</v>
      </c>
      <c r="D12" s="3">
        <v>45</v>
      </c>
      <c r="E12" s="13">
        <f t="shared" si="0"/>
        <v>1.061946978011743E-3</v>
      </c>
      <c r="F12" s="13">
        <f t="shared" si="1"/>
        <v>30.686586643760307</v>
      </c>
      <c r="G12" s="14">
        <f>F12/$F$124*$D$2</f>
        <v>2483.3426880189977</v>
      </c>
      <c r="H12" s="14">
        <f>F12/$F$124*$E$2</f>
        <v>3807.7921216291297</v>
      </c>
      <c r="I12" s="25" t="str">
        <f t="shared" si="2"/>
        <v/>
      </c>
    </row>
    <row r="13" spans="1:9" hidden="1" x14ac:dyDescent="0.25">
      <c r="A13" s="3">
        <v>2586</v>
      </c>
      <c r="B13" s="3">
        <v>113.3587</v>
      </c>
      <c r="C13" s="3">
        <v>22.956430399999999</v>
      </c>
      <c r="D13" s="3">
        <v>45</v>
      </c>
      <c r="E13" s="13">
        <f t="shared" si="0"/>
        <v>1.1872554881339425E-3</v>
      </c>
      <c r="F13" s="13">
        <f t="shared" si="1"/>
        <v>29.022038045665276</v>
      </c>
      <c r="G13" s="14">
        <f>F13/$F$124*$D$2</f>
        <v>2348.6374294016437</v>
      </c>
      <c r="H13" s="14">
        <f>F13/$F$124*$E$2</f>
        <v>3601.2440584158539</v>
      </c>
      <c r="I13" s="25" t="str">
        <f t="shared" si="2"/>
        <v/>
      </c>
    </row>
    <row r="14" spans="1:9" x14ac:dyDescent="0.25">
      <c r="A14" s="3">
        <v>2575</v>
      </c>
      <c r="B14" s="3">
        <v>113.3580949</v>
      </c>
      <c r="C14" s="3">
        <v>22.956317299999998</v>
      </c>
      <c r="D14" s="3">
        <v>45</v>
      </c>
      <c r="E14" s="13">
        <f t="shared" si="0"/>
        <v>1.2041475042950437E-3</v>
      </c>
      <c r="F14" s="13">
        <f t="shared" si="1"/>
        <v>28.817755680663254</v>
      </c>
      <c r="G14" s="14">
        <f>F14/$F$160*$D$2</f>
        <v>30.050245451698061</v>
      </c>
      <c r="H14" s="14">
        <f>F14/$F$160*$E$2</f>
        <v>46.077043025937023</v>
      </c>
      <c r="I14" s="25" t="str">
        <f t="shared" si="2"/>
        <v>选中</v>
      </c>
    </row>
    <row r="15" spans="1:9" hidden="1" x14ac:dyDescent="0.25">
      <c r="A15" s="3">
        <v>2579</v>
      </c>
      <c r="B15" s="3">
        <v>113.35787329999999</v>
      </c>
      <c r="C15" s="3">
        <v>22.95626764</v>
      </c>
      <c r="D15" s="3">
        <v>45</v>
      </c>
      <c r="E15" s="13">
        <f t="shared" si="0"/>
        <v>1.2941617528335132E-3</v>
      </c>
      <c r="F15" s="13">
        <f t="shared" si="1"/>
        <v>27.797498767671314</v>
      </c>
      <c r="G15" s="14">
        <f>F15/$F$124*$D$2</f>
        <v>2249.5403646970976</v>
      </c>
      <c r="H15" s="14">
        <f>F15/$F$124*$E$2</f>
        <v>3449.2952258688833</v>
      </c>
      <c r="I15" s="25" t="str">
        <f t="shared" si="2"/>
        <v/>
      </c>
    </row>
    <row r="16" spans="1:9" hidden="1" x14ac:dyDescent="0.25">
      <c r="A16" s="3">
        <v>2568</v>
      </c>
      <c r="B16" s="3">
        <v>113.3569026</v>
      </c>
      <c r="C16" s="3">
        <v>22.957315600000001</v>
      </c>
      <c r="D16" s="3">
        <v>45</v>
      </c>
      <c r="E16" s="13">
        <f t="shared" si="0"/>
        <v>1.3299617205360359E-3</v>
      </c>
      <c r="F16" s="13">
        <f t="shared" si="1"/>
        <v>27.420819465062117</v>
      </c>
      <c r="G16" s="14">
        <f>F16/$F$124*$D$2</f>
        <v>2219.0572157329607</v>
      </c>
      <c r="H16" s="14">
        <f>F16/$F$124*$E$2</f>
        <v>3402.5543974572065</v>
      </c>
      <c r="I16" s="25" t="str">
        <f t="shared" si="2"/>
        <v/>
      </c>
    </row>
    <row r="17" spans="1:9" x14ac:dyDescent="0.25">
      <c r="A17" s="3">
        <v>2610</v>
      </c>
      <c r="B17" s="3">
        <v>113.35682180000001</v>
      </c>
      <c r="C17" s="3">
        <v>22.957366690000001</v>
      </c>
      <c r="D17" s="3">
        <v>45</v>
      </c>
      <c r="E17" s="13">
        <f t="shared" si="0"/>
        <v>1.4035778353796652E-3</v>
      </c>
      <c r="F17" s="13">
        <f t="shared" si="1"/>
        <v>26.692038911128602</v>
      </c>
      <c r="G17" s="14">
        <f>F17/$F$160*$D$2</f>
        <v>27.833615142483193</v>
      </c>
      <c r="H17" s="14">
        <f>F17/$F$160*$E$2</f>
        <v>42.678209885140895</v>
      </c>
      <c r="I17" s="25" t="str">
        <f t="shared" si="2"/>
        <v>选中</v>
      </c>
    </row>
    <row r="18" spans="1:9" hidden="1" x14ac:dyDescent="0.25">
      <c r="A18" s="3">
        <v>2637</v>
      </c>
      <c r="B18" s="3">
        <v>113.35691370000001</v>
      </c>
      <c r="C18" s="3">
        <v>22.956659859999998</v>
      </c>
      <c r="D18" s="3">
        <v>45</v>
      </c>
      <c r="E18" s="13">
        <f t="shared" si="0"/>
        <v>1.5593215989235152E-3</v>
      </c>
      <c r="F18" s="13">
        <f t="shared" si="1"/>
        <v>25.323991129337603</v>
      </c>
      <c r="G18" s="14">
        <f>F18/$F$124*$D$2</f>
        <v>2049.3692873881732</v>
      </c>
      <c r="H18" s="14">
        <f>F18/$F$124*$E$2</f>
        <v>3142.3662406618655</v>
      </c>
      <c r="I18" s="25" t="str">
        <f t="shared" si="2"/>
        <v/>
      </c>
    </row>
    <row r="19" spans="1:9" hidden="1" x14ac:dyDescent="0.25">
      <c r="A19" s="3">
        <v>2620</v>
      </c>
      <c r="B19" s="3">
        <v>113.3567489</v>
      </c>
      <c r="C19" s="3">
        <v>22.956893999999998</v>
      </c>
      <c r="D19" s="3">
        <v>45</v>
      </c>
      <c r="E19" s="13">
        <f t="shared" si="0"/>
        <v>1.5945729760933581E-3</v>
      </c>
      <c r="F19" s="13">
        <f t="shared" si="1"/>
        <v>25.042506788649057</v>
      </c>
      <c r="G19" s="14">
        <f>F19/$F$124*$D$2</f>
        <v>2026.5898858419641</v>
      </c>
      <c r="H19" s="14">
        <f>F19/$F$124*$E$2</f>
        <v>3107.4378249576785</v>
      </c>
      <c r="I19" s="25" t="str">
        <f t="shared" si="2"/>
        <v/>
      </c>
    </row>
    <row r="20" spans="1:9" x14ac:dyDescent="0.25">
      <c r="A20" s="3">
        <v>2564</v>
      </c>
      <c r="B20" s="3">
        <v>113.35683779999999</v>
      </c>
      <c r="C20" s="3">
        <v>22.956589000000001</v>
      </c>
      <c r="D20" s="3">
        <v>45</v>
      </c>
      <c r="E20" s="13">
        <f t="shared" si="0"/>
        <v>1.6617460714858905E-3</v>
      </c>
      <c r="F20" s="13">
        <f t="shared" si="1"/>
        <v>24.531136532958982</v>
      </c>
      <c r="G20" s="14">
        <f>F20/$F$160*$D$2</f>
        <v>25.580294391876407</v>
      </c>
      <c r="H20" s="14">
        <f>F20/$F$160*$E$2</f>
        <v>39.223118067543822</v>
      </c>
      <c r="I20" s="25" t="str">
        <f t="shared" si="2"/>
        <v>选中</v>
      </c>
    </row>
    <row r="21" spans="1:9" hidden="1" x14ac:dyDescent="0.25">
      <c r="A21" s="3">
        <v>2591</v>
      </c>
      <c r="B21" s="3">
        <v>113.3588159</v>
      </c>
      <c r="C21" s="3">
        <v>22.955942440000001</v>
      </c>
      <c r="D21" s="3">
        <v>45</v>
      </c>
      <c r="E21" s="13">
        <f t="shared" si="0"/>
        <v>1.6827433323278432E-3</v>
      </c>
      <c r="F21" s="13">
        <f t="shared" si="1"/>
        <v>24.377606407940331</v>
      </c>
      <c r="G21" s="14">
        <f>F21/$F$124*$D$2</f>
        <v>1972.7821581248834</v>
      </c>
      <c r="H21" s="14">
        <f>F21/$F$124*$E$2</f>
        <v>3024.9326424581545</v>
      </c>
      <c r="I21" s="25" t="str">
        <f t="shared" si="2"/>
        <v/>
      </c>
    </row>
    <row r="22" spans="1:9" hidden="1" x14ac:dyDescent="0.25">
      <c r="A22" s="3">
        <v>2592</v>
      </c>
      <c r="B22" s="3">
        <v>113.360056</v>
      </c>
      <c r="C22" s="3">
        <v>22.95726316</v>
      </c>
      <c r="D22" s="3">
        <v>45</v>
      </c>
      <c r="E22" s="13">
        <f t="shared" si="0"/>
        <v>1.8556943096637352E-3</v>
      </c>
      <c r="F22" s="13">
        <f t="shared" si="1"/>
        <v>23.213829054305055</v>
      </c>
      <c r="G22" s="14">
        <f>F22/$F$124*$D$2</f>
        <v>1878.6023128660131</v>
      </c>
      <c r="H22" s="14">
        <f>F22/$F$124*$E$2</f>
        <v>2880.5235463945537</v>
      </c>
      <c r="I22" s="25" t="str">
        <f t="shared" si="2"/>
        <v/>
      </c>
    </row>
    <row r="23" spans="1:9" x14ac:dyDescent="0.25">
      <c r="A23" s="3">
        <v>2576</v>
      </c>
      <c r="B23" s="3">
        <v>113.3568408</v>
      </c>
      <c r="C23" s="3">
        <v>22.956254139999999</v>
      </c>
      <c r="D23" s="3">
        <v>45</v>
      </c>
      <c r="E23" s="13">
        <f t="shared" si="0"/>
        <v>1.8669627721208002E-3</v>
      </c>
      <c r="F23" s="13">
        <f t="shared" si="1"/>
        <v>23.143666951206686</v>
      </c>
      <c r="G23" s="14">
        <f>F23/$F$160*$D$2</f>
        <v>24.13348493348413</v>
      </c>
      <c r="H23" s="14">
        <f>F23/$F$160*$E$2</f>
        <v>37.004676898009002</v>
      </c>
      <c r="I23" s="25" t="str">
        <f t="shared" si="2"/>
        <v>选中</v>
      </c>
    </row>
    <row r="24" spans="1:9" hidden="1" x14ac:dyDescent="0.25">
      <c r="A24" s="3">
        <v>2587</v>
      </c>
      <c r="B24" s="3">
        <v>113.359978</v>
      </c>
      <c r="C24" s="3">
        <v>22.958390779999998</v>
      </c>
      <c r="D24" s="3">
        <v>45</v>
      </c>
      <c r="E24" s="13">
        <f t="shared" si="0"/>
        <v>1.9662192395840847E-3</v>
      </c>
      <c r="F24" s="13">
        <f t="shared" si="1"/>
        <v>22.551946329623899</v>
      </c>
      <c r="G24" s="14">
        <f>F24/$F$124*$D$2</f>
        <v>1825.0387919783857</v>
      </c>
      <c r="H24" s="14">
        <f>F24/$F$124*$E$2</f>
        <v>2798.3928143668581</v>
      </c>
      <c r="I24" s="25" t="str">
        <f t="shared" si="2"/>
        <v/>
      </c>
    </row>
    <row r="25" spans="1:9" hidden="1" x14ac:dyDescent="0.25">
      <c r="A25" s="3">
        <v>2600</v>
      </c>
      <c r="B25" s="3">
        <v>113.3595748</v>
      </c>
      <c r="C25" s="3">
        <v>22.955965370000001</v>
      </c>
      <c r="D25" s="3">
        <v>45</v>
      </c>
      <c r="E25" s="13">
        <f t="shared" si="0"/>
        <v>2.0601469176778453E-3</v>
      </c>
      <c r="F25" s="13">
        <f t="shared" si="1"/>
        <v>22.031846828450913</v>
      </c>
      <c r="G25" s="14">
        <f>F25/$F$124*$D$2</f>
        <v>1782.9492201314338</v>
      </c>
      <c r="H25" s="14">
        <f>F25/$F$124*$E$2</f>
        <v>2733.8554708681986</v>
      </c>
      <c r="I25" s="25" t="str">
        <f t="shared" si="2"/>
        <v/>
      </c>
    </row>
    <row r="26" spans="1:9" x14ac:dyDescent="0.25">
      <c r="A26" s="3">
        <v>2577</v>
      </c>
      <c r="B26" s="3">
        <v>113.3595356</v>
      </c>
      <c r="C26" s="3">
        <v>22.95910009</v>
      </c>
      <c r="D26" s="3">
        <v>45</v>
      </c>
      <c r="E26" s="13">
        <f t="shared" si="0"/>
        <v>2.0613819684907847E-3</v>
      </c>
      <c r="F26" s="13">
        <f t="shared" si="1"/>
        <v>22.025245789033587</v>
      </c>
      <c r="G26" s="14">
        <f>F26/$F$160*$D$2</f>
        <v>22.967230669477491</v>
      </c>
      <c r="H26" s="14">
        <f>F26/$F$160*$E$2</f>
        <v>35.216420359865488</v>
      </c>
      <c r="I26" s="25" t="str">
        <f t="shared" si="2"/>
        <v>选中</v>
      </c>
    </row>
    <row r="27" spans="1:9" hidden="1" x14ac:dyDescent="0.25">
      <c r="A27" s="3">
        <v>2643</v>
      </c>
      <c r="B27" s="3">
        <v>113.3603196</v>
      </c>
      <c r="C27" s="3">
        <v>22.958161409999999</v>
      </c>
      <c r="D27" s="3">
        <v>45</v>
      </c>
      <c r="E27" s="13">
        <f t="shared" si="0"/>
        <v>2.1991872813401092E-3</v>
      </c>
      <c r="F27" s="13">
        <f t="shared" si="1"/>
        <v>21.324010731529562</v>
      </c>
      <c r="G27" s="14">
        <f>F27/$F$124*$D$2</f>
        <v>1725.666876675911</v>
      </c>
      <c r="H27" s="14">
        <f>F27/$F$124*$E$2</f>
        <v>2646.0225442363967</v>
      </c>
      <c r="I27" s="25" t="str">
        <f t="shared" si="2"/>
        <v/>
      </c>
    </row>
    <row r="28" spans="1:9" hidden="1" x14ac:dyDescent="0.25">
      <c r="A28" s="3">
        <v>2589</v>
      </c>
      <c r="B28" s="3">
        <v>113.36038550000001</v>
      </c>
      <c r="C28" s="3">
        <v>22.95814433</v>
      </c>
      <c r="D28" s="3">
        <v>45</v>
      </c>
      <c r="E28" s="13">
        <f t="shared" si="0"/>
        <v>2.2574412815512951E-3</v>
      </c>
      <c r="F28" s="13">
        <f t="shared" si="1"/>
        <v>21.047075970171406</v>
      </c>
      <c r="G28" s="14">
        <f>F28/$F$124*$D$2</f>
        <v>1703.2556543832256</v>
      </c>
      <c r="H28" s="14">
        <f>F28/$F$124*$E$2</f>
        <v>2611.6586700542794</v>
      </c>
      <c r="I28" s="25" t="str">
        <f t="shared" si="2"/>
        <v/>
      </c>
    </row>
    <row r="29" spans="1:9" x14ac:dyDescent="0.25">
      <c r="A29" s="3">
        <v>2599</v>
      </c>
      <c r="B29" s="3">
        <v>113.3583316</v>
      </c>
      <c r="C29" s="3">
        <v>22.95518345</v>
      </c>
      <c r="D29" s="3">
        <v>45</v>
      </c>
      <c r="E29" s="13">
        <f t="shared" si="0"/>
        <v>2.3345299821582958E-3</v>
      </c>
      <c r="F29" s="13">
        <f t="shared" si="1"/>
        <v>20.696660324624244</v>
      </c>
      <c r="G29" s="14">
        <f>F29/$F$160*$D$2</f>
        <v>21.581823708870626</v>
      </c>
      <c r="H29" s="14">
        <f>F29/$F$160*$E$2</f>
        <v>33.09212968693496</v>
      </c>
      <c r="I29" s="25" t="str">
        <f t="shared" si="2"/>
        <v>选中</v>
      </c>
    </row>
    <row r="30" spans="1:9" hidden="1" x14ac:dyDescent="0.25">
      <c r="A30" s="3">
        <v>2651</v>
      </c>
      <c r="B30" s="3">
        <v>113.35823379999999</v>
      </c>
      <c r="C30" s="3">
        <v>22.9551716</v>
      </c>
      <c r="D30" s="3">
        <v>45</v>
      </c>
      <c r="E30" s="13">
        <f t="shared" si="0"/>
        <v>2.3436466837163236E-3</v>
      </c>
      <c r="F30" s="13">
        <f t="shared" si="1"/>
        <v>20.656366467780849</v>
      </c>
      <c r="G30" s="14">
        <f>F30/$F$124*$D$2</f>
        <v>1671.6370974819672</v>
      </c>
      <c r="H30" s="14">
        <f>F30/$F$124*$E$2</f>
        <v>2563.1768828056829</v>
      </c>
      <c r="I30" s="25" t="str">
        <f t="shared" si="2"/>
        <v/>
      </c>
    </row>
    <row r="31" spans="1:9" hidden="1" x14ac:dyDescent="0.25">
      <c r="A31" s="3">
        <v>2635</v>
      </c>
      <c r="B31" s="3">
        <v>113.3558433</v>
      </c>
      <c r="C31" s="3">
        <v>22.95708625</v>
      </c>
      <c r="D31" s="3">
        <v>45</v>
      </c>
      <c r="E31" s="13">
        <f t="shared" si="0"/>
        <v>2.4126365585305275E-3</v>
      </c>
      <c r="F31" s="13">
        <f t="shared" si="1"/>
        <v>20.358887747459097</v>
      </c>
      <c r="G31" s="14">
        <f>F31/$F$124*$D$2</f>
        <v>1647.5633347814003</v>
      </c>
      <c r="H31" s="14">
        <f>F31/$F$124*$E$2</f>
        <v>2526.2637799981471</v>
      </c>
      <c r="I31" s="25" t="str">
        <f t="shared" si="2"/>
        <v/>
      </c>
    </row>
    <row r="32" spans="1:9" x14ac:dyDescent="0.25">
      <c r="A32" s="3">
        <v>2602</v>
      </c>
      <c r="B32" s="3">
        <v>113.35578839999999</v>
      </c>
      <c r="C32" s="3">
        <v>22.957153300000002</v>
      </c>
      <c r="D32" s="3">
        <v>45</v>
      </c>
      <c r="E32" s="13">
        <f t="shared" si="0"/>
        <v>2.4559094409404444E-3</v>
      </c>
      <c r="F32" s="13">
        <f t="shared" si="1"/>
        <v>20.178729831138583</v>
      </c>
      <c r="G32" s="14">
        <f>F32/$F$160*$D$2</f>
        <v>21.041742148438537</v>
      </c>
      <c r="H32" s="14">
        <f>F32/$F$160*$E$2</f>
        <v>32.264004627605757</v>
      </c>
      <c r="I32" s="25" t="str">
        <f t="shared" si="2"/>
        <v>选中</v>
      </c>
    </row>
    <row r="33" spans="1:9" hidden="1" x14ac:dyDescent="0.25">
      <c r="A33" s="3">
        <v>2594</v>
      </c>
      <c r="B33" s="3">
        <v>113.3605053</v>
      </c>
      <c r="C33" s="3">
        <v>22.958413050000001</v>
      </c>
      <c r="D33" s="3">
        <v>45</v>
      </c>
      <c r="E33" s="13">
        <f t="shared" si="0"/>
        <v>2.4576780545111612E-3</v>
      </c>
      <c r="F33" s="13">
        <f t="shared" si="1"/>
        <v>20.171467936470947</v>
      </c>
      <c r="G33" s="14">
        <f>F33/$F$124*$D$2</f>
        <v>1632.3961992960997</v>
      </c>
      <c r="H33" s="14">
        <f>F33/$F$124*$E$2</f>
        <v>2503.0075055873531</v>
      </c>
      <c r="I33" s="25" t="str">
        <f t="shared" si="2"/>
        <v/>
      </c>
    </row>
    <row r="34" spans="1:9" hidden="1" x14ac:dyDescent="0.25">
      <c r="A34" s="3">
        <v>2619</v>
      </c>
      <c r="B34" s="3">
        <v>113.3557864</v>
      </c>
      <c r="C34" s="3">
        <v>22.956927400000001</v>
      </c>
      <c r="D34" s="3">
        <v>45</v>
      </c>
      <c r="E34" s="13">
        <f t="shared" si="0"/>
        <v>2.5011485949608834E-3</v>
      </c>
      <c r="F34" s="13">
        <f t="shared" si="1"/>
        <v>19.995407202675047</v>
      </c>
      <c r="G34" s="14">
        <f>F34/$F$124*$D$2</f>
        <v>1618.1483084832514</v>
      </c>
      <c r="H34" s="14">
        <f>F34/$F$124*$E$2</f>
        <v>2481.1607396743188</v>
      </c>
      <c r="I34" s="25" t="str">
        <f t="shared" si="2"/>
        <v/>
      </c>
    </row>
    <row r="35" spans="1:9" x14ac:dyDescent="0.25">
      <c r="A35" s="3">
        <v>2604</v>
      </c>
      <c r="B35" s="3">
        <v>113.3557984</v>
      </c>
      <c r="C35" s="3">
        <v>22.956865409999999</v>
      </c>
      <c r="D35" s="3">
        <v>45</v>
      </c>
      <c r="E35" s="13">
        <f t="shared" si="0"/>
        <v>2.5048470728543317E-3</v>
      </c>
      <c r="F35" s="13">
        <f t="shared" si="1"/>
        <v>19.980639856047045</v>
      </c>
      <c r="G35" s="14">
        <f>F35/$F$160*$D$2</f>
        <v>20.835180178832569</v>
      </c>
      <c r="H35" s="14">
        <f>F35/$F$160*$E$2</f>
        <v>31.947276274209937</v>
      </c>
      <c r="I35" s="25" t="str">
        <f t="shared" si="2"/>
        <v>选中</v>
      </c>
    </row>
    <row r="36" spans="1:9" hidden="1" x14ac:dyDescent="0.25">
      <c r="A36" s="3">
        <v>2646</v>
      </c>
      <c r="B36" s="3">
        <v>113.36065120000001</v>
      </c>
      <c r="C36" s="3">
        <v>22.9569115</v>
      </c>
      <c r="D36" s="3">
        <v>45</v>
      </c>
      <c r="E36" s="13">
        <f t="shared" si="0"/>
        <v>2.5074563418242607E-3</v>
      </c>
      <c r="F36" s="13">
        <f t="shared" si="1"/>
        <v>19.970241183754428</v>
      </c>
      <c r="G36" s="14">
        <f>F36/$F$124*$D$2</f>
        <v>1616.111723254709</v>
      </c>
      <c r="H36" s="14">
        <f>F36/$F$124*$E$2</f>
        <v>2478.0379756572206</v>
      </c>
      <c r="I36" s="25" t="str">
        <f t="shared" si="2"/>
        <v/>
      </c>
    </row>
    <row r="37" spans="1:9" hidden="1" x14ac:dyDescent="0.25">
      <c r="A37" s="3">
        <v>2601</v>
      </c>
      <c r="B37" s="3">
        <v>113.3602009</v>
      </c>
      <c r="C37" s="3">
        <v>22.955967510000001</v>
      </c>
      <c r="D37" s="3">
        <v>45</v>
      </c>
      <c r="E37" s="13">
        <f t="shared" ref="E37:E68" si="3">SQRT((B37-$B$2)^2+(C37-$C$2)^2)</f>
        <v>2.5157879366900478E-3</v>
      </c>
      <c r="F37" s="13">
        <f t="shared" ref="F37:F68" si="4">SQRT(1/E37)</f>
        <v>19.937145798508997</v>
      </c>
      <c r="G37" s="14">
        <f>F37/$F$124*$D$2</f>
        <v>1613.4334461328342</v>
      </c>
      <c r="H37" s="14">
        <f>F37/$F$124*$E$2</f>
        <v>2473.931284070346</v>
      </c>
      <c r="I37" s="25" t="str">
        <f t="shared" si="2"/>
        <v/>
      </c>
    </row>
    <row r="38" spans="1:9" x14ac:dyDescent="0.25">
      <c r="A38" s="3">
        <v>2622</v>
      </c>
      <c r="B38" s="3">
        <v>113.3584075</v>
      </c>
      <c r="C38" s="3">
        <v>22.954933449999999</v>
      </c>
      <c r="D38" s="3">
        <v>45</v>
      </c>
      <c r="E38" s="13">
        <f t="shared" si="3"/>
        <v>2.5887219679992454E-3</v>
      </c>
      <c r="F38" s="13">
        <f t="shared" si="4"/>
        <v>19.65428708635509</v>
      </c>
      <c r="G38" s="14">
        <f>F38/$F$160*$D$2</f>
        <v>20.494869818034235</v>
      </c>
      <c r="H38" s="14">
        <f>F38/$F$160*$E$2</f>
        <v>31.42546705431916</v>
      </c>
      <c r="I38" s="25" t="str">
        <f t="shared" si="2"/>
        <v>选中</v>
      </c>
    </row>
    <row r="39" spans="1:9" hidden="1" x14ac:dyDescent="0.25">
      <c r="A39" s="3">
        <v>2606</v>
      </c>
      <c r="B39" s="3">
        <v>113.36084289999999</v>
      </c>
      <c r="C39" s="3">
        <v>22.956906239999999</v>
      </c>
      <c r="D39" s="3">
        <v>45</v>
      </c>
      <c r="E39" s="13">
        <f t="shared" si="3"/>
        <v>2.6950965219259375E-3</v>
      </c>
      <c r="F39" s="13">
        <f t="shared" si="4"/>
        <v>19.262508271166912</v>
      </c>
      <c r="G39" s="14">
        <f>F39/$F$124*$D$2</f>
        <v>1558.8377300945097</v>
      </c>
      <c r="H39" s="14">
        <f>F39/$F$124*$E$2</f>
        <v>2390.2178528115815</v>
      </c>
      <c r="I39" s="25" t="str">
        <f t="shared" si="2"/>
        <v/>
      </c>
    </row>
    <row r="40" spans="1:9" hidden="1" x14ac:dyDescent="0.25">
      <c r="A40" s="3">
        <v>2570</v>
      </c>
      <c r="B40" s="3">
        <v>113.3574376</v>
      </c>
      <c r="C40" s="3">
        <v>22.960396500000002</v>
      </c>
      <c r="D40" s="3">
        <v>45</v>
      </c>
      <c r="E40" s="13">
        <f t="shared" si="3"/>
        <v>2.9849943594776242E-3</v>
      </c>
      <c r="F40" s="13">
        <f t="shared" si="4"/>
        <v>18.303251302701703</v>
      </c>
      <c r="G40" s="14">
        <f>F40/$F$124*$D$2</f>
        <v>1481.2089013745278</v>
      </c>
      <c r="H40" s="14">
        <f>F40/$F$124*$E$2</f>
        <v>2271.1869821076093</v>
      </c>
      <c r="I40" s="25" t="str">
        <f t="shared" si="2"/>
        <v/>
      </c>
    </row>
    <row r="41" spans="1:9" x14ac:dyDescent="0.25">
      <c r="A41" s="3">
        <v>2630</v>
      </c>
      <c r="B41" s="3">
        <v>113.36126230000001</v>
      </c>
      <c r="C41" s="3">
        <v>22.95675374</v>
      </c>
      <c r="D41" s="3">
        <v>45</v>
      </c>
      <c r="E41" s="13">
        <f t="shared" si="3"/>
        <v>3.1385686455089141E-3</v>
      </c>
      <c r="F41" s="13">
        <f t="shared" si="4"/>
        <v>17.849834102148858</v>
      </c>
      <c r="G41" s="14">
        <f>F41/$F$160*$D$2</f>
        <v>18.613243237452497</v>
      </c>
      <c r="H41" s="14">
        <f>F41/$F$160*$E$2</f>
        <v>28.540306297427161</v>
      </c>
      <c r="I41" s="25" t="str">
        <f t="shared" si="2"/>
        <v>选中</v>
      </c>
    </row>
    <row r="42" spans="1:9" hidden="1" x14ac:dyDescent="0.25">
      <c r="A42" s="3">
        <v>2623</v>
      </c>
      <c r="B42" s="3">
        <v>113.3609379</v>
      </c>
      <c r="C42" s="3">
        <v>22.9557526</v>
      </c>
      <c r="D42" s="3">
        <v>45</v>
      </c>
      <c r="E42" s="13">
        <f t="shared" si="3"/>
        <v>3.2414965167497801E-3</v>
      </c>
      <c r="F42" s="13">
        <f t="shared" si="4"/>
        <v>17.5641533566132</v>
      </c>
      <c r="G42" s="14">
        <f>F42/$F$124*$D$2</f>
        <v>1421.3966615364438</v>
      </c>
      <c r="H42" s="14">
        <f>F42/$F$124*$E$2</f>
        <v>2179.4748810225469</v>
      </c>
      <c r="I42" s="25" t="str">
        <f t="shared" si="2"/>
        <v/>
      </c>
    </row>
    <row r="43" spans="1:9" hidden="1" x14ac:dyDescent="0.25">
      <c r="A43" s="3">
        <v>2583</v>
      </c>
      <c r="B43" s="3">
        <v>113.357192</v>
      </c>
      <c r="C43" s="3">
        <v>22.960607769999999</v>
      </c>
      <c r="D43" s="3">
        <v>45</v>
      </c>
      <c r="E43" s="13">
        <f t="shared" si="3"/>
        <v>3.2581745359016351E-3</v>
      </c>
      <c r="F43" s="13">
        <f t="shared" si="4"/>
        <v>17.519141783975765</v>
      </c>
      <c r="G43" s="14">
        <f>F43/$F$124*$D$2</f>
        <v>1417.754055042504</v>
      </c>
      <c r="H43" s="14">
        <f>F43/$F$124*$E$2</f>
        <v>2173.8895510651728</v>
      </c>
      <c r="I43" s="25" t="str">
        <f t="shared" si="2"/>
        <v/>
      </c>
    </row>
    <row r="44" spans="1:9" x14ac:dyDescent="0.25">
      <c r="A44" s="3">
        <v>2647</v>
      </c>
      <c r="B44" s="3">
        <v>113.3611494</v>
      </c>
      <c r="C44" s="3">
        <v>22.958966950000001</v>
      </c>
      <c r="D44" s="3">
        <v>45</v>
      </c>
      <c r="E44" s="13">
        <f t="shared" si="3"/>
        <v>3.2716425091454892E-3</v>
      </c>
      <c r="F44" s="13">
        <f t="shared" si="4"/>
        <v>17.483045135707648</v>
      </c>
      <c r="G44" s="14">
        <f>F44/$F$160*$D$2</f>
        <v>18.230767287809797</v>
      </c>
      <c r="H44" s="14">
        <f>F44/$F$160*$E$2</f>
        <v>27.95384317464169</v>
      </c>
      <c r="I44" s="25" t="str">
        <f t="shared" si="2"/>
        <v>选中</v>
      </c>
    </row>
    <row r="45" spans="1:9" hidden="1" x14ac:dyDescent="0.25">
      <c r="A45" s="3">
        <v>2605</v>
      </c>
      <c r="B45" s="3">
        <v>113.3611563</v>
      </c>
      <c r="C45" s="3">
        <v>22.958997920000002</v>
      </c>
      <c r="D45" s="3">
        <v>45</v>
      </c>
      <c r="E45" s="13">
        <f t="shared" si="3"/>
        <v>3.2916612360577762E-3</v>
      </c>
      <c r="F45" s="13">
        <f t="shared" si="4"/>
        <v>17.429801191118337</v>
      </c>
      <c r="G45" s="14">
        <f>F45/$F$124*$D$2</f>
        <v>1410.5240782910528</v>
      </c>
      <c r="H45" s="14">
        <f>F45/$F$124*$E$2</f>
        <v>2162.8035867129474</v>
      </c>
      <c r="I45" s="25" t="str">
        <f t="shared" si="2"/>
        <v/>
      </c>
    </row>
    <row r="46" spans="1:9" hidden="1" x14ac:dyDescent="0.25">
      <c r="A46" s="3">
        <v>2578</v>
      </c>
      <c r="B46" s="3">
        <v>113.3569464</v>
      </c>
      <c r="C46" s="3">
        <v>22.960585129999998</v>
      </c>
      <c r="D46" s="3">
        <v>45</v>
      </c>
      <c r="E46" s="13">
        <f t="shared" si="3"/>
        <v>3.3226836764262274E-3</v>
      </c>
      <c r="F46" s="13">
        <f t="shared" si="4"/>
        <v>17.348243171763347</v>
      </c>
      <c r="G46" s="14">
        <f>F46/$F$124*$D$2</f>
        <v>1403.9239140770994</v>
      </c>
      <c r="H46" s="14">
        <f>F46/$F$124*$E$2</f>
        <v>2152.6833349182189</v>
      </c>
      <c r="I46" s="25" t="str">
        <f t="shared" si="2"/>
        <v/>
      </c>
    </row>
    <row r="47" spans="1:9" x14ac:dyDescent="0.25">
      <c r="A47" s="3">
        <v>2624</v>
      </c>
      <c r="B47" s="3">
        <v>113.3576577</v>
      </c>
      <c r="C47" s="3">
        <v>22.95421683</v>
      </c>
      <c r="D47" s="3">
        <v>45</v>
      </c>
      <c r="E47" s="13">
        <f t="shared" si="3"/>
        <v>3.3455275711883076E-3</v>
      </c>
      <c r="F47" s="13">
        <f t="shared" si="4"/>
        <v>17.288913177057857</v>
      </c>
      <c r="G47" s="14">
        <f>F47/$F$160*$D$2</f>
        <v>18.028332612740371</v>
      </c>
      <c r="H47" s="14">
        <f>F47/$F$160*$E$2</f>
        <v>27.643443339535239</v>
      </c>
      <c r="I47" s="25" t="str">
        <f t="shared" si="2"/>
        <v>选中</v>
      </c>
    </row>
    <row r="48" spans="1:9" hidden="1" x14ac:dyDescent="0.25">
      <c r="A48" s="3">
        <v>2634</v>
      </c>
      <c r="B48" s="3">
        <v>113.3603088</v>
      </c>
      <c r="C48" s="3">
        <v>22.95484884</v>
      </c>
      <c r="D48" s="3">
        <v>45</v>
      </c>
      <c r="E48" s="13">
        <f t="shared" si="3"/>
        <v>3.3886513559978791E-3</v>
      </c>
      <c r="F48" s="13">
        <f t="shared" si="4"/>
        <v>17.178552076691155</v>
      </c>
      <c r="G48" s="14">
        <f>F48/$F$124*$D$2</f>
        <v>1390.191492642891</v>
      </c>
      <c r="H48" s="14">
        <f>F48/$F$124*$E$2</f>
        <v>2131.6269553857665</v>
      </c>
      <c r="I48" s="25" t="str">
        <f t="shared" si="2"/>
        <v/>
      </c>
    </row>
    <row r="49" spans="1:9" hidden="1" x14ac:dyDescent="0.25">
      <c r="A49" s="3">
        <v>2652</v>
      </c>
      <c r="B49" s="3">
        <v>113.3578105</v>
      </c>
      <c r="C49" s="3">
        <v>22.95413164</v>
      </c>
      <c r="D49" s="3">
        <v>45</v>
      </c>
      <c r="E49" s="13">
        <f t="shared" si="3"/>
        <v>3.4079406688626852E-3</v>
      </c>
      <c r="F49" s="13">
        <f t="shared" si="4"/>
        <v>17.129866856443297</v>
      </c>
      <c r="G49" s="14">
        <f>F49/$F$124*$D$2</f>
        <v>1386.2515925451492</v>
      </c>
      <c r="H49" s="14">
        <f>F49/$F$124*$E$2</f>
        <v>2125.5857752358952</v>
      </c>
      <c r="I49" s="25" t="str">
        <f t="shared" si="2"/>
        <v/>
      </c>
    </row>
    <row r="50" spans="1:9" x14ac:dyDescent="0.25">
      <c r="A50" s="3">
        <v>2613</v>
      </c>
      <c r="B50" s="3">
        <v>113.3581789</v>
      </c>
      <c r="C50" s="3">
        <v>22.954055149999999</v>
      </c>
      <c r="D50" s="3">
        <v>45</v>
      </c>
      <c r="E50" s="13">
        <f t="shared" si="3"/>
        <v>3.4602553029511041E-3</v>
      </c>
      <c r="F50" s="13">
        <f t="shared" si="4"/>
        <v>16.999882849511586</v>
      </c>
      <c r="G50" s="14">
        <f>F50/$F$160*$D$2</f>
        <v>17.726940915829772</v>
      </c>
      <c r="H50" s="14">
        <f>F50/$F$160*$E$2</f>
        <v>27.181309404272319</v>
      </c>
      <c r="I50" s="25" t="str">
        <f t="shared" si="2"/>
        <v>选中</v>
      </c>
    </row>
    <row r="51" spans="1:9" hidden="1" x14ac:dyDescent="0.25">
      <c r="A51" s="3">
        <v>2621</v>
      </c>
      <c r="B51" s="3">
        <v>113.36110170000001</v>
      </c>
      <c r="C51" s="3">
        <v>22.955466510000001</v>
      </c>
      <c r="D51" s="3">
        <v>45</v>
      </c>
      <c r="E51" s="13">
        <f t="shared" si="3"/>
        <v>3.5377534372049617E-3</v>
      </c>
      <c r="F51" s="13">
        <f t="shared" si="4"/>
        <v>16.81265182452734</v>
      </c>
      <c r="G51" s="14">
        <f>F51/$F$124*$D$2</f>
        <v>1360.5806491071185</v>
      </c>
      <c r="H51" s="14">
        <f>F51/$F$124*$E$2</f>
        <v>2086.2236619642481</v>
      </c>
      <c r="I51" s="25" t="str">
        <f t="shared" si="2"/>
        <v/>
      </c>
    </row>
    <row r="52" spans="1:9" hidden="1" x14ac:dyDescent="0.25">
      <c r="A52" s="3">
        <v>2566</v>
      </c>
      <c r="B52" s="3">
        <v>113.3564231</v>
      </c>
      <c r="C52" s="3">
        <v>22.960564909999999</v>
      </c>
      <c r="D52" s="3">
        <v>45</v>
      </c>
      <c r="E52" s="13">
        <f t="shared" si="3"/>
        <v>3.5384549507347287E-3</v>
      </c>
      <c r="F52" s="13">
        <f t="shared" si="4"/>
        <v>16.81098515255951</v>
      </c>
      <c r="G52" s="14">
        <f>F52/$F$124*$D$2</f>
        <v>1360.4457720126834</v>
      </c>
      <c r="H52" s="14">
        <f>F52/$F$124*$E$2</f>
        <v>2086.016850419448</v>
      </c>
      <c r="I52" s="25" t="str">
        <f t="shared" si="2"/>
        <v/>
      </c>
    </row>
    <row r="53" spans="1:9" x14ac:dyDescent="0.25">
      <c r="A53" s="3">
        <v>2629</v>
      </c>
      <c r="B53" s="3">
        <v>113.3570132</v>
      </c>
      <c r="C53" s="3">
        <v>22.960872909999999</v>
      </c>
      <c r="D53" s="3">
        <v>45</v>
      </c>
      <c r="E53" s="13">
        <f t="shared" si="3"/>
        <v>3.5671588257879397E-3</v>
      </c>
      <c r="F53" s="13">
        <f t="shared" si="4"/>
        <v>16.743212019746611</v>
      </c>
      <c r="G53" s="14">
        <f>F53/$F$160*$D$2</f>
        <v>17.459292681172006</v>
      </c>
      <c r="H53" s="14">
        <f>F53/$F$160*$E$2</f>
        <v>26.770915444463739</v>
      </c>
      <c r="I53" s="25" t="str">
        <f t="shared" si="2"/>
        <v>选中</v>
      </c>
    </row>
    <row r="54" spans="1:9" hidden="1" x14ac:dyDescent="0.25">
      <c r="A54" s="3">
        <v>2572</v>
      </c>
      <c r="B54" s="3">
        <v>113.35698530000001</v>
      </c>
      <c r="C54" s="3">
        <v>22.960875949999998</v>
      </c>
      <c r="D54" s="3">
        <v>45</v>
      </c>
      <c r="E54" s="13">
        <f t="shared" si="3"/>
        <v>3.5795285468302081E-3</v>
      </c>
      <c r="F54" s="13">
        <f t="shared" si="4"/>
        <v>16.714257355065808</v>
      </c>
      <c r="G54" s="14">
        <f>F54/$F$124*$D$2</f>
        <v>1352.6179783443051</v>
      </c>
      <c r="H54" s="14">
        <f>F54/$F$124*$E$2</f>
        <v>2074.0142334612678</v>
      </c>
      <c r="I54" s="25" t="str">
        <f t="shared" si="2"/>
        <v/>
      </c>
    </row>
    <row r="55" spans="1:9" hidden="1" x14ac:dyDescent="0.25">
      <c r="A55" s="3">
        <v>2567</v>
      </c>
      <c r="B55" s="3">
        <v>113.3561096</v>
      </c>
      <c r="C55" s="3">
        <v>22.960409439999999</v>
      </c>
      <c r="D55" s="3">
        <v>45</v>
      </c>
      <c r="E55" s="13">
        <f t="shared" si="3"/>
        <v>3.5804923505710655E-3</v>
      </c>
      <c r="F55" s="13">
        <f t="shared" si="4"/>
        <v>16.712007615866057</v>
      </c>
      <c r="G55" s="14">
        <f>F55/$F$124*$D$2</f>
        <v>1352.4359159514913</v>
      </c>
      <c r="H55" s="14">
        <f>F55/$F$124*$E$2</f>
        <v>2073.7350711256199</v>
      </c>
      <c r="I55" s="25" t="str">
        <f t="shared" si="2"/>
        <v/>
      </c>
    </row>
    <row r="56" spans="1:9" x14ac:dyDescent="0.25">
      <c r="A56" s="3">
        <v>2653</v>
      </c>
      <c r="B56" s="3">
        <v>113.361548</v>
      </c>
      <c r="C56" s="3">
        <v>22.956024670000001</v>
      </c>
      <c r="D56" s="3">
        <v>45</v>
      </c>
      <c r="E56" s="13">
        <f t="shared" si="3"/>
        <v>3.6488190035159776E-3</v>
      </c>
      <c r="F56" s="13">
        <f t="shared" si="4"/>
        <v>16.55479622929294</v>
      </c>
      <c r="G56" s="14">
        <f>F56/$F$160*$D$2</f>
        <v>17.262818645759602</v>
      </c>
      <c r="H56" s="14">
        <f>F56/$F$160*$E$2</f>
        <v>26.469655256831388</v>
      </c>
      <c r="I56" s="25" t="str">
        <f t="shared" si="2"/>
        <v>选中</v>
      </c>
    </row>
    <row r="57" spans="1:9" hidden="1" x14ac:dyDescent="0.25">
      <c r="A57" s="3">
        <v>2625</v>
      </c>
      <c r="B57" s="3">
        <v>113.3615959</v>
      </c>
      <c r="C57" s="3">
        <v>22.956015610000001</v>
      </c>
      <c r="D57" s="3">
        <v>45</v>
      </c>
      <c r="E57" s="13">
        <f t="shared" si="3"/>
        <v>3.6962584780300635E-3</v>
      </c>
      <c r="F57" s="13">
        <f t="shared" si="4"/>
        <v>16.448217234862756</v>
      </c>
      <c r="G57" s="14">
        <f>F57/$F$124*$D$2</f>
        <v>1331.0884157736737</v>
      </c>
      <c r="H57" s="14">
        <f>F57/$F$124*$E$2</f>
        <v>2041.0022375196331</v>
      </c>
      <c r="I57" s="25" t="str">
        <f t="shared" si="2"/>
        <v/>
      </c>
    </row>
    <row r="58" spans="1:9" hidden="1" x14ac:dyDescent="0.25">
      <c r="A58" s="3">
        <v>2689</v>
      </c>
      <c r="B58" s="3">
        <v>113.3615959</v>
      </c>
      <c r="C58" s="3">
        <v>22.956015610000001</v>
      </c>
      <c r="D58" s="3">
        <v>45</v>
      </c>
      <c r="E58" s="13">
        <f t="shared" si="3"/>
        <v>3.6962584780300635E-3</v>
      </c>
      <c r="F58" s="13">
        <f t="shared" si="4"/>
        <v>16.448217234862756</v>
      </c>
      <c r="G58" s="14">
        <f>F58/$F$124*$D$2</f>
        <v>1331.0884157736737</v>
      </c>
      <c r="H58" s="14">
        <f>F58/$F$124*$E$2</f>
        <v>2041.0022375196331</v>
      </c>
      <c r="I58" s="25" t="str">
        <f t="shared" si="2"/>
        <v/>
      </c>
    </row>
    <row r="59" spans="1:9" x14ac:dyDescent="0.25">
      <c r="A59" s="3">
        <v>2683</v>
      </c>
      <c r="B59" s="3">
        <v>113.3618196</v>
      </c>
      <c r="C59" s="3">
        <v>22.956291199999999</v>
      </c>
      <c r="D59" s="3">
        <v>45</v>
      </c>
      <c r="E59" s="13">
        <f t="shared" si="3"/>
        <v>3.8043758923329992E-3</v>
      </c>
      <c r="F59" s="13">
        <f t="shared" si="4"/>
        <v>16.212809863366736</v>
      </c>
      <c r="G59" s="14">
        <f>F59/$F$160*$D$2</f>
        <v>16.906206064575414</v>
      </c>
      <c r="H59" s="14">
        <f>F59/$F$160*$E$2</f>
        <v>25.922849299015635</v>
      </c>
      <c r="I59" s="25" t="str">
        <f t="shared" si="2"/>
        <v>选中</v>
      </c>
    </row>
    <row r="60" spans="1:9" hidden="1" x14ac:dyDescent="0.25">
      <c r="A60" s="3">
        <v>2697</v>
      </c>
      <c r="B60" s="3">
        <v>113.36177069999999</v>
      </c>
      <c r="C60" s="3">
        <v>22.956128329999999</v>
      </c>
      <c r="D60" s="3">
        <v>45</v>
      </c>
      <c r="E60" s="13">
        <f t="shared" si="3"/>
        <v>3.8142641360546779E-3</v>
      </c>
      <c r="F60" s="13">
        <f t="shared" si="4"/>
        <v>16.191780872323413</v>
      </c>
      <c r="G60" s="14">
        <f>F60/$F$124*$D$2</f>
        <v>1310.3360468886267</v>
      </c>
      <c r="H60" s="14">
        <f>F60/$F$124*$E$2</f>
        <v>2009.1819385625608</v>
      </c>
      <c r="I60" s="25" t="str">
        <f t="shared" si="2"/>
        <v/>
      </c>
    </row>
    <row r="61" spans="1:9" hidden="1" x14ac:dyDescent="0.25">
      <c r="A61" s="3">
        <v>2682</v>
      </c>
      <c r="B61" s="3">
        <v>113.3620093</v>
      </c>
      <c r="C61" s="3">
        <v>22.95656383</v>
      </c>
      <c r="D61" s="3">
        <v>45</v>
      </c>
      <c r="E61" s="13">
        <f t="shared" si="3"/>
        <v>3.9093264240289997E-3</v>
      </c>
      <c r="F61" s="13">
        <f t="shared" si="4"/>
        <v>15.993703202695361</v>
      </c>
      <c r="G61" s="14">
        <f>F61/$F$124*$D$2</f>
        <v>1294.3064135429224</v>
      </c>
      <c r="H61" s="14">
        <f>F61/$F$124*$E$2</f>
        <v>1984.6031674324811</v>
      </c>
      <c r="I61" s="25" t="str">
        <f t="shared" si="2"/>
        <v/>
      </c>
    </row>
    <row r="62" spans="1:9" x14ac:dyDescent="0.25">
      <c r="A62" s="3">
        <v>2565</v>
      </c>
      <c r="B62" s="3">
        <v>113.35471990000001</v>
      </c>
      <c r="C62" s="3">
        <v>22.959282999999999</v>
      </c>
      <c r="D62" s="3">
        <v>45</v>
      </c>
      <c r="E62" s="13">
        <f t="shared" si="3"/>
        <v>3.9189740948394145E-3</v>
      </c>
      <c r="F62" s="13">
        <f t="shared" si="4"/>
        <v>15.974004544137925</v>
      </c>
      <c r="G62" s="14">
        <f>F62/$F$160*$D$2</f>
        <v>16.657187420045364</v>
      </c>
      <c r="H62" s="14">
        <f>F62/$F$160*$E$2</f>
        <v>25.541020710736223</v>
      </c>
      <c r="I62" s="25" t="str">
        <f t="shared" si="2"/>
        <v>选中</v>
      </c>
    </row>
    <row r="63" spans="1:9" hidden="1" x14ac:dyDescent="0.25">
      <c r="A63" s="3">
        <v>2626</v>
      </c>
      <c r="B63" s="3">
        <v>113.35886000000001</v>
      </c>
      <c r="C63" s="3">
        <v>22.953645359999999</v>
      </c>
      <c r="D63" s="3">
        <v>45</v>
      </c>
      <c r="E63" s="13">
        <f t="shared" si="3"/>
        <v>3.9228039052328495E-3</v>
      </c>
      <c r="F63" s="13">
        <f t="shared" si="4"/>
        <v>15.966204976636506</v>
      </c>
      <c r="G63" s="14">
        <f>F63/$F$124*$D$2</f>
        <v>1292.0810921212376</v>
      </c>
      <c r="H63" s="14">
        <f>F63/$F$124*$E$2</f>
        <v>1981.191007919231</v>
      </c>
      <c r="I63" s="25" t="str">
        <f t="shared" si="2"/>
        <v/>
      </c>
    </row>
    <row r="64" spans="1:9" hidden="1" x14ac:dyDescent="0.25">
      <c r="A64" s="3">
        <v>2611</v>
      </c>
      <c r="B64" s="3">
        <v>113.36139489999999</v>
      </c>
      <c r="C64" s="3">
        <v>22.95998518</v>
      </c>
      <c r="D64" s="3">
        <v>45</v>
      </c>
      <c r="E64" s="13">
        <f t="shared" si="3"/>
        <v>4.0245150465736792E-3</v>
      </c>
      <c r="F64" s="13">
        <f t="shared" si="4"/>
        <v>15.763157767967417</v>
      </c>
      <c r="G64" s="14">
        <f>F64/$F$124*$D$2</f>
        <v>1275.6492938627766</v>
      </c>
      <c r="H64" s="14">
        <f>F64/$F$124*$E$2</f>
        <v>1955.9955839229242</v>
      </c>
      <c r="I64" s="25" t="str">
        <f t="shared" si="2"/>
        <v/>
      </c>
    </row>
    <row r="65" spans="1:9" x14ac:dyDescent="0.25">
      <c r="A65" s="3">
        <v>2654</v>
      </c>
      <c r="B65" s="3">
        <v>113.3556248</v>
      </c>
      <c r="C65" s="3">
        <v>22.954409720000001</v>
      </c>
      <c r="D65" s="3">
        <v>45</v>
      </c>
      <c r="E65" s="13">
        <f t="shared" si="3"/>
        <v>4.0454959165538915E-3</v>
      </c>
      <c r="F65" s="13">
        <f t="shared" si="4"/>
        <v>15.722228956071683</v>
      </c>
      <c r="G65" s="14">
        <f>F65/$F$160*$D$2</f>
        <v>16.39464378882106</v>
      </c>
      <c r="H65" s="14">
        <f>F65/$F$160*$E$2</f>
        <v>25.138453809525625</v>
      </c>
      <c r="I65" s="25" t="str">
        <f t="shared" si="2"/>
        <v>选中</v>
      </c>
    </row>
    <row r="66" spans="1:9" hidden="1" x14ac:dyDescent="0.25">
      <c r="A66" s="3">
        <v>2696</v>
      </c>
      <c r="B66" s="3">
        <v>113.3622709</v>
      </c>
      <c r="C66" s="3">
        <v>22.95745011</v>
      </c>
      <c r="D66" s="3">
        <v>45</v>
      </c>
      <c r="E66" s="13">
        <f t="shared" si="3"/>
        <v>4.0539224174161777E-3</v>
      </c>
      <c r="F66" s="13">
        <f t="shared" si="4"/>
        <v>15.705880309133967</v>
      </c>
      <c r="G66" s="14">
        <f>F66/$F$124*$D$2</f>
        <v>1271.0140582716172</v>
      </c>
      <c r="H66" s="14">
        <f>F66/$F$124*$E$2</f>
        <v>1948.8882226831461</v>
      </c>
      <c r="I66" s="25" t="str">
        <f t="shared" si="2"/>
        <v/>
      </c>
    </row>
    <row r="67" spans="1:9" hidden="1" x14ac:dyDescent="0.25">
      <c r="A67" s="3">
        <v>2573</v>
      </c>
      <c r="B67" s="3">
        <v>113.3559319</v>
      </c>
      <c r="C67" s="3">
        <v>22.960872500000001</v>
      </c>
      <c r="D67" s="3">
        <v>45</v>
      </c>
      <c r="E67" s="13">
        <f t="shared" si="3"/>
        <v>4.0614649815162267E-3</v>
      </c>
      <c r="F67" s="13">
        <f t="shared" si="4"/>
        <v>15.691289802998483</v>
      </c>
      <c r="G67" s="14">
        <f>F67/$F$124*$D$2</f>
        <v>1269.8333069828966</v>
      </c>
      <c r="H67" s="14">
        <f>F67/$F$124*$E$2</f>
        <v>1947.0777373737749</v>
      </c>
      <c r="I67" s="25" t="str">
        <f t="shared" si="2"/>
        <v/>
      </c>
    </row>
    <row r="68" spans="1:9" x14ac:dyDescent="0.25">
      <c r="A68" s="3">
        <v>2636</v>
      </c>
      <c r="B68" s="3">
        <v>113.3548966</v>
      </c>
      <c r="C68" s="3">
        <v>22.959936450000001</v>
      </c>
      <c r="D68" s="3">
        <v>45</v>
      </c>
      <c r="E68" s="13">
        <f t="shared" si="3"/>
        <v>4.1098511892223716E-3</v>
      </c>
      <c r="F68" s="13">
        <f t="shared" si="4"/>
        <v>15.5986477696488</v>
      </c>
      <c r="G68" s="14">
        <f>F68/$F$160*$D$2</f>
        <v>16.265777230773597</v>
      </c>
      <c r="H68" s="14">
        <f>F68/$F$160*$E$2</f>
        <v>24.940858420519518</v>
      </c>
      <c r="I68" s="25" t="str">
        <f t="shared" si="2"/>
        <v>选中</v>
      </c>
    </row>
    <row r="69" spans="1:9" hidden="1" x14ac:dyDescent="0.25">
      <c r="A69" s="3">
        <v>2691</v>
      </c>
      <c r="B69" s="3">
        <v>113.3620473</v>
      </c>
      <c r="C69" s="3">
        <v>22.955957040000001</v>
      </c>
      <c r="D69" s="3">
        <v>45</v>
      </c>
      <c r="E69" s="13">
        <f t="shared" ref="E69:E100" si="5">SQRT((B69-$B$2)^2+(C69-$C$2)^2)</f>
        <v>4.1346341388971506E-3</v>
      </c>
      <c r="F69" s="13">
        <f t="shared" ref="F69:F100" si="6">SQRT(1/E69)</f>
        <v>15.551828447539569</v>
      </c>
      <c r="G69" s="14">
        <f>F69/$F$124*$D$2</f>
        <v>1258.5472574342568</v>
      </c>
      <c r="H69" s="14">
        <f>F69/$F$124*$E$2</f>
        <v>1929.7724613991936</v>
      </c>
      <c r="I69" s="25" t="str">
        <f t="shared" si="2"/>
        <v/>
      </c>
    </row>
    <row r="70" spans="1:9" hidden="1" x14ac:dyDescent="0.25">
      <c r="A70" s="3">
        <v>2633</v>
      </c>
      <c r="B70" s="3">
        <v>113.35421270000001</v>
      </c>
      <c r="C70" s="3">
        <v>22.958637039999999</v>
      </c>
      <c r="D70" s="3">
        <v>45</v>
      </c>
      <c r="E70" s="13">
        <f t="shared" si="5"/>
        <v>4.1589626666298082E-3</v>
      </c>
      <c r="F70" s="13">
        <f t="shared" si="6"/>
        <v>15.506275258704436</v>
      </c>
      <c r="G70" s="14">
        <f>F70/$F$124*$D$2</f>
        <v>1254.8608201083027</v>
      </c>
      <c r="H70" s="14">
        <f>F70/$F$124*$E$2</f>
        <v>1924.1199241660643</v>
      </c>
      <c r="I70" s="25" t="str">
        <f t="shared" ref="I70:I133" si="7">IF(MOD(ROW()-1,3)=1,"选中","")</f>
        <v/>
      </c>
    </row>
    <row r="71" spans="1:9" x14ac:dyDescent="0.25">
      <c r="A71" s="3">
        <v>2603</v>
      </c>
      <c r="B71" s="3">
        <v>113.3548287</v>
      </c>
      <c r="C71" s="3">
        <v>22.95995155</v>
      </c>
      <c r="D71" s="3">
        <v>45</v>
      </c>
      <c r="E71" s="13">
        <f t="shared" si="5"/>
        <v>4.1737052470889853E-3</v>
      </c>
      <c r="F71" s="13">
        <f t="shared" si="6"/>
        <v>15.478864993144386</v>
      </c>
      <c r="G71" s="14">
        <f>F71/$F$160*$D$2</f>
        <v>16.140871534621184</v>
      </c>
      <c r="H71" s="14">
        <f>F71/$F$160*$E$2</f>
        <v>24.749336353085813</v>
      </c>
      <c r="I71" s="25" t="str">
        <f t="shared" si="7"/>
        <v>选中</v>
      </c>
    </row>
    <row r="72" spans="1:9" hidden="1" x14ac:dyDescent="0.25">
      <c r="A72" s="3">
        <v>2661</v>
      </c>
      <c r="B72" s="3">
        <v>113.3621771</v>
      </c>
      <c r="C72" s="3">
        <v>22.956056830000001</v>
      </c>
      <c r="D72" s="3">
        <v>45</v>
      </c>
      <c r="E72" s="13">
        <f t="shared" si="5"/>
        <v>4.2196262926479516E-3</v>
      </c>
      <c r="F72" s="13">
        <f t="shared" si="6"/>
        <v>15.394408445768018</v>
      </c>
      <c r="G72" s="14">
        <f>F72/$F$124*$D$2</f>
        <v>1245.807886487413</v>
      </c>
      <c r="H72" s="14">
        <f>F72/$F$124*$E$2</f>
        <v>1910.2387592807002</v>
      </c>
      <c r="I72" s="25" t="str">
        <f t="shared" si="7"/>
        <v/>
      </c>
    </row>
    <row r="73" spans="1:9" hidden="1" x14ac:dyDescent="0.25">
      <c r="A73" s="3">
        <v>2650</v>
      </c>
      <c r="B73" s="3">
        <v>113.35618599999999</v>
      </c>
      <c r="C73" s="3">
        <v>22.953803149999999</v>
      </c>
      <c r="D73" s="3">
        <v>45</v>
      </c>
      <c r="E73" s="13">
        <f t="shared" si="5"/>
        <v>4.2315757362481107E-3</v>
      </c>
      <c r="F73" s="13">
        <f t="shared" si="6"/>
        <v>15.372657131732694</v>
      </c>
      <c r="G73" s="14">
        <f>F73/$F$124*$D$2</f>
        <v>1244.0476396638905</v>
      </c>
      <c r="H73" s="14">
        <f>F73/$F$124*$E$2</f>
        <v>1907.539714151299</v>
      </c>
      <c r="I73" s="25" t="str">
        <f t="shared" si="7"/>
        <v/>
      </c>
    </row>
    <row r="74" spans="1:9" x14ac:dyDescent="0.25">
      <c r="A74" s="3">
        <v>2680</v>
      </c>
      <c r="B74" s="3">
        <v>113.3619635</v>
      </c>
      <c r="C74" s="3">
        <v>22.95547436</v>
      </c>
      <c r="D74" s="3">
        <v>45</v>
      </c>
      <c r="E74" s="13">
        <f t="shared" si="5"/>
        <v>4.2658531490130077E-3</v>
      </c>
      <c r="F74" s="13">
        <f t="shared" si="6"/>
        <v>15.310770600514251</v>
      </c>
      <c r="G74" s="14">
        <f>F74/$F$160*$D$2</f>
        <v>15.965588011033706</v>
      </c>
      <c r="H74" s="14">
        <f>F74/$F$160*$E$2</f>
        <v>24.480568283585015</v>
      </c>
      <c r="I74" s="25" t="str">
        <f t="shared" si="7"/>
        <v>选中</v>
      </c>
    </row>
    <row r="75" spans="1:9" hidden="1" x14ac:dyDescent="0.25">
      <c r="A75" s="3">
        <v>2571</v>
      </c>
      <c r="B75" s="3">
        <v>113.3547538</v>
      </c>
      <c r="C75" s="3">
        <v>22.960015630000001</v>
      </c>
      <c r="D75" s="3">
        <v>45</v>
      </c>
      <c r="E75" s="13">
        <f t="shared" si="5"/>
        <v>4.2719337405434533E-3</v>
      </c>
      <c r="F75" s="13">
        <f t="shared" si="6"/>
        <v>15.299870186324934</v>
      </c>
      <c r="G75" s="14">
        <f>F75/$F$124*$D$2</f>
        <v>1238.1572833736986</v>
      </c>
      <c r="H75" s="14">
        <f>F75/$F$124*$E$2</f>
        <v>1898.507834506338</v>
      </c>
      <c r="I75" s="25" t="str">
        <f t="shared" si="7"/>
        <v/>
      </c>
    </row>
    <row r="76" spans="1:9" hidden="1" x14ac:dyDescent="0.25">
      <c r="A76" s="3">
        <v>3012</v>
      </c>
      <c r="B76" s="3">
        <v>113.3599494</v>
      </c>
      <c r="C76" s="3">
        <v>22.95359187</v>
      </c>
      <c r="D76" s="3">
        <v>45</v>
      </c>
      <c r="E76" s="13">
        <f t="shared" si="5"/>
        <v>4.2885798852792837E-3</v>
      </c>
      <c r="F76" s="13">
        <f t="shared" si="6"/>
        <v>15.27014805448259</v>
      </c>
      <c r="G76" s="14">
        <f>F76/$F$124*$D$2</f>
        <v>1235.751990154225</v>
      </c>
      <c r="H76" s="14">
        <f>F76/$F$124*$E$2</f>
        <v>1894.8197182364786</v>
      </c>
      <c r="I76" s="25" t="str">
        <f t="shared" si="7"/>
        <v/>
      </c>
    </row>
    <row r="77" spans="1:9" x14ac:dyDescent="0.25">
      <c r="A77" s="3">
        <v>2692</v>
      </c>
      <c r="B77" s="3">
        <v>113.3616509</v>
      </c>
      <c r="C77" s="3">
        <v>22.954877020000001</v>
      </c>
      <c r="D77" s="3">
        <v>45</v>
      </c>
      <c r="E77" s="13">
        <f t="shared" si="5"/>
        <v>4.3299164551900736E-3</v>
      </c>
      <c r="F77" s="13">
        <f t="shared" si="6"/>
        <v>15.197083216449174</v>
      </c>
      <c r="G77" s="14">
        <f>F77/$F$160*$D$2</f>
        <v>15.847038397601825</v>
      </c>
      <c r="H77" s="14">
        <f>F77/$F$160*$E$2</f>
        <v>24.298792209656131</v>
      </c>
      <c r="I77" s="25" t="str">
        <f t="shared" si="7"/>
        <v>选中</v>
      </c>
    </row>
    <row r="78" spans="1:9" hidden="1" x14ac:dyDescent="0.25">
      <c r="A78" s="3">
        <v>2690</v>
      </c>
      <c r="B78" s="3">
        <v>113.3618566</v>
      </c>
      <c r="C78" s="3">
        <v>22.95515863</v>
      </c>
      <c r="D78" s="3">
        <v>45</v>
      </c>
      <c r="E78" s="13">
        <f t="shared" si="5"/>
        <v>4.3354842686373681E-3</v>
      </c>
      <c r="F78" s="13">
        <f t="shared" si="6"/>
        <v>15.187321710824982</v>
      </c>
      <c r="G78" s="14">
        <f>F78/$F$124*$D$2</f>
        <v>1229.0491855286969</v>
      </c>
      <c r="H78" s="14">
        <f>F78/$F$124*$E$2</f>
        <v>1884.5420844773353</v>
      </c>
      <c r="I78" s="25" t="str">
        <f t="shared" si="7"/>
        <v/>
      </c>
    </row>
    <row r="79" spans="1:9" hidden="1" x14ac:dyDescent="0.25">
      <c r="A79" s="3">
        <v>2649</v>
      </c>
      <c r="B79" s="3">
        <v>113.3548979</v>
      </c>
      <c r="C79" s="3">
        <v>22.954698690000001</v>
      </c>
      <c r="D79" s="3">
        <v>45</v>
      </c>
      <c r="E79" s="13">
        <f t="shared" si="5"/>
        <v>4.3534373097556351E-3</v>
      </c>
      <c r="F79" s="13">
        <f t="shared" si="6"/>
        <v>15.155974033632605</v>
      </c>
      <c r="G79" s="14">
        <f>F79/$F$124*$D$2</f>
        <v>1226.5123434274299</v>
      </c>
      <c r="H79" s="14">
        <f>F79/$F$124*$E$2</f>
        <v>1880.6522599220591</v>
      </c>
      <c r="I79" s="25" t="str">
        <f t="shared" si="7"/>
        <v/>
      </c>
    </row>
    <row r="80" spans="1:9" x14ac:dyDescent="0.25">
      <c r="A80" s="3">
        <v>2582</v>
      </c>
      <c r="B80" s="3">
        <v>113.3538983</v>
      </c>
      <c r="C80" s="3">
        <v>22.958131739999999</v>
      </c>
      <c r="D80" s="3">
        <v>45</v>
      </c>
      <c r="E80" s="13">
        <f t="shared" si="5"/>
        <v>4.362983215929186E-3</v>
      </c>
      <c r="F80" s="13">
        <f t="shared" si="6"/>
        <v>15.139384842049683</v>
      </c>
      <c r="G80" s="14">
        <f>F80/$F$160*$D$2</f>
        <v>15.786872355107679</v>
      </c>
      <c r="H80" s="14">
        <f>F80/$F$160*$E$2</f>
        <v>24.20653761116511</v>
      </c>
      <c r="I80" s="25" t="str">
        <f t="shared" si="7"/>
        <v>选中</v>
      </c>
    </row>
    <row r="81" spans="1:9" hidden="1" x14ac:dyDescent="0.25">
      <c r="A81" s="3">
        <v>2607</v>
      </c>
      <c r="B81" s="3">
        <v>113.3548929</v>
      </c>
      <c r="C81" s="3">
        <v>22.954653709999999</v>
      </c>
      <c r="D81" s="3">
        <v>45</v>
      </c>
      <c r="E81" s="13">
        <f t="shared" si="5"/>
        <v>4.3864601845216835E-3</v>
      </c>
      <c r="F81" s="13">
        <f t="shared" si="6"/>
        <v>15.098816399798178</v>
      </c>
      <c r="G81" s="14">
        <f>F81/$F$124*$D$2</f>
        <v>1221.8868047940525</v>
      </c>
      <c r="H81" s="14">
        <f>F81/$F$124*$E$2</f>
        <v>1873.5597673508807</v>
      </c>
      <c r="I81" s="25" t="str">
        <f t="shared" si="7"/>
        <v/>
      </c>
    </row>
    <row r="82" spans="1:9" hidden="1" x14ac:dyDescent="0.25">
      <c r="A82" s="3">
        <v>2574</v>
      </c>
      <c r="B82" s="3">
        <v>113.3541967</v>
      </c>
      <c r="C82" s="3">
        <v>22.95931178</v>
      </c>
      <c r="D82" s="3">
        <v>45</v>
      </c>
      <c r="E82" s="13">
        <f t="shared" si="5"/>
        <v>4.4039264603353816E-3</v>
      </c>
      <c r="F82" s="13">
        <f t="shared" si="6"/>
        <v>15.068845180147973</v>
      </c>
      <c r="G82" s="14">
        <f>F82/$F$124*$D$2</f>
        <v>1219.4613538948245</v>
      </c>
      <c r="H82" s="14">
        <f>F82/$F$124*$E$2</f>
        <v>1869.8407426387309</v>
      </c>
      <c r="I82" s="25" t="str">
        <f t="shared" si="7"/>
        <v/>
      </c>
    </row>
    <row r="83" spans="1:9" x14ac:dyDescent="0.25">
      <c r="A83" s="3">
        <v>2638</v>
      </c>
      <c r="B83" s="3">
        <v>113.3604607</v>
      </c>
      <c r="C83" s="3">
        <v>22.953718120000001</v>
      </c>
      <c r="D83" s="3">
        <v>45</v>
      </c>
      <c r="E83" s="13">
        <f t="shared" si="5"/>
        <v>4.4101799084530135E-3</v>
      </c>
      <c r="F83" s="13">
        <f t="shared" si="6"/>
        <v>15.058157898504346</v>
      </c>
      <c r="G83" s="14">
        <f>F83/$F$160*$D$2</f>
        <v>15.702171463828126</v>
      </c>
      <c r="H83" s="14">
        <f>F83/$F$160*$E$2</f>
        <v>24.076662911203126</v>
      </c>
      <c r="I83" s="25" t="str">
        <f t="shared" si="7"/>
        <v>选中</v>
      </c>
    </row>
    <row r="84" spans="1:9" hidden="1" x14ac:dyDescent="0.25">
      <c r="A84" s="3">
        <v>2581</v>
      </c>
      <c r="B84" s="3">
        <v>113.3547757</v>
      </c>
      <c r="C84" s="3">
        <v>22.960356449999999</v>
      </c>
      <c r="D84" s="3">
        <v>45</v>
      </c>
      <c r="E84" s="13">
        <f t="shared" si="5"/>
        <v>4.4630421942364312E-3</v>
      </c>
      <c r="F84" s="13">
        <f t="shared" si="6"/>
        <v>14.96871444870367</v>
      </c>
      <c r="G84" s="14">
        <f>F84/$F$124*$D$2</f>
        <v>1211.3581743960788</v>
      </c>
      <c r="H84" s="14">
        <f>F84/$F$124*$E$2</f>
        <v>1857.4158674073208</v>
      </c>
      <c r="I84" s="25" t="str">
        <f t="shared" si="7"/>
        <v/>
      </c>
    </row>
    <row r="85" spans="1:9" hidden="1" x14ac:dyDescent="0.25">
      <c r="A85" s="3">
        <v>3014</v>
      </c>
      <c r="B85" s="3">
        <v>113.36044870000001</v>
      </c>
      <c r="C85" s="3">
        <v>22.953609180000001</v>
      </c>
      <c r="D85" s="3">
        <v>45</v>
      </c>
      <c r="E85" s="13">
        <f t="shared" si="5"/>
        <v>4.4983516492304292E-3</v>
      </c>
      <c r="F85" s="13">
        <f t="shared" si="6"/>
        <v>14.909850840568442</v>
      </c>
      <c r="G85" s="14">
        <f>F85/$F$124*$D$2</f>
        <v>1206.5945780876978</v>
      </c>
      <c r="H85" s="14">
        <f>F85/$F$124*$E$2</f>
        <v>1850.1116864011365</v>
      </c>
      <c r="I85" s="25" t="str">
        <f t="shared" si="7"/>
        <v/>
      </c>
    </row>
    <row r="86" spans="1:9" x14ac:dyDescent="0.25">
      <c r="A86" s="3">
        <v>2627</v>
      </c>
      <c r="B86" s="3">
        <v>113.35404200000001</v>
      </c>
      <c r="C86" s="3">
        <v>22.959288019999999</v>
      </c>
      <c r="D86" s="3">
        <v>45</v>
      </c>
      <c r="E86" s="13">
        <f t="shared" si="5"/>
        <v>4.5362678998050136E-3</v>
      </c>
      <c r="F86" s="13">
        <f t="shared" si="6"/>
        <v>14.847408329452609</v>
      </c>
      <c r="G86" s="14">
        <f>F86/$F$160*$D$2</f>
        <v>15.482408469477605</v>
      </c>
      <c r="H86" s="14">
        <f>F86/$F$160*$E$2</f>
        <v>23.739692986532329</v>
      </c>
      <c r="I86" s="25" t="str">
        <f t="shared" si="7"/>
        <v>选中</v>
      </c>
    </row>
    <row r="87" spans="1:9" hidden="1" x14ac:dyDescent="0.25">
      <c r="A87" s="3">
        <v>3054</v>
      </c>
      <c r="B87" s="3">
        <v>113.3583448</v>
      </c>
      <c r="C87" s="3">
        <v>22.952941389999999</v>
      </c>
      <c r="D87" s="3">
        <v>45</v>
      </c>
      <c r="E87" s="13">
        <f t="shared" si="5"/>
        <v>4.5755711916649509E-3</v>
      </c>
      <c r="F87" s="13">
        <f t="shared" si="6"/>
        <v>14.783502583036341</v>
      </c>
      <c r="G87" s="14">
        <f>F87/$F$124*$D$2</f>
        <v>1196.3697190921766</v>
      </c>
      <c r="H87" s="14">
        <f>F87/$F$124*$E$2</f>
        <v>1834.4335692746708</v>
      </c>
      <c r="I87" s="25" t="str">
        <f t="shared" si="7"/>
        <v/>
      </c>
    </row>
    <row r="88" spans="1:9" hidden="1" x14ac:dyDescent="0.25">
      <c r="A88" s="3">
        <v>2694</v>
      </c>
      <c r="B88" s="3">
        <v>113.36161300000001</v>
      </c>
      <c r="C88" s="3">
        <v>22.954433259999998</v>
      </c>
      <c r="D88" s="3">
        <v>45</v>
      </c>
      <c r="E88" s="13">
        <f t="shared" si="5"/>
        <v>4.5855984096925019E-3</v>
      </c>
      <c r="F88" s="13">
        <f t="shared" si="6"/>
        <v>14.767330372140936</v>
      </c>
      <c r="G88" s="14">
        <f>F88/$F$124*$D$2</f>
        <v>1195.0609667652257</v>
      </c>
      <c r="H88" s="14">
        <f>F88/$F$124*$E$2</f>
        <v>1832.4268157066795</v>
      </c>
      <c r="I88" s="25" t="str">
        <f t="shared" si="7"/>
        <v/>
      </c>
    </row>
    <row r="89" spans="1:9" x14ac:dyDescent="0.25">
      <c r="A89" s="3">
        <v>2985</v>
      </c>
      <c r="B89" s="3">
        <v>113.35777160000001</v>
      </c>
      <c r="C89" s="3">
        <v>22.952944209999998</v>
      </c>
      <c r="D89" s="3">
        <v>45</v>
      </c>
      <c r="E89" s="13">
        <f t="shared" si="5"/>
        <v>4.5926773205172697E-3</v>
      </c>
      <c r="F89" s="13">
        <f t="shared" si="6"/>
        <v>14.755945190861315</v>
      </c>
      <c r="G89" s="14">
        <f>F89/$F$160*$D$2</f>
        <v>15.387033597301306</v>
      </c>
      <c r="H89" s="14">
        <f>F89/$F$160*$E$2</f>
        <v>23.593451515862004</v>
      </c>
      <c r="I89" s="25" t="str">
        <f t="shared" si="7"/>
        <v>选中</v>
      </c>
    </row>
    <row r="90" spans="1:9" hidden="1" x14ac:dyDescent="0.25">
      <c r="A90" s="3">
        <v>2580</v>
      </c>
      <c r="B90" s="3">
        <v>113.3538982</v>
      </c>
      <c r="C90" s="3">
        <v>22.959086330000002</v>
      </c>
      <c r="D90" s="3">
        <v>45</v>
      </c>
      <c r="E90" s="13">
        <f t="shared" si="5"/>
        <v>4.5961759528479161E-3</v>
      </c>
      <c r="F90" s="13">
        <f t="shared" si="6"/>
        <v>14.750327971720159</v>
      </c>
      <c r="G90" s="14">
        <f>F90/$F$124*$D$2</f>
        <v>1193.6850305213588</v>
      </c>
      <c r="H90" s="14">
        <f>F90/$F$124*$E$2</f>
        <v>1830.3170467994169</v>
      </c>
      <c r="I90" s="25" t="str">
        <f t="shared" si="7"/>
        <v/>
      </c>
    </row>
    <row r="91" spans="1:9" hidden="1" x14ac:dyDescent="0.25">
      <c r="A91" s="3">
        <v>2596</v>
      </c>
      <c r="B91" s="3">
        <v>113.35402499999999</v>
      </c>
      <c r="C91" s="3">
        <v>22.959485969999999</v>
      </c>
      <c r="D91" s="3">
        <v>45</v>
      </c>
      <c r="E91" s="13">
        <f t="shared" si="5"/>
        <v>4.6326051049511603E-3</v>
      </c>
      <c r="F91" s="13">
        <f t="shared" si="6"/>
        <v>14.692217851247095</v>
      </c>
      <c r="G91" s="14">
        <f>F91/$F$124*$D$2</f>
        <v>1188.9824109549684</v>
      </c>
      <c r="H91" s="14">
        <f>F91/$F$124*$E$2</f>
        <v>1823.1063634642846</v>
      </c>
      <c r="I91" s="25" t="str">
        <f t="shared" si="7"/>
        <v/>
      </c>
    </row>
    <row r="92" spans="1:9" x14ac:dyDescent="0.25">
      <c r="A92" s="3">
        <v>2645</v>
      </c>
      <c r="B92" s="3">
        <v>113.353984</v>
      </c>
      <c r="C92" s="3">
        <v>22.95946704</v>
      </c>
      <c r="D92" s="3">
        <v>45</v>
      </c>
      <c r="E92" s="13">
        <f t="shared" si="5"/>
        <v>4.6617851379581335E-3</v>
      </c>
      <c r="F92" s="13">
        <f t="shared" si="6"/>
        <v>14.64616334853223</v>
      </c>
      <c r="G92" s="14">
        <f>F92/$F$160*$D$2</f>
        <v>15.272556559440156</v>
      </c>
      <c r="H92" s="14">
        <f>F92/$F$160*$E$2</f>
        <v>23.417920057808242</v>
      </c>
      <c r="I92" s="25" t="str">
        <f t="shared" si="7"/>
        <v>选中</v>
      </c>
    </row>
    <row r="93" spans="1:9" hidden="1" x14ac:dyDescent="0.25">
      <c r="A93" s="3">
        <v>2632</v>
      </c>
      <c r="B93" s="3">
        <v>113.3565928</v>
      </c>
      <c r="C93" s="3">
        <v>22.961949069999999</v>
      </c>
      <c r="D93" s="3">
        <v>45</v>
      </c>
      <c r="E93" s="13">
        <f t="shared" si="5"/>
        <v>4.7221755520505714E-3</v>
      </c>
      <c r="F93" s="13">
        <f t="shared" si="6"/>
        <v>14.552209412792957</v>
      </c>
      <c r="G93" s="14">
        <f>F93/$F$124*$D$2</f>
        <v>1177.6520881682618</v>
      </c>
      <c r="H93" s="14">
        <f>F93/$F$124*$E$2</f>
        <v>1805.7332018580014</v>
      </c>
      <c r="I93" s="25" t="str">
        <f t="shared" si="7"/>
        <v/>
      </c>
    </row>
    <row r="94" spans="1:9" hidden="1" x14ac:dyDescent="0.25">
      <c r="A94" s="3">
        <v>2584</v>
      </c>
      <c r="B94" s="3">
        <v>113.356454</v>
      </c>
      <c r="C94" s="3">
        <v>22.961913289999998</v>
      </c>
      <c r="D94" s="3">
        <v>45</v>
      </c>
      <c r="E94" s="13">
        <f t="shared" si="5"/>
        <v>4.7384824427215292E-3</v>
      </c>
      <c r="F94" s="13">
        <f t="shared" si="6"/>
        <v>14.527148034654942</v>
      </c>
      <c r="G94" s="14">
        <f>F94/$F$124*$D$2</f>
        <v>1175.6239710996149</v>
      </c>
      <c r="H94" s="14">
        <f>F94/$F$124*$E$2</f>
        <v>1802.6234223527431</v>
      </c>
      <c r="I94" s="25" t="str">
        <f t="shared" si="7"/>
        <v/>
      </c>
    </row>
    <row r="95" spans="1:9" x14ac:dyDescent="0.25">
      <c r="A95" s="3">
        <v>2677</v>
      </c>
      <c r="B95" s="3">
        <v>113.3621229</v>
      </c>
      <c r="C95" s="3">
        <v>22.96025011</v>
      </c>
      <c r="D95" s="3">
        <v>45</v>
      </c>
      <c r="E95" s="13">
        <f t="shared" si="5"/>
        <v>4.7678020687179053E-3</v>
      </c>
      <c r="F95" s="13">
        <f t="shared" si="6"/>
        <v>14.482411762283366</v>
      </c>
      <c r="G95" s="14">
        <f>F95/$F$160*$D$2</f>
        <v>15.101801577185064</v>
      </c>
      <c r="H95" s="14">
        <f>F95/$F$160*$E$2</f>
        <v>23.156095751683765</v>
      </c>
      <c r="I95" s="25" t="str">
        <f t="shared" si="7"/>
        <v>选中</v>
      </c>
    </row>
    <row r="96" spans="1:9" hidden="1" x14ac:dyDescent="0.25">
      <c r="A96" s="3">
        <v>3010</v>
      </c>
      <c r="B96" s="3">
        <v>113.3603459</v>
      </c>
      <c r="C96" s="3">
        <v>22.953221490000001</v>
      </c>
      <c r="D96" s="3">
        <v>45</v>
      </c>
      <c r="E96" s="13">
        <f t="shared" si="5"/>
        <v>4.7922798593153073E-3</v>
      </c>
      <c r="F96" s="13">
        <f t="shared" si="6"/>
        <v>14.445378107722282</v>
      </c>
      <c r="G96" s="14">
        <f>F96/$F$124*$D$2</f>
        <v>1169.0066580531879</v>
      </c>
      <c r="H96" s="14">
        <f>F96/$F$124*$E$2</f>
        <v>1792.4768756815549</v>
      </c>
      <c r="I96" s="25" t="str">
        <f t="shared" si="7"/>
        <v/>
      </c>
    </row>
    <row r="97" spans="1:9" hidden="1" x14ac:dyDescent="0.25">
      <c r="A97" s="3">
        <v>2590</v>
      </c>
      <c r="B97" s="3">
        <v>113.3556772</v>
      </c>
      <c r="C97" s="3">
        <v>22.96167354</v>
      </c>
      <c r="D97" s="3">
        <v>45</v>
      </c>
      <c r="E97" s="13">
        <f t="shared" si="5"/>
        <v>4.8728840343752961E-3</v>
      </c>
      <c r="F97" s="13">
        <f t="shared" si="6"/>
        <v>14.325406748291005</v>
      </c>
      <c r="G97" s="14">
        <f>F97/$F$124*$D$2</f>
        <v>1159.2978559086544</v>
      </c>
      <c r="H97" s="14">
        <f>F97/$F$124*$E$2</f>
        <v>1777.5900457266034</v>
      </c>
      <c r="I97" s="25" t="str">
        <f t="shared" si="7"/>
        <v/>
      </c>
    </row>
    <row r="98" spans="1:9" x14ac:dyDescent="0.25">
      <c r="A98" s="3">
        <v>2668</v>
      </c>
      <c r="B98" s="3">
        <v>113.3631188</v>
      </c>
      <c r="C98" s="3">
        <v>22.95787683</v>
      </c>
      <c r="D98" s="3">
        <v>45</v>
      </c>
      <c r="E98" s="13">
        <f t="shared" si="5"/>
        <v>4.9146236050793424E-3</v>
      </c>
      <c r="F98" s="13">
        <f t="shared" si="6"/>
        <v>14.26444467324168</v>
      </c>
      <c r="G98" s="14">
        <f>F98/$F$160*$D$2</f>
        <v>14.874512380945198</v>
      </c>
      <c r="H98" s="14">
        <f>F98/$F$160*$E$2</f>
        <v>22.807585650782638</v>
      </c>
      <c r="I98" s="25" t="str">
        <f t="shared" si="7"/>
        <v>选中</v>
      </c>
    </row>
    <row r="99" spans="1:9" hidden="1" x14ac:dyDescent="0.25">
      <c r="A99" s="3">
        <v>2672</v>
      </c>
      <c r="B99" s="3">
        <v>113.36302999999999</v>
      </c>
      <c r="C99" s="3">
        <v>22.956285619999999</v>
      </c>
      <c r="D99" s="3">
        <v>45</v>
      </c>
      <c r="E99" s="13">
        <f t="shared" si="5"/>
        <v>4.9670915669934902E-3</v>
      </c>
      <c r="F99" s="13">
        <f t="shared" si="6"/>
        <v>14.188906174883197</v>
      </c>
      <c r="G99" s="14">
        <f>F99/$F$124*$D$2</f>
        <v>1148.2514106060905</v>
      </c>
      <c r="H99" s="14">
        <f>F99/$F$124*$E$2</f>
        <v>1760.6521629293391</v>
      </c>
      <c r="I99" s="25" t="str">
        <f t="shared" si="7"/>
        <v/>
      </c>
    </row>
    <row r="100" spans="1:9" hidden="1" x14ac:dyDescent="0.25">
      <c r="A100" s="3">
        <v>2617</v>
      </c>
      <c r="B100" s="3">
        <v>113.3544077</v>
      </c>
      <c r="C100" s="3">
        <v>22.954233630000001</v>
      </c>
      <c r="D100" s="3">
        <v>45</v>
      </c>
      <c r="E100" s="13">
        <f t="shared" si="5"/>
        <v>5.028241449411372E-3</v>
      </c>
      <c r="F100" s="13">
        <f t="shared" si="6"/>
        <v>14.102364582650777</v>
      </c>
      <c r="G100" s="14">
        <f>F100/$F$124*$D$2</f>
        <v>1141.2479457771472</v>
      </c>
      <c r="H100" s="14">
        <f>F100/$F$124*$E$2</f>
        <v>1749.9135168582923</v>
      </c>
      <c r="I100" s="25" t="str">
        <f t="shared" si="7"/>
        <v/>
      </c>
    </row>
    <row r="101" spans="1:9" x14ac:dyDescent="0.25">
      <c r="A101" s="3">
        <v>2667</v>
      </c>
      <c r="B101" s="3">
        <v>113.36330049999999</v>
      </c>
      <c r="C101" s="3">
        <v>22.957469769999999</v>
      </c>
      <c r="D101" s="3">
        <v>45</v>
      </c>
      <c r="E101" s="13">
        <f t="shared" ref="E101:E132" si="8">SQRT((B101-$B$2)^2+(C101-$C$2)^2)</f>
        <v>5.0832029249667362E-3</v>
      </c>
      <c r="F101" s="13">
        <f t="shared" ref="F101:F132" si="9">SQRT(1/E101)</f>
        <v>14.025917378697319</v>
      </c>
      <c r="G101" s="14">
        <f>F101/$F$160*$D$2</f>
        <v>14.625783651775038</v>
      </c>
      <c r="H101" s="14">
        <f>F101/$F$160*$E$2</f>
        <v>22.426201599388392</v>
      </c>
      <c r="I101" s="25" t="str">
        <f t="shared" si="7"/>
        <v>选中</v>
      </c>
    </row>
    <row r="102" spans="1:9" hidden="1" x14ac:dyDescent="0.25">
      <c r="A102" s="3">
        <v>2597</v>
      </c>
      <c r="B102" s="3">
        <v>113.35693019999999</v>
      </c>
      <c r="C102" s="3">
        <v>22.962443360000002</v>
      </c>
      <c r="D102" s="3">
        <v>45</v>
      </c>
      <c r="E102" s="13">
        <f t="shared" si="8"/>
        <v>5.0935253841453507E-3</v>
      </c>
      <c r="F102" s="13">
        <f t="shared" si="9"/>
        <v>14.011697817951291</v>
      </c>
      <c r="G102" s="14">
        <f>F102/$F$124*$D$2</f>
        <v>1133.9106472441872</v>
      </c>
      <c r="H102" s="14">
        <f>F102/$F$124*$E$2</f>
        <v>1738.662992441087</v>
      </c>
      <c r="I102" s="25" t="str">
        <f t="shared" si="7"/>
        <v/>
      </c>
    </row>
    <row r="103" spans="1:9" hidden="1" x14ac:dyDescent="0.25">
      <c r="A103" s="3">
        <v>2612</v>
      </c>
      <c r="B103" s="3">
        <v>113.3537807</v>
      </c>
      <c r="C103" s="3">
        <v>22.95493329</v>
      </c>
      <c r="D103" s="3">
        <v>45</v>
      </c>
      <c r="E103" s="13">
        <f t="shared" si="8"/>
        <v>5.133361651972086E-3</v>
      </c>
      <c r="F103" s="13">
        <f t="shared" si="9"/>
        <v>13.957224657692196</v>
      </c>
      <c r="G103" s="14">
        <f>F103/$F$124*$D$2</f>
        <v>1129.5023523173802</v>
      </c>
      <c r="H103" s="14">
        <f>F103/$F$124*$E$2</f>
        <v>1731.9036068866499</v>
      </c>
      <c r="I103" s="25" t="str">
        <f t="shared" si="7"/>
        <v/>
      </c>
    </row>
    <row r="104" spans="1:9" x14ac:dyDescent="0.25">
      <c r="A104" s="3">
        <v>2676</v>
      </c>
      <c r="B104" s="3">
        <v>113.3624684</v>
      </c>
      <c r="C104" s="3">
        <v>22.960457559999998</v>
      </c>
      <c r="D104" s="3">
        <v>45</v>
      </c>
      <c r="E104" s="13">
        <f t="shared" si="8"/>
        <v>5.1698831734302789E-3</v>
      </c>
      <c r="F104" s="13">
        <f t="shared" si="9"/>
        <v>13.907838386093841</v>
      </c>
      <c r="G104" s="14">
        <f>F104/$F$160*$D$2</f>
        <v>14.502654607662674</v>
      </c>
      <c r="H104" s="14">
        <f>F104/$F$160*$E$2</f>
        <v>22.237403731749431</v>
      </c>
      <c r="I104" s="25" t="str">
        <f t="shared" si="7"/>
        <v>选中</v>
      </c>
    </row>
    <row r="105" spans="1:9" hidden="1" x14ac:dyDescent="0.25">
      <c r="A105" s="3">
        <v>3019</v>
      </c>
      <c r="B105" s="3">
        <v>113.3615582</v>
      </c>
      <c r="C105" s="3">
        <v>22.953508729999999</v>
      </c>
      <c r="D105" s="3">
        <v>45</v>
      </c>
      <c r="E105" s="13">
        <f t="shared" si="8"/>
        <v>5.2165120743327513E-3</v>
      </c>
      <c r="F105" s="13">
        <f t="shared" si="9"/>
        <v>13.845539772872378</v>
      </c>
      <c r="G105" s="14">
        <f>F105/$F$124*$D$2</f>
        <v>1120.46414141112</v>
      </c>
      <c r="H105" s="14">
        <f>F105/$F$124*$E$2</f>
        <v>1718.0450168303837</v>
      </c>
      <c r="I105" s="25" t="str">
        <f t="shared" si="7"/>
        <v/>
      </c>
    </row>
    <row r="106" spans="1:9" hidden="1" x14ac:dyDescent="0.25">
      <c r="A106" s="3">
        <v>2598</v>
      </c>
      <c r="B106" s="3">
        <v>113.3559058</v>
      </c>
      <c r="C106" s="3">
        <v>22.962240950000002</v>
      </c>
      <c r="D106" s="3">
        <v>45</v>
      </c>
      <c r="E106" s="13">
        <f t="shared" si="8"/>
        <v>5.2608710749832404E-3</v>
      </c>
      <c r="F106" s="13">
        <f t="shared" si="9"/>
        <v>13.7870442836071</v>
      </c>
      <c r="G106" s="14">
        <f>F106/$F$124*$D$2</f>
        <v>1115.730335490136</v>
      </c>
      <c r="H106" s="14">
        <f>F106/$F$124*$E$2</f>
        <v>1710.7865144182083</v>
      </c>
      <c r="I106" s="25" t="str">
        <f t="shared" si="7"/>
        <v/>
      </c>
    </row>
    <row r="107" spans="1:9" x14ac:dyDescent="0.25">
      <c r="A107" s="3">
        <v>3140</v>
      </c>
      <c r="B107" s="3">
        <v>113.3617469</v>
      </c>
      <c r="C107" s="3">
        <v>22.953554459999999</v>
      </c>
      <c r="D107" s="3">
        <v>45</v>
      </c>
      <c r="E107" s="13">
        <f t="shared" si="8"/>
        <v>5.3050962755571028E-3</v>
      </c>
      <c r="F107" s="13">
        <f t="shared" si="9"/>
        <v>13.729457122705464</v>
      </c>
      <c r="G107" s="14">
        <f>F107/$F$160*$D$2</f>
        <v>14.316644260146209</v>
      </c>
      <c r="H107" s="14">
        <f>F107/$F$160*$E$2</f>
        <v>21.952187865557519</v>
      </c>
      <c r="I107" s="25" t="str">
        <f t="shared" si="7"/>
        <v>选中</v>
      </c>
    </row>
    <row r="108" spans="1:9" hidden="1" x14ac:dyDescent="0.25">
      <c r="A108" s="3">
        <v>3069</v>
      </c>
      <c r="B108" s="3">
        <v>113.36126760000001</v>
      </c>
      <c r="C108" s="3">
        <v>22.953174260000001</v>
      </c>
      <c r="D108" s="3">
        <v>45</v>
      </c>
      <c r="E108" s="13">
        <f t="shared" si="8"/>
        <v>5.3053542082450219E-3</v>
      </c>
      <c r="F108" s="13">
        <f t="shared" si="9"/>
        <v>13.729123373187212</v>
      </c>
      <c r="G108" s="14">
        <f>F108/$F$124*$D$2</f>
        <v>1111.0430279363686</v>
      </c>
      <c r="H108" s="14">
        <f>F108/$F$124*$E$2</f>
        <v>1703.5993095024321</v>
      </c>
      <c r="I108" s="25" t="str">
        <f t="shared" si="7"/>
        <v/>
      </c>
    </row>
    <row r="109" spans="1:9" hidden="1" x14ac:dyDescent="0.25">
      <c r="A109" s="3">
        <v>2666</v>
      </c>
      <c r="B109" s="3">
        <v>113.3633684</v>
      </c>
      <c r="C109" s="3">
        <v>22.958791120000001</v>
      </c>
      <c r="D109" s="3">
        <v>45</v>
      </c>
      <c r="E109" s="13">
        <f t="shared" si="8"/>
        <v>5.3065778214349026E-3</v>
      </c>
      <c r="F109" s="13">
        <f t="shared" si="9"/>
        <v>13.727540422222775</v>
      </c>
      <c r="G109" s="14">
        <f>F109/$F$124*$D$2</f>
        <v>1110.9149260477923</v>
      </c>
      <c r="H109" s="14">
        <f>F109/$F$124*$E$2</f>
        <v>1703.4028866066146</v>
      </c>
      <c r="I109" s="25" t="str">
        <f t="shared" si="7"/>
        <v/>
      </c>
    </row>
    <row r="110" spans="1:9" x14ac:dyDescent="0.25">
      <c r="A110" s="3">
        <v>2674</v>
      </c>
      <c r="B110" s="3">
        <v>113.36343530000001</v>
      </c>
      <c r="C110" s="3">
        <v>22.958671079999998</v>
      </c>
      <c r="D110" s="3">
        <v>45</v>
      </c>
      <c r="E110" s="13">
        <f t="shared" si="8"/>
        <v>5.3442977585662016E-3</v>
      </c>
      <c r="F110" s="13">
        <f t="shared" si="9"/>
        <v>13.679010298860128</v>
      </c>
      <c r="G110" s="14">
        <f>F110/$F$160*$D$2</f>
        <v>14.264039905538951</v>
      </c>
      <c r="H110" s="14">
        <f>F110/$F$160*$E$2</f>
        <v>21.871527855159723</v>
      </c>
      <c r="I110" s="25" t="str">
        <f t="shared" si="7"/>
        <v>选中</v>
      </c>
    </row>
    <row r="111" spans="1:9" hidden="1" x14ac:dyDescent="0.25">
      <c r="A111" s="3">
        <v>3128</v>
      </c>
      <c r="B111" s="3">
        <v>113.3617169</v>
      </c>
      <c r="C111" s="3">
        <v>22.95341956</v>
      </c>
      <c r="D111" s="3">
        <v>45</v>
      </c>
      <c r="E111" s="13">
        <f t="shared" si="8"/>
        <v>5.3870200906395724E-3</v>
      </c>
      <c r="F111" s="13">
        <f t="shared" si="9"/>
        <v>13.624660910158125</v>
      </c>
      <c r="G111" s="14">
        <f>F111/$F$124*$D$2</f>
        <v>1102.5892987305988</v>
      </c>
      <c r="H111" s="14">
        <f>F111/$F$124*$E$2</f>
        <v>1690.6369247202515</v>
      </c>
      <c r="I111" s="25" t="str">
        <f t="shared" si="7"/>
        <v/>
      </c>
    </row>
    <row r="112" spans="1:9" hidden="1" x14ac:dyDescent="0.25">
      <c r="A112" s="3">
        <v>2628</v>
      </c>
      <c r="B112" s="3">
        <v>113.35283699999999</v>
      </c>
      <c r="C112" s="3">
        <v>22.958382270000001</v>
      </c>
      <c r="D112" s="3">
        <v>45</v>
      </c>
      <c r="E112" s="13">
        <f t="shared" si="8"/>
        <v>5.4499181623595527E-3</v>
      </c>
      <c r="F112" s="13">
        <f t="shared" si="9"/>
        <v>13.545810932449564</v>
      </c>
      <c r="G112" s="14">
        <f>F112/$F$124*$D$2</f>
        <v>1096.2082854929199</v>
      </c>
      <c r="H112" s="14">
        <f>F112/$F$124*$E$2</f>
        <v>1680.8527044224772</v>
      </c>
      <c r="I112" s="25" t="str">
        <f t="shared" si="7"/>
        <v/>
      </c>
    </row>
    <row r="113" spans="1:9" x14ac:dyDescent="0.25">
      <c r="A113" s="3">
        <v>2595</v>
      </c>
      <c r="B113" s="3">
        <v>113.35278510000001</v>
      </c>
      <c r="C113" s="3">
        <v>22.9582674</v>
      </c>
      <c r="D113" s="3">
        <v>45</v>
      </c>
      <c r="E113" s="13">
        <f t="shared" si="8"/>
        <v>5.4842309984160951E-3</v>
      </c>
      <c r="F113" s="13">
        <f t="shared" si="9"/>
        <v>13.503368839225198</v>
      </c>
      <c r="G113" s="14">
        <f>F113/$F$160*$D$2</f>
        <v>14.080886538843371</v>
      </c>
      <c r="H113" s="14">
        <f>F113/$F$160*$E$2</f>
        <v>21.590692692893168</v>
      </c>
      <c r="I113" s="25" t="str">
        <f t="shared" si="7"/>
        <v>选中</v>
      </c>
    </row>
    <row r="114" spans="1:9" hidden="1" x14ac:dyDescent="0.25">
      <c r="A114" s="3">
        <v>3135</v>
      </c>
      <c r="B114" s="3">
        <v>113.3617419</v>
      </c>
      <c r="C114" s="3">
        <v>22.953260589999999</v>
      </c>
      <c r="D114" s="3">
        <v>45</v>
      </c>
      <c r="E114" s="13">
        <f t="shared" si="8"/>
        <v>5.5247639334200871E-3</v>
      </c>
      <c r="F114" s="13">
        <f t="shared" si="9"/>
        <v>13.453743301925709</v>
      </c>
      <c r="G114" s="14">
        <f>F114/$F$124*$D$2</f>
        <v>1088.7576204932943</v>
      </c>
      <c r="H114" s="14">
        <f>F114/$F$124*$E$2</f>
        <v>1669.428351423051</v>
      </c>
      <c r="I114" s="25" t="str">
        <f t="shared" si="7"/>
        <v/>
      </c>
    </row>
    <row r="115" spans="1:9" hidden="1" x14ac:dyDescent="0.25">
      <c r="A115" s="3">
        <v>2639</v>
      </c>
      <c r="B115" s="3">
        <v>113.35270920000001</v>
      </c>
      <c r="C115" s="3">
        <v>22.95818955</v>
      </c>
      <c r="D115" s="3">
        <v>45</v>
      </c>
      <c r="E115" s="13">
        <f t="shared" si="8"/>
        <v>5.5494261234358749E-3</v>
      </c>
      <c r="F115" s="13">
        <f t="shared" si="9"/>
        <v>13.423815141403168</v>
      </c>
      <c r="G115" s="14">
        <f>F115/$F$124*$D$2</f>
        <v>1086.3356541969995</v>
      </c>
      <c r="H115" s="14">
        <f>F115/$F$124*$E$2</f>
        <v>1665.7146697687326</v>
      </c>
      <c r="I115" s="25" t="str">
        <f t="shared" si="7"/>
        <v/>
      </c>
    </row>
    <row r="116" spans="1:9" x14ac:dyDescent="0.25">
      <c r="A116" s="3">
        <v>2699</v>
      </c>
      <c r="B116" s="3">
        <v>113.3622862</v>
      </c>
      <c r="C116" s="3">
        <v>22.953725680000002</v>
      </c>
      <c r="D116" s="3">
        <v>45</v>
      </c>
      <c r="E116" s="13">
        <f t="shared" si="8"/>
        <v>5.560099435272507E-3</v>
      </c>
      <c r="F116" s="13">
        <f t="shared" si="9"/>
        <v>13.410924599413489</v>
      </c>
      <c r="G116" s="14">
        <f>F116/$F$160*$D$2</f>
        <v>13.984488605301257</v>
      </c>
      <c r="H116" s="14">
        <f>F116/$F$160*$E$2</f>
        <v>21.442882528128592</v>
      </c>
      <c r="I116" s="25" t="str">
        <f t="shared" si="7"/>
        <v>选中</v>
      </c>
    </row>
    <row r="117" spans="1:9" hidden="1" x14ac:dyDescent="0.25">
      <c r="A117" s="3">
        <v>3059</v>
      </c>
      <c r="B117" s="3">
        <v>113.35452359999999</v>
      </c>
      <c r="C117" s="3">
        <v>22.953336830000001</v>
      </c>
      <c r="D117" s="3">
        <v>45</v>
      </c>
      <c r="E117" s="13">
        <f t="shared" si="8"/>
        <v>5.5770592160735979E-3</v>
      </c>
      <c r="F117" s="13">
        <f t="shared" si="9"/>
        <v>13.390517830213753</v>
      </c>
      <c r="G117" s="14">
        <f>F117/$F$124*$D$2</f>
        <v>1083.6410360163313</v>
      </c>
      <c r="H117" s="14">
        <f>F117/$F$124*$E$2</f>
        <v>1661.5829218917081</v>
      </c>
      <c r="I117" s="25" t="str">
        <f t="shared" si="7"/>
        <v/>
      </c>
    </row>
    <row r="118" spans="1:9" hidden="1" x14ac:dyDescent="0.25">
      <c r="A118" s="3">
        <v>2642</v>
      </c>
      <c r="B118" s="3">
        <v>113.35334539999999</v>
      </c>
      <c r="C118" s="3">
        <v>22.954798010000001</v>
      </c>
      <c r="D118" s="3">
        <v>45</v>
      </c>
      <c r="E118" s="13">
        <f t="shared" si="8"/>
        <v>5.5785684151391113E-3</v>
      </c>
      <c r="F118" s="13">
        <f t="shared" si="9"/>
        <v>13.388706404549897</v>
      </c>
      <c r="G118" s="14">
        <f>F118/$F$124*$D$2</f>
        <v>1083.4944445843989</v>
      </c>
      <c r="H118" s="14">
        <f>F118/$F$124*$E$2</f>
        <v>1661.3581483627452</v>
      </c>
      <c r="I118" s="25" t="str">
        <f t="shared" si="7"/>
        <v/>
      </c>
    </row>
    <row r="119" spans="1:9" x14ac:dyDescent="0.25">
      <c r="A119" s="3">
        <v>2996</v>
      </c>
      <c r="B119" s="3">
        <v>113.3546085</v>
      </c>
      <c r="C119" s="3">
        <v>22.953179769999998</v>
      </c>
      <c r="D119" s="3">
        <v>45</v>
      </c>
      <c r="E119" s="13">
        <f t="shared" si="8"/>
        <v>5.6409881737496375E-3</v>
      </c>
      <c r="F119" s="13">
        <f t="shared" si="9"/>
        <v>13.314424685765422</v>
      </c>
      <c r="G119" s="14">
        <f>F119/$F$160*$D$2</f>
        <v>13.883861543175877</v>
      </c>
      <c r="H119" s="14">
        <f>F119/$F$160*$E$2</f>
        <v>21.288587699536343</v>
      </c>
      <c r="I119" s="25" t="str">
        <f t="shared" si="7"/>
        <v>选中</v>
      </c>
    </row>
    <row r="120" spans="1:9" hidden="1" x14ac:dyDescent="0.25">
      <c r="A120" s="3">
        <v>3011</v>
      </c>
      <c r="B120" s="3">
        <v>113.3611688</v>
      </c>
      <c r="C120" s="3">
        <v>22.95267261</v>
      </c>
      <c r="D120" s="3">
        <v>45</v>
      </c>
      <c r="E120" s="13">
        <f t="shared" si="8"/>
        <v>5.6710451194133338E-3</v>
      </c>
      <c r="F120" s="13">
        <f t="shared" si="9"/>
        <v>13.279094107280089</v>
      </c>
      <c r="G120" s="14">
        <f>F120/$F$124*$D$2</f>
        <v>1074.6239598966768</v>
      </c>
      <c r="H120" s="14">
        <f>F120/$F$124*$E$2</f>
        <v>1647.7567385082375</v>
      </c>
      <c r="I120" s="25" t="str">
        <f t="shared" si="7"/>
        <v/>
      </c>
    </row>
    <row r="121" spans="1:9" hidden="1" x14ac:dyDescent="0.25">
      <c r="A121" s="3">
        <v>3142</v>
      </c>
      <c r="B121" s="3">
        <v>113.3622932</v>
      </c>
      <c r="C121" s="3">
        <v>22.953434789999999</v>
      </c>
      <c r="D121" s="3">
        <v>45</v>
      </c>
      <c r="E121" s="13">
        <f t="shared" si="8"/>
        <v>5.7672345756008851E-3</v>
      </c>
      <c r="F121" s="13">
        <f t="shared" si="9"/>
        <v>13.167890059562691</v>
      </c>
      <c r="G121" s="14">
        <f>F121/$F$124*$D$2</f>
        <v>1065.6246612134107</v>
      </c>
      <c r="H121" s="14">
        <f>F121/$F$124*$E$2</f>
        <v>1633.9578138605632</v>
      </c>
      <c r="I121" s="25" t="str">
        <f t="shared" si="7"/>
        <v/>
      </c>
    </row>
    <row r="122" spans="1:9" x14ac:dyDescent="0.25">
      <c r="A122" s="3">
        <v>2648</v>
      </c>
      <c r="B122" s="3">
        <v>113.3525125</v>
      </c>
      <c r="C122" s="3">
        <v>22.958401769999998</v>
      </c>
      <c r="D122" s="3">
        <v>45</v>
      </c>
      <c r="E122" s="13">
        <f t="shared" si="8"/>
        <v>5.7734780761951659E-3</v>
      </c>
      <c r="F122" s="13">
        <f t="shared" si="9"/>
        <v>13.160768185446813</v>
      </c>
      <c r="G122" s="14">
        <f>F122/$F$160*$D$2</f>
        <v>13.723633397688424</v>
      </c>
      <c r="H122" s="14">
        <f>F122/$F$160*$E$2</f>
        <v>21.042904543122251</v>
      </c>
      <c r="I122" s="25" t="str">
        <f t="shared" si="7"/>
        <v>选中</v>
      </c>
    </row>
    <row r="123" spans="1:9" hidden="1" x14ac:dyDescent="0.25">
      <c r="A123" s="3">
        <v>3134</v>
      </c>
      <c r="B123" s="3">
        <v>113.3623072</v>
      </c>
      <c r="C123" s="3">
        <v>22.953219870000002</v>
      </c>
      <c r="D123" s="3">
        <v>45</v>
      </c>
      <c r="E123" s="13">
        <f t="shared" si="8"/>
        <v>5.9308869482098325E-3</v>
      </c>
      <c r="F123" s="13">
        <f t="shared" si="9"/>
        <v>12.984946873579995</v>
      </c>
      <c r="G123" s="14">
        <f>F123/$F$124*$D$2</f>
        <v>1050.8198010799879</v>
      </c>
      <c r="H123" s="14">
        <f>F123/$F$124*$E$2</f>
        <v>1611.2570283226482</v>
      </c>
      <c r="I123" s="25" t="str">
        <f t="shared" si="7"/>
        <v/>
      </c>
    </row>
    <row r="124" spans="1:9" hidden="1" x14ac:dyDescent="0.25">
      <c r="A124" s="3">
        <v>2644</v>
      </c>
      <c r="B124" s="3">
        <v>113.35231090000001</v>
      </c>
      <c r="C124" s="3">
        <v>22.956884729999999</v>
      </c>
      <c r="D124" s="3">
        <v>45</v>
      </c>
      <c r="E124" s="13">
        <f t="shared" si="8"/>
        <v>5.9401517970054732E-3</v>
      </c>
      <c r="F124" s="13">
        <f t="shared" si="9"/>
        <v>12.974816617698247</v>
      </c>
      <c r="G124" s="14">
        <f>F124/$F$124*$D$2</f>
        <v>1050</v>
      </c>
      <c r="H124" s="14">
        <f>F124/$F$124*$E$2</f>
        <v>1610</v>
      </c>
      <c r="I124" s="25" t="str">
        <f t="shared" si="7"/>
        <v/>
      </c>
    </row>
    <row r="125" spans="1:9" x14ac:dyDescent="0.25">
      <c r="A125" s="3">
        <v>3132</v>
      </c>
      <c r="B125" s="3">
        <v>113.3618728</v>
      </c>
      <c r="C125" s="3">
        <v>22.952661679999999</v>
      </c>
      <c r="D125" s="3">
        <v>45</v>
      </c>
      <c r="E125" s="13">
        <f t="shared" si="8"/>
        <v>6.0760001160419823E-3</v>
      </c>
      <c r="F125" s="13">
        <f t="shared" si="9"/>
        <v>12.828950022263317</v>
      </c>
      <c r="G125" s="14">
        <f>F125/$F$160*$D$2</f>
        <v>13.377623897174603</v>
      </c>
      <c r="H125" s="14">
        <f>F125/$F$160*$E$2</f>
        <v>20.512356642334392</v>
      </c>
      <c r="I125" s="25" t="str">
        <f t="shared" si="7"/>
        <v>选中</v>
      </c>
    </row>
    <row r="126" spans="1:9" hidden="1" x14ac:dyDescent="0.25">
      <c r="A126" s="3">
        <v>2977</v>
      </c>
      <c r="B126" s="3">
        <v>113.35699289999999</v>
      </c>
      <c r="C126" s="3">
        <v>22.951555920000001</v>
      </c>
      <c r="D126" s="3">
        <v>45</v>
      </c>
      <c r="E126" s="13">
        <f t="shared" si="8"/>
        <v>6.083793561001187E-3</v>
      </c>
      <c r="F126" s="13">
        <f t="shared" si="9"/>
        <v>12.820730335403226</v>
      </c>
      <c r="G126" s="14">
        <f>F126/$F$124*$D$2</f>
        <v>1037.5304136330465</v>
      </c>
      <c r="H126" s="14">
        <f>F126/$F$124*$E$2</f>
        <v>1590.8799675706712</v>
      </c>
      <c r="I126" s="25" t="str">
        <f t="shared" si="7"/>
        <v/>
      </c>
    </row>
    <row r="127" spans="1:9" hidden="1" x14ac:dyDescent="0.25">
      <c r="A127" s="3">
        <v>2670</v>
      </c>
      <c r="B127" s="3">
        <v>113.3632514</v>
      </c>
      <c r="C127" s="3">
        <v>22.960937349999998</v>
      </c>
      <c r="D127" s="3">
        <v>45</v>
      </c>
      <c r="E127" s="13">
        <f t="shared" si="8"/>
        <v>6.0869802263195183E-3</v>
      </c>
      <c r="F127" s="13">
        <f t="shared" si="9"/>
        <v>12.81737393175446</v>
      </c>
      <c r="G127" s="14">
        <f>F127/$F$124*$D$2</f>
        <v>1037.2587933138509</v>
      </c>
      <c r="H127" s="14">
        <f>F127/$F$124*$E$2</f>
        <v>1590.4634830812381</v>
      </c>
      <c r="I127" s="25" t="str">
        <f t="shared" si="7"/>
        <v/>
      </c>
    </row>
    <row r="128" spans="1:9" x14ac:dyDescent="0.25">
      <c r="A128" s="3">
        <v>2656</v>
      </c>
      <c r="B128" s="3">
        <v>113.3642952</v>
      </c>
      <c r="C128" s="3">
        <v>22.957978300000001</v>
      </c>
      <c r="D128" s="3">
        <v>45</v>
      </c>
      <c r="E128" s="13">
        <f t="shared" si="8"/>
        <v>6.0953185447663698E-3</v>
      </c>
      <c r="F128" s="13">
        <f t="shared" si="9"/>
        <v>12.808603928943169</v>
      </c>
      <c r="G128" s="14">
        <f>F128/$F$160*$D$2</f>
        <v>13.356407633665787</v>
      </c>
      <c r="H128" s="14">
        <f>F128/$F$160*$E$2</f>
        <v>20.47982503828754</v>
      </c>
      <c r="I128" s="25" t="str">
        <f t="shared" si="7"/>
        <v>选中</v>
      </c>
    </row>
    <row r="129" spans="1:9" hidden="1" x14ac:dyDescent="0.25">
      <c r="A129" s="3">
        <v>3065</v>
      </c>
      <c r="B129" s="3">
        <v>113.35705179999999</v>
      </c>
      <c r="C129" s="3">
        <v>22.951525849999999</v>
      </c>
      <c r="D129" s="3">
        <v>45</v>
      </c>
      <c r="E129" s="13">
        <f t="shared" si="8"/>
        <v>6.101725176177201E-3</v>
      </c>
      <c r="F129" s="13">
        <f t="shared" si="9"/>
        <v>12.801877834818015</v>
      </c>
      <c r="G129" s="14">
        <f>F129/$F$124*$D$2</f>
        <v>1036.004756184642</v>
      </c>
      <c r="H129" s="14">
        <f>F129/$F$124*$E$2</f>
        <v>1588.5406261497847</v>
      </c>
      <c r="I129" s="25" t="str">
        <f t="shared" si="7"/>
        <v/>
      </c>
    </row>
    <row r="130" spans="1:9" hidden="1" x14ac:dyDescent="0.25">
      <c r="A130" s="3">
        <v>2618</v>
      </c>
      <c r="B130" s="3">
        <v>113.3549573</v>
      </c>
      <c r="C130" s="3">
        <v>22.962708169999999</v>
      </c>
      <c r="D130" s="3">
        <v>45</v>
      </c>
      <c r="E130" s="13">
        <f t="shared" si="8"/>
        <v>6.1315532551223699E-3</v>
      </c>
      <c r="F130" s="13">
        <f t="shared" si="9"/>
        <v>12.770701317101235</v>
      </c>
      <c r="G130" s="14">
        <f>F130/$F$124*$D$2</f>
        <v>1033.4817653349705</v>
      </c>
      <c r="H130" s="14">
        <f>F130/$F$124*$E$2</f>
        <v>1584.6720401802884</v>
      </c>
      <c r="I130" s="25" t="str">
        <f t="shared" si="7"/>
        <v/>
      </c>
    </row>
    <row r="131" spans="1:9" x14ac:dyDescent="0.25">
      <c r="A131" s="3">
        <v>2609</v>
      </c>
      <c r="B131" s="3">
        <v>113.3556701</v>
      </c>
      <c r="C131" s="3">
        <v>22.963155910000001</v>
      </c>
      <c r="D131" s="3">
        <v>45</v>
      </c>
      <c r="E131" s="13">
        <f t="shared" si="8"/>
        <v>6.189262385649332E-3</v>
      </c>
      <c r="F131" s="13">
        <f t="shared" si="9"/>
        <v>12.711024411592348</v>
      </c>
      <c r="G131" s="14">
        <f>F131/$F$160*$D$2</f>
        <v>13.254654794897085</v>
      </c>
      <c r="H131" s="14">
        <f>F131/$F$160*$E$2</f>
        <v>20.323804018842196</v>
      </c>
      <c r="I131" s="25" t="str">
        <f t="shared" si="7"/>
        <v>选中</v>
      </c>
    </row>
    <row r="132" spans="1:9" hidden="1" x14ac:dyDescent="0.25">
      <c r="A132" s="3">
        <v>2961</v>
      </c>
      <c r="B132" s="3">
        <v>113.3568212</v>
      </c>
      <c r="C132" s="3">
        <v>22.951476209999999</v>
      </c>
      <c r="D132" s="3">
        <v>45</v>
      </c>
      <c r="E132" s="13">
        <f t="shared" si="8"/>
        <v>6.1983008260638782E-3</v>
      </c>
      <c r="F132" s="13">
        <f t="shared" si="9"/>
        <v>12.701753342531244</v>
      </c>
      <c r="G132" s="14">
        <f>F132/$F$124*$D$2</f>
        <v>1027.9020815959543</v>
      </c>
      <c r="H132" s="14">
        <f>F132/$F$124*$E$2</f>
        <v>1576.1165251137966</v>
      </c>
      <c r="I132" s="25" t="str">
        <f t="shared" si="7"/>
        <v/>
      </c>
    </row>
    <row r="133" spans="1:9" hidden="1" x14ac:dyDescent="0.25">
      <c r="A133" s="3">
        <v>2615</v>
      </c>
      <c r="B133" s="3">
        <v>113.35201739999999</v>
      </c>
      <c r="C133" s="3">
        <v>22.957722839999999</v>
      </c>
      <c r="D133" s="3">
        <v>45</v>
      </c>
      <c r="E133" s="13">
        <f t="shared" ref="E133:E158" si="10">SQRT((B133-$B$2)^2+(C133-$C$2)^2)</f>
        <v>6.2035762695812468E-3</v>
      </c>
      <c r="F133" s="13">
        <f t="shared" ref="F133:F158" si="11">SQRT(1/E133)</f>
        <v>12.696351487936612</v>
      </c>
      <c r="G133" s="14">
        <f>F133/$F$124*$D$2</f>
        <v>1027.4649311150274</v>
      </c>
      <c r="H133" s="14">
        <f>F133/$F$124*$E$2</f>
        <v>1575.4462277097086</v>
      </c>
      <c r="I133" s="25" t="str">
        <f t="shared" si="7"/>
        <v/>
      </c>
    </row>
    <row r="134" spans="1:9" x14ac:dyDescent="0.25">
      <c r="A134" s="3">
        <v>3025</v>
      </c>
      <c r="B134" s="3">
        <v>113.3537209</v>
      </c>
      <c r="C134" s="3">
        <v>22.95313414</v>
      </c>
      <c r="D134" s="3">
        <v>45</v>
      </c>
      <c r="E134" s="13">
        <f t="shared" si="10"/>
        <v>6.27797823048606E-3</v>
      </c>
      <c r="F134" s="13">
        <f t="shared" si="11"/>
        <v>12.620893363115215</v>
      </c>
      <c r="G134" s="14">
        <f>F134/$F$160*$D$2</f>
        <v>13.160668984219466</v>
      </c>
      <c r="H134" s="14">
        <f>F134/$F$160*$E$2</f>
        <v>20.179692442469847</v>
      </c>
      <c r="I134" s="25" t="str">
        <f t="shared" ref="I134:I158" si="12">IF(MOD(ROW()-1,3)=1,"选中","")</f>
        <v>选中</v>
      </c>
    </row>
    <row r="135" spans="1:9" hidden="1" x14ac:dyDescent="0.25">
      <c r="A135" s="3">
        <v>3050</v>
      </c>
      <c r="B135" s="3">
        <v>113.35558109999999</v>
      </c>
      <c r="C135" s="3">
        <v>22.951753920000002</v>
      </c>
      <c r="D135" s="3">
        <v>45</v>
      </c>
      <c r="E135" s="13">
        <f t="shared" si="10"/>
        <v>6.3358375115581764E-3</v>
      </c>
      <c r="F135" s="13">
        <f t="shared" si="11"/>
        <v>12.563133784262959</v>
      </c>
      <c r="G135" s="14">
        <f>F135/$F$124*$D$2</f>
        <v>1016.6841553261399</v>
      </c>
      <c r="H135" s="14">
        <f>F135/$F$124*$E$2</f>
        <v>1558.9157048334146</v>
      </c>
      <c r="I135" s="25" t="str">
        <f t="shared" si="12"/>
        <v/>
      </c>
    </row>
    <row r="136" spans="1:9" hidden="1" x14ac:dyDescent="0.25">
      <c r="A136" s="3">
        <v>2990</v>
      </c>
      <c r="B136" s="3">
        <v>113.35400850000001</v>
      </c>
      <c r="C136" s="3">
        <v>22.95277686</v>
      </c>
      <c r="D136" s="3">
        <v>45</v>
      </c>
      <c r="E136" s="13">
        <f t="shared" si="10"/>
        <v>6.3377797523101265E-3</v>
      </c>
      <c r="F136" s="13">
        <f t="shared" si="11"/>
        <v>12.561208622686779</v>
      </c>
      <c r="G136" s="14">
        <f>F136/$F$124*$D$2</f>
        <v>1016.5283597018511</v>
      </c>
      <c r="H136" s="14">
        <f>F136/$F$124*$E$2</f>
        <v>1558.676818209505</v>
      </c>
      <c r="I136" s="25" t="str">
        <f t="shared" si="12"/>
        <v/>
      </c>
    </row>
    <row r="137" spans="1:9" x14ac:dyDescent="0.25">
      <c r="A137" s="3">
        <v>2995</v>
      </c>
      <c r="B137" s="3">
        <v>113.3537688</v>
      </c>
      <c r="C137" s="3">
        <v>22.952871179999999</v>
      </c>
      <c r="D137" s="3">
        <v>45</v>
      </c>
      <c r="E137" s="13">
        <f t="shared" si="10"/>
        <v>6.4309999665741139E-3</v>
      </c>
      <c r="F137" s="13">
        <f t="shared" si="11"/>
        <v>12.469836130581696</v>
      </c>
      <c r="G137" s="14">
        <f>F137/$F$160*$D$2</f>
        <v>13.003151273083745</v>
      </c>
      <c r="H137" s="14">
        <f>F137/$F$160*$E$2</f>
        <v>19.938165285395076</v>
      </c>
      <c r="I137" s="25" t="str">
        <f t="shared" si="12"/>
        <v>选中</v>
      </c>
    </row>
    <row r="138" spans="1:9" hidden="1" x14ac:dyDescent="0.25">
      <c r="A138" s="3">
        <v>2309</v>
      </c>
      <c r="B138" s="3">
        <v>113.35634709999999</v>
      </c>
      <c r="C138" s="3">
        <v>22.96372667</v>
      </c>
      <c r="D138" s="3">
        <v>45</v>
      </c>
      <c r="E138" s="13">
        <f t="shared" si="10"/>
        <v>6.4869777208202408E-3</v>
      </c>
      <c r="F138" s="13">
        <f t="shared" si="11"/>
        <v>12.415916889500988</v>
      </c>
      <c r="G138" s="14">
        <f>F138/$F$124*$D$2</f>
        <v>1004.7704810096014</v>
      </c>
      <c r="H138" s="14">
        <f>F138/$F$124*$E$2</f>
        <v>1540.6480708813888</v>
      </c>
      <c r="I138" s="25" t="str">
        <f t="shared" si="12"/>
        <v/>
      </c>
    </row>
    <row r="139" spans="1:9" hidden="1" x14ac:dyDescent="0.25">
      <c r="A139" s="3">
        <v>2664</v>
      </c>
      <c r="B139" s="3">
        <v>113.3644699</v>
      </c>
      <c r="C139" s="3">
        <v>22.95928352</v>
      </c>
      <c r="D139" s="3">
        <v>45</v>
      </c>
      <c r="E139" s="13">
        <f t="shared" si="10"/>
        <v>6.4976531724157925E-3</v>
      </c>
      <c r="F139" s="13">
        <f t="shared" si="11"/>
        <v>12.405713204946791</v>
      </c>
      <c r="G139" s="14">
        <f>F139/$F$124*$D$2</f>
        <v>1003.9447376409212</v>
      </c>
      <c r="H139" s="14">
        <f>F139/$F$124*$E$2</f>
        <v>1539.3819310494123</v>
      </c>
      <c r="I139" s="25" t="str">
        <f t="shared" si="12"/>
        <v/>
      </c>
    </row>
    <row r="140" spans="1:9" x14ac:dyDescent="0.25">
      <c r="A140" s="3">
        <v>2616</v>
      </c>
      <c r="B140" s="3">
        <v>113.355114</v>
      </c>
      <c r="C140" s="3">
        <v>22.963265700000001</v>
      </c>
      <c r="D140" s="3">
        <v>45</v>
      </c>
      <c r="E140" s="13">
        <f t="shared" si="10"/>
        <v>6.5345296318932702E-3</v>
      </c>
      <c r="F140" s="13">
        <f t="shared" si="11"/>
        <v>12.370658957830591</v>
      </c>
      <c r="G140" s="14">
        <f>F140/$F$160*$D$2</f>
        <v>12.899732449723535</v>
      </c>
      <c r="H140" s="14">
        <f>F140/$F$160*$E$2</f>
        <v>19.779589756242753</v>
      </c>
      <c r="I140" s="25" t="str">
        <f t="shared" si="12"/>
        <v>选中</v>
      </c>
    </row>
    <row r="141" spans="1:9" hidden="1" x14ac:dyDescent="0.25">
      <c r="A141" s="3">
        <v>2631</v>
      </c>
      <c r="B141" s="3">
        <v>113.351641</v>
      </c>
      <c r="C141" s="3">
        <v>22.95699274</v>
      </c>
      <c r="D141" s="3">
        <v>45</v>
      </c>
      <c r="E141" s="13">
        <f t="shared" si="10"/>
        <v>6.5972195849783623E-3</v>
      </c>
      <c r="F141" s="13">
        <f t="shared" si="11"/>
        <v>12.311742685835654</v>
      </c>
      <c r="G141" s="14">
        <f>F141/$F$124*$D$2</f>
        <v>996.34007948088947</v>
      </c>
      <c r="H141" s="14">
        <f>F141/$F$124*$E$2</f>
        <v>1527.7214552040305</v>
      </c>
      <c r="I141" s="25" t="str">
        <f t="shared" si="12"/>
        <v/>
      </c>
    </row>
    <row r="142" spans="1:9" hidden="1" x14ac:dyDescent="0.25">
      <c r="A142" s="3">
        <v>3002</v>
      </c>
      <c r="B142" s="3">
        <v>113.3532577</v>
      </c>
      <c r="C142" s="3">
        <v>22.953124859999999</v>
      </c>
      <c r="D142" s="3">
        <v>45</v>
      </c>
      <c r="E142" s="13">
        <f t="shared" si="10"/>
        <v>6.6237914783637162E-3</v>
      </c>
      <c r="F142" s="13">
        <f t="shared" si="11"/>
        <v>12.287023077092956</v>
      </c>
      <c r="G142" s="14">
        <f>F142/$F$124*$D$2</f>
        <v>994.3396204420751</v>
      </c>
      <c r="H142" s="14">
        <f>F142/$F$124*$E$2</f>
        <v>1524.6540846778485</v>
      </c>
      <c r="I142" s="25" t="str">
        <f t="shared" si="12"/>
        <v/>
      </c>
    </row>
    <row r="143" spans="1:9" x14ac:dyDescent="0.25">
      <c r="A143" s="3">
        <v>2660</v>
      </c>
      <c r="B143" s="3">
        <v>113.3647606</v>
      </c>
      <c r="C143" s="3">
        <v>22.958564469999999</v>
      </c>
      <c r="D143" s="3">
        <v>45</v>
      </c>
      <c r="E143" s="13">
        <f t="shared" si="10"/>
        <v>6.6266994898232616E-3</v>
      </c>
      <c r="F143" s="13">
        <f t="shared" si="11"/>
        <v>12.284326808400895</v>
      </c>
      <c r="G143" s="14">
        <f>F143/$F$160*$D$2</f>
        <v>12.809708010989196</v>
      </c>
      <c r="H143" s="14">
        <f>F143/$F$160*$E$2</f>
        <v>19.641552283516766</v>
      </c>
      <c r="I143" s="25" t="str">
        <f t="shared" si="12"/>
        <v>选中</v>
      </c>
    </row>
    <row r="144" spans="1:9" hidden="1" x14ac:dyDescent="0.25">
      <c r="A144" s="3">
        <v>2555</v>
      </c>
      <c r="B144" s="3">
        <v>113.35160310000001</v>
      </c>
      <c r="C144" s="3">
        <v>22.95674391</v>
      </c>
      <c r="D144" s="3">
        <v>45</v>
      </c>
      <c r="E144" s="13">
        <f t="shared" si="10"/>
        <v>6.6592161849769209E-3</v>
      </c>
      <c r="F144" s="13">
        <f t="shared" si="11"/>
        <v>12.25429815994317</v>
      </c>
      <c r="G144" s="14">
        <f>F144/$F$124*$D$2</f>
        <v>991.6913238210343</v>
      </c>
      <c r="H144" s="14">
        <f>F144/$F$124*$E$2</f>
        <v>1520.5933631922526</v>
      </c>
      <c r="I144" s="25" t="str">
        <f t="shared" si="12"/>
        <v/>
      </c>
    </row>
    <row r="145" spans="1:9" hidden="1" x14ac:dyDescent="0.25">
      <c r="A145" s="3">
        <v>2665</v>
      </c>
      <c r="B145" s="3">
        <v>113.36445089999999</v>
      </c>
      <c r="C145" s="3">
        <v>22.959871289999999</v>
      </c>
      <c r="D145" s="3">
        <v>45</v>
      </c>
      <c r="E145" s="13">
        <f t="shared" si="10"/>
        <v>6.6638189328636025E-3</v>
      </c>
      <c r="F145" s="13">
        <f t="shared" si="11"/>
        <v>12.250065362769462</v>
      </c>
      <c r="G145" s="14">
        <f>F145/$F$124*$D$2</f>
        <v>991.34878048008773</v>
      </c>
      <c r="H145" s="14">
        <f>F145/$F$124*$E$2</f>
        <v>1520.068130069468</v>
      </c>
      <c r="I145" s="25" t="str">
        <f t="shared" si="12"/>
        <v/>
      </c>
    </row>
    <row r="146" spans="1:9" x14ac:dyDescent="0.25">
      <c r="A146" s="3">
        <v>2698</v>
      </c>
      <c r="B146" s="3">
        <v>113.36413520000001</v>
      </c>
      <c r="C146" s="3">
        <v>22.961505989999999</v>
      </c>
      <c r="D146" s="3">
        <v>45</v>
      </c>
      <c r="E146" s="13">
        <f t="shared" si="10"/>
        <v>7.1376227085875122E-3</v>
      </c>
      <c r="F146" s="13">
        <f t="shared" si="11"/>
        <v>11.83649737677943</v>
      </c>
      <c r="G146" s="14">
        <f>F146/$F$160*$D$2</f>
        <v>12.342725623816367</v>
      </c>
      <c r="H146" s="14">
        <f>F146/$F$160*$E$2</f>
        <v>18.925512623185099</v>
      </c>
      <c r="I146" s="25" t="str">
        <f t="shared" si="12"/>
        <v>选中</v>
      </c>
    </row>
    <row r="147" spans="1:9" hidden="1" x14ac:dyDescent="0.25">
      <c r="A147" s="3">
        <v>2312</v>
      </c>
      <c r="B147" s="3">
        <v>113.3577549</v>
      </c>
      <c r="C147" s="3">
        <v>22.964644230000001</v>
      </c>
      <c r="D147" s="3">
        <v>45</v>
      </c>
      <c r="E147" s="13">
        <f t="shared" si="10"/>
        <v>7.1440331803278995E-3</v>
      </c>
      <c r="F147" s="13">
        <f t="shared" si="11"/>
        <v>11.831185632052115</v>
      </c>
      <c r="G147" s="14">
        <f>F147/$F$124*$D$2</f>
        <v>957.45051970210704</v>
      </c>
      <c r="H147" s="14">
        <f>F147/$F$124*$E$2</f>
        <v>1468.0907968765641</v>
      </c>
      <c r="I147" s="25" t="str">
        <f t="shared" si="12"/>
        <v/>
      </c>
    </row>
    <row r="148" spans="1:9" hidden="1" x14ac:dyDescent="0.25">
      <c r="A148" s="3">
        <v>2673</v>
      </c>
      <c r="B148" s="3">
        <v>113.36412319999999</v>
      </c>
      <c r="C148" s="3">
        <v>22.961538990000001</v>
      </c>
      <c r="D148" s="3">
        <v>45</v>
      </c>
      <c r="E148" s="13">
        <f t="shared" si="10"/>
        <v>7.1462059115319264E-3</v>
      </c>
      <c r="F148" s="13">
        <f t="shared" si="11"/>
        <v>11.82938691950943</v>
      </c>
      <c r="G148" s="14">
        <f>F148/$F$124*$D$2</f>
        <v>957.30495709220907</v>
      </c>
      <c r="H148" s="14">
        <f>F148/$F$124*$E$2</f>
        <v>1467.8676008747204</v>
      </c>
      <c r="I148" s="25" t="str">
        <f t="shared" si="12"/>
        <v/>
      </c>
    </row>
    <row r="149" spans="1:9" x14ac:dyDescent="0.25">
      <c r="A149" s="3">
        <v>2539</v>
      </c>
      <c r="B149" s="3">
        <v>113.351083</v>
      </c>
      <c r="C149" s="3">
        <v>22.95604204</v>
      </c>
      <c r="D149" s="3">
        <v>45</v>
      </c>
      <c r="E149" s="13">
        <f t="shared" si="10"/>
        <v>7.2850024826616603E-3</v>
      </c>
      <c r="F149" s="13">
        <f t="shared" si="11"/>
        <v>11.716156061751279</v>
      </c>
      <c r="G149" s="14">
        <f>F149/$F$160*$D$2</f>
        <v>12.217237501332127</v>
      </c>
      <c r="H149" s="14">
        <f>F149/$F$160*$E$2</f>
        <v>18.733097502042593</v>
      </c>
      <c r="I149" s="25" t="str">
        <f t="shared" si="12"/>
        <v>选中</v>
      </c>
    </row>
    <row r="150" spans="1:9" hidden="1" x14ac:dyDescent="0.25">
      <c r="A150" s="3">
        <v>2310</v>
      </c>
      <c r="B150" s="3">
        <v>113.3539468</v>
      </c>
      <c r="C150" s="3">
        <v>22.96421106</v>
      </c>
      <c r="D150" s="3">
        <v>45</v>
      </c>
      <c r="E150" s="13">
        <f t="shared" si="10"/>
        <v>7.9418860195077882E-3</v>
      </c>
      <c r="F150" s="13">
        <f t="shared" si="11"/>
        <v>11.221170855732598</v>
      </c>
      <c r="G150" s="14">
        <f>F150/$F$124*$D$2</f>
        <v>908.08446436520148</v>
      </c>
      <c r="H150" s="14">
        <f>F150/$F$124*$E$2</f>
        <v>1392.3961786933089</v>
      </c>
      <c r="I150" s="25" t="str">
        <f t="shared" si="12"/>
        <v/>
      </c>
    </row>
    <row r="151" spans="1:9" hidden="1" x14ac:dyDescent="0.25">
      <c r="A151" s="3">
        <v>2311</v>
      </c>
      <c r="B151" s="3">
        <v>113.35392179999999</v>
      </c>
      <c r="C151" s="3">
        <v>22.964237090000001</v>
      </c>
      <c r="D151" s="3">
        <v>45</v>
      </c>
      <c r="E151" s="13">
        <f t="shared" si="10"/>
        <v>7.9772788656302922E-3</v>
      </c>
      <c r="F151" s="13">
        <f t="shared" si="11"/>
        <v>11.196250662479736</v>
      </c>
      <c r="G151" s="14">
        <f>F151/$F$124*$D$2</f>
        <v>906.06777282446615</v>
      </c>
      <c r="H151" s="14">
        <f>F151/$F$124*$E$2</f>
        <v>1389.3039183308481</v>
      </c>
      <c r="I151" s="25" t="str">
        <f t="shared" si="12"/>
        <v/>
      </c>
    </row>
    <row r="152" spans="1:9" x14ac:dyDescent="0.25">
      <c r="A152" s="3">
        <v>2317</v>
      </c>
      <c r="B152" s="3">
        <v>113.3621905</v>
      </c>
      <c r="C152" s="3">
        <v>22.964635139999999</v>
      </c>
      <c r="D152" s="3">
        <v>45</v>
      </c>
      <c r="E152" s="13">
        <f t="shared" si="10"/>
        <v>8.1534297692758811E-3</v>
      </c>
      <c r="F152" s="13">
        <f t="shared" si="11"/>
        <v>11.074645482771263</v>
      </c>
      <c r="G152" s="14">
        <f>F152/$F$160*$D$2</f>
        <v>11.548290530866078</v>
      </c>
      <c r="H152" s="14">
        <f>F152/$F$160*$E$2</f>
        <v>17.707378813994652</v>
      </c>
      <c r="I152" s="25" t="str">
        <f t="shared" si="12"/>
        <v>选中</v>
      </c>
    </row>
    <row r="153" spans="1:9" hidden="1" x14ac:dyDescent="0.25">
      <c r="A153" s="3">
        <v>2315</v>
      </c>
      <c r="B153" s="3">
        <v>113.362628</v>
      </c>
      <c r="C153" s="3">
        <v>22.964466640000001</v>
      </c>
      <c r="D153" s="3">
        <v>45</v>
      </c>
      <c r="E153" s="13">
        <f t="shared" si="10"/>
        <v>8.2325674824192518E-3</v>
      </c>
      <c r="F153" s="13">
        <f t="shared" si="11"/>
        <v>11.021287978379464</v>
      </c>
      <c r="G153" s="14">
        <f>F153/$F$124*$D$2</f>
        <v>891.90874278047329</v>
      </c>
      <c r="H153" s="14">
        <f>F153/$F$124*$E$2</f>
        <v>1367.5934055967257</v>
      </c>
      <c r="I153" s="25" t="str">
        <f t="shared" si="12"/>
        <v/>
      </c>
    </row>
    <row r="154" spans="1:9" hidden="1" x14ac:dyDescent="0.25">
      <c r="A154" s="3">
        <v>2308</v>
      </c>
      <c r="B154" s="3">
        <v>113.3539627</v>
      </c>
      <c r="C154" s="3">
        <v>22.965519480000001</v>
      </c>
      <c r="D154" s="3">
        <v>45</v>
      </c>
      <c r="E154" s="13">
        <f t="shared" si="10"/>
        <v>9.0648762508995472E-3</v>
      </c>
      <c r="F154" s="13">
        <f t="shared" si="11"/>
        <v>10.503137720936403</v>
      </c>
      <c r="G154" s="14">
        <f>F154/$F$124*$D$2</f>
        <v>849.97691543016651</v>
      </c>
      <c r="H154" s="14">
        <f>F154/$F$124*$E$2</f>
        <v>1303.2979369929221</v>
      </c>
      <c r="I154" s="25" t="str">
        <f t="shared" si="12"/>
        <v/>
      </c>
    </row>
    <row r="155" spans="1:9" x14ac:dyDescent="0.25">
      <c r="A155" s="3">
        <v>2339</v>
      </c>
      <c r="B155" s="3">
        <v>113.3654224</v>
      </c>
      <c r="C155" s="3">
        <v>22.964178260000001</v>
      </c>
      <c r="D155" s="3">
        <v>45</v>
      </c>
      <c r="E155" s="13">
        <f t="shared" si="10"/>
        <v>9.8136173674642762E-3</v>
      </c>
      <c r="F155" s="13">
        <f t="shared" si="11"/>
        <v>10.094514578370029</v>
      </c>
      <c r="G155" s="14">
        <f>F155/$F$160*$D$2</f>
        <v>10.52624097994234</v>
      </c>
      <c r="H155" s="14">
        <f>F155/$F$160*$E$2</f>
        <v>16.140236169244922</v>
      </c>
      <c r="I155" s="25" t="str">
        <f t="shared" si="12"/>
        <v>选中</v>
      </c>
    </row>
    <row r="156" spans="1:9" hidden="1" x14ac:dyDescent="0.25">
      <c r="A156" s="3">
        <v>2305</v>
      </c>
      <c r="B156" s="3">
        <v>113.35698979999999</v>
      </c>
      <c r="C156" s="3">
        <v>22.96761806</v>
      </c>
      <c r="D156" s="3">
        <v>45</v>
      </c>
      <c r="E156" s="13">
        <f t="shared" si="10"/>
        <v>1.017719163261252E-2</v>
      </c>
      <c r="F156" s="13">
        <f t="shared" si="11"/>
        <v>9.9125644466103697</v>
      </c>
      <c r="G156" s="14">
        <f>F156/$F$124*$D$2</f>
        <v>802.18418306919534</v>
      </c>
      <c r="H156" s="14">
        <f>F156/$F$124*$E$2</f>
        <v>1230.0157473727663</v>
      </c>
      <c r="I156" s="25" t="str">
        <f t="shared" si="12"/>
        <v/>
      </c>
    </row>
    <row r="157" spans="1:9" hidden="1" x14ac:dyDescent="0.25">
      <c r="A157" s="3">
        <v>2297</v>
      </c>
      <c r="B157" s="3">
        <v>113.3573602</v>
      </c>
      <c r="C157" s="3">
        <v>22.967764460000001</v>
      </c>
      <c r="D157" s="3">
        <v>45</v>
      </c>
      <c r="E157" s="13">
        <f t="shared" si="10"/>
        <v>1.0285061926062671E-2</v>
      </c>
      <c r="F157" s="13">
        <f t="shared" si="11"/>
        <v>9.8604456705292218</v>
      </c>
      <c r="G157" s="14">
        <f>F157/$F$124*$D$2</f>
        <v>797.96641903463023</v>
      </c>
      <c r="H157" s="14">
        <f>F157/$F$124*$E$2</f>
        <v>1223.548509186433</v>
      </c>
      <c r="I157" s="25" t="str">
        <f t="shared" si="12"/>
        <v/>
      </c>
    </row>
    <row r="158" spans="1:9" x14ac:dyDescent="0.25">
      <c r="A158" s="3">
        <v>2307</v>
      </c>
      <c r="B158" s="3">
        <v>113.3578445</v>
      </c>
      <c r="C158" s="3">
        <v>22.967818739999998</v>
      </c>
      <c r="D158" s="3">
        <v>45</v>
      </c>
      <c r="E158" s="13">
        <f t="shared" si="10"/>
        <v>1.031029929742543E-2</v>
      </c>
      <c r="F158" s="13">
        <f t="shared" si="11"/>
        <v>9.8483701627090934</v>
      </c>
      <c r="G158" s="14">
        <f>F158/$F$160*$D$2</f>
        <v>10.269569357448882</v>
      </c>
      <c r="H158" s="14">
        <f>F158/$F$160*$E$2</f>
        <v>15.746673014754952</v>
      </c>
      <c r="I158" s="25" t="str">
        <f t="shared" si="12"/>
        <v>选中</v>
      </c>
    </row>
    <row r="159" spans="1:9" x14ac:dyDescent="0.25">
      <c r="A159" s="3"/>
      <c r="B159" s="3"/>
      <c r="C159" s="3"/>
      <c r="D159" s="3"/>
      <c r="G159" s="14"/>
      <c r="H159" s="14"/>
    </row>
    <row r="160" spans="1:9" x14ac:dyDescent="0.25">
      <c r="A160" s="3"/>
      <c r="B160" s="3"/>
      <c r="C160" s="3"/>
      <c r="D160" s="3"/>
      <c r="F160" s="13">
        <f>SUBTOTAL(9,F5:F158)</f>
        <v>1006.9349853841737</v>
      </c>
      <c r="G160" s="13">
        <f>SUBTOTAL(9,G5:G158)</f>
        <v>1049.9999999999995</v>
      </c>
      <c r="H160" s="13">
        <f>SUBTOTAL(9,H5:H158)</f>
        <v>1609.9999999999993</v>
      </c>
    </row>
    <row r="161" spans="1:8" x14ac:dyDescent="0.25">
      <c r="A161" s="3"/>
      <c r="B161" s="3"/>
      <c r="C161" s="3"/>
      <c r="D161" s="3"/>
      <c r="G161" s="14"/>
      <c r="H161" s="14"/>
    </row>
    <row r="162" spans="1:8" x14ac:dyDescent="0.25">
      <c r="A162" s="3"/>
      <c r="B162" s="3"/>
      <c r="C162" s="3"/>
      <c r="D162" s="3"/>
      <c r="G162" s="14"/>
      <c r="H162" s="14"/>
    </row>
    <row r="163" spans="1:8" x14ac:dyDescent="0.25">
      <c r="A163" s="3"/>
      <c r="B163" s="3"/>
      <c r="C163" s="3"/>
      <c r="D163" s="3"/>
      <c r="G163" s="14"/>
      <c r="H163" s="14"/>
    </row>
    <row r="164" spans="1:8" x14ac:dyDescent="0.25">
      <c r="A164" s="3"/>
      <c r="B164" s="3"/>
      <c r="C164" s="3"/>
      <c r="D164" s="3"/>
      <c r="G164" s="14"/>
      <c r="H164" s="14"/>
    </row>
    <row r="165" spans="1:8" x14ac:dyDescent="0.25">
      <c r="A165" s="3"/>
      <c r="B165" s="3"/>
      <c r="C165" s="3"/>
      <c r="D165" s="3"/>
      <c r="G165" s="14"/>
      <c r="H165" s="14"/>
    </row>
    <row r="166" spans="1:8" x14ac:dyDescent="0.25">
      <c r="A166" s="3"/>
      <c r="B166" s="3"/>
      <c r="C166" s="3"/>
      <c r="D166" s="3"/>
      <c r="G166" s="14"/>
      <c r="H166" s="14"/>
    </row>
    <row r="167" spans="1:8" x14ac:dyDescent="0.25">
      <c r="A167" s="3"/>
      <c r="B167" s="3"/>
      <c r="C167" s="3"/>
      <c r="D167" s="3"/>
      <c r="G167" s="14"/>
      <c r="H167" s="14"/>
    </row>
    <row r="168" spans="1:8" x14ac:dyDescent="0.25">
      <c r="A168" s="3"/>
      <c r="B168" s="3"/>
      <c r="C168" s="3"/>
      <c r="D168" s="3"/>
      <c r="G168" s="14"/>
      <c r="H168" s="14"/>
    </row>
    <row r="169" spans="1:8" x14ac:dyDescent="0.25">
      <c r="A169" s="3"/>
      <c r="B169" s="3"/>
      <c r="C169" s="3"/>
      <c r="D169" s="3"/>
      <c r="G169" s="14"/>
      <c r="H169" s="14"/>
    </row>
    <row r="170" spans="1:8" x14ac:dyDescent="0.25">
      <c r="A170" s="3"/>
      <c r="B170" s="3"/>
      <c r="C170" s="3"/>
      <c r="D170" s="3"/>
      <c r="G170" s="14"/>
      <c r="H170" s="14"/>
    </row>
    <row r="171" spans="1:8" x14ac:dyDescent="0.25">
      <c r="A171" s="3"/>
      <c r="B171" s="3"/>
      <c r="C171" s="3"/>
      <c r="D171" s="3"/>
      <c r="G171" s="14"/>
      <c r="H171" s="14"/>
    </row>
    <row r="172" spans="1:8" x14ac:dyDescent="0.25">
      <c r="A172" s="3"/>
      <c r="B172" s="3"/>
      <c r="C172" s="3"/>
      <c r="D172" s="3"/>
      <c r="G172" s="14"/>
      <c r="H172" s="14"/>
    </row>
    <row r="173" spans="1:8" x14ac:dyDescent="0.25">
      <c r="A173" s="3"/>
      <c r="B173" s="3"/>
      <c r="C173" s="3"/>
      <c r="D173" s="3"/>
      <c r="G173" s="14"/>
      <c r="H173" s="14"/>
    </row>
    <row r="174" spans="1:8" x14ac:dyDescent="0.25">
      <c r="A174" s="3"/>
      <c r="B174" s="3"/>
      <c r="C174" s="3"/>
      <c r="D174" s="3"/>
      <c r="G174" s="14"/>
      <c r="H174" s="14"/>
    </row>
    <row r="175" spans="1:8" x14ac:dyDescent="0.25">
      <c r="A175" s="3"/>
      <c r="B175" s="3"/>
      <c r="C175" s="3"/>
      <c r="D175" s="3"/>
      <c r="G175" s="14"/>
      <c r="H175" s="14"/>
    </row>
    <row r="176" spans="1:8" x14ac:dyDescent="0.25">
      <c r="A176" s="3"/>
      <c r="B176" s="3"/>
      <c r="C176" s="3"/>
      <c r="D176" s="3"/>
      <c r="G176" s="14"/>
      <c r="H176" s="14"/>
    </row>
    <row r="177" spans="1:8" x14ac:dyDescent="0.25">
      <c r="A177" s="3"/>
      <c r="B177" s="3"/>
      <c r="C177" s="3"/>
      <c r="D177" s="3"/>
      <c r="G177" s="14"/>
      <c r="H177" s="14"/>
    </row>
    <row r="178" spans="1:8" x14ac:dyDescent="0.25">
      <c r="A178" s="3"/>
      <c r="B178" s="3"/>
      <c r="C178" s="3"/>
      <c r="D178" s="3"/>
      <c r="G178" s="14"/>
      <c r="H178" s="14"/>
    </row>
    <row r="179" spans="1:8" x14ac:dyDescent="0.25">
      <c r="A179" s="3"/>
      <c r="B179" s="3"/>
      <c r="C179" s="3"/>
      <c r="D179" s="3"/>
      <c r="G179" s="14"/>
      <c r="H179" s="14"/>
    </row>
    <row r="180" spans="1:8" x14ac:dyDescent="0.25">
      <c r="A180" s="3"/>
      <c r="B180" s="3"/>
      <c r="C180" s="3"/>
      <c r="D180" s="3"/>
      <c r="G180" s="14"/>
      <c r="H180" s="14"/>
    </row>
    <row r="181" spans="1:8" x14ac:dyDescent="0.25">
      <c r="A181" s="3"/>
      <c r="B181" s="3"/>
      <c r="C181" s="3"/>
      <c r="D181" s="3"/>
      <c r="G181" s="14"/>
      <c r="H181" s="14"/>
    </row>
    <row r="182" spans="1:8" x14ac:dyDescent="0.25">
      <c r="A182" s="3"/>
      <c r="B182" s="3"/>
      <c r="C182" s="3"/>
      <c r="D182" s="3"/>
      <c r="G182" s="14"/>
      <c r="H182" s="14"/>
    </row>
    <row r="183" spans="1:8" x14ac:dyDescent="0.25">
      <c r="A183" s="3"/>
      <c r="B183" s="3"/>
      <c r="C183" s="3"/>
      <c r="D183" s="3"/>
      <c r="G183" s="14"/>
      <c r="H183" s="14"/>
    </row>
    <row r="184" spans="1:8" x14ac:dyDescent="0.25">
      <c r="A184" s="3"/>
      <c r="B184" s="3"/>
      <c r="C184" s="3"/>
      <c r="D184" s="3"/>
      <c r="G184" s="14"/>
      <c r="H184" s="14"/>
    </row>
    <row r="185" spans="1:8" x14ac:dyDescent="0.25">
      <c r="A185" s="3"/>
      <c r="B185" s="3"/>
      <c r="C185" s="3"/>
      <c r="D185" s="3"/>
      <c r="G185" s="14"/>
      <c r="H185" s="14"/>
    </row>
    <row r="186" spans="1:8" x14ac:dyDescent="0.25">
      <c r="A186" s="3"/>
      <c r="B186" s="3"/>
      <c r="C186" s="3"/>
      <c r="D186" s="3"/>
      <c r="G186" s="14"/>
      <c r="H186" s="14"/>
    </row>
    <row r="187" spans="1:8" x14ac:dyDescent="0.25">
      <c r="A187" s="3"/>
      <c r="B187" s="3"/>
      <c r="C187" s="3"/>
      <c r="D187" s="3"/>
      <c r="G187" s="14"/>
      <c r="H187" s="14"/>
    </row>
    <row r="188" spans="1:8" x14ac:dyDescent="0.25">
      <c r="A188" s="3"/>
      <c r="B188" s="3"/>
      <c r="C188" s="3"/>
      <c r="D188" s="3"/>
      <c r="G188" s="14"/>
      <c r="H188" s="14"/>
    </row>
    <row r="189" spans="1:8" x14ac:dyDescent="0.25">
      <c r="A189" s="3"/>
      <c r="B189" s="3"/>
      <c r="C189" s="3"/>
      <c r="D189" s="3"/>
      <c r="G189" s="14"/>
      <c r="H189" s="14"/>
    </row>
    <row r="190" spans="1:8" x14ac:dyDescent="0.25">
      <c r="A190" s="3"/>
      <c r="B190" s="3"/>
      <c r="C190" s="3"/>
      <c r="D190" s="3"/>
      <c r="G190" s="14"/>
      <c r="H190" s="14"/>
    </row>
    <row r="191" spans="1:8" x14ac:dyDescent="0.25">
      <c r="A191" s="3"/>
      <c r="B191" s="3"/>
      <c r="C191" s="3"/>
      <c r="D191" s="3"/>
      <c r="G191" s="14"/>
      <c r="H191" s="14"/>
    </row>
    <row r="192" spans="1:8" x14ac:dyDescent="0.25">
      <c r="A192" s="3"/>
      <c r="B192" s="3"/>
      <c r="C192" s="3"/>
      <c r="D192" s="3"/>
      <c r="G192" s="14"/>
      <c r="H192" s="14"/>
    </row>
    <row r="193" spans="1:8" x14ac:dyDescent="0.25">
      <c r="A193" s="3"/>
      <c r="B193" s="3"/>
      <c r="C193" s="3"/>
      <c r="D193" s="3"/>
      <c r="G193" s="14"/>
      <c r="H193" s="14"/>
    </row>
    <row r="194" spans="1:8" x14ac:dyDescent="0.25">
      <c r="A194" s="3"/>
      <c r="B194" s="3"/>
      <c r="C194" s="3"/>
      <c r="D194" s="3"/>
      <c r="G194" s="14"/>
      <c r="H194" s="14"/>
    </row>
    <row r="195" spans="1:8" x14ac:dyDescent="0.25">
      <c r="A195" s="3"/>
      <c r="B195" s="3"/>
      <c r="C195" s="3"/>
      <c r="D195" s="3"/>
      <c r="G195" s="14"/>
      <c r="H195" s="14"/>
    </row>
    <row r="196" spans="1:8" x14ac:dyDescent="0.25">
      <c r="A196" s="3"/>
      <c r="B196" s="3"/>
      <c r="C196" s="3"/>
      <c r="D196" s="3"/>
      <c r="G196" s="14"/>
      <c r="H196" s="14"/>
    </row>
    <row r="197" spans="1:8" x14ac:dyDescent="0.25">
      <c r="A197" s="3"/>
      <c r="B197" s="3"/>
      <c r="C197" s="3"/>
      <c r="D197" s="3"/>
      <c r="G197" s="14"/>
      <c r="H197" s="14"/>
    </row>
    <row r="198" spans="1:8" x14ac:dyDescent="0.25">
      <c r="A198" s="3"/>
      <c r="B198" s="3"/>
      <c r="C198" s="3"/>
      <c r="D198" s="3"/>
      <c r="G198" s="14"/>
      <c r="H198" s="14"/>
    </row>
    <row r="199" spans="1:8" x14ac:dyDescent="0.25">
      <c r="A199" s="3"/>
      <c r="B199" s="3"/>
      <c r="C199" s="3"/>
      <c r="D199" s="3"/>
      <c r="G199" s="14"/>
      <c r="H199" s="14"/>
    </row>
    <row r="200" spans="1:8" x14ac:dyDescent="0.25">
      <c r="A200" s="3"/>
      <c r="B200" s="3"/>
      <c r="C200" s="3"/>
      <c r="D200" s="3"/>
      <c r="G200" s="14"/>
      <c r="H200" s="14"/>
    </row>
    <row r="201" spans="1:8" x14ac:dyDescent="0.25">
      <c r="A201" s="3"/>
      <c r="B201" s="3"/>
      <c r="C201" s="3"/>
      <c r="D201" s="3"/>
      <c r="G201" s="14"/>
      <c r="H201" s="14"/>
    </row>
    <row r="202" spans="1:8" x14ac:dyDescent="0.25">
      <c r="A202" s="3"/>
      <c r="B202" s="3"/>
      <c r="C202" s="3"/>
      <c r="D202" s="3"/>
      <c r="G202" s="14"/>
      <c r="H202" s="14"/>
    </row>
    <row r="203" spans="1:8" x14ac:dyDescent="0.25">
      <c r="A203" s="3"/>
      <c r="B203" s="3"/>
      <c r="C203" s="3"/>
      <c r="D203" s="3"/>
      <c r="G203" s="14"/>
      <c r="H203" s="14"/>
    </row>
    <row r="204" spans="1:8" x14ac:dyDescent="0.25">
      <c r="A204" s="3"/>
      <c r="B204" s="3"/>
      <c r="C204" s="3"/>
      <c r="D204" s="3"/>
      <c r="G204" s="14"/>
      <c r="H204" s="14"/>
    </row>
    <row r="205" spans="1:8" x14ac:dyDescent="0.25">
      <c r="A205" s="3"/>
      <c r="B205" s="3"/>
      <c r="C205" s="3"/>
      <c r="D205" s="3"/>
      <c r="G205" s="14"/>
      <c r="H205" s="14"/>
    </row>
    <row r="206" spans="1:8" x14ac:dyDescent="0.25">
      <c r="A206" s="3"/>
      <c r="B206" s="3"/>
      <c r="C206" s="3"/>
      <c r="D206" s="3"/>
      <c r="G206" s="14"/>
      <c r="H206" s="14"/>
    </row>
    <row r="207" spans="1:8" x14ac:dyDescent="0.25">
      <c r="A207" s="3"/>
      <c r="B207" s="3"/>
      <c r="C207" s="3"/>
      <c r="D207" s="3"/>
      <c r="G207" s="14"/>
      <c r="H207" s="14"/>
    </row>
    <row r="208" spans="1:8" x14ac:dyDescent="0.25">
      <c r="A208" s="3"/>
      <c r="B208" s="3"/>
      <c r="C208" s="3"/>
      <c r="D208" s="3"/>
      <c r="G208" s="14"/>
      <c r="H208" s="14"/>
    </row>
    <row r="209" spans="1:8" x14ac:dyDescent="0.25">
      <c r="A209" s="3"/>
      <c r="B209" s="3"/>
      <c r="C209" s="3"/>
      <c r="D209" s="3"/>
      <c r="G209" s="14"/>
      <c r="H209" s="14"/>
    </row>
    <row r="210" spans="1:8" x14ac:dyDescent="0.25">
      <c r="A210" s="3"/>
      <c r="B210" s="3"/>
      <c r="C210" s="3"/>
      <c r="D210" s="3"/>
      <c r="G210" s="14"/>
      <c r="H210" s="14"/>
    </row>
    <row r="211" spans="1:8" x14ac:dyDescent="0.25">
      <c r="A211" s="3"/>
      <c r="B211" s="3"/>
      <c r="C211" s="3"/>
      <c r="D211" s="3"/>
      <c r="G211" s="14"/>
      <c r="H211" s="14"/>
    </row>
    <row r="212" spans="1:8" x14ac:dyDescent="0.25">
      <c r="A212" s="3"/>
      <c r="B212" s="3"/>
      <c r="C212" s="3"/>
      <c r="D212" s="3"/>
      <c r="G212" s="14"/>
      <c r="H212" s="14"/>
    </row>
    <row r="213" spans="1:8" x14ac:dyDescent="0.25">
      <c r="A213" s="3"/>
      <c r="B213" s="3"/>
      <c r="C213" s="3"/>
      <c r="D213" s="3"/>
      <c r="G213" s="14"/>
      <c r="H213" s="14"/>
    </row>
    <row r="214" spans="1:8" x14ac:dyDescent="0.25">
      <c r="A214" s="3"/>
      <c r="B214" s="3"/>
      <c r="C214" s="3"/>
      <c r="D214" s="3"/>
      <c r="G214" s="14"/>
      <c r="H214" s="14"/>
    </row>
    <row r="215" spans="1:8" x14ac:dyDescent="0.25">
      <c r="A215" s="3"/>
      <c r="B215" s="3"/>
      <c r="C215" s="3"/>
      <c r="D215" s="3"/>
      <c r="G215" s="14"/>
      <c r="H215" s="14"/>
    </row>
    <row r="216" spans="1:8" x14ac:dyDescent="0.25">
      <c r="A216" s="3"/>
      <c r="B216" s="3"/>
      <c r="C216" s="3"/>
      <c r="D216" s="3"/>
      <c r="G216" s="14"/>
      <c r="H216" s="14"/>
    </row>
    <row r="217" spans="1:8" x14ac:dyDescent="0.25">
      <c r="A217" s="3"/>
      <c r="B217" s="3"/>
      <c r="C217" s="3"/>
      <c r="D217" s="3"/>
      <c r="G217" s="14"/>
      <c r="H217" s="14"/>
    </row>
    <row r="218" spans="1:8" x14ac:dyDescent="0.25">
      <c r="A218" s="3"/>
      <c r="B218" s="3"/>
      <c r="C218" s="3"/>
      <c r="D218" s="3"/>
      <c r="G218" s="14"/>
      <c r="H218" s="14"/>
    </row>
    <row r="219" spans="1:8" x14ac:dyDescent="0.25">
      <c r="A219" s="3"/>
      <c r="B219" s="3"/>
      <c r="C219" s="3"/>
      <c r="D219" s="3"/>
      <c r="G219" s="14"/>
      <c r="H219" s="14"/>
    </row>
    <row r="220" spans="1:8" x14ac:dyDescent="0.25">
      <c r="A220" s="3"/>
      <c r="B220" s="3"/>
      <c r="C220" s="3"/>
      <c r="D220" s="3"/>
      <c r="G220" s="14"/>
      <c r="H220" s="14"/>
    </row>
    <row r="221" spans="1:8" x14ac:dyDescent="0.25">
      <c r="A221" s="3"/>
      <c r="B221" s="3"/>
      <c r="C221" s="3"/>
      <c r="D221" s="3"/>
      <c r="G221" s="14"/>
      <c r="H221" s="14"/>
    </row>
    <row r="222" spans="1:8" x14ac:dyDescent="0.25">
      <c r="A222" s="3"/>
      <c r="B222" s="3"/>
      <c r="C222" s="3"/>
      <c r="D222" s="3"/>
      <c r="G222" s="14"/>
      <c r="H222" s="14"/>
    </row>
    <row r="223" spans="1:8" x14ac:dyDescent="0.25">
      <c r="A223" s="3"/>
      <c r="B223" s="3"/>
      <c r="C223" s="3"/>
      <c r="D223" s="3"/>
      <c r="G223" s="14"/>
      <c r="H223" s="14"/>
    </row>
    <row r="224" spans="1:8" x14ac:dyDescent="0.25">
      <c r="A224" s="3"/>
      <c r="B224" s="3"/>
      <c r="C224" s="3"/>
      <c r="D224" s="3"/>
      <c r="G224" s="14"/>
      <c r="H224" s="14"/>
    </row>
    <row r="225" spans="1:8" x14ac:dyDescent="0.25">
      <c r="A225" s="3"/>
      <c r="B225" s="3"/>
      <c r="C225" s="3"/>
      <c r="D225" s="3"/>
      <c r="G225" s="14"/>
      <c r="H225" s="14"/>
    </row>
    <row r="226" spans="1:8" x14ac:dyDescent="0.25">
      <c r="A226" s="3"/>
      <c r="B226" s="3"/>
      <c r="C226" s="3"/>
      <c r="D226" s="3"/>
      <c r="G226" s="14"/>
      <c r="H226" s="14"/>
    </row>
    <row r="227" spans="1:8" x14ac:dyDescent="0.25">
      <c r="A227" s="3"/>
      <c r="B227" s="3"/>
      <c r="C227" s="3"/>
      <c r="D227" s="3"/>
      <c r="G227" s="14"/>
      <c r="H227" s="14"/>
    </row>
    <row r="228" spans="1:8" x14ac:dyDescent="0.25">
      <c r="A228" s="3"/>
      <c r="B228" s="3"/>
      <c r="C228" s="3"/>
      <c r="D228" s="3"/>
      <c r="G228" s="14"/>
      <c r="H228" s="14"/>
    </row>
    <row r="229" spans="1:8" x14ac:dyDescent="0.25">
      <c r="A229" s="3"/>
      <c r="B229" s="3"/>
      <c r="C229" s="3"/>
      <c r="D229" s="3"/>
      <c r="G229" s="14"/>
      <c r="H229" s="14"/>
    </row>
    <row r="230" spans="1:8" x14ac:dyDescent="0.25">
      <c r="A230" s="3"/>
      <c r="B230" s="3"/>
      <c r="C230" s="3"/>
      <c r="D230" s="3"/>
      <c r="G230" s="14"/>
      <c r="H230" s="14"/>
    </row>
    <row r="231" spans="1:8" x14ac:dyDescent="0.25">
      <c r="A231" s="3"/>
      <c r="B231" s="3"/>
      <c r="C231" s="3"/>
      <c r="D231" s="3"/>
      <c r="G231" s="14"/>
      <c r="H231" s="14"/>
    </row>
    <row r="232" spans="1:8" x14ac:dyDescent="0.25">
      <c r="A232" s="3"/>
      <c r="B232" s="3"/>
      <c r="C232" s="3"/>
      <c r="D232" s="3"/>
      <c r="G232" s="14"/>
      <c r="H232" s="14"/>
    </row>
    <row r="233" spans="1:8" x14ac:dyDescent="0.25">
      <c r="A233" s="3"/>
      <c r="B233" s="3"/>
      <c r="C233" s="3"/>
      <c r="D233" s="3"/>
      <c r="G233" s="14"/>
      <c r="H233" s="14"/>
    </row>
    <row r="234" spans="1:8" x14ac:dyDescent="0.25">
      <c r="A234" s="3"/>
      <c r="B234" s="3"/>
      <c r="C234" s="3"/>
      <c r="D234" s="3"/>
      <c r="G234" s="14"/>
      <c r="H234" s="14"/>
    </row>
    <row r="235" spans="1:8" x14ac:dyDescent="0.25">
      <c r="A235" s="3"/>
      <c r="B235" s="3"/>
      <c r="C235" s="3"/>
      <c r="D235" s="3"/>
      <c r="G235" s="14"/>
      <c r="H235" s="14"/>
    </row>
    <row r="236" spans="1:8" x14ac:dyDescent="0.25">
      <c r="A236" s="3"/>
      <c r="B236" s="3"/>
      <c r="C236" s="3"/>
      <c r="D236" s="3"/>
      <c r="G236" s="14"/>
      <c r="H236" s="14"/>
    </row>
    <row r="237" spans="1:8" x14ac:dyDescent="0.25">
      <c r="A237" s="3"/>
      <c r="B237" s="3"/>
      <c r="C237" s="3"/>
      <c r="D237" s="3"/>
      <c r="G237" s="14"/>
      <c r="H237" s="14"/>
    </row>
    <row r="238" spans="1:8" x14ac:dyDescent="0.25">
      <c r="A238" s="3"/>
      <c r="B238" s="3"/>
      <c r="C238" s="3"/>
      <c r="D238" s="3"/>
      <c r="G238" s="14"/>
      <c r="H238" s="14"/>
    </row>
    <row r="239" spans="1:8" x14ac:dyDescent="0.25">
      <c r="A239" s="3"/>
      <c r="B239" s="3"/>
      <c r="C239" s="3"/>
      <c r="D239" s="3"/>
      <c r="G239" s="14"/>
      <c r="H239" s="14"/>
    </row>
    <row r="240" spans="1:8" x14ac:dyDescent="0.25">
      <c r="A240" s="3"/>
      <c r="B240" s="3"/>
      <c r="C240" s="3"/>
      <c r="D240" s="3"/>
      <c r="G240" s="14"/>
      <c r="H240" s="14"/>
    </row>
    <row r="241" spans="1:8" x14ac:dyDescent="0.25">
      <c r="A241" s="3"/>
      <c r="B241" s="3"/>
      <c r="C241" s="3"/>
      <c r="D241" s="3"/>
      <c r="G241" s="14"/>
      <c r="H241" s="14"/>
    </row>
    <row r="242" spans="1:8" x14ac:dyDescent="0.25">
      <c r="A242" s="3"/>
      <c r="B242" s="3"/>
      <c r="C242" s="3"/>
      <c r="D242" s="3"/>
      <c r="G242" s="14"/>
      <c r="H242" s="14"/>
    </row>
    <row r="243" spans="1:8" x14ac:dyDescent="0.25">
      <c r="A243" s="3"/>
      <c r="B243" s="3"/>
      <c r="C243" s="3"/>
      <c r="D243" s="3"/>
      <c r="G243" s="14"/>
      <c r="H243" s="14"/>
    </row>
    <row r="244" spans="1:8" x14ac:dyDescent="0.25">
      <c r="A244" s="3"/>
      <c r="B244" s="3"/>
      <c r="C244" s="3"/>
      <c r="D244" s="3"/>
      <c r="G244" s="14"/>
      <c r="H244" s="14"/>
    </row>
    <row r="245" spans="1:8" x14ac:dyDescent="0.25">
      <c r="A245" s="3"/>
      <c r="B245" s="3"/>
      <c r="C245" s="3"/>
      <c r="D245" s="3"/>
      <c r="G245" s="14"/>
      <c r="H245" s="14"/>
    </row>
    <row r="247" spans="1:8" x14ac:dyDescent="0.25">
      <c r="A247" s="3"/>
      <c r="G247" s="14"/>
      <c r="H247" s="14"/>
    </row>
  </sheetData>
  <phoneticPr fontId="1" type="noConversion"/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2EAD5F-7189-4E50-B362-51D07EAFAD81}">
  <sheetPr/>
  <dimension ref="A1:I247"/>
  <sheetViews>
    <sheetView topLeftCell="A38" zoomScale="115" zoomScaleNormal="115" workbookViewId="0">
      <selection activeCell="A5" sqref="A5:H59"/>
    </sheetView>
  </sheetViews>
  <sheetFormatPr defaultRowHeight="15" x14ac:dyDescent="0.25"/>
  <cols>
    <col min="1" max="1" width="8.875" style="4" customWidth="1"/>
    <col min="2" max="3" width="15.125" style="4" customWidth="1"/>
    <col min="4" max="4" width="10.25" style="4" customWidth="1"/>
    <col min="5" max="5" width="12" style="13" customWidth="1"/>
    <col min="6" max="6" width="15" style="13" customWidth="1"/>
    <col min="7" max="7" width="13.875" customWidth="1"/>
    <col min="8" max="8" width="11.125" customWidth="1"/>
    <col min="11" max="12" width="15.125" customWidth="1"/>
    <col min="13" max="13" width="11.125" customWidth="1"/>
  </cols>
  <sheetData>
    <row r="1" spans="1:9" ht="14.25" x14ac:dyDescent="0.2">
      <c r="A1" s="2" t="s">
        <v>12</v>
      </c>
      <c r="B1" s="2" t="s">
        <v>4</v>
      </c>
      <c r="C1" s="2" t="s">
        <v>5</v>
      </c>
      <c r="D1" s="2" t="s">
        <v>13</v>
      </c>
      <c r="E1" s="2" t="s">
        <v>14</v>
      </c>
      <c r="F1" s="2" t="s">
        <v>15</v>
      </c>
      <c r="G1" s="2" t="s">
        <v>16</v>
      </c>
    </row>
    <row r="2" spans="1:9" x14ac:dyDescent="0.25">
      <c r="A2" s="11">
        <v>46</v>
      </c>
      <c r="B2" s="3">
        <v>113.33797939999999</v>
      </c>
      <c r="C2" s="8">
        <v>22.919804599999999</v>
      </c>
      <c r="D2" s="3">
        <v>1715</v>
      </c>
      <c r="E2" s="13">
        <v>1785</v>
      </c>
      <c r="F2" s="13">
        <v>5</v>
      </c>
      <c r="G2" s="19">
        <f>SUBTOTAL(2,A5:A250)</f>
        <v>19</v>
      </c>
    </row>
    <row r="3" spans="1:9" x14ac:dyDescent="0.25">
      <c r="A3" s="3"/>
      <c r="B3" s="3"/>
      <c r="C3" s="3"/>
      <c r="D3" s="3"/>
    </row>
    <row r="4" spans="1:9" ht="14.25" x14ac:dyDescent="0.2">
      <c r="A4" s="2" t="s">
        <v>0</v>
      </c>
      <c r="B4" s="2" t="s">
        <v>1</v>
      </c>
      <c r="C4" s="2" t="s">
        <v>2</v>
      </c>
      <c r="D4" s="2" t="s">
        <v>3</v>
      </c>
      <c r="E4" s="2" t="s">
        <v>7</v>
      </c>
      <c r="F4" s="2" t="s">
        <v>8</v>
      </c>
      <c r="G4" s="2" t="s">
        <v>13</v>
      </c>
      <c r="H4" s="2" t="s">
        <v>14</v>
      </c>
      <c r="I4" s="24" t="s">
        <v>20</v>
      </c>
    </row>
    <row r="5" spans="1:9" x14ac:dyDescent="0.25">
      <c r="A5" s="3">
        <v>4188</v>
      </c>
      <c r="B5" s="3">
        <v>113.33967920000001</v>
      </c>
      <c r="C5" s="3">
        <v>22.917907589999999</v>
      </c>
      <c r="D5" s="3">
        <v>46</v>
      </c>
      <c r="E5" s="13">
        <f t="shared" ref="E5:E36" si="0">SQRT((B5-$B$2)^2+(C5-$C$2)^2)</f>
        <v>2.5471487942679305E-3</v>
      </c>
      <c r="F5" s="13">
        <f t="shared" ref="F5:F36" si="1">SQRT(1/E5)</f>
        <v>19.814031188919476</v>
      </c>
      <c r="G5" s="14">
        <f>F5/$F$61*$D$2</f>
        <v>124.24083122759068</v>
      </c>
      <c r="H5" s="14">
        <f>F5/$F$61*$E$2</f>
        <v>129.3118855634107</v>
      </c>
      <c r="I5" s="25" t="str">
        <f>IF(MOD(ROW()-1,3)=1,"选中","")</f>
        <v>选中</v>
      </c>
    </row>
    <row r="6" spans="1:9" hidden="1" x14ac:dyDescent="0.25">
      <c r="A6" s="3">
        <v>4185</v>
      </c>
      <c r="B6" s="3">
        <v>113.3354842</v>
      </c>
      <c r="C6" s="3">
        <v>22.920552149999999</v>
      </c>
      <c r="D6" s="3">
        <v>46</v>
      </c>
      <c r="E6" s="13">
        <f t="shared" si="0"/>
        <v>2.6047752383827911E-3</v>
      </c>
      <c r="F6" s="13">
        <f t="shared" si="1"/>
        <v>19.593628643389003</v>
      </c>
      <c r="G6" s="14" t="e">
        <f>F6/$F$124*$D$2</f>
        <v>#DIV/0!</v>
      </c>
      <c r="H6" s="14" t="e">
        <f>F6/$F$124*$E$2</f>
        <v>#DIV/0!</v>
      </c>
      <c r="I6" s="25" t="str">
        <f t="shared" ref="I6:I59" si="2">IF(MOD(ROW()-1,3)=1,"选中","")</f>
        <v/>
      </c>
    </row>
    <row r="7" spans="1:9" hidden="1" x14ac:dyDescent="0.25">
      <c r="A7" s="3">
        <v>4183</v>
      </c>
      <c r="B7" s="3">
        <v>113.33684270000001</v>
      </c>
      <c r="C7" s="3">
        <v>22.917315989999999</v>
      </c>
      <c r="D7" s="3">
        <v>46</v>
      </c>
      <c r="E7" s="13">
        <f t="shared" si="0"/>
        <v>2.7359215306871315E-3</v>
      </c>
      <c r="F7" s="13">
        <f t="shared" si="1"/>
        <v>19.118251983155922</v>
      </c>
      <c r="G7" s="14" t="e">
        <f>F7/$F$124*$D$2</f>
        <v>#DIV/0!</v>
      </c>
      <c r="H7" s="14" t="e">
        <f>F7/$F$124*$E$2</f>
        <v>#DIV/0!</v>
      </c>
      <c r="I7" s="25" t="str">
        <f t="shared" si="2"/>
        <v/>
      </c>
    </row>
    <row r="8" spans="1:9" x14ac:dyDescent="0.25">
      <c r="A8" s="3">
        <v>4203</v>
      </c>
      <c r="B8" s="3">
        <v>113.34076</v>
      </c>
      <c r="C8" s="3">
        <v>22.92023369</v>
      </c>
      <c r="D8" s="3">
        <v>46</v>
      </c>
      <c r="E8" s="13">
        <f t="shared" si="0"/>
        <v>2.8135128555148124E-3</v>
      </c>
      <c r="F8" s="13">
        <f t="shared" si="1"/>
        <v>18.852786444110215</v>
      </c>
      <c r="G8" s="14">
        <f>F8/$F$61*$D$2</f>
        <v>118.21349408606837</v>
      </c>
      <c r="H8" s="14">
        <f>F8/$F$61*$E$2</f>
        <v>123.03853466100993</v>
      </c>
      <c r="I8" s="25" t="str">
        <f t="shared" si="2"/>
        <v>选中</v>
      </c>
    </row>
    <row r="9" spans="1:9" hidden="1" x14ac:dyDescent="0.25">
      <c r="A9" s="3">
        <v>4194</v>
      </c>
      <c r="B9" s="3">
        <v>113.3400475</v>
      </c>
      <c r="C9" s="3">
        <v>22.917746999999999</v>
      </c>
      <c r="D9" s="3">
        <v>46</v>
      </c>
      <c r="E9" s="13">
        <f t="shared" si="0"/>
        <v>2.9173198950427819E-3</v>
      </c>
      <c r="F9" s="13">
        <f t="shared" si="1"/>
        <v>18.51432883981467</v>
      </c>
      <c r="G9" s="14" t="e">
        <f>F9/$F$124*$D$2</f>
        <v>#DIV/0!</v>
      </c>
      <c r="H9" s="14" t="e">
        <f>F9/$F$124*$E$2</f>
        <v>#DIV/0!</v>
      </c>
      <c r="I9" s="25" t="str">
        <f t="shared" si="2"/>
        <v/>
      </c>
    </row>
    <row r="10" spans="1:9" hidden="1" x14ac:dyDescent="0.25">
      <c r="A10" s="3">
        <v>4187</v>
      </c>
      <c r="B10" s="3">
        <v>113.3390155</v>
      </c>
      <c r="C10" s="3">
        <v>22.916864220000001</v>
      </c>
      <c r="D10" s="3">
        <v>46</v>
      </c>
      <c r="E10" s="13">
        <f t="shared" si="0"/>
        <v>3.1175852441281183E-3</v>
      </c>
      <c r="F10" s="13">
        <f t="shared" si="1"/>
        <v>17.909803930387255</v>
      </c>
      <c r="G10" s="14" t="e">
        <f>F10/$F$124*$D$2</f>
        <v>#DIV/0!</v>
      </c>
      <c r="H10" s="14" t="e">
        <f>F10/$F$124*$E$2</f>
        <v>#DIV/0!</v>
      </c>
      <c r="I10" s="25" t="str">
        <f t="shared" si="2"/>
        <v/>
      </c>
    </row>
    <row r="11" spans="1:9" x14ac:dyDescent="0.25">
      <c r="A11" s="3">
        <v>4189</v>
      </c>
      <c r="B11" s="3">
        <v>113.3393609</v>
      </c>
      <c r="C11" s="3">
        <v>22.916890590000001</v>
      </c>
      <c r="D11" s="3">
        <v>46</v>
      </c>
      <c r="E11" s="13">
        <f t="shared" si="0"/>
        <v>3.2249025613356238E-3</v>
      </c>
      <c r="F11" s="13">
        <f t="shared" si="1"/>
        <v>17.609284147921542</v>
      </c>
      <c r="G11" s="14">
        <f>F11/$F$61*$D$2</f>
        <v>110.41630443602403</v>
      </c>
      <c r="H11" s="14">
        <f>F11/$F$61*$E$2</f>
        <v>114.92309237218829</v>
      </c>
      <c r="I11" s="25" t="str">
        <f t="shared" si="2"/>
        <v>选中</v>
      </c>
    </row>
    <row r="12" spans="1:9" hidden="1" x14ac:dyDescent="0.25">
      <c r="A12" s="3">
        <v>4199</v>
      </c>
      <c r="B12" s="3">
        <v>113.3407242</v>
      </c>
      <c r="C12" s="3">
        <v>22.917947699999999</v>
      </c>
      <c r="D12" s="3">
        <v>46</v>
      </c>
      <c r="E12" s="13">
        <f t="shared" si="0"/>
        <v>3.3139107788248173E-3</v>
      </c>
      <c r="F12" s="13">
        <f t="shared" si="1"/>
        <v>17.371190948324767</v>
      </c>
      <c r="G12" s="14" t="e">
        <f>F12/$F$124*$D$2</f>
        <v>#DIV/0!</v>
      </c>
      <c r="H12" s="14" t="e">
        <f>F12/$F$124*$E$2</f>
        <v>#DIV/0!</v>
      </c>
      <c r="I12" s="25" t="str">
        <f t="shared" si="2"/>
        <v/>
      </c>
    </row>
    <row r="13" spans="1:9" hidden="1" x14ac:dyDescent="0.25">
      <c r="A13" s="3">
        <v>4218</v>
      </c>
      <c r="B13" s="3">
        <v>113.341294</v>
      </c>
      <c r="C13" s="3">
        <v>22.920175759999999</v>
      </c>
      <c r="D13" s="3">
        <v>46</v>
      </c>
      <c r="E13" s="13">
        <f t="shared" si="0"/>
        <v>3.3353160128640797E-3</v>
      </c>
      <c r="F13" s="13">
        <f t="shared" si="1"/>
        <v>17.315359219970826</v>
      </c>
      <c r="G13" s="14" t="e">
        <f>F13/$F$124*$D$2</f>
        <v>#DIV/0!</v>
      </c>
      <c r="H13" s="14" t="e">
        <f>F13/$F$124*$E$2</f>
        <v>#DIV/0!</v>
      </c>
      <c r="I13" s="25" t="str">
        <f t="shared" si="2"/>
        <v/>
      </c>
    </row>
    <row r="14" spans="1:9" x14ac:dyDescent="0.25">
      <c r="A14" s="3">
        <v>4193</v>
      </c>
      <c r="B14" s="3">
        <v>113.3351318</v>
      </c>
      <c r="C14" s="3">
        <v>22.92160436</v>
      </c>
      <c r="D14" s="3">
        <v>46</v>
      </c>
      <c r="E14" s="13">
        <f t="shared" si="0"/>
        <v>3.3686735991451241E-3</v>
      </c>
      <c r="F14" s="13">
        <f t="shared" si="1"/>
        <v>17.229415066707624</v>
      </c>
      <c r="G14" s="14">
        <f>F14/$F$61*$D$2</f>
        <v>108.03439386176032</v>
      </c>
      <c r="H14" s="14">
        <f>F14/$F$61*$E$2</f>
        <v>112.4439609581587</v>
      </c>
      <c r="I14" s="25" t="str">
        <f t="shared" si="2"/>
        <v>选中</v>
      </c>
    </row>
    <row r="15" spans="1:9" hidden="1" x14ac:dyDescent="0.25">
      <c r="A15" s="3">
        <v>4184</v>
      </c>
      <c r="B15" s="3">
        <v>113.3397677</v>
      </c>
      <c r="C15" s="3">
        <v>22.922787400000001</v>
      </c>
      <c r="D15" s="3">
        <v>46</v>
      </c>
      <c r="E15" s="13">
        <f t="shared" si="0"/>
        <v>3.4778028595672142E-3</v>
      </c>
      <c r="F15" s="13">
        <f t="shared" si="1"/>
        <v>16.956941421569351</v>
      </c>
      <c r="G15" s="14" t="e">
        <f>F15/$F$124*$D$2</f>
        <v>#DIV/0!</v>
      </c>
      <c r="H15" s="14" t="e">
        <f>F15/$F$124*$E$2</f>
        <v>#DIV/0!</v>
      </c>
      <c r="I15" s="25" t="str">
        <f t="shared" si="2"/>
        <v/>
      </c>
    </row>
    <row r="16" spans="1:9" hidden="1" x14ac:dyDescent="0.25">
      <c r="A16" s="3">
        <v>4200</v>
      </c>
      <c r="B16" s="3">
        <v>113.3358094</v>
      </c>
      <c r="C16" s="3">
        <v>22.922533720000001</v>
      </c>
      <c r="D16" s="3">
        <v>46</v>
      </c>
      <c r="E16" s="13">
        <f t="shared" si="0"/>
        <v>3.4866883965125558E-3</v>
      </c>
      <c r="F16" s="13">
        <f t="shared" si="1"/>
        <v>16.935320957058497</v>
      </c>
      <c r="G16" s="14" t="e">
        <f>F16/$F$124*$D$2</f>
        <v>#DIV/0!</v>
      </c>
      <c r="H16" s="14" t="e">
        <f>F16/$F$124*$E$2</f>
        <v>#DIV/0!</v>
      </c>
      <c r="I16" s="25" t="str">
        <f t="shared" si="2"/>
        <v/>
      </c>
    </row>
    <row r="17" spans="1:9" x14ac:dyDescent="0.25">
      <c r="A17" s="3">
        <v>4198</v>
      </c>
      <c r="B17" s="3">
        <v>113.3351328</v>
      </c>
      <c r="C17" s="3">
        <v>22.922088160000001</v>
      </c>
      <c r="D17" s="3">
        <v>46</v>
      </c>
      <c r="E17" s="13">
        <f t="shared" si="0"/>
        <v>3.6493530705590514E-3</v>
      </c>
      <c r="F17" s="13">
        <f t="shared" si="1"/>
        <v>16.553584823545442</v>
      </c>
      <c r="G17" s="14">
        <f>F17/$F$61*$D$2</f>
        <v>103.796704399246</v>
      </c>
      <c r="H17" s="14">
        <f>F17/$F$61*$E$2</f>
        <v>108.03330457880706</v>
      </c>
      <c r="I17" s="25" t="str">
        <f t="shared" si="2"/>
        <v>选中</v>
      </c>
    </row>
    <row r="18" spans="1:9" hidden="1" x14ac:dyDescent="0.25">
      <c r="A18" s="3">
        <v>4192</v>
      </c>
      <c r="B18" s="3">
        <v>113.334542</v>
      </c>
      <c r="C18" s="3">
        <v>22.921179630000001</v>
      </c>
      <c r="D18" s="3">
        <v>46</v>
      </c>
      <c r="E18" s="13">
        <f t="shared" si="0"/>
        <v>3.7022190995233944E-3</v>
      </c>
      <c r="F18" s="13">
        <f t="shared" si="1"/>
        <v>16.43497097790102</v>
      </c>
      <c r="G18" s="14" t="e">
        <f>F18/$F$124*$D$2</f>
        <v>#DIV/0!</v>
      </c>
      <c r="H18" s="14" t="e">
        <f>F18/$F$124*$E$2</f>
        <v>#DIV/0!</v>
      </c>
      <c r="I18" s="25" t="str">
        <f t="shared" si="2"/>
        <v/>
      </c>
    </row>
    <row r="19" spans="1:9" hidden="1" x14ac:dyDescent="0.25">
      <c r="A19" s="3">
        <v>4186</v>
      </c>
      <c r="B19" s="3">
        <v>113.3363997</v>
      </c>
      <c r="C19" s="3">
        <v>22.91631422</v>
      </c>
      <c r="D19" s="3">
        <v>46</v>
      </c>
      <c r="E19" s="13">
        <f t="shared" si="0"/>
        <v>3.8312145116622112E-3</v>
      </c>
      <c r="F19" s="13">
        <f t="shared" si="1"/>
        <v>16.15592265964996</v>
      </c>
      <c r="G19" s="14" t="e">
        <f>F19/$F$124*$D$2</f>
        <v>#DIV/0!</v>
      </c>
      <c r="H19" s="14" t="e">
        <f>F19/$F$124*$E$2</f>
        <v>#DIV/0!</v>
      </c>
      <c r="I19" s="25" t="str">
        <f t="shared" si="2"/>
        <v/>
      </c>
    </row>
    <row r="20" spans="1:9" x14ac:dyDescent="0.25">
      <c r="A20" s="3">
        <v>4182</v>
      </c>
      <c r="B20" s="3">
        <v>113.33808639999999</v>
      </c>
      <c r="C20" s="3">
        <v>22.915936299999998</v>
      </c>
      <c r="D20" s="3">
        <v>46</v>
      </c>
      <c r="E20" s="13">
        <f t="shared" si="0"/>
        <v>3.8697795660740967E-3</v>
      </c>
      <c r="F20" s="13">
        <f t="shared" si="1"/>
        <v>16.075218565111797</v>
      </c>
      <c r="G20" s="14">
        <f>F20/$F$61*$D$2</f>
        <v>100.79718244370044</v>
      </c>
      <c r="H20" s="14">
        <f>F20/$F$61*$E$2</f>
        <v>104.91135315568822</v>
      </c>
      <c r="I20" s="25" t="str">
        <f t="shared" si="2"/>
        <v>选中</v>
      </c>
    </row>
    <row r="21" spans="1:9" hidden="1" x14ac:dyDescent="0.25">
      <c r="A21" s="3">
        <v>4213</v>
      </c>
      <c r="B21" s="3">
        <v>113.34110920000001</v>
      </c>
      <c r="C21" s="3">
        <v>22.922084290000001</v>
      </c>
      <c r="D21" s="3">
        <v>46</v>
      </c>
      <c r="E21" s="13">
        <f t="shared" si="0"/>
        <v>3.8720323521600794E-3</v>
      </c>
      <c r="F21" s="13">
        <f t="shared" si="1"/>
        <v>16.070541525463121</v>
      </c>
      <c r="G21" s="14" t="e">
        <f>F21/$F$124*$D$2</f>
        <v>#DIV/0!</v>
      </c>
      <c r="H21" s="14" t="e">
        <f>F21/$F$124*$E$2</f>
        <v>#DIV/0!</v>
      </c>
      <c r="I21" s="25" t="str">
        <f t="shared" si="2"/>
        <v/>
      </c>
    </row>
    <row r="22" spans="1:9" hidden="1" x14ac:dyDescent="0.25">
      <c r="A22" s="3">
        <v>4215</v>
      </c>
      <c r="B22" s="3">
        <v>113.3403376</v>
      </c>
      <c r="C22" s="3">
        <v>22.923029270000001</v>
      </c>
      <c r="D22" s="3">
        <v>46</v>
      </c>
      <c r="E22" s="13">
        <f t="shared" si="0"/>
        <v>3.9949472898807925E-3</v>
      </c>
      <c r="F22" s="13">
        <f t="shared" si="1"/>
        <v>15.821384066867941</v>
      </c>
      <c r="G22" s="14" t="e">
        <f>F22/$F$124*$D$2</f>
        <v>#DIV/0!</v>
      </c>
      <c r="H22" s="14" t="e">
        <f>F22/$F$124*$E$2</f>
        <v>#DIV/0!</v>
      </c>
      <c r="I22" s="25" t="str">
        <f t="shared" si="2"/>
        <v/>
      </c>
    </row>
    <row r="23" spans="1:9" x14ac:dyDescent="0.25">
      <c r="A23" s="3">
        <v>4204</v>
      </c>
      <c r="B23" s="3">
        <v>113.3350938</v>
      </c>
      <c r="C23" s="3">
        <v>22.922672989999999</v>
      </c>
      <c r="D23" s="3">
        <v>46</v>
      </c>
      <c r="E23" s="13">
        <f t="shared" si="0"/>
        <v>4.0687035468430091E-3</v>
      </c>
      <c r="F23" s="13">
        <f t="shared" si="1"/>
        <v>15.677325528119614</v>
      </c>
      <c r="G23" s="14">
        <f>F23/$F$61*$D$2</f>
        <v>98.302255430401672</v>
      </c>
      <c r="H23" s="14">
        <f>F23/$F$61*$E$2</f>
        <v>102.31459238674461</v>
      </c>
      <c r="I23" s="25" t="str">
        <f t="shared" si="2"/>
        <v>选中</v>
      </c>
    </row>
    <row r="24" spans="1:9" hidden="1" x14ac:dyDescent="0.25">
      <c r="A24" s="3">
        <v>4207</v>
      </c>
      <c r="B24" s="3">
        <v>113.3414219</v>
      </c>
      <c r="C24" s="3">
        <v>22.917462660000002</v>
      </c>
      <c r="D24" s="3">
        <v>46</v>
      </c>
      <c r="E24" s="13">
        <f t="shared" si="0"/>
        <v>4.1635909037303102E-3</v>
      </c>
      <c r="F24" s="13">
        <f t="shared" si="1"/>
        <v>15.497654494186392</v>
      </c>
      <c r="G24" s="14" t="e">
        <f>F24/$F$124*$D$2</f>
        <v>#DIV/0!</v>
      </c>
      <c r="H24" s="14" t="e">
        <f>F24/$F$124*$E$2</f>
        <v>#DIV/0!</v>
      </c>
      <c r="I24" s="25" t="str">
        <f t="shared" si="2"/>
        <v/>
      </c>
    </row>
    <row r="25" spans="1:9" hidden="1" x14ac:dyDescent="0.25">
      <c r="A25" s="3">
        <v>4190</v>
      </c>
      <c r="B25" s="3">
        <v>113.3370524</v>
      </c>
      <c r="C25" s="3">
        <v>22.915707279999999</v>
      </c>
      <c r="D25" s="3">
        <v>46</v>
      </c>
      <c r="E25" s="13">
        <f t="shared" si="0"/>
        <v>4.2008761208084493E-3</v>
      </c>
      <c r="F25" s="13">
        <f t="shared" si="1"/>
        <v>15.428725862528831</v>
      </c>
      <c r="G25" s="14" t="e">
        <f>F25/$F$124*$D$2</f>
        <v>#DIV/0!</v>
      </c>
      <c r="H25" s="14" t="e">
        <f>F25/$F$124*$E$2</f>
        <v>#DIV/0!</v>
      </c>
      <c r="I25" s="25" t="str">
        <f t="shared" si="2"/>
        <v/>
      </c>
    </row>
    <row r="26" spans="1:9" x14ac:dyDescent="0.25">
      <c r="A26" s="3">
        <v>4235</v>
      </c>
      <c r="B26" s="3">
        <v>113.34173730000001</v>
      </c>
      <c r="C26" s="3">
        <v>22.917708000000001</v>
      </c>
      <c r="D26" s="3">
        <v>46</v>
      </c>
      <c r="E26" s="13">
        <f t="shared" si="0"/>
        <v>4.3032015953325294E-3</v>
      </c>
      <c r="F26" s="13">
        <f t="shared" si="1"/>
        <v>15.244183007227141</v>
      </c>
      <c r="G26" s="14">
        <f>F26/$F$61*$D$2</f>
        <v>95.586301956694157</v>
      </c>
      <c r="H26" s="14">
        <f>F26/$F$61*$E$2</f>
        <v>99.487783669212291</v>
      </c>
      <c r="I26" s="25" t="str">
        <f t="shared" si="2"/>
        <v>选中</v>
      </c>
    </row>
    <row r="27" spans="1:9" hidden="1" x14ac:dyDescent="0.25">
      <c r="A27" s="3">
        <v>4228</v>
      </c>
      <c r="B27" s="3">
        <v>113.34233709999999</v>
      </c>
      <c r="C27" s="3">
        <v>22.91909836</v>
      </c>
      <c r="D27" s="3">
        <v>46</v>
      </c>
      <c r="E27" s="13">
        <f t="shared" si="0"/>
        <v>4.4145582143175471E-3</v>
      </c>
      <c r="F27" s="13">
        <f t="shared" si="1"/>
        <v>15.050688795946567</v>
      </c>
      <c r="G27" s="14" t="e">
        <f>F27/$F$124*$D$2</f>
        <v>#DIV/0!</v>
      </c>
      <c r="H27" s="14" t="e">
        <f>F27/$F$124*$E$2</f>
        <v>#DIV/0!</v>
      </c>
      <c r="I27" s="25" t="str">
        <f t="shared" si="2"/>
        <v/>
      </c>
    </row>
    <row r="28" spans="1:9" hidden="1" x14ac:dyDescent="0.25">
      <c r="A28" s="3">
        <v>4196</v>
      </c>
      <c r="B28" s="3">
        <v>113.3380116</v>
      </c>
      <c r="C28" s="3">
        <v>22.915379659999999</v>
      </c>
      <c r="D28" s="3">
        <v>46</v>
      </c>
      <c r="E28" s="13">
        <f t="shared" si="0"/>
        <v>4.4250571570996532E-3</v>
      </c>
      <c r="F28" s="13">
        <f t="shared" si="1"/>
        <v>15.03282347194193</v>
      </c>
      <c r="G28" s="14" t="e">
        <f>F28/$F$124*$D$2</f>
        <v>#DIV/0!</v>
      </c>
      <c r="H28" s="14" t="e">
        <f>F28/$F$124*$E$2</f>
        <v>#DIV/0!</v>
      </c>
      <c r="I28" s="25" t="str">
        <f t="shared" si="2"/>
        <v/>
      </c>
    </row>
    <row r="29" spans="1:9" x14ac:dyDescent="0.25">
      <c r="A29" s="3">
        <v>4201</v>
      </c>
      <c r="B29" s="3">
        <v>113.3393071</v>
      </c>
      <c r="C29" s="3">
        <v>22.915554239999999</v>
      </c>
      <c r="D29" s="3">
        <v>46</v>
      </c>
      <c r="E29" s="13">
        <f t="shared" si="0"/>
        <v>4.4529032573833007E-3</v>
      </c>
      <c r="F29" s="13">
        <f t="shared" si="1"/>
        <v>14.985746096315712</v>
      </c>
      <c r="G29" s="14">
        <f>F29/$F$61*$D$2</f>
        <v>93.965813105869969</v>
      </c>
      <c r="H29" s="14">
        <f>F29/$F$61*$E$2</f>
        <v>97.801152416313641</v>
      </c>
      <c r="I29" s="25" t="str">
        <f t="shared" si="2"/>
        <v>选中</v>
      </c>
    </row>
    <row r="30" spans="1:9" hidden="1" x14ac:dyDescent="0.25">
      <c r="A30" s="3">
        <v>4252</v>
      </c>
      <c r="B30" s="3">
        <v>113.3419057</v>
      </c>
      <c r="C30" s="3">
        <v>22.921942940000001</v>
      </c>
      <c r="D30" s="3">
        <v>46</v>
      </c>
      <c r="E30" s="13">
        <f t="shared" si="0"/>
        <v>4.4708309793185744E-3</v>
      </c>
      <c r="F30" s="13">
        <f t="shared" si="1"/>
        <v>14.955670014388367</v>
      </c>
      <c r="G30" s="14" t="e">
        <f>F30/$F$124*$D$2</f>
        <v>#DIV/0!</v>
      </c>
      <c r="H30" s="14" t="e">
        <f>F30/$F$124*$E$2</f>
        <v>#DIV/0!</v>
      </c>
      <c r="I30" s="25" t="str">
        <f t="shared" si="2"/>
        <v/>
      </c>
    </row>
    <row r="31" spans="1:9" hidden="1" x14ac:dyDescent="0.25">
      <c r="A31" s="3">
        <v>4216</v>
      </c>
      <c r="B31" s="3">
        <v>113.3405003</v>
      </c>
      <c r="C31" s="3">
        <v>22.923503780000001</v>
      </c>
      <c r="D31" s="3">
        <v>46</v>
      </c>
      <c r="E31" s="13">
        <f t="shared" si="0"/>
        <v>4.4764795858408925E-3</v>
      </c>
      <c r="F31" s="13">
        <f t="shared" si="1"/>
        <v>14.946231195326337</v>
      </c>
      <c r="G31" s="14" t="e">
        <f>F31/$F$124*$D$2</f>
        <v>#DIV/0!</v>
      </c>
      <c r="H31" s="14" t="e">
        <f>F31/$F$124*$E$2</f>
        <v>#DIV/0!</v>
      </c>
      <c r="I31" s="25" t="str">
        <f t="shared" si="2"/>
        <v/>
      </c>
    </row>
    <row r="32" spans="1:9" x14ac:dyDescent="0.25">
      <c r="A32" s="3">
        <v>4191</v>
      </c>
      <c r="B32" s="3">
        <v>113.33618509999999</v>
      </c>
      <c r="C32" s="3">
        <v>22.91569488</v>
      </c>
      <c r="D32" s="3">
        <v>46</v>
      </c>
      <c r="E32" s="13">
        <f t="shared" si="0"/>
        <v>4.4843406392012222E-3</v>
      </c>
      <c r="F32" s="13">
        <f t="shared" si="1"/>
        <v>14.933125070369597</v>
      </c>
      <c r="G32" s="14">
        <f>F32/$F$61*$D$2</f>
        <v>93.635861066264326</v>
      </c>
      <c r="H32" s="14">
        <f>F32/$F$61*$E$2</f>
        <v>97.457732946520011</v>
      </c>
      <c r="I32" s="25" t="str">
        <f t="shared" si="2"/>
        <v>选中</v>
      </c>
    </row>
    <row r="33" spans="1:9" hidden="1" x14ac:dyDescent="0.25">
      <c r="A33" s="3">
        <v>4195</v>
      </c>
      <c r="B33" s="3">
        <v>113.3374637</v>
      </c>
      <c r="C33" s="3">
        <v>22.91525871</v>
      </c>
      <c r="D33" s="3">
        <v>46</v>
      </c>
      <c r="E33" s="13">
        <f t="shared" si="0"/>
        <v>4.5750478010712888E-3</v>
      </c>
      <c r="F33" s="13">
        <f t="shared" si="1"/>
        <v>14.784348183481018</v>
      </c>
      <c r="G33" s="14" t="e">
        <f>F33/$F$124*$D$2</f>
        <v>#DIV/0!</v>
      </c>
      <c r="H33" s="14" t="e">
        <f>F33/$F$124*$E$2</f>
        <v>#DIV/0!</v>
      </c>
      <c r="I33" s="25" t="str">
        <f t="shared" si="2"/>
        <v/>
      </c>
    </row>
    <row r="34" spans="1:9" hidden="1" x14ac:dyDescent="0.25">
      <c r="A34" s="3">
        <v>4202</v>
      </c>
      <c r="B34" s="3">
        <v>113.3391075</v>
      </c>
      <c r="C34" s="3">
        <v>22.915183760000001</v>
      </c>
      <c r="D34" s="3">
        <v>46</v>
      </c>
      <c r="E34" s="13">
        <f t="shared" si="0"/>
        <v>4.7565504218481441E-3</v>
      </c>
      <c r="F34" s="13">
        <f t="shared" si="1"/>
        <v>14.49953075787567</v>
      </c>
      <c r="G34" s="14" t="e">
        <f>F34/$F$124*$D$2</f>
        <v>#DIV/0!</v>
      </c>
      <c r="H34" s="14" t="e">
        <f>F34/$F$124*$E$2</f>
        <v>#DIV/0!</v>
      </c>
      <c r="I34" s="25" t="str">
        <f t="shared" si="2"/>
        <v/>
      </c>
    </row>
    <row r="35" spans="1:9" x14ac:dyDescent="0.25">
      <c r="A35" s="3">
        <v>4229</v>
      </c>
      <c r="B35" s="3">
        <v>113.3422753</v>
      </c>
      <c r="C35" s="3">
        <v>22.91741317</v>
      </c>
      <c r="D35" s="3">
        <v>46</v>
      </c>
      <c r="E35" s="13">
        <f t="shared" si="0"/>
        <v>4.9166751219618283E-3</v>
      </c>
      <c r="F35" s="13">
        <f t="shared" si="1"/>
        <v>14.261468393377424</v>
      </c>
      <c r="G35" s="14">
        <f>F35/$F$61*$D$2</f>
        <v>89.424341307693695</v>
      </c>
      <c r="H35" s="14">
        <f>F35/$F$61*$E$2</f>
        <v>93.07431442229344</v>
      </c>
      <c r="I35" s="25" t="str">
        <f t="shared" si="2"/>
        <v>选中</v>
      </c>
    </row>
    <row r="36" spans="1:9" hidden="1" x14ac:dyDescent="0.25">
      <c r="A36" s="3">
        <v>3892</v>
      </c>
      <c r="B36" s="3">
        <v>113.3352474</v>
      </c>
      <c r="C36" s="3">
        <v>22.924077109999999</v>
      </c>
      <c r="D36" s="3">
        <v>46</v>
      </c>
      <c r="E36" s="13">
        <f t="shared" si="0"/>
        <v>5.0713080856983322E-3</v>
      </c>
      <c r="F36" s="13">
        <f t="shared" si="1"/>
        <v>14.042356758376945</v>
      </c>
      <c r="G36" s="14" t="e">
        <f>F36/$F$124*$D$2</f>
        <v>#DIV/0!</v>
      </c>
      <c r="H36" s="14" t="e">
        <f>F36/$F$124*$E$2</f>
        <v>#DIV/0!</v>
      </c>
      <c r="I36" s="25" t="str">
        <f t="shared" si="2"/>
        <v/>
      </c>
    </row>
    <row r="37" spans="1:9" hidden="1" x14ac:dyDescent="0.25">
      <c r="A37" s="3">
        <v>4217</v>
      </c>
      <c r="B37" s="3">
        <v>113.3415143</v>
      </c>
      <c r="C37" s="3">
        <v>22.923621929999999</v>
      </c>
      <c r="D37" s="3">
        <v>46</v>
      </c>
      <c r="E37" s="13">
        <f t="shared" ref="E37:E59" si="3">SQRT((B37-$B$2)^2+(C37-$C$2)^2)</f>
        <v>5.2026460901103732E-3</v>
      </c>
      <c r="F37" s="13">
        <f t="shared" ref="F37:F59" si="4">SQRT(1/E37)</f>
        <v>13.863977918218223</v>
      </c>
      <c r="G37" s="14" t="e">
        <f>F37/$F$124*$D$2</f>
        <v>#DIV/0!</v>
      </c>
      <c r="H37" s="14" t="e">
        <f>F37/$F$124*$E$2</f>
        <v>#DIV/0!</v>
      </c>
      <c r="I37" s="25" t="str">
        <f t="shared" si="2"/>
        <v/>
      </c>
    </row>
    <row r="38" spans="1:9" x14ac:dyDescent="0.25">
      <c r="A38" s="3">
        <v>3893</v>
      </c>
      <c r="B38" s="3">
        <v>113.3410681</v>
      </c>
      <c r="C38" s="3">
        <v>22.924026550000001</v>
      </c>
      <c r="D38" s="3">
        <v>46</v>
      </c>
      <c r="E38" s="13">
        <f t="shared" si="3"/>
        <v>5.2311499206725868E-3</v>
      </c>
      <c r="F38" s="13">
        <f t="shared" si="4"/>
        <v>13.826154851497309</v>
      </c>
      <c r="G38" s="14">
        <f>F38/$F$61*$D$2</f>
        <v>86.694774781218399</v>
      </c>
      <c r="H38" s="14">
        <f>F38/$F$61*$E$2</f>
        <v>90.2333370171865</v>
      </c>
      <c r="I38" s="25" t="str">
        <f t="shared" si="2"/>
        <v>选中</v>
      </c>
    </row>
    <row r="39" spans="1:9" hidden="1" x14ac:dyDescent="0.25">
      <c r="A39" s="3">
        <v>4197</v>
      </c>
      <c r="B39" s="3">
        <v>113.33700260000001</v>
      </c>
      <c r="C39" s="3">
        <v>22.91461782</v>
      </c>
      <c r="D39" s="3">
        <v>46</v>
      </c>
      <c r="E39" s="13">
        <f t="shared" si="3"/>
        <v>5.2779565182339725E-3</v>
      </c>
      <c r="F39" s="13">
        <f t="shared" si="4"/>
        <v>13.764710952139364</v>
      </c>
      <c r="G39" s="14" t="e">
        <f>F39/$F$124*$D$2</f>
        <v>#DIV/0!</v>
      </c>
      <c r="H39" s="14" t="e">
        <f>F39/$F$124*$E$2</f>
        <v>#DIV/0!</v>
      </c>
      <c r="I39" s="25" t="str">
        <f t="shared" si="2"/>
        <v/>
      </c>
    </row>
    <row r="40" spans="1:9" hidden="1" x14ac:dyDescent="0.25">
      <c r="A40" s="3">
        <v>3891</v>
      </c>
      <c r="B40" s="3">
        <v>113.33557570000001</v>
      </c>
      <c r="C40" s="3">
        <v>22.924627279999999</v>
      </c>
      <c r="D40" s="3">
        <v>46</v>
      </c>
      <c r="E40" s="13">
        <f t="shared" si="3"/>
        <v>5.3885077778865363E-3</v>
      </c>
      <c r="F40" s="13">
        <f t="shared" si="4"/>
        <v>13.622779996710669</v>
      </c>
      <c r="G40" s="14" t="e">
        <f>F40/$F$124*$D$2</f>
        <v>#DIV/0!</v>
      </c>
      <c r="H40" s="14" t="e">
        <f>F40/$F$124*$E$2</f>
        <v>#DIV/0!</v>
      </c>
      <c r="I40" s="25" t="str">
        <f t="shared" si="2"/>
        <v/>
      </c>
    </row>
    <row r="41" spans="1:9" x14ac:dyDescent="0.25">
      <c r="A41" s="3">
        <v>3890</v>
      </c>
      <c r="B41" s="3">
        <v>113.338477</v>
      </c>
      <c r="C41" s="3">
        <v>22.925270690000001</v>
      </c>
      <c r="D41" s="3">
        <v>46</v>
      </c>
      <c r="E41" s="13">
        <f t="shared" si="3"/>
        <v>5.4886925262878413E-3</v>
      </c>
      <c r="F41" s="13">
        <f t="shared" si="4"/>
        <v>13.49787956250583</v>
      </c>
      <c r="G41" s="14">
        <f>F41/$F$61*$D$2</f>
        <v>84.636375135689079</v>
      </c>
      <c r="H41" s="14">
        <f>F41/$F$61*$E$2</f>
        <v>88.090921059594763</v>
      </c>
      <c r="I41" s="25" t="str">
        <f t="shared" si="2"/>
        <v>选中</v>
      </c>
    </row>
    <row r="42" spans="1:9" hidden="1" x14ac:dyDescent="0.25">
      <c r="A42" s="3">
        <v>4205</v>
      </c>
      <c r="B42" s="3">
        <v>113.33711340000001</v>
      </c>
      <c r="C42" s="3">
        <v>22.914357729999999</v>
      </c>
      <c r="D42" s="3">
        <v>46</v>
      </c>
      <c r="E42" s="13">
        <f t="shared" si="3"/>
        <v>5.515283201874591E-3</v>
      </c>
      <c r="F42" s="13">
        <f t="shared" si="4"/>
        <v>13.465301780064818</v>
      </c>
      <c r="G42" s="14" t="e">
        <f>F42/$F$124*$D$2</f>
        <v>#DIV/0!</v>
      </c>
      <c r="H42" s="14" t="e">
        <f>F42/$F$124*$E$2</f>
        <v>#DIV/0!</v>
      </c>
      <c r="I42" s="25" t="str">
        <f t="shared" si="2"/>
        <v/>
      </c>
    </row>
    <row r="43" spans="1:9" hidden="1" x14ac:dyDescent="0.25">
      <c r="A43" s="3">
        <v>4222</v>
      </c>
      <c r="B43" s="3">
        <v>113.34331039999999</v>
      </c>
      <c r="C43" s="3">
        <v>22.918061089999998</v>
      </c>
      <c r="D43" s="3">
        <v>46</v>
      </c>
      <c r="E43" s="13">
        <f t="shared" si="3"/>
        <v>5.6088669194484658E-3</v>
      </c>
      <c r="F43" s="13">
        <f t="shared" si="4"/>
        <v>13.352495250026275</v>
      </c>
      <c r="G43" s="14" t="e">
        <f>F43/$F$124*$D$2</f>
        <v>#DIV/0!</v>
      </c>
      <c r="H43" s="14" t="e">
        <f>F43/$F$124*$E$2</f>
        <v>#DIV/0!</v>
      </c>
      <c r="I43" s="25" t="str">
        <f t="shared" si="2"/>
        <v/>
      </c>
    </row>
    <row r="44" spans="1:9" x14ac:dyDescent="0.25">
      <c r="A44" s="3">
        <v>3894</v>
      </c>
      <c r="B44" s="3">
        <v>113.34151629999999</v>
      </c>
      <c r="C44" s="3">
        <v>22.9243916</v>
      </c>
      <c r="D44" s="3">
        <v>46</v>
      </c>
      <c r="E44" s="13">
        <f t="shared" si="3"/>
        <v>5.7922560898158873E-3</v>
      </c>
      <c r="F44" s="13">
        <f t="shared" si="4"/>
        <v>13.139417808151704</v>
      </c>
      <c r="G44" s="14">
        <f>F44/$F$61*$D$2</f>
        <v>82.388695907791103</v>
      </c>
      <c r="H44" s="14">
        <f>F44/$F$61*$E$2</f>
        <v>85.75149982239482</v>
      </c>
      <c r="I44" s="25" t="str">
        <f t="shared" si="2"/>
        <v>选中</v>
      </c>
    </row>
    <row r="45" spans="1:9" hidden="1" x14ac:dyDescent="0.25">
      <c r="A45" s="3">
        <v>4208</v>
      </c>
      <c r="B45" s="3">
        <v>113.33219269999999</v>
      </c>
      <c r="C45" s="3">
        <v>22.920593270000001</v>
      </c>
      <c r="D45" s="3">
        <v>46</v>
      </c>
      <c r="E45" s="13">
        <f t="shared" si="3"/>
        <v>5.8401966798149688E-3</v>
      </c>
      <c r="F45" s="13">
        <f t="shared" si="4"/>
        <v>13.085377721604594</v>
      </c>
      <c r="G45" s="14" t="e">
        <f>F45/$F$124*$D$2</f>
        <v>#DIV/0!</v>
      </c>
      <c r="H45" s="14" t="e">
        <f>F45/$F$124*$E$2</f>
        <v>#DIV/0!</v>
      </c>
      <c r="I45" s="25" t="str">
        <f t="shared" si="2"/>
        <v/>
      </c>
    </row>
    <row r="46" spans="1:9" hidden="1" x14ac:dyDescent="0.25">
      <c r="A46" s="3">
        <v>4206</v>
      </c>
      <c r="B46" s="3">
        <v>113.3355425</v>
      </c>
      <c r="C46" s="3">
        <v>22.914429590000001</v>
      </c>
      <c r="D46" s="3">
        <v>46</v>
      </c>
      <c r="E46" s="13">
        <f t="shared" si="3"/>
        <v>5.9016280897766851E-3</v>
      </c>
      <c r="F46" s="13">
        <f t="shared" si="4"/>
        <v>13.01709520504944</v>
      </c>
      <c r="G46" s="14" t="e">
        <f>F46/$F$124*$D$2</f>
        <v>#DIV/0!</v>
      </c>
      <c r="H46" s="14" t="e">
        <f>F46/$F$124*$E$2</f>
        <v>#DIV/0!</v>
      </c>
      <c r="I46" s="25" t="str">
        <f t="shared" si="2"/>
        <v/>
      </c>
    </row>
    <row r="47" spans="1:9" x14ac:dyDescent="0.25">
      <c r="A47" s="3">
        <v>4209</v>
      </c>
      <c r="B47" s="3">
        <v>113.3327439</v>
      </c>
      <c r="C47" s="3">
        <v>22.91578324</v>
      </c>
      <c r="D47" s="3">
        <v>46</v>
      </c>
      <c r="E47" s="13">
        <f t="shared" si="3"/>
        <v>6.6016510434565934E-3</v>
      </c>
      <c r="F47" s="13">
        <f t="shared" si="4"/>
        <v>12.307609770061454</v>
      </c>
      <c r="G47" s="14">
        <f>F47/$F$61*$D$2</f>
        <v>77.172971702616891</v>
      </c>
      <c r="H47" s="14">
        <f>F47/$F$61*$E$2</f>
        <v>80.322888914968601</v>
      </c>
      <c r="I47" s="25" t="str">
        <f t="shared" si="2"/>
        <v>选中</v>
      </c>
    </row>
    <row r="48" spans="1:9" hidden="1" x14ac:dyDescent="0.25">
      <c r="A48" s="3">
        <v>4211</v>
      </c>
      <c r="B48" s="3">
        <v>113.3316691</v>
      </c>
      <c r="C48" s="3">
        <v>22.915992169999999</v>
      </c>
      <c r="D48" s="3">
        <v>46</v>
      </c>
      <c r="E48" s="13">
        <f t="shared" si="3"/>
        <v>7.3725510235496958E-3</v>
      </c>
      <c r="F48" s="13">
        <f t="shared" si="4"/>
        <v>11.64638403129201</v>
      </c>
      <c r="G48" s="14" t="e">
        <f>F48/$F$124*$D$2</f>
        <v>#DIV/0!</v>
      </c>
      <c r="H48" s="14" t="e">
        <f>F48/$F$124*$E$2</f>
        <v>#DIV/0!</v>
      </c>
      <c r="I48" s="25" t="str">
        <f t="shared" si="2"/>
        <v/>
      </c>
    </row>
    <row r="49" spans="1:9" hidden="1" x14ac:dyDescent="0.25">
      <c r="A49" s="3">
        <v>4248</v>
      </c>
      <c r="B49" s="3">
        <v>113.3448532</v>
      </c>
      <c r="C49" s="3">
        <v>22.922948380000001</v>
      </c>
      <c r="D49" s="3">
        <v>46</v>
      </c>
      <c r="E49" s="13">
        <f t="shared" si="3"/>
        <v>7.5586029878890191E-3</v>
      </c>
      <c r="F49" s="13">
        <f t="shared" si="4"/>
        <v>11.502155446239019</v>
      </c>
      <c r="G49" s="14" t="e">
        <f>F49/$F$124*$D$2</f>
        <v>#DIV/0!</v>
      </c>
      <c r="H49" s="14" t="e">
        <f>F49/$F$124*$E$2</f>
        <v>#DIV/0!</v>
      </c>
      <c r="I49" s="25" t="str">
        <f t="shared" si="2"/>
        <v/>
      </c>
    </row>
    <row r="50" spans="1:9" x14ac:dyDescent="0.25">
      <c r="A50" s="3">
        <v>4225</v>
      </c>
      <c r="B50" s="3">
        <v>113.3454971</v>
      </c>
      <c r="C50" s="3">
        <v>22.921595839999998</v>
      </c>
      <c r="D50" s="3">
        <v>46</v>
      </c>
      <c r="E50" s="13">
        <f t="shared" si="3"/>
        <v>7.728153338781552E-3</v>
      </c>
      <c r="F50" s="13">
        <f t="shared" si="4"/>
        <v>11.375281026372106</v>
      </c>
      <c r="G50" s="14">
        <f>F50/$F$61*$D$2</f>
        <v>71.326947893079478</v>
      </c>
      <c r="H50" s="14">
        <f>F50/$F$61*$E$2</f>
        <v>74.238251888715382</v>
      </c>
      <c r="I50" s="25" t="str">
        <f t="shared" si="2"/>
        <v>选中</v>
      </c>
    </row>
    <row r="51" spans="1:9" hidden="1" x14ac:dyDescent="0.25">
      <c r="A51" s="3">
        <v>4243</v>
      </c>
      <c r="B51" s="3">
        <v>113.3452834</v>
      </c>
      <c r="C51" s="3">
        <v>22.923117569999999</v>
      </c>
      <c r="D51" s="3">
        <v>46</v>
      </c>
      <c r="E51" s="13">
        <f t="shared" si="3"/>
        <v>8.0202360452151667E-3</v>
      </c>
      <c r="F51" s="13">
        <f t="shared" si="4"/>
        <v>11.166226290711409</v>
      </c>
      <c r="G51" s="14" t="e">
        <f>F51/$F$124*$D$2</f>
        <v>#DIV/0!</v>
      </c>
      <c r="H51" s="14" t="e">
        <f>F51/$F$124*$E$2</f>
        <v>#DIV/0!</v>
      </c>
      <c r="I51" s="25" t="str">
        <f t="shared" si="2"/>
        <v/>
      </c>
    </row>
    <row r="52" spans="1:9" hidden="1" x14ac:dyDescent="0.25">
      <c r="A52" s="3">
        <v>4227</v>
      </c>
      <c r="B52" s="3">
        <v>113.3463376</v>
      </c>
      <c r="C52" s="3">
        <v>22.922267130000002</v>
      </c>
      <c r="D52" s="3">
        <v>46</v>
      </c>
      <c r="E52" s="13">
        <f t="shared" si="3"/>
        <v>8.7134127206836415E-3</v>
      </c>
      <c r="F52" s="13">
        <f t="shared" si="4"/>
        <v>10.712870555149287</v>
      </c>
      <c r="G52" s="14" t="e">
        <f>F52/$F$124*$D$2</f>
        <v>#DIV/0!</v>
      </c>
      <c r="H52" s="14" t="e">
        <f>F52/$F$124*$E$2</f>
        <v>#DIV/0!</v>
      </c>
      <c r="I52" s="25" t="str">
        <f t="shared" si="2"/>
        <v/>
      </c>
    </row>
    <row r="53" spans="1:9" x14ac:dyDescent="0.25">
      <c r="A53" s="3">
        <v>4249</v>
      </c>
      <c r="B53" s="3">
        <v>113.3468946</v>
      </c>
      <c r="C53" s="3">
        <v>22.92207427</v>
      </c>
      <c r="D53" s="3">
        <v>46</v>
      </c>
      <c r="E53" s="13">
        <f t="shared" si="3"/>
        <v>9.1995756939641238E-3</v>
      </c>
      <c r="F53" s="13">
        <f t="shared" si="4"/>
        <v>10.425961129443133</v>
      </c>
      <c r="G53" s="14">
        <f>F53/$F$61*$D$2</f>
        <v>65.374383673774929</v>
      </c>
      <c r="H53" s="14">
        <f>F53/$F$61*$E$2</f>
        <v>68.042725864541254</v>
      </c>
      <c r="I53" s="25" t="str">
        <f t="shared" si="2"/>
        <v>选中</v>
      </c>
    </row>
    <row r="54" spans="1:9" hidden="1" x14ac:dyDescent="0.25">
      <c r="A54" s="3">
        <v>4233</v>
      </c>
      <c r="B54" s="3">
        <v>113.3481166</v>
      </c>
      <c r="C54" s="3">
        <v>22.92034795</v>
      </c>
      <c r="D54" s="3">
        <v>46</v>
      </c>
      <c r="E54" s="13">
        <f t="shared" si="3"/>
        <v>1.0151751231317393E-2</v>
      </c>
      <c r="F54" s="13">
        <f t="shared" si="4"/>
        <v>9.9249771731472585</v>
      </c>
      <c r="G54" s="14" t="e">
        <f>F54/$F$124*$D$2</f>
        <v>#DIV/0!</v>
      </c>
      <c r="H54" s="14" t="e">
        <f>F54/$F$124*$E$2</f>
        <v>#DIV/0!</v>
      </c>
      <c r="I54" s="25" t="str">
        <f t="shared" si="2"/>
        <v/>
      </c>
    </row>
    <row r="55" spans="1:9" hidden="1" x14ac:dyDescent="0.25">
      <c r="A55" s="3">
        <v>3885</v>
      </c>
      <c r="B55" s="3">
        <v>113.3284551</v>
      </c>
      <c r="C55" s="3">
        <v>22.923986920000001</v>
      </c>
      <c r="D55" s="3">
        <v>46</v>
      </c>
      <c r="E55" s="13">
        <f t="shared" si="3"/>
        <v>1.0402119547108008E-2</v>
      </c>
      <c r="F55" s="13">
        <f t="shared" si="4"/>
        <v>9.8048076851285444</v>
      </c>
      <c r="G55" s="14" t="e">
        <f>F55/$F$124*$D$2</f>
        <v>#DIV/0!</v>
      </c>
      <c r="H55" s="14" t="e">
        <f>F55/$F$124*$E$2</f>
        <v>#DIV/0!</v>
      </c>
      <c r="I55" s="25" t="str">
        <f t="shared" si="2"/>
        <v/>
      </c>
    </row>
    <row r="56" spans="1:9" x14ac:dyDescent="0.25">
      <c r="A56" s="3">
        <v>4178</v>
      </c>
      <c r="B56" s="3">
        <v>113.3281547</v>
      </c>
      <c r="C56" s="3">
        <v>22.92351468</v>
      </c>
      <c r="D56" s="3">
        <v>46</v>
      </c>
      <c r="E56" s="13">
        <f t="shared" si="3"/>
        <v>1.0501877151077619E-2</v>
      </c>
      <c r="F56" s="13">
        <f t="shared" si="4"/>
        <v>9.758128507445635</v>
      </c>
      <c r="G56" s="14">
        <f>F56/$F$61*$D$2</f>
        <v>61.186842063147495</v>
      </c>
      <c r="H56" s="14">
        <f>F56/$F$61*$E$2</f>
        <v>63.68426418817392</v>
      </c>
      <c r="I56" s="25" t="str">
        <f t="shared" si="2"/>
        <v>选中</v>
      </c>
    </row>
    <row r="57" spans="1:9" hidden="1" x14ac:dyDescent="0.25">
      <c r="A57" s="3">
        <v>4180</v>
      </c>
      <c r="B57" s="3">
        <v>113.32577860000001</v>
      </c>
      <c r="C57" s="3">
        <v>22.92239168</v>
      </c>
      <c r="D57" s="3">
        <v>46</v>
      </c>
      <c r="E57" s="13">
        <f t="shared" si="3"/>
        <v>1.2472068936873103E-2</v>
      </c>
      <c r="F57" s="13">
        <f t="shared" si="4"/>
        <v>8.9542816089519501</v>
      </c>
      <c r="G57" s="14" t="e">
        <f>F57/$F$124*$D$2</f>
        <v>#DIV/0!</v>
      </c>
      <c r="H57" s="14" t="e">
        <f>F57/$F$124*$E$2</f>
        <v>#DIV/0!</v>
      </c>
      <c r="I57" s="25" t="str">
        <f t="shared" si="2"/>
        <v/>
      </c>
    </row>
    <row r="58" spans="1:9" hidden="1" x14ac:dyDescent="0.25">
      <c r="A58" s="3">
        <v>4181</v>
      </c>
      <c r="B58" s="3">
        <v>113.3222102</v>
      </c>
      <c r="C58" s="3">
        <v>22.91872704</v>
      </c>
      <c r="D58" s="3">
        <v>46</v>
      </c>
      <c r="E58" s="13">
        <f t="shared" si="3"/>
        <v>1.5805973686977007E-2</v>
      </c>
      <c r="F58" s="13">
        <f t="shared" si="4"/>
        <v>7.9540693408035752</v>
      </c>
      <c r="G58" s="14" t="e">
        <f>F58/$F$124*$D$2</f>
        <v>#DIV/0!</v>
      </c>
      <c r="H58" s="14" t="e">
        <f>F58/$F$124*$E$2</f>
        <v>#DIV/0!</v>
      </c>
      <c r="I58" s="25" t="str">
        <f t="shared" si="2"/>
        <v/>
      </c>
    </row>
    <row r="59" spans="1:9" x14ac:dyDescent="0.25">
      <c r="A59" s="3">
        <v>4179</v>
      </c>
      <c r="B59" s="3">
        <v>113.3223886</v>
      </c>
      <c r="C59" s="3">
        <v>22.922659060000001</v>
      </c>
      <c r="D59" s="3">
        <v>46</v>
      </c>
      <c r="E59" s="13">
        <f t="shared" si="3"/>
        <v>1.5849952256444033E-2</v>
      </c>
      <c r="F59" s="13">
        <f t="shared" si="4"/>
        <v>7.9430266709434516</v>
      </c>
      <c r="G59" s="14">
        <f>F59/$F$61*$D$2</f>
        <v>49.805525521369326</v>
      </c>
      <c r="H59" s="14">
        <f>F59/$F$61*$E$2</f>
        <v>51.83840411407828</v>
      </c>
      <c r="I59" s="25" t="str">
        <f t="shared" si="2"/>
        <v>选中</v>
      </c>
    </row>
    <row r="60" spans="1:9" x14ac:dyDescent="0.25">
      <c r="A60" s="3"/>
      <c r="B60" s="3"/>
      <c r="C60" s="3"/>
      <c r="D60" s="3"/>
      <c r="G60" s="14"/>
      <c r="H60" s="14"/>
    </row>
    <row r="61" spans="1:9" x14ac:dyDescent="0.25">
      <c r="A61" s="3"/>
      <c r="B61" s="3"/>
      <c r="C61" s="3"/>
      <c r="D61" s="3"/>
      <c r="F61" s="13">
        <f>SUBTOTAL(9,F5:F59)</f>
        <v>273.50962765814614</v>
      </c>
      <c r="G61" s="13">
        <f>SUBTOTAL(9,G5:G59)</f>
        <v>1715.0000000000007</v>
      </c>
      <c r="H61" s="13">
        <f>SUBTOTAL(9,H5:H59)</f>
        <v>1785.0000000000009</v>
      </c>
    </row>
    <row r="62" spans="1:9" x14ac:dyDescent="0.25">
      <c r="A62" s="3"/>
      <c r="B62" s="3"/>
      <c r="C62" s="3"/>
      <c r="D62" s="3"/>
      <c r="G62" s="14"/>
      <c r="H62" s="14"/>
    </row>
    <row r="63" spans="1:9" x14ac:dyDescent="0.25">
      <c r="A63" s="3"/>
      <c r="B63" s="3"/>
      <c r="C63" s="3"/>
      <c r="D63" s="3"/>
      <c r="G63" s="14"/>
      <c r="H63" s="14"/>
    </row>
    <row r="64" spans="1:9" x14ac:dyDescent="0.25">
      <c r="A64" s="3"/>
      <c r="B64" s="3"/>
      <c r="C64" s="3"/>
      <c r="D64" s="3"/>
      <c r="G64" s="14"/>
      <c r="H64" s="14"/>
    </row>
    <row r="65" spans="1:8" x14ac:dyDescent="0.25">
      <c r="A65" s="3"/>
      <c r="B65" s="3"/>
      <c r="C65" s="3"/>
      <c r="D65" s="3"/>
      <c r="G65" s="14"/>
      <c r="H65" s="14"/>
    </row>
    <row r="66" spans="1:8" x14ac:dyDescent="0.25">
      <c r="A66" s="3"/>
      <c r="B66" s="3"/>
      <c r="C66" s="3"/>
      <c r="D66" s="3"/>
      <c r="G66" s="14"/>
      <c r="H66" s="14"/>
    </row>
    <row r="67" spans="1:8" x14ac:dyDescent="0.25">
      <c r="A67" s="3"/>
      <c r="B67" s="3"/>
      <c r="C67" s="3"/>
      <c r="D67" s="3"/>
      <c r="G67" s="14"/>
      <c r="H67" s="14"/>
    </row>
    <row r="68" spans="1:8" x14ac:dyDescent="0.25">
      <c r="A68" s="3"/>
      <c r="B68" s="3"/>
      <c r="C68" s="3"/>
      <c r="D68" s="3"/>
      <c r="G68" s="14"/>
      <c r="H68" s="14"/>
    </row>
    <row r="69" spans="1:8" x14ac:dyDescent="0.25">
      <c r="A69" s="3"/>
      <c r="B69" s="3"/>
      <c r="C69" s="3"/>
      <c r="D69" s="3"/>
      <c r="G69" s="14"/>
      <c r="H69" s="14"/>
    </row>
    <row r="70" spans="1:8" x14ac:dyDescent="0.25">
      <c r="A70" s="3"/>
      <c r="B70" s="3"/>
      <c r="C70" s="3"/>
      <c r="D70" s="3"/>
      <c r="G70" s="14"/>
      <c r="H70" s="14"/>
    </row>
    <row r="71" spans="1:8" x14ac:dyDescent="0.25">
      <c r="A71" s="3"/>
      <c r="B71" s="3"/>
      <c r="C71" s="3"/>
      <c r="D71" s="3"/>
      <c r="G71" s="14"/>
      <c r="H71" s="14"/>
    </row>
    <row r="72" spans="1:8" x14ac:dyDescent="0.25">
      <c r="A72" s="3"/>
      <c r="B72" s="3"/>
      <c r="C72" s="3"/>
      <c r="D72" s="3"/>
      <c r="G72" s="14"/>
      <c r="H72" s="14"/>
    </row>
    <row r="73" spans="1:8" x14ac:dyDescent="0.25">
      <c r="A73" s="3"/>
      <c r="B73" s="3"/>
      <c r="C73" s="3"/>
      <c r="D73" s="3"/>
      <c r="G73" s="14"/>
      <c r="H73" s="14"/>
    </row>
    <row r="74" spans="1:8" x14ac:dyDescent="0.25">
      <c r="A74" s="3"/>
      <c r="B74" s="3"/>
      <c r="C74" s="3"/>
      <c r="D74" s="3"/>
      <c r="G74" s="14"/>
      <c r="H74" s="14"/>
    </row>
    <row r="75" spans="1:8" x14ac:dyDescent="0.25">
      <c r="A75" s="3"/>
      <c r="B75" s="3"/>
      <c r="C75" s="3"/>
      <c r="D75" s="3"/>
      <c r="G75" s="14"/>
      <c r="H75" s="14"/>
    </row>
    <row r="76" spans="1:8" x14ac:dyDescent="0.25">
      <c r="A76" s="3"/>
      <c r="B76" s="3"/>
      <c r="C76" s="3"/>
      <c r="D76" s="3"/>
      <c r="G76" s="14"/>
      <c r="H76" s="14"/>
    </row>
    <row r="77" spans="1:8" x14ac:dyDescent="0.25">
      <c r="A77" s="3"/>
      <c r="B77" s="3"/>
      <c r="C77" s="3"/>
      <c r="D77" s="3"/>
      <c r="G77" s="14"/>
      <c r="H77" s="14"/>
    </row>
    <row r="78" spans="1:8" x14ac:dyDescent="0.25">
      <c r="A78" s="3"/>
      <c r="B78" s="3"/>
      <c r="C78" s="3"/>
      <c r="D78" s="3"/>
      <c r="G78" s="14"/>
      <c r="H78" s="14"/>
    </row>
    <row r="79" spans="1:8" x14ac:dyDescent="0.25">
      <c r="A79" s="3"/>
      <c r="B79" s="3"/>
      <c r="C79" s="3"/>
      <c r="D79" s="3"/>
      <c r="G79" s="14"/>
      <c r="H79" s="14"/>
    </row>
    <row r="80" spans="1:8" x14ac:dyDescent="0.25">
      <c r="A80" s="3"/>
      <c r="B80" s="3"/>
      <c r="C80" s="3"/>
      <c r="D80" s="3"/>
      <c r="G80" s="14"/>
      <c r="H80" s="14"/>
    </row>
    <row r="81" spans="1:8" x14ac:dyDescent="0.25">
      <c r="A81" s="3"/>
      <c r="B81" s="3"/>
      <c r="C81" s="3"/>
      <c r="D81" s="3"/>
      <c r="G81" s="14"/>
      <c r="H81" s="14"/>
    </row>
    <row r="82" spans="1:8" x14ac:dyDescent="0.25">
      <c r="A82" s="3"/>
      <c r="B82" s="3"/>
      <c r="C82" s="3"/>
      <c r="D82" s="3"/>
      <c r="G82" s="14"/>
      <c r="H82" s="14"/>
    </row>
    <row r="83" spans="1:8" x14ac:dyDescent="0.25">
      <c r="A83" s="3"/>
      <c r="B83" s="3"/>
      <c r="C83" s="3"/>
      <c r="D83" s="3"/>
      <c r="G83" s="14"/>
      <c r="H83" s="14"/>
    </row>
    <row r="84" spans="1:8" x14ac:dyDescent="0.25">
      <c r="A84" s="3"/>
      <c r="B84" s="3"/>
      <c r="C84" s="3"/>
      <c r="D84" s="3"/>
      <c r="G84" s="14"/>
      <c r="H84" s="14"/>
    </row>
    <row r="85" spans="1:8" x14ac:dyDescent="0.25">
      <c r="A85" s="3"/>
      <c r="B85" s="3"/>
      <c r="C85" s="3"/>
      <c r="D85" s="3"/>
      <c r="G85" s="14"/>
      <c r="H85" s="14"/>
    </row>
    <row r="86" spans="1:8" x14ac:dyDescent="0.25">
      <c r="A86" s="3"/>
      <c r="B86" s="3"/>
      <c r="C86" s="3"/>
      <c r="D86" s="3"/>
      <c r="G86" s="14"/>
      <c r="H86" s="14"/>
    </row>
    <row r="87" spans="1:8" x14ac:dyDescent="0.25">
      <c r="A87" s="3"/>
      <c r="B87" s="3"/>
      <c r="C87" s="3"/>
      <c r="D87" s="3"/>
      <c r="G87" s="14"/>
      <c r="H87" s="14"/>
    </row>
    <row r="88" spans="1:8" x14ac:dyDescent="0.25">
      <c r="A88" s="3"/>
      <c r="B88" s="3"/>
      <c r="C88" s="3"/>
      <c r="D88" s="3"/>
      <c r="G88" s="14"/>
      <c r="H88" s="14"/>
    </row>
    <row r="89" spans="1:8" x14ac:dyDescent="0.25">
      <c r="A89" s="3"/>
      <c r="B89" s="3"/>
      <c r="C89" s="3"/>
      <c r="D89" s="3"/>
      <c r="G89" s="14"/>
      <c r="H89" s="14"/>
    </row>
    <row r="90" spans="1:8" x14ac:dyDescent="0.25">
      <c r="A90" s="3"/>
      <c r="B90" s="3"/>
      <c r="C90" s="3"/>
      <c r="D90" s="3"/>
      <c r="G90" s="14"/>
      <c r="H90" s="14"/>
    </row>
    <row r="91" spans="1:8" x14ac:dyDescent="0.25">
      <c r="A91" s="3"/>
      <c r="B91" s="3"/>
      <c r="C91" s="3"/>
      <c r="D91" s="3"/>
      <c r="G91" s="14"/>
      <c r="H91" s="14"/>
    </row>
    <row r="92" spans="1:8" x14ac:dyDescent="0.25">
      <c r="A92" s="3"/>
      <c r="B92" s="3"/>
      <c r="C92" s="3"/>
      <c r="D92" s="3"/>
      <c r="G92" s="14"/>
      <c r="H92" s="14"/>
    </row>
    <row r="93" spans="1:8" x14ac:dyDescent="0.25">
      <c r="A93" s="3"/>
      <c r="B93" s="3"/>
      <c r="C93" s="3"/>
      <c r="D93" s="3"/>
      <c r="G93" s="14"/>
      <c r="H93" s="14"/>
    </row>
    <row r="94" spans="1:8" x14ac:dyDescent="0.25">
      <c r="A94" s="3"/>
      <c r="B94" s="3"/>
      <c r="C94" s="3"/>
      <c r="D94" s="3"/>
      <c r="G94" s="14"/>
      <c r="H94" s="14"/>
    </row>
    <row r="95" spans="1:8" x14ac:dyDescent="0.25">
      <c r="A95" s="3"/>
      <c r="B95" s="3"/>
      <c r="C95" s="3"/>
      <c r="D95" s="3"/>
      <c r="G95" s="14"/>
      <c r="H95" s="14"/>
    </row>
    <row r="96" spans="1:8" x14ac:dyDescent="0.25">
      <c r="A96" s="3"/>
      <c r="B96" s="3"/>
      <c r="C96" s="3"/>
      <c r="D96" s="3"/>
      <c r="G96" s="14"/>
      <c r="H96" s="14"/>
    </row>
    <row r="97" spans="1:8" x14ac:dyDescent="0.25">
      <c r="A97" s="3"/>
      <c r="B97" s="3"/>
      <c r="C97" s="3"/>
      <c r="D97" s="3"/>
      <c r="G97" s="14"/>
      <c r="H97" s="14"/>
    </row>
    <row r="98" spans="1:8" x14ac:dyDescent="0.25">
      <c r="A98" s="3"/>
      <c r="B98" s="3"/>
      <c r="C98" s="3"/>
      <c r="D98" s="3"/>
      <c r="G98" s="14"/>
      <c r="H98" s="14"/>
    </row>
    <row r="99" spans="1:8" x14ac:dyDescent="0.25">
      <c r="A99" s="3"/>
      <c r="B99" s="3"/>
      <c r="C99" s="3"/>
      <c r="D99" s="3"/>
      <c r="G99" s="14"/>
      <c r="H99" s="14"/>
    </row>
    <row r="100" spans="1:8" x14ac:dyDescent="0.25">
      <c r="A100" s="3"/>
      <c r="B100" s="3"/>
      <c r="C100" s="3"/>
      <c r="D100" s="3"/>
      <c r="G100" s="14"/>
      <c r="H100" s="14"/>
    </row>
    <row r="101" spans="1:8" x14ac:dyDescent="0.25">
      <c r="A101" s="3"/>
      <c r="B101" s="3"/>
      <c r="C101" s="3"/>
      <c r="D101" s="3"/>
      <c r="G101" s="14"/>
      <c r="H101" s="14"/>
    </row>
    <row r="102" spans="1:8" x14ac:dyDescent="0.25">
      <c r="A102" s="3"/>
      <c r="B102" s="3"/>
      <c r="C102" s="3"/>
      <c r="D102" s="3"/>
      <c r="G102" s="14"/>
      <c r="H102" s="14"/>
    </row>
    <row r="103" spans="1:8" x14ac:dyDescent="0.25">
      <c r="A103" s="3"/>
      <c r="B103" s="3"/>
      <c r="C103" s="3"/>
      <c r="D103" s="3"/>
      <c r="G103" s="14"/>
      <c r="H103" s="14"/>
    </row>
    <row r="104" spans="1:8" x14ac:dyDescent="0.25">
      <c r="A104" s="3"/>
      <c r="B104" s="3"/>
      <c r="C104" s="3"/>
      <c r="D104" s="3"/>
      <c r="G104" s="14"/>
      <c r="H104" s="14"/>
    </row>
    <row r="105" spans="1:8" x14ac:dyDescent="0.25">
      <c r="A105" s="3"/>
      <c r="B105" s="3"/>
      <c r="C105" s="3"/>
      <c r="D105" s="3"/>
      <c r="G105" s="14"/>
      <c r="H105" s="14"/>
    </row>
    <row r="106" spans="1:8" x14ac:dyDescent="0.25">
      <c r="A106" s="3"/>
      <c r="B106" s="3"/>
      <c r="C106" s="3"/>
      <c r="D106" s="3"/>
      <c r="G106" s="14"/>
      <c r="H106" s="14"/>
    </row>
    <row r="107" spans="1:8" x14ac:dyDescent="0.25">
      <c r="A107" s="3"/>
      <c r="B107" s="3"/>
      <c r="C107" s="3"/>
      <c r="D107" s="3"/>
      <c r="G107" s="14"/>
      <c r="H107" s="14"/>
    </row>
    <row r="108" spans="1:8" x14ac:dyDescent="0.25">
      <c r="A108" s="3"/>
      <c r="B108" s="3"/>
      <c r="C108" s="3"/>
      <c r="D108" s="3"/>
      <c r="G108" s="14"/>
      <c r="H108" s="14"/>
    </row>
    <row r="109" spans="1:8" x14ac:dyDescent="0.25">
      <c r="A109" s="3"/>
      <c r="B109" s="3"/>
      <c r="C109" s="3"/>
      <c r="D109" s="3"/>
      <c r="G109" s="14"/>
      <c r="H109" s="14"/>
    </row>
    <row r="110" spans="1:8" x14ac:dyDescent="0.25">
      <c r="A110" s="3"/>
      <c r="B110" s="3"/>
      <c r="C110" s="3"/>
      <c r="D110" s="3"/>
      <c r="G110" s="14"/>
      <c r="H110" s="14"/>
    </row>
    <row r="111" spans="1:8" x14ac:dyDescent="0.25">
      <c r="A111" s="3"/>
      <c r="B111" s="3"/>
      <c r="C111" s="3"/>
      <c r="D111" s="3"/>
      <c r="G111" s="14"/>
      <c r="H111" s="14"/>
    </row>
    <row r="112" spans="1:8" x14ac:dyDescent="0.25">
      <c r="A112" s="3"/>
      <c r="B112" s="3"/>
      <c r="C112" s="3"/>
      <c r="D112" s="3"/>
      <c r="G112" s="14"/>
      <c r="H112" s="14"/>
    </row>
    <row r="113" spans="1:8" x14ac:dyDescent="0.25">
      <c r="A113" s="3"/>
      <c r="B113" s="3"/>
      <c r="C113" s="3"/>
      <c r="D113" s="3"/>
      <c r="G113" s="14"/>
      <c r="H113" s="14"/>
    </row>
    <row r="114" spans="1:8" x14ac:dyDescent="0.25">
      <c r="A114" s="3"/>
      <c r="B114" s="3"/>
      <c r="C114" s="3"/>
      <c r="D114" s="3"/>
      <c r="G114" s="14"/>
      <c r="H114" s="14"/>
    </row>
    <row r="115" spans="1:8" x14ac:dyDescent="0.25">
      <c r="A115" s="3"/>
      <c r="B115" s="3"/>
      <c r="C115" s="3"/>
      <c r="D115" s="3"/>
      <c r="G115" s="14"/>
      <c r="H115" s="14"/>
    </row>
    <row r="116" spans="1:8" x14ac:dyDescent="0.25">
      <c r="A116" s="3"/>
      <c r="B116" s="3"/>
      <c r="C116" s="3"/>
      <c r="D116" s="3"/>
      <c r="G116" s="14"/>
      <c r="H116" s="14"/>
    </row>
    <row r="117" spans="1:8" x14ac:dyDescent="0.25">
      <c r="A117" s="3"/>
      <c r="B117" s="3"/>
      <c r="C117" s="3"/>
      <c r="D117" s="3"/>
      <c r="G117" s="14"/>
      <c r="H117" s="14"/>
    </row>
    <row r="118" spans="1:8" x14ac:dyDescent="0.25">
      <c r="A118" s="3"/>
      <c r="B118" s="3"/>
      <c r="C118" s="3"/>
      <c r="D118" s="3"/>
      <c r="G118" s="14"/>
      <c r="H118" s="14"/>
    </row>
    <row r="119" spans="1:8" x14ac:dyDescent="0.25">
      <c r="A119" s="3"/>
      <c r="B119" s="3"/>
      <c r="C119" s="3"/>
      <c r="D119" s="3"/>
      <c r="G119" s="14"/>
      <c r="H119" s="14"/>
    </row>
    <row r="120" spans="1:8" x14ac:dyDescent="0.25">
      <c r="A120" s="3"/>
      <c r="B120" s="3"/>
      <c r="C120" s="3"/>
      <c r="D120" s="3"/>
      <c r="G120" s="14"/>
      <c r="H120" s="14"/>
    </row>
    <row r="121" spans="1:8" x14ac:dyDescent="0.25">
      <c r="A121" s="3"/>
      <c r="B121" s="3"/>
      <c r="C121" s="3"/>
      <c r="D121" s="3"/>
      <c r="G121" s="14"/>
      <c r="H121" s="14"/>
    </row>
    <row r="122" spans="1:8" x14ac:dyDescent="0.25">
      <c r="A122" s="3"/>
      <c r="B122" s="3"/>
      <c r="C122" s="3"/>
      <c r="D122" s="3"/>
      <c r="G122" s="14"/>
      <c r="H122" s="14"/>
    </row>
    <row r="123" spans="1:8" x14ac:dyDescent="0.25">
      <c r="A123" s="3"/>
      <c r="B123" s="3"/>
      <c r="C123" s="3"/>
      <c r="D123" s="3"/>
      <c r="G123" s="14"/>
      <c r="H123" s="14"/>
    </row>
    <row r="124" spans="1:8" x14ac:dyDescent="0.25">
      <c r="A124" s="3"/>
      <c r="B124" s="3"/>
      <c r="C124" s="3"/>
      <c r="D124" s="3"/>
      <c r="G124" s="14"/>
      <c r="H124" s="14"/>
    </row>
    <row r="125" spans="1:8" x14ac:dyDescent="0.25">
      <c r="A125" s="3"/>
      <c r="B125" s="3"/>
      <c r="C125" s="3"/>
      <c r="D125" s="3"/>
      <c r="G125" s="14"/>
      <c r="H125" s="14"/>
    </row>
    <row r="126" spans="1:8" x14ac:dyDescent="0.25">
      <c r="A126" s="18"/>
      <c r="B126" s="3"/>
      <c r="C126" s="3"/>
      <c r="D126" s="3"/>
      <c r="G126" s="14"/>
      <c r="H126" s="14"/>
    </row>
    <row r="127" spans="1:8" x14ac:dyDescent="0.25">
      <c r="A127" s="3"/>
      <c r="B127" s="3"/>
      <c r="C127" s="3"/>
      <c r="D127" s="3"/>
      <c r="G127" s="14"/>
      <c r="H127" s="14"/>
    </row>
    <row r="128" spans="1:8" x14ac:dyDescent="0.25">
      <c r="A128" s="3"/>
      <c r="B128" s="3"/>
      <c r="C128" s="3"/>
      <c r="D128" s="3"/>
      <c r="G128" s="14"/>
      <c r="H128" s="14"/>
    </row>
    <row r="129" spans="1:8" x14ac:dyDescent="0.25">
      <c r="A129" s="3"/>
      <c r="B129" s="3"/>
      <c r="C129" s="3"/>
      <c r="D129" s="3"/>
      <c r="G129" s="14"/>
      <c r="H129" s="14"/>
    </row>
    <row r="130" spans="1:8" x14ac:dyDescent="0.25">
      <c r="A130" s="3"/>
      <c r="B130" s="3"/>
      <c r="C130" s="3"/>
      <c r="D130" s="3"/>
      <c r="G130" s="14"/>
      <c r="H130" s="14"/>
    </row>
    <row r="131" spans="1:8" x14ac:dyDescent="0.25">
      <c r="A131" s="3"/>
      <c r="B131" s="3"/>
      <c r="C131" s="3"/>
      <c r="D131" s="3"/>
      <c r="G131" s="14"/>
      <c r="H131" s="14"/>
    </row>
    <row r="132" spans="1:8" x14ac:dyDescent="0.25">
      <c r="A132" s="3"/>
      <c r="B132" s="3"/>
      <c r="C132" s="3"/>
      <c r="D132" s="3"/>
      <c r="G132" s="14"/>
      <c r="H132" s="14"/>
    </row>
    <row r="133" spans="1:8" x14ac:dyDescent="0.25">
      <c r="A133" s="3"/>
      <c r="B133" s="3"/>
      <c r="C133" s="3"/>
      <c r="D133" s="3"/>
      <c r="G133" s="14"/>
      <c r="H133" s="14"/>
    </row>
    <row r="134" spans="1:8" x14ac:dyDescent="0.25">
      <c r="A134" s="3"/>
      <c r="B134" s="3"/>
      <c r="C134" s="3"/>
      <c r="D134" s="3"/>
      <c r="G134" s="14"/>
      <c r="H134" s="14"/>
    </row>
    <row r="135" spans="1:8" x14ac:dyDescent="0.25">
      <c r="A135" s="3"/>
      <c r="B135" s="3"/>
      <c r="C135" s="3"/>
      <c r="D135" s="3"/>
      <c r="G135" s="14"/>
      <c r="H135" s="14"/>
    </row>
    <row r="136" spans="1:8" x14ac:dyDescent="0.25">
      <c r="A136" s="3"/>
      <c r="B136" s="3"/>
      <c r="C136" s="3"/>
      <c r="D136" s="3"/>
      <c r="G136" s="14"/>
      <c r="H136" s="14"/>
    </row>
    <row r="137" spans="1:8" x14ac:dyDescent="0.25">
      <c r="A137" s="3"/>
      <c r="B137" s="3"/>
      <c r="C137" s="3"/>
      <c r="D137" s="3"/>
      <c r="G137" s="14"/>
      <c r="H137" s="14"/>
    </row>
    <row r="138" spans="1:8" x14ac:dyDescent="0.25">
      <c r="A138" s="3"/>
      <c r="B138" s="3"/>
      <c r="C138" s="3"/>
      <c r="D138" s="3"/>
      <c r="G138" s="14"/>
      <c r="H138" s="14"/>
    </row>
    <row r="139" spans="1:8" x14ac:dyDescent="0.25">
      <c r="A139" s="3"/>
      <c r="B139" s="3"/>
      <c r="C139" s="3"/>
      <c r="D139" s="3"/>
      <c r="G139" s="14"/>
      <c r="H139" s="14"/>
    </row>
    <row r="140" spans="1:8" x14ac:dyDescent="0.25">
      <c r="A140" s="3"/>
      <c r="B140" s="3"/>
      <c r="C140" s="3"/>
      <c r="D140" s="3"/>
      <c r="G140" s="14"/>
      <c r="H140" s="14"/>
    </row>
    <row r="141" spans="1:8" x14ac:dyDescent="0.25">
      <c r="A141" s="3"/>
      <c r="B141" s="3"/>
      <c r="C141" s="3"/>
      <c r="D141" s="3"/>
      <c r="G141" s="14"/>
      <c r="H141" s="14"/>
    </row>
    <row r="142" spans="1:8" x14ac:dyDescent="0.25">
      <c r="A142" s="3"/>
      <c r="B142" s="3"/>
      <c r="C142" s="3"/>
      <c r="D142" s="3"/>
      <c r="G142" s="14"/>
      <c r="H142" s="14"/>
    </row>
    <row r="143" spans="1:8" x14ac:dyDescent="0.25">
      <c r="A143" s="3"/>
      <c r="B143" s="3"/>
      <c r="C143" s="3"/>
      <c r="D143" s="3"/>
      <c r="G143" s="14"/>
      <c r="H143" s="14"/>
    </row>
    <row r="144" spans="1:8" x14ac:dyDescent="0.25">
      <c r="A144" s="3"/>
      <c r="B144" s="3"/>
      <c r="C144" s="3"/>
      <c r="D144" s="3"/>
      <c r="G144" s="14"/>
      <c r="H144" s="14"/>
    </row>
    <row r="145" spans="1:8" x14ac:dyDescent="0.25">
      <c r="A145" s="3"/>
      <c r="B145" s="3"/>
      <c r="C145" s="3"/>
      <c r="D145" s="3"/>
      <c r="G145" s="14"/>
      <c r="H145" s="14"/>
    </row>
    <row r="146" spans="1:8" x14ac:dyDescent="0.25">
      <c r="A146" s="3"/>
      <c r="B146" s="3"/>
      <c r="C146" s="3"/>
      <c r="D146" s="3"/>
      <c r="G146" s="14"/>
      <c r="H146" s="14"/>
    </row>
    <row r="147" spans="1:8" x14ac:dyDescent="0.25">
      <c r="A147" s="3"/>
      <c r="B147" s="3"/>
      <c r="C147" s="3"/>
      <c r="D147" s="3"/>
      <c r="G147" s="14"/>
      <c r="H147" s="14"/>
    </row>
    <row r="148" spans="1:8" x14ac:dyDescent="0.25">
      <c r="A148" s="3"/>
      <c r="B148" s="3"/>
      <c r="C148" s="3"/>
      <c r="D148" s="3"/>
      <c r="G148" s="14"/>
      <c r="H148" s="14"/>
    </row>
    <row r="149" spans="1:8" x14ac:dyDescent="0.25">
      <c r="A149" s="3"/>
      <c r="B149" s="3"/>
      <c r="C149" s="3"/>
      <c r="D149" s="3"/>
      <c r="G149" s="14"/>
      <c r="H149" s="14"/>
    </row>
    <row r="150" spans="1:8" x14ac:dyDescent="0.25">
      <c r="A150" s="3"/>
      <c r="B150" s="3"/>
      <c r="C150" s="3"/>
      <c r="D150" s="3"/>
      <c r="G150" s="14"/>
      <c r="H150" s="14"/>
    </row>
    <row r="151" spans="1:8" x14ac:dyDescent="0.25">
      <c r="A151" s="3"/>
      <c r="B151" s="3"/>
      <c r="C151" s="3"/>
      <c r="D151" s="3"/>
      <c r="G151" s="14"/>
      <c r="H151" s="14"/>
    </row>
    <row r="152" spans="1:8" x14ac:dyDescent="0.25">
      <c r="A152" s="3"/>
      <c r="B152" s="3"/>
      <c r="C152" s="3"/>
      <c r="D152" s="3"/>
      <c r="G152" s="14"/>
      <c r="H152" s="14"/>
    </row>
    <row r="153" spans="1:8" x14ac:dyDescent="0.25">
      <c r="A153" s="3"/>
      <c r="B153" s="3"/>
      <c r="C153" s="3"/>
      <c r="D153" s="3"/>
      <c r="G153" s="14"/>
      <c r="H153" s="14"/>
    </row>
    <row r="154" spans="1:8" x14ac:dyDescent="0.25">
      <c r="A154" s="3"/>
      <c r="B154" s="3"/>
      <c r="C154" s="3"/>
      <c r="D154" s="3"/>
      <c r="G154" s="14"/>
      <c r="H154" s="14"/>
    </row>
    <row r="155" spans="1:8" x14ac:dyDescent="0.25">
      <c r="A155" s="3"/>
      <c r="B155" s="3"/>
      <c r="C155" s="3"/>
      <c r="D155" s="3"/>
      <c r="G155" s="14"/>
      <c r="H155" s="14"/>
    </row>
    <row r="156" spans="1:8" x14ac:dyDescent="0.25">
      <c r="A156" s="3"/>
      <c r="B156" s="3"/>
      <c r="C156" s="3"/>
      <c r="D156" s="3"/>
      <c r="G156" s="14"/>
      <c r="H156" s="14"/>
    </row>
    <row r="157" spans="1:8" x14ac:dyDescent="0.25">
      <c r="A157" s="3"/>
      <c r="B157" s="3"/>
      <c r="C157" s="3"/>
      <c r="D157" s="3"/>
      <c r="G157" s="14"/>
      <c r="H157" s="14"/>
    </row>
    <row r="158" spans="1:8" x14ac:dyDescent="0.25">
      <c r="A158" s="3"/>
      <c r="B158" s="3"/>
      <c r="C158" s="3"/>
      <c r="D158" s="3"/>
      <c r="G158" s="14"/>
      <c r="H158" s="14"/>
    </row>
    <row r="159" spans="1:8" x14ac:dyDescent="0.25">
      <c r="A159" s="3"/>
      <c r="B159" s="3"/>
      <c r="C159" s="3"/>
      <c r="D159" s="3"/>
      <c r="G159" s="14"/>
      <c r="H159" s="14"/>
    </row>
    <row r="160" spans="1:8" x14ac:dyDescent="0.25">
      <c r="A160" s="3"/>
      <c r="B160" s="3"/>
      <c r="C160" s="3"/>
      <c r="D160" s="3"/>
      <c r="G160" s="14"/>
      <c r="H160" s="14"/>
    </row>
    <row r="161" spans="1:8" x14ac:dyDescent="0.25">
      <c r="A161" s="3"/>
      <c r="B161" s="3"/>
      <c r="C161" s="3"/>
      <c r="D161" s="3"/>
      <c r="G161" s="14"/>
      <c r="H161" s="14"/>
    </row>
    <row r="162" spans="1:8" x14ac:dyDescent="0.25">
      <c r="A162" s="3"/>
      <c r="B162" s="3"/>
      <c r="C162" s="3"/>
      <c r="D162" s="3"/>
      <c r="G162" s="14"/>
      <c r="H162" s="14"/>
    </row>
    <row r="163" spans="1:8" x14ac:dyDescent="0.25">
      <c r="A163" s="3"/>
      <c r="B163" s="3"/>
      <c r="C163" s="3"/>
      <c r="D163" s="3"/>
      <c r="G163" s="14"/>
      <c r="H163" s="14"/>
    </row>
    <row r="164" spans="1:8" x14ac:dyDescent="0.25">
      <c r="A164" s="3"/>
      <c r="B164" s="3"/>
      <c r="C164" s="3"/>
      <c r="D164" s="3"/>
      <c r="G164" s="14"/>
      <c r="H164" s="14"/>
    </row>
    <row r="165" spans="1:8" x14ac:dyDescent="0.25">
      <c r="A165" s="3"/>
      <c r="B165" s="3"/>
      <c r="C165" s="3"/>
      <c r="D165" s="3"/>
      <c r="G165" s="14"/>
      <c r="H165" s="14"/>
    </row>
    <row r="166" spans="1:8" x14ac:dyDescent="0.25">
      <c r="A166" s="3"/>
      <c r="B166" s="3"/>
      <c r="C166" s="3"/>
      <c r="D166" s="3"/>
      <c r="G166" s="14"/>
      <c r="H166" s="14"/>
    </row>
    <row r="167" spans="1:8" x14ac:dyDescent="0.25">
      <c r="A167" s="3"/>
      <c r="B167" s="3"/>
      <c r="C167" s="3"/>
      <c r="D167" s="3"/>
      <c r="G167" s="14"/>
      <c r="H167" s="14"/>
    </row>
    <row r="168" spans="1:8" x14ac:dyDescent="0.25">
      <c r="A168" s="3"/>
      <c r="B168" s="3"/>
      <c r="C168" s="3"/>
      <c r="D168" s="3"/>
      <c r="G168" s="14"/>
      <c r="H168" s="14"/>
    </row>
    <row r="169" spans="1:8" x14ac:dyDescent="0.25">
      <c r="A169" s="3"/>
      <c r="B169" s="3"/>
      <c r="C169" s="3"/>
      <c r="D169" s="3"/>
      <c r="G169" s="14"/>
      <c r="H169" s="14"/>
    </row>
    <row r="170" spans="1:8" x14ac:dyDescent="0.25">
      <c r="A170" s="3"/>
      <c r="B170" s="3"/>
      <c r="C170" s="3"/>
      <c r="D170" s="3"/>
      <c r="G170" s="14"/>
      <c r="H170" s="14"/>
    </row>
    <row r="171" spans="1:8" x14ac:dyDescent="0.25">
      <c r="A171" s="3"/>
      <c r="B171" s="3"/>
      <c r="C171" s="3"/>
      <c r="D171" s="3"/>
      <c r="G171" s="14"/>
      <c r="H171" s="14"/>
    </row>
    <row r="172" spans="1:8" x14ac:dyDescent="0.25">
      <c r="A172" s="3"/>
      <c r="B172" s="3"/>
      <c r="C172" s="3"/>
      <c r="D172" s="3"/>
      <c r="G172" s="14"/>
      <c r="H172" s="14"/>
    </row>
    <row r="173" spans="1:8" x14ac:dyDescent="0.25">
      <c r="A173" s="3"/>
      <c r="B173" s="3"/>
      <c r="C173" s="3"/>
      <c r="D173" s="3"/>
      <c r="G173" s="14"/>
      <c r="H173" s="14"/>
    </row>
    <row r="174" spans="1:8" x14ac:dyDescent="0.25">
      <c r="A174" s="3"/>
      <c r="B174" s="3"/>
      <c r="C174" s="3"/>
      <c r="D174" s="3"/>
      <c r="G174" s="14"/>
      <c r="H174" s="14"/>
    </row>
    <row r="175" spans="1:8" x14ac:dyDescent="0.25">
      <c r="A175" s="3"/>
      <c r="B175" s="3"/>
      <c r="C175" s="3"/>
      <c r="D175" s="3"/>
      <c r="G175" s="14"/>
      <c r="H175" s="14"/>
    </row>
    <row r="176" spans="1:8" x14ac:dyDescent="0.25">
      <c r="A176" s="3"/>
      <c r="B176" s="3"/>
      <c r="C176" s="3"/>
      <c r="D176" s="3"/>
      <c r="G176" s="14"/>
      <c r="H176" s="14"/>
    </row>
    <row r="177" spans="1:8" x14ac:dyDescent="0.25">
      <c r="A177" s="3"/>
      <c r="B177" s="3"/>
      <c r="C177" s="3"/>
      <c r="D177" s="3"/>
      <c r="G177" s="14"/>
      <c r="H177" s="14"/>
    </row>
    <row r="178" spans="1:8" x14ac:dyDescent="0.25">
      <c r="A178" s="3"/>
      <c r="B178" s="3"/>
      <c r="C178" s="3"/>
      <c r="D178" s="3"/>
      <c r="G178" s="14"/>
      <c r="H178" s="14"/>
    </row>
    <row r="179" spans="1:8" x14ac:dyDescent="0.25">
      <c r="A179" s="3"/>
      <c r="B179" s="3"/>
      <c r="C179" s="3"/>
      <c r="D179" s="3"/>
      <c r="G179" s="14"/>
      <c r="H179" s="14"/>
    </row>
    <row r="180" spans="1:8" x14ac:dyDescent="0.25">
      <c r="A180" s="3"/>
      <c r="B180" s="3"/>
      <c r="C180" s="3"/>
      <c r="D180" s="3"/>
      <c r="G180" s="14"/>
      <c r="H180" s="14"/>
    </row>
    <row r="181" spans="1:8" x14ac:dyDescent="0.25">
      <c r="A181" s="3"/>
      <c r="B181" s="3"/>
      <c r="C181" s="3"/>
      <c r="D181" s="3"/>
      <c r="G181" s="14"/>
      <c r="H181" s="14"/>
    </row>
    <row r="182" spans="1:8" x14ac:dyDescent="0.25">
      <c r="A182" s="3"/>
      <c r="B182" s="3"/>
      <c r="C182" s="3"/>
      <c r="D182" s="3"/>
      <c r="G182" s="14"/>
      <c r="H182" s="14"/>
    </row>
    <row r="183" spans="1:8" x14ac:dyDescent="0.25">
      <c r="A183" s="3"/>
      <c r="B183" s="3"/>
      <c r="C183" s="3"/>
      <c r="D183" s="3"/>
      <c r="G183" s="14"/>
      <c r="H183" s="14"/>
    </row>
    <row r="184" spans="1:8" x14ac:dyDescent="0.25">
      <c r="A184" s="3"/>
      <c r="B184" s="3"/>
      <c r="C184" s="3"/>
      <c r="D184" s="3"/>
      <c r="G184" s="14"/>
      <c r="H184" s="14"/>
    </row>
    <row r="185" spans="1:8" x14ac:dyDescent="0.25">
      <c r="A185" s="3"/>
      <c r="B185" s="3"/>
      <c r="C185" s="3"/>
      <c r="D185" s="3"/>
      <c r="G185" s="14"/>
      <c r="H185" s="14"/>
    </row>
    <row r="186" spans="1:8" x14ac:dyDescent="0.25">
      <c r="A186" s="3"/>
      <c r="B186" s="3"/>
      <c r="C186" s="3"/>
      <c r="D186" s="3"/>
      <c r="G186" s="14"/>
      <c r="H186" s="14"/>
    </row>
    <row r="187" spans="1:8" x14ac:dyDescent="0.25">
      <c r="A187" s="3"/>
      <c r="B187" s="3"/>
      <c r="C187" s="3"/>
      <c r="D187" s="3"/>
      <c r="G187" s="14"/>
      <c r="H187" s="14"/>
    </row>
    <row r="188" spans="1:8" x14ac:dyDescent="0.25">
      <c r="A188" s="3"/>
      <c r="B188" s="3"/>
      <c r="C188" s="3"/>
      <c r="D188" s="3"/>
      <c r="G188" s="14"/>
      <c r="H188" s="14"/>
    </row>
    <row r="189" spans="1:8" x14ac:dyDescent="0.25">
      <c r="A189" s="3"/>
      <c r="B189" s="3"/>
      <c r="C189" s="3"/>
      <c r="D189" s="3"/>
      <c r="G189" s="14"/>
      <c r="H189" s="14"/>
    </row>
    <row r="190" spans="1:8" x14ac:dyDescent="0.25">
      <c r="A190" s="3"/>
      <c r="B190" s="3"/>
      <c r="C190" s="3"/>
      <c r="D190" s="3"/>
      <c r="G190" s="14"/>
      <c r="H190" s="14"/>
    </row>
    <row r="191" spans="1:8" x14ac:dyDescent="0.25">
      <c r="A191" s="3"/>
      <c r="B191" s="3"/>
      <c r="C191" s="3"/>
      <c r="D191" s="3"/>
      <c r="G191" s="14"/>
      <c r="H191" s="14"/>
    </row>
    <row r="192" spans="1:8" x14ac:dyDescent="0.25">
      <c r="A192" s="3"/>
      <c r="B192" s="3"/>
      <c r="C192" s="3"/>
      <c r="D192" s="3"/>
      <c r="G192" s="14"/>
      <c r="H192" s="14"/>
    </row>
    <row r="193" spans="1:8" x14ac:dyDescent="0.25">
      <c r="A193" s="3"/>
      <c r="B193" s="3"/>
      <c r="C193" s="3"/>
      <c r="D193" s="3"/>
      <c r="G193" s="14"/>
      <c r="H193" s="14"/>
    </row>
    <row r="194" spans="1:8" x14ac:dyDescent="0.25">
      <c r="A194" s="3"/>
      <c r="B194" s="3"/>
      <c r="C194" s="3"/>
      <c r="D194" s="3"/>
      <c r="G194" s="14"/>
      <c r="H194" s="14"/>
    </row>
    <row r="195" spans="1:8" x14ac:dyDescent="0.25">
      <c r="A195" s="3"/>
      <c r="B195" s="3"/>
      <c r="C195" s="3"/>
      <c r="D195" s="3"/>
      <c r="G195" s="14"/>
      <c r="H195" s="14"/>
    </row>
    <row r="196" spans="1:8" x14ac:dyDescent="0.25">
      <c r="A196" s="3"/>
      <c r="B196" s="3"/>
      <c r="C196" s="3"/>
      <c r="D196" s="3"/>
      <c r="G196" s="14"/>
      <c r="H196" s="14"/>
    </row>
    <row r="197" spans="1:8" x14ac:dyDescent="0.25">
      <c r="A197" s="3"/>
      <c r="B197" s="3"/>
      <c r="C197" s="3"/>
      <c r="D197" s="3"/>
      <c r="G197" s="14"/>
      <c r="H197" s="14"/>
    </row>
    <row r="198" spans="1:8" x14ac:dyDescent="0.25">
      <c r="A198" s="3"/>
      <c r="B198" s="3"/>
      <c r="C198" s="3"/>
      <c r="D198" s="3"/>
      <c r="G198" s="14"/>
      <c r="H198" s="14"/>
    </row>
    <row r="199" spans="1:8" x14ac:dyDescent="0.25">
      <c r="A199" s="3"/>
      <c r="B199" s="3"/>
      <c r="C199" s="3"/>
      <c r="D199" s="3"/>
      <c r="G199" s="14"/>
      <c r="H199" s="14"/>
    </row>
    <row r="200" spans="1:8" x14ac:dyDescent="0.25">
      <c r="A200" s="3"/>
      <c r="B200" s="3"/>
      <c r="C200" s="3"/>
      <c r="D200" s="3"/>
      <c r="G200" s="14"/>
      <c r="H200" s="14"/>
    </row>
    <row r="201" spans="1:8" x14ac:dyDescent="0.25">
      <c r="A201" s="3"/>
      <c r="B201" s="3"/>
      <c r="C201" s="3"/>
      <c r="D201" s="3"/>
      <c r="G201" s="14"/>
      <c r="H201" s="14"/>
    </row>
    <row r="202" spans="1:8" x14ac:dyDescent="0.25">
      <c r="A202" s="3"/>
      <c r="B202" s="3"/>
      <c r="C202" s="3"/>
      <c r="D202" s="3"/>
      <c r="G202" s="14"/>
      <c r="H202" s="14"/>
    </row>
    <row r="203" spans="1:8" x14ac:dyDescent="0.25">
      <c r="A203" s="3"/>
      <c r="B203" s="3"/>
      <c r="C203" s="3"/>
      <c r="D203" s="3"/>
      <c r="G203" s="14"/>
      <c r="H203" s="14"/>
    </row>
    <row r="204" spans="1:8" x14ac:dyDescent="0.25">
      <c r="A204" s="3"/>
      <c r="B204" s="3"/>
      <c r="C204" s="3"/>
      <c r="D204" s="3"/>
      <c r="G204" s="14"/>
      <c r="H204" s="14"/>
    </row>
    <row r="205" spans="1:8" x14ac:dyDescent="0.25">
      <c r="A205" s="3"/>
      <c r="B205" s="3"/>
      <c r="C205" s="3"/>
      <c r="D205" s="3"/>
      <c r="G205" s="14"/>
      <c r="H205" s="14"/>
    </row>
    <row r="206" spans="1:8" x14ac:dyDescent="0.25">
      <c r="A206" s="3"/>
      <c r="B206" s="3"/>
      <c r="C206" s="3"/>
      <c r="D206" s="3"/>
      <c r="G206" s="14"/>
      <c r="H206" s="14"/>
    </row>
    <row r="207" spans="1:8" x14ac:dyDescent="0.25">
      <c r="A207" s="3"/>
      <c r="B207" s="3"/>
      <c r="C207" s="3"/>
      <c r="D207" s="3"/>
      <c r="G207" s="14"/>
      <c r="H207" s="14"/>
    </row>
    <row r="208" spans="1:8" x14ac:dyDescent="0.25">
      <c r="A208" s="3"/>
      <c r="B208" s="3"/>
      <c r="C208" s="3"/>
      <c r="D208" s="3"/>
      <c r="G208" s="14"/>
      <c r="H208" s="14"/>
    </row>
    <row r="209" spans="1:8" x14ac:dyDescent="0.25">
      <c r="A209" s="3"/>
      <c r="B209" s="3"/>
      <c r="C209" s="3"/>
      <c r="D209" s="3"/>
      <c r="G209" s="14"/>
      <c r="H209" s="14"/>
    </row>
    <row r="210" spans="1:8" x14ac:dyDescent="0.25">
      <c r="A210" s="3"/>
      <c r="B210" s="3"/>
      <c r="C210" s="3"/>
      <c r="D210" s="3"/>
      <c r="G210" s="14"/>
      <c r="H210" s="14"/>
    </row>
    <row r="211" spans="1:8" x14ac:dyDescent="0.25">
      <c r="A211" s="3"/>
      <c r="B211" s="3"/>
      <c r="C211" s="3"/>
      <c r="D211" s="3"/>
      <c r="G211" s="14"/>
      <c r="H211" s="14"/>
    </row>
    <row r="212" spans="1:8" x14ac:dyDescent="0.25">
      <c r="A212" s="3"/>
      <c r="B212" s="3"/>
      <c r="C212" s="3"/>
      <c r="D212" s="3"/>
      <c r="G212" s="14"/>
      <c r="H212" s="14"/>
    </row>
    <row r="213" spans="1:8" x14ac:dyDescent="0.25">
      <c r="A213" s="3"/>
      <c r="B213" s="3"/>
      <c r="C213" s="3"/>
      <c r="D213" s="3"/>
      <c r="G213" s="14"/>
      <c r="H213" s="14"/>
    </row>
    <row r="214" spans="1:8" x14ac:dyDescent="0.25">
      <c r="A214" s="3"/>
      <c r="B214" s="3"/>
      <c r="C214" s="3"/>
      <c r="D214" s="3"/>
      <c r="G214" s="14"/>
      <c r="H214" s="14"/>
    </row>
    <row r="215" spans="1:8" x14ac:dyDescent="0.25">
      <c r="A215" s="3"/>
      <c r="B215" s="3"/>
      <c r="C215" s="3"/>
      <c r="D215" s="3"/>
      <c r="G215" s="14"/>
      <c r="H215" s="14"/>
    </row>
    <row r="216" spans="1:8" x14ac:dyDescent="0.25">
      <c r="A216" s="3"/>
      <c r="B216" s="3"/>
      <c r="C216" s="3"/>
      <c r="D216" s="3"/>
      <c r="G216" s="14"/>
      <c r="H216" s="14"/>
    </row>
    <row r="217" spans="1:8" x14ac:dyDescent="0.25">
      <c r="A217" s="3"/>
      <c r="B217" s="3"/>
      <c r="C217" s="3"/>
      <c r="D217" s="3"/>
      <c r="G217" s="14"/>
      <c r="H217" s="14"/>
    </row>
    <row r="218" spans="1:8" x14ac:dyDescent="0.25">
      <c r="A218" s="3"/>
      <c r="B218" s="3"/>
      <c r="C218" s="3"/>
      <c r="D218" s="3"/>
      <c r="G218" s="14"/>
      <c r="H218" s="14"/>
    </row>
    <row r="219" spans="1:8" x14ac:dyDescent="0.25">
      <c r="A219" s="3"/>
      <c r="B219" s="3"/>
      <c r="C219" s="3"/>
      <c r="D219" s="3"/>
      <c r="G219" s="14"/>
      <c r="H219" s="14"/>
    </row>
    <row r="220" spans="1:8" x14ac:dyDescent="0.25">
      <c r="A220" s="3"/>
      <c r="B220" s="3"/>
      <c r="C220" s="3"/>
      <c r="D220" s="3"/>
      <c r="G220" s="14"/>
      <c r="H220" s="14"/>
    </row>
    <row r="221" spans="1:8" x14ac:dyDescent="0.25">
      <c r="A221" s="3"/>
      <c r="B221" s="3"/>
      <c r="C221" s="3"/>
      <c r="D221" s="3"/>
      <c r="G221" s="14"/>
      <c r="H221" s="14"/>
    </row>
    <row r="222" spans="1:8" x14ac:dyDescent="0.25">
      <c r="A222" s="3"/>
      <c r="B222" s="3"/>
      <c r="C222" s="3"/>
      <c r="D222" s="3"/>
      <c r="G222" s="14"/>
      <c r="H222" s="14"/>
    </row>
    <row r="223" spans="1:8" x14ac:dyDescent="0.25">
      <c r="A223" s="3"/>
      <c r="B223" s="3"/>
      <c r="C223" s="3"/>
      <c r="D223" s="3"/>
      <c r="G223" s="14"/>
      <c r="H223" s="14"/>
    </row>
    <row r="224" spans="1:8" x14ac:dyDescent="0.25">
      <c r="A224" s="3"/>
      <c r="B224" s="3"/>
      <c r="C224" s="3"/>
      <c r="D224" s="3"/>
      <c r="G224" s="14"/>
      <c r="H224" s="14"/>
    </row>
    <row r="225" spans="1:8" x14ac:dyDescent="0.25">
      <c r="A225" s="3"/>
      <c r="B225" s="3"/>
      <c r="C225" s="3"/>
      <c r="D225" s="3"/>
      <c r="G225" s="14"/>
      <c r="H225" s="14"/>
    </row>
    <row r="226" spans="1:8" x14ac:dyDescent="0.25">
      <c r="A226" s="3"/>
      <c r="B226" s="3"/>
      <c r="C226" s="3"/>
      <c r="D226" s="3"/>
      <c r="G226" s="14"/>
      <c r="H226" s="14"/>
    </row>
    <row r="227" spans="1:8" x14ac:dyDescent="0.25">
      <c r="A227" s="3"/>
      <c r="B227" s="3"/>
      <c r="C227" s="3"/>
      <c r="D227" s="3"/>
      <c r="G227" s="14"/>
      <c r="H227" s="14"/>
    </row>
    <row r="228" spans="1:8" x14ac:dyDescent="0.25">
      <c r="A228" s="3"/>
      <c r="B228" s="3"/>
      <c r="C228" s="3"/>
      <c r="D228" s="3"/>
      <c r="G228" s="14"/>
      <c r="H228" s="14"/>
    </row>
    <row r="229" spans="1:8" x14ac:dyDescent="0.25">
      <c r="A229" s="3"/>
      <c r="B229" s="3"/>
      <c r="C229" s="3"/>
      <c r="D229" s="3"/>
      <c r="G229" s="14"/>
      <c r="H229" s="14"/>
    </row>
    <row r="230" spans="1:8" x14ac:dyDescent="0.25">
      <c r="A230" s="3"/>
      <c r="B230" s="3"/>
      <c r="C230" s="3"/>
      <c r="D230" s="3"/>
      <c r="G230" s="14"/>
      <c r="H230" s="14"/>
    </row>
    <row r="231" spans="1:8" x14ac:dyDescent="0.25">
      <c r="A231" s="3"/>
      <c r="B231" s="3"/>
      <c r="C231" s="3"/>
      <c r="D231" s="3"/>
      <c r="G231" s="14"/>
      <c r="H231" s="14"/>
    </row>
    <row r="232" spans="1:8" x14ac:dyDescent="0.25">
      <c r="A232" s="3"/>
      <c r="B232" s="3"/>
      <c r="C232" s="3"/>
      <c r="D232" s="3"/>
      <c r="G232" s="14"/>
      <c r="H232" s="14"/>
    </row>
    <row r="233" spans="1:8" x14ac:dyDescent="0.25">
      <c r="A233" s="3"/>
      <c r="B233" s="3"/>
      <c r="C233" s="3"/>
      <c r="D233" s="3"/>
      <c r="G233" s="14"/>
      <c r="H233" s="14"/>
    </row>
    <row r="234" spans="1:8" x14ac:dyDescent="0.25">
      <c r="A234" s="3"/>
      <c r="B234" s="3"/>
      <c r="C234" s="3"/>
      <c r="D234" s="3"/>
      <c r="G234" s="14"/>
      <c r="H234" s="14"/>
    </row>
    <row r="235" spans="1:8" x14ac:dyDescent="0.25">
      <c r="A235" s="3"/>
      <c r="B235" s="3"/>
      <c r="C235" s="3"/>
      <c r="D235" s="3"/>
      <c r="G235" s="14"/>
      <c r="H235" s="14"/>
    </row>
    <row r="236" spans="1:8" x14ac:dyDescent="0.25">
      <c r="A236" s="3"/>
      <c r="B236" s="3"/>
      <c r="C236" s="3"/>
      <c r="D236" s="3"/>
      <c r="G236" s="14"/>
      <c r="H236" s="14"/>
    </row>
    <row r="237" spans="1:8" x14ac:dyDescent="0.25">
      <c r="A237" s="3"/>
      <c r="B237" s="3"/>
      <c r="C237" s="3"/>
      <c r="D237" s="3"/>
      <c r="G237" s="14"/>
      <c r="H237" s="14"/>
    </row>
    <row r="238" spans="1:8" x14ac:dyDescent="0.25">
      <c r="A238" s="3"/>
      <c r="B238" s="3"/>
      <c r="C238" s="3"/>
      <c r="D238" s="3"/>
      <c r="G238" s="14"/>
      <c r="H238" s="14"/>
    </row>
    <row r="239" spans="1:8" x14ac:dyDescent="0.25">
      <c r="A239" s="3"/>
      <c r="B239" s="3"/>
      <c r="C239" s="3"/>
      <c r="D239" s="3"/>
      <c r="G239" s="14"/>
      <c r="H239" s="14"/>
    </row>
    <row r="240" spans="1:8" x14ac:dyDescent="0.25">
      <c r="A240" s="3"/>
      <c r="B240" s="3"/>
      <c r="C240" s="3"/>
      <c r="D240" s="3"/>
      <c r="G240" s="14"/>
      <c r="H240" s="14"/>
    </row>
    <row r="241" spans="1:8" x14ac:dyDescent="0.25">
      <c r="A241" s="3"/>
      <c r="B241" s="3"/>
      <c r="C241" s="3"/>
      <c r="D241" s="3"/>
      <c r="G241" s="14"/>
      <c r="H241" s="14"/>
    </row>
    <row r="242" spans="1:8" x14ac:dyDescent="0.25">
      <c r="A242" s="3"/>
      <c r="B242" s="3"/>
      <c r="C242" s="3"/>
      <c r="D242" s="3"/>
      <c r="G242" s="14"/>
      <c r="H242" s="14"/>
    </row>
    <row r="243" spans="1:8" x14ac:dyDescent="0.25">
      <c r="A243" s="3"/>
      <c r="B243" s="3"/>
      <c r="C243" s="3"/>
      <c r="D243" s="3"/>
      <c r="G243" s="14"/>
      <c r="H243" s="14"/>
    </row>
    <row r="244" spans="1:8" x14ac:dyDescent="0.25">
      <c r="A244" s="3"/>
      <c r="B244" s="3"/>
      <c r="C244" s="3"/>
      <c r="D244" s="3"/>
      <c r="G244" s="14"/>
      <c r="H244" s="14"/>
    </row>
    <row r="245" spans="1:8" x14ac:dyDescent="0.25">
      <c r="A245" s="3"/>
      <c r="B245" s="3"/>
      <c r="C245" s="3"/>
      <c r="D245" s="3"/>
      <c r="G245" s="14"/>
      <c r="H245" s="14"/>
    </row>
    <row r="247" spans="1:8" x14ac:dyDescent="0.25">
      <c r="A247" s="3"/>
      <c r="G247" s="14"/>
      <c r="H247" s="14"/>
    </row>
  </sheetData>
  <phoneticPr fontId="1" type="noConversion"/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EB9144-7152-4D7E-BB6D-81BC5AB45448}">
  <sheetPr/>
  <dimension ref="A1:I247"/>
  <sheetViews>
    <sheetView topLeftCell="A4" zoomScale="115" zoomScaleNormal="115" workbookViewId="0">
      <selection activeCell="A5" sqref="A5:H83"/>
    </sheetView>
  </sheetViews>
  <sheetFormatPr defaultRowHeight="15" x14ac:dyDescent="0.25"/>
  <cols>
    <col min="1" max="1" width="8.875" style="4" customWidth="1"/>
    <col min="2" max="3" width="15.125" style="4" customWidth="1"/>
    <col min="4" max="4" width="10.25" style="4" customWidth="1"/>
    <col min="5" max="5" width="12" style="13" customWidth="1"/>
    <col min="6" max="6" width="15" style="13" customWidth="1"/>
    <col min="7" max="7" width="13.875" customWidth="1"/>
    <col min="8" max="8" width="11.125" customWidth="1"/>
    <col min="11" max="12" width="15.125" customWidth="1"/>
    <col min="13" max="13" width="11.125" customWidth="1"/>
  </cols>
  <sheetData>
    <row r="1" spans="1:9" ht="14.25" x14ac:dyDescent="0.2">
      <c r="A1" s="2" t="s">
        <v>12</v>
      </c>
      <c r="B1" s="2" t="s">
        <v>4</v>
      </c>
      <c r="C1" s="2" t="s">
        <v>5</v>
      </c>
      <c r="D1" s="2" t="s">
        <v>13</v>
      </c>
      <c r="E1" s="2" t="s">
        <v>14</v>
      </c>
      <c r="F1" s="2" t="s">
        <v>15</v>
      </c>
      <c r="G1" s="2" t="s">
        <v>16</v>
      </c>
    </row>
    <row r="2" spans="1:9" x14ac:dyDescent="0.25">
      <c r="A2" s="11">
        <v>47</v>
      </c>
      <c r="B2" s="3">
        <v>113.3891934</v>
      </c>
      <c r="C2" s="8">
        <v>23.062467120000001</v>
      </c>
      <c r="D2" s="3">
        <v>0</v>
      </c>
      <c r="E2" s="13">
        <v>1540</v>
      </c>
      <c r="F2" s="13">
        <v>29</v>
      </c>
      <c r="G2" s="19">
        <f>SUBTOTAL(2,A5:A250)</f>
        <v>27</v>
      </c>
    </row>
    <row r="3" spans="1:9" x14ac:dyDescent="0.25">
      <c r="A3" s="3"/>
      <c r="B3" s="3"/>
      <c r="C3" s="3"/>
      <c r="D3" s="3"/>
    </row>
    <row r="4" spans="1:9" ht="14.25" x14ac:dyDescent="0.2">
      <c r="A4" s="2" t="s">
        <v>0</v>
      </c>
      <c r="B4" s="2" t="s">
        <v>1</v>
      </c>
      <c r="C4" s="2" t="s">
        <v>2</v>
      </c>
      <c r="D4" s="2" t="s">
        <v>3</v>
      </c>
      <c r="E4" s="2" t="s">
        <v>7</v>
      </c>
      <c r="F4" s="2" t="s">
        <v>8</v>
      </c>
      <c r="G4" s="2" t="s">
        <v>13</v>
      </c>
      <c r="H4" s="2" t="s">
        <v>14</v>
      </c>
      <c r="I4" s="24" t="s">
        <v>20</v>
      </c>
    </row>
    <row r="5" spans="1:9" x14ac:dyDescent="0.25">
      <c r="A5" s="3">
        <v>102</v>
      </c>
      <c r="B5" s="3">
        <v>113.3897533</v>
      </c>
      <c r="C5" s="3">
        <v>23.06219609</v>
      </c>
      <c r="D5" s="3">
        <v>47</v>
      </c>
      <c r="E5" s="13">
        <f t="shared" ref="E5:E36" si="0">SQRT((B5-$B$2)^2+(C5-$C$2)^2)</f>
        <v>6.2204925118436948E-4</v>
      </c>
      <c r="F5" s="13">
        <f t="shared" ref="F5:F36" si="1">SQRT(1/E5)</f>
        <v>40.094759628657457</v>
      </c>
      <c r="G5" s="14">
        <f>F5/$F$85*$D$2</f>
        <v>0</v>
      </c>
      <c r="H5" s="14">
        <f>F5/$F$85*$E$2</f>
        <v>168.4971564855926</v>
      </c>
      <c r="I5" s="25" t="str">
        <f>IF(MOD(ROW()-1,3)=1,"选中","")</f>
        <v>选中</v>
      </c>
    </row>
    <row r="6" spans="1:9" hidden="1" x14ac:dyDescent="0.25">
      <c r="A6" s="3">
        <v>103</v>
      </c>
      <c r="B6" s="3">
        <v>113.38873239999999</v>
      </c>
      <c r="C6" s="3">
        <v>23.06317001</v>
      </c>
      <c r="D6" s="3">
        <v>47</v>
      </c>
      <c r="E6" s="13">
        <f t="shared" si="0"/>
        <v>8.4058036623543939E-4</v>
      </c>
      <c r="F6" s="13">
        <f t="shared" si="1"/>
        <v>34.491364772405177</v>
      </c>
      <c r="G6" s="14" t="e">
        <f>F6/$F$124*$D$2</f>
        <v>#DIV/0!</v>
      </c>
      <c r="H6" s="14" t="e">
        <f>F6/$F$124*$E$2</f>
        <v>#DIV/0!</v>
      </c>
      <c r="I6" s="25" t="str">
        <f t="shared" ref="I6:I69" si="2">IF(MOD(ROW()-1,3)=1,"选中","")</f>
        <v/>
      </c>
    </row>
    <row r="7" spans="1:9" hidden="1" x14ac:dyDescent="0.25">
      <c r="A7" s="3">
        <v>97</v>
      </c>
      <c r="B7" s="3">
        <v>113.38840449999999</v>
      </c>
      <c r="C7" s="3">
        <v>23.062931219999999</v>
      </c>
      <c r="D7" s="3">
        <v>47</v>
      </c>
      <c r="E7" s="13">
        <f t="shared" si="0"/>
        <v>9.152879437663488E-4</v>
      </c>
      <c r="F7" s="13">
        <f t="shared" si="1"/>
        <v>33.053779763848993</v>
      </c>
      <c r="G7" s="14" t="e">
        <f>F7/$F$124*$D$2</f>
        <v>#DIV/0!</v>
      </c>
      <c r="H7" s="14" t="e">
        <f>F7/$F$124*$E$2</f>
        <v>#DIV/0!</v>
      </c>
      <c r="I7" s="25" t="str">
        <f t="shared" si="2"/>
        <v/>
      </c>
    </row>
    <row r="8" spans="1:9" x14ac:dyDescent="0.25">
      <c r="A8" s="3">
        <v>104</v>
      </c>
      <c r="B8" s="3">
        <v>113.3903251</v>
      </c>
      <c r="C8" s="3">
        <v>23.063101540000002</v>
      </c>
      <c r="D8" s="3">
        <v>47</v>
      </c>
      <c r="E8" s="13">
        <f t="shared" si="0"/>
        <v>1.2973949384845944E-3</v>
      </c>
      <c r="F8" s="13">
        <f t="shared" si="1"/>
        <v>27.762840648350473</v>
      </c>
      <c r="G8" s="14">
        <f>F8/$F$85*$D$2</f>
        <v>0</v>
      </c>
      <c r="H8" s="14">
        <f>F8/$F$85*$E$2</f>
        <v>116.6725963326674</v>
      </c>
      <c r="I8" s="25" t="str">
        <f t="shared" si="2"/>
        <v>选中</v>
      </c>
    </row>
    <row r="9" spans="1:9" hidden="1" x14ac:dyDescent="0.25">
      <c r="A9" s="3">
        <v>109</v>
      </c>
      <c r="B9" s="3">
        <v>113.39058319999999</v>
      </c>
      <c r="C9" s="3">
        <v>23.061028360000002</v>
      </c>
      <c r="D9" s="3">
        <v>47</v>
      </c>
      <c r="E9" s="13">
        <f t="shared" si="0"/>
        <v>2.0003935556767516E-3</v>
      </c>
      <c r="F9" s="13">
        <f t="shared" si="1"/>
        <v>22.358480056519092</v>
      </c>
      <c r="G9" s="14" t="e">
        <f>F9/$F$124*$D$2</f>
        <v>#DIV/0!</v>
      </c>
      <c r="H9" s="14" t="e">
        <f>F9/$F$124*$E$2</f>
        <v>#DIV/0!</v>
      </c>
      <c r="I9" s="25" t="str">
        <f t="shared" si="2"/>
        <v/>
      </c>
    </row>
    <row r="10" spans="1:9" hidden="1" x14ac:dyDescent="0.25">
      <c r="A10" s="3">
        <v>107</v>
      </c>
      <c r="B10" s="3">
        <v>113.39134989999999</v>
      </c>
      <c r="C10" s="3">
        <v>23.062410580000002</v>
      </c>
      <c r="D10" s="3">
        <v>47</v>
      </c>
      <c r="E10" s="13">
        <f t="shared" si="0"/>
        <v>2.1572410671020972E-3</v>
      </c>
      <c r="F10" s="13">
        <f t="shared" si="1"/>
        <v>21.530328708605481</v>
      </c>
      <c r="G10" s="14" t="e">
        <f>F10/$F$124*$D$2</f>
        <v>#DIV/0!</v>
      </c>
      <c r="H10" s="14" t="e">
        <f>F10/$F$124*$E$2</f>
        <v>#DIV/0!</v>
      </c>
      <c r="I10" s="25" t="str">
        <f t="shared" si="2"/>
        <v/>
      </c>
    </row>
    <row r="11" spans="1:9" x14ac:dyDescent="0.25">
      <c r="A11" s="3">
        <v>40</v>
      </c>
      <c r="B11" s="3">
        <v>113.38966809999999</v>
      </c>
      <c r="C11" s="3">
        <v>23.064648070000001</v>
      </c>
      <c r="D11" s="3">
        <v>47</v>
      </c>
      <c r="E11" s="13">
        <f t="shared" si="0"/>
        <v>2.2320132151258695E-3</v>
      </c>
      <c r="F11" s="13">
        <f t="shared" si="1"/>
        <v>21.166625172253557</v>
      </c>
      <c r="G11" s="14">
        <f>F11/$F$85*$D$2</f>
        <v>0</v>
      </c>
      <c r="H11" s="14">
        <f>F11/$F$85*$E$2</f>
        <v>88.95217696658662</v>
      </c>
      <c r="I11" s="25" t="str">
        <f t="shared" si="2"/>
        <v>选中</v>
      </c>
    </row>
    <row r="12" spans="1:9" hidden="1" x14ac:dyDescent="0.25">
      <c r="A12" s="3">
        <v>123</v>
      </c>
      <c r="B12" s="3">
        <v>113.3917849</v>
      </c>
      <c r="C12" s="3">
        <v>23.061978669999998</v>
      </c>
      <c r="D12" s="3">
        <v>47</v>
      </c>
      <c r="E12" s="13">
        <f t="shared" si="0"/>
        <v>2.6371301925664109E-3</v>
      </c>
      <c r="F12" s="13">
        <f t="shared" si="1"/>
        <v>19.473060560353311</v>
      </c>
      <c r="G12" s="14" t="e">
        <f>F12/$F$124*$D$2</f>
        <v>#DIV/0!</v>
      </c>
      <c r="H12" s="14" t="e">
        <f>F12/$F$124*$E$2</f>
        <v>#DIV/0!</v>
      </c>
      <c r="I12" s="25" t="str">
        <f t="shared" si="2"/>
        <v/>
      </c>
    </row>
    <row r="13" spans="1:9" hidden="1" x14ac:dyDescent="0.25">
      <c r="A13" s="3">
        <v>128</v>
      </c>
      <c r="B13" s="3">
        <v>113.3917738</v>
      </c>
      <c r="C13" s="3">
        <v>23.063102189999999</v>
      </c>
      <c r="D13" s="3">
        <v>47</v>
      </c>
      <c r="E13" s="13">
        <f t="shared" si="0"/>
        <v>2.6574006218283851E-3</v>
      </c>
      <c r="F13" s="13">
        <f t="shared" si="1"/>
        <v>19.398648950243381</v>
      </c>
      <c r="G13" s="14" t="e">
        <f>F13/$F$124*$D$2</f>
        <v>#DIV/0!</v>
      </c>
      <c r="H13" s="14" t="e">
        <f>F13/$F$124*$E$2</f>
        <v>#DIV/0!</v>
      </c>
      <c r="I13" s="25" t="str">
        <f t="shared" si="2"/>
        <v/>
      </c>
    </row>
    <row r="14" spans="1:9" x14ac:dyDescent="0.25">
      <c r="A14" s="3">
        <v>46</v>
      </c>
      <c r="B14" s="3">
        <v>113.38993000000001</v>
      </c>
      <c r="C14" s="3">
        <v>23.065152779999998</v>
      </c>
      <c r="D14" s="3">
        <v>47</v>
      </c>
      <c r="E14" s="13">
        <f t="shared" si="0"/>
        <v>2.7848427595828836E-3</v>
      </c>
      <c r="F14" s="13">
        <f t="shared" si="1"/>
        <v>18.949583141487626</v>
      </c>
      <c r="G14" s="14">
        <f>F14/$F$85*$D$2</f>
        <v>0</v>
      </c>
      <c r="H14" s="14">
        <f>F14/$F$85*$E$2</f>
        <v>79.635117045217243</v>
      </c>
      <c r="I14" s="25" t="str">
        <f t="shared" si="2"/>
        <v>选中</v>
      </c>
    </row>
    <row r="15" spans="1:9" hidden="1" x14ac:dyDescent="0.25">
      <c r="A15" s="3">
        <v>101</v>
      </c>
      <c r="B15" s="3">
        <v>113.3864732</v>
      </c>
      <c r="C15" s="3">
        <v>23.063188879999998</v>
      </c>
      <c r="D15" s="3">
        <v>47</v>
      </c>
      <c r="E15" s="13">
        <f t="shared" si="0"/>
        <v>2.8143250589777627E-3</v>
      </c>
      <c r="F15" s="13">
        <f t="shared" si="1"/>
        <v>18.850065826725512</v>
      </c>
      <c r="G15" s="14" t="e">
        <f>F15/$F$124*$D$2</f>
        <v>#DIV/0!</v>
      </c>
      <c r="H15" s="14" t="e">
        <f>F15/$F$124*$E$2</f>
        <v>#DIV/0!</v>
      </c>
      <c r="I15" s="25" t="str">
        <f t="shared" si="2"/>
        <v/>
      </c>
    </row>
    <row r="16" spans="1:9" hidden="1" x14ac:dyDescent="0.25">
      <c r="A16" s="3">
        <v>96</v>
      </c>
      <c r="B16" s="3">
        <v>113.3893245</v>
      </c>
      <c r="C16" s="3">
        <v>23.05941142</v>
      </c>
      <c r="D16" s="3">
        <v>47</v>
      </c>
      <c r="E16" s="13">
        <f t="shared" si="0"/>
        <v>3.058511026628242E-3</v>
      </c>
      <c r="F16" s="13">
        <f t="shared" si="1"/>
        <v>18.081937955495782</v>
      </c>
      <c r="G16" s="14" t="e">
        <f>F16/$F$124*$D$2</f>
        <v>#DIV/0!</v>
      </c>
      <c r="H16" s="14" t="e">
        <f>F16/$F$124*$E$2</f>
        <v>#DIV/0!</v>
      </c>
      <c r="I16" s="25" t="str">
        <f t="shared" si="2"/>
        <v/>
      </c>
    </row>
    <row r="17" spans="1:9" x14ac:dyDescent="0.25">
      <c r="A17" s="3">
        <v>49</v>
      </c>
      <c r="B17" s="3">
        <v>113.3910238</v>
      </c>
      <c r="C17" s="3">
        <v>23.065001550000002</v>
      </c>
      <c r="D17" s="3">
        <v>47</v>
      </c>
      <c r="E17" s="13">
        <f t="shared" si="0"/>
        <v>3.1262916666418734E-3</v>
      </c>
      <c r="F17" s="13">
        <f t="shared" si="1"/>
        <v>17.8848480000112</v>
      </c>
      <c r="G17" s="14">
        <f>F17/$F$85*$D$2</f>
        <v>0</v>
      </c>
      <c r="H17" s="14">
        <f>F17/$F$85*$E$2</f>
        <v>75.160596050188403</v>
      </c>
      <c r="I17" s="25" t="str">
        <f t="shared" si="2"/>
        <v>选中</v>
      </c>
    </row>
    <row r="18" spans="1:9" hidden="1" x14ac:dyDescent="0.25">
      <c r="A18" s="3">
        <v>126</v>
      </c>
      <c r="B18" s="3">
        <v>113.39241079999999</v>
      </c>
      <c r="C18" s="3">
        <v>23.062597279999999</v>
      </c>
      <c r="D18" s="3">
        <v>47</v>
      </c>
      <c r="E18" s="13">
        <f t="shared" si="0"/>
        <v>3.2200317367348454E-3</v>
      </c>
      <c r="F18" s="13">
        <f t="shared" si="1"/>
        <v>17.622597576173973</v>
      </c>
      <c r="G18" s="14" t="e">
        <f>F18/$F$124*$D$2</f>
        <v>#DIV/0!</v>
      </c>
      <c r="H18" s="14" t="e">
        <f>F18/$F$124*$E$2</f>
        <v>#DIV/0!</v>
      </c>
      <c r="I18" s="25" t="str">
        <f t="shared" si="2"/>
        <v/>
      </c>
    </row>
    <row r="19" spans="1:9" hidden="1" x14ac:dyDescent="0.25">
      <c r="A19" s="3">
        <v>110</v>
      </c>
      <c r="B19" s="3">
        <v>113.38942849999999</v>
      </c>
      <c r="C19" s="3">
        <v>23.059168490000001</v>
      </c>
      <c r="D19" s="3">
        <v>47</v>
      </c>
      <c r="E19" s="13">
        <f t="shared" si="0"/>
        <v>3.3069974125930616E-3</v>
      </c>
      <c r="F19" s="13">
        <f t="shared" si="1"/>
        <v>17.389338937397039</v>
      </c>
      <c r="G19" s="14" t="e">
        <f>F19/$F$124*$D$2</f>
        <v>#DIV/0!</v>
      </c>
      <c r="H19" s="14" t="e">
        <f>F19/$F$124*$E$2</f>
        <v>#DIV/0!</v>
      </c>
      <c r="I19" s="25" t="str">
        <f t="shared" si="2"/>
        <v/>
      </c>
    </row>
    <row r="20" spans="1:9" x14ac:dyDescent="0.25">
      <c r="A20" s="3">
        <v>41</v>
      </c>
      <c r="B20" s="3">
        <v>113.38621120000001</v>
      </c>
      <c r="C20" s="3">
        <v>23.06396866</v>
      </c>
      <c r="D20" s="3">
        <v>47</v>
      </c>
      <c r="E20" s="13">
        <f t="shared" si="0"/>
        <v>3.3388829286971674E-3</v>
      </c>
      <c r="F20" s="13">
        <f t="shared" si="1"/>
        <v>17.306107782553749</v>
      </c>
      <c r="G20" s="14">
        <f>F20/$F$85*$D$2</f>
        <v>0</v>
      </c>
      <c r="H20" s="14">
        <f>F20/$F$85*$E$2</f>
        <v>72.728455743360499</v>
      </c>
      <c r="I20" s="25" t="str">
        <f t="shared" si="2"/>
        <v>选中</v>
      </c>
    </row>
    <row r="21" spans="1:9" hidden="1" x14ac:dyDescent="0.25">
      <c r="A21" s="3">
        <v>45</v>
      </c>
      <c r="B21" s="3">
        <v>113.3861302</v>
      </c>
      <c r="C21" s="3">
        <v>23.064083650000001</v>
      </c>
      <c r="D21" s="3">
        <v>47</v>
      </c>
      <c r="E21" s="13">
        <f t="shared" si="0"/>
        <v>3.4635766890452053E-3</v>
      </c>
      <c r="F21" s="13">
        <f t="shared" si="1"/>
        <v>16.991729902087766</v>
      </c>
      <c r="G21" s="14" t="e">
        <f>F21/$F$124*$D$2</f>
        <v>#DIV/0!</v>
      </c>
      <c r="H21" s="14" t="e">
        <f>F21/$F$124*$E$2</f>
        <v>#DIV/0!</v>
      </c>
      <c r="I21" s="25" t="str">
        <f t="shared" si="2"/>
        <v/>
      </c>
    </row>
    <row r="22" spans="1:9" hidden="1" x14ac:dyDescent="0.25">
      <c r="A22" s="3">
        <v>47</v>
      </c>
      <c r="B22" s="3">
        <v>113.3904118</v>
      </c>
      <c r="C22" s="3">
        <v>23.066683990000001</v>
      </c>
      <c r="D22" s="3">
        <v>47</v>
      </c>
      <c r="E22" s="13">
        <f t="shared" si="0"/>
        <v>4.3893611331151366E-3</v>
      </c>
      <c r="F22" s="13">
        <f t="shared" si="1"/>
        <v>15.093826137170741</v>
      </c>
      <c r="G22" s="14" t="e">
        <f>F22/$F$124*$D$2</f>
        <v>#DIV/0!</v>
      </c>
      <c r="H22" s="14" t="e">
        <f>F22/$F$124*$E$2</f>
        <v>#DIV/0!</v>
      </c>
      <c r="I22" s="25" t="str">
        <f t="shared" si="2"/>
        <v/>
      </c>
    </row>
    <row r="23" spans="1:9" x14ac:dyDescent="0.25">
      <c r="A23" s="3">
        <v>37</v>
      </c>
      <c r="B23" s="3">
        <v>113.3866479</v>
      </c>
      <c r="C23" s="3">
        <v>23.066079569999999</v>
      </c>
      <c r="D23" s="3">
        <v>47</v>
      </c>
      <c r="E23" s="13">
        <f t="shared" si="0"/>
        <v>4.4192041424301574E-3</v>
      </c>
      <c r="F23" s="13">
        <f t="shared" si="1"/>
        <v>15.042775288948096</v>
      </c>
      <c r="G23" s="14">
        <f>F23/$F$85*$D$2</f>
        <v>0</v>
      </c>
      <c r="H23" s="14">
        <f>F23/$F$85*$E$2</f>
        <v>63.216861388236339</v>
      </c>
      <c r="I23" s="25" t="str">
        <f t="shared" si="2"/>
        <v>选中</v>
      </c>
    </row>
    <row r="24" spans="1:9" hidden="1" x14ac:dyDescent="0.25">
      <c r="A24" s="3">
        <v>100</v>
      </c>
      <c r="B24" s="3">
        <v>113.3840283</v>
      </c>
      <c r="C24" s="3">
        <v>23.0619406</v>
      </c>
      <c r="D24" s="3">
        <v>47</v>
      </c>
      <c r="E24" s="13">
        <f t="shared" si="0"/>
        <v>5.1918668434767726E-3</v>
      </c>
      <c r="F24" s="13">
        <f t="shared" si="1"/>
        <v>13.878362508047285</v>
      </c>
      <c r="G24" s="14" t="e">
        <f>F24/$F$124*$D$2</f>
        <v>#DIV/0!</v>
      </c>
      <c r="H24" s="14" t="e">
        <f>F24/$F$124*$E$2</f>
        <v>#DIV/0!</v>
      </c>
      <c r="I24" s="25" t="str">
        <f t="shared" si="2"/>
        <v/>
      </c>
    </row>
    <row r="25" spans="1:9" hidden="1" x14ac:dyDescent="0.25">
      <c r="A25" s="3">
        <v>35</v>
      </c>
      <c r="B25" s="3">
        <v>113.3848417</v>
      </c>
      <c r="C25" s="3">
        <v>23.0656356</v>
      </c>
      <c r="D25" s="3">
        <v>47</v>
      </c>
      <c r="E25" s="13">
        <f t="shared" si="0"/>
        <v>5.3829878692417035E-3</v>
      </c>
      <c r="F25" s="13">
        <f t="shared" si="1"/>
        <v>13.629762850422907</v>
      </c>
      <c r="G25" s="14" t="e">
        <f>F25/$F$124*$D$2</f>
        <v>#DIV/0!</v>
      </c>
      <c r="H25" s="14" t="e">
        <f>F25/$F$124*$E$2</f>
        <v>#DIV/0!</v>
      </c>
      <c r="I25" s="25" t="str">
        <f t="shared" si="2"/>
        <v/>
      </c>
    </row>
    <row r="26" spans="1:9" x14ac:dyDescent="0.25">
      <c r="A26" s="3">
        <v>42</v>
      </c>
      <c r="B26" s="3">
        <v>113.3908847</v>
      </c>
      <c r="C26" s="3">
        <v>23.067720430000001</v>
      </c>
      <c r="D26" s="3">
        <v>47</v>
      </c>
      <c r="E26" s="13">
        <f t="shared" si="0"/>
        <v>5.5188551028379608E-3</v>
      </c>
      <c r="F26" s="13">
        <f t="shared" si="1"/>
        <v>13.460943583637594</v>
      </c>
      <c r="G26" s="14">
        <f>F26/$F$85*$D$2</f>
        <v>0</v>
      </c>
      <c r="H26" s="14">
        <f>F26/$F$85*$E$2</f>
        <v>56.569255894348501</v>
      </c>
      <c r="I26" s="25" t="str">
        <f t="shared" si="2"/>
        <v>选中</v>
      </c>
    </row>
    <row r="27" spans="1:9" hidden="1" x14ac:dyDescent="0.25">
      <c r="A27" s="3">
        <v>38</v>
      </c>
      <c r="B27" s="3">
        <v>113.3841171</v>
      </c>
      <c r="C27" s="3">
        <v>23.06490329</v>
      </c>
      <c r="D27" s="3">
        <v>47</v>
      </c>
      <c r="E27" s="13">
        <f t="shared" si="0"/>
        <v>5.6306079564187057E-3</v>
      </c>
      <c r="F27" s="13">
        <f t="shared" si="1"/>
        <v>13.326691832087615</v>
      </c>
      <c r="G27" s="14" t="e">
        <f>F27/$F$124*$D$2</f>
        <v>#DIV/0!</v>
      </c>
      <c r="H27" s="14" t="e">
        <f>F27/$F$124*$E$2</f>
        <v>#DIV/0!</v>
      </c>
      <c r="I27" s="25" t="str">
        <f t="shared" si="2"/>
        <v/>
      </c>
    </row>
    <row r="28" spans="1:9" hidden="1" x14ac:dyDescent="0.25">
      <c r="A28" s="3">
        <v>98</v>
      </c>
      <c r="B28" s="3">
        <v>113.3839985</v>
      </c>
      <c r="C28" s="3">
        <v>23.059791539999999</v>
      </c>
      <c r="D28" s="3">
        <v>47</v>
      </c>
      <c r="E28" s="13">
        <f t="shared" si="0"/>
        <v>5.8434334381704768E-3</v>
      </c>
      <c r="F28" s="13">
        <f t="shared" si="1"/>
        <v>13.081753134031793</v>
      </c>
      <c r="G28" s="14" t="e">
        <f>F28/$F$124*$D$2</f>
        <v>#DIV/0!</v>
      </c>
      <c r="H28" s="14" t="e">
        <f>F28/$F$124*$E$2</f>
        <v>#DIV/0!</v>
      </c>
      <c r="I28" s="25" t="str">
        <f t="shared" si="2"/>
        <v/>
      </c>
    </row>
    <row r="29" spans="1:9" x14ac:dyDescent="0.25">
      <c r="A29" s="3">
        <v>36</v>
      </c>
      <c r="B29" s="3">
        <v>113.38706860000001</v>
      </c>
      <c r="C29" s="3">
        <v>23.068135519999998</v>
      </c>
      <c r="D29" s="3">
        <v>47</v>
      </c>
      <c r="E29" s="13">
        <f t="shared" si="0"/>
        <v>6.053555451132021E-3</v>
      </c>
      <c r="F29" s="13">
        <f t="shared" si="1"/>
        <v>12.852710858471346</v>
      </c>
      <c r="G29" s="14">
        <f>F29/$F$85*$D$2</f>
        <v>0</v>
      </c>
      <c r="H29" s="14">
        <f>F29/$F$85*$E$2</f>
        <v>54.013174111562485</v>
      </c>
      <c r="I29" s="25" t="str">
        <f t="shared" si="2"/>
        <v>选中</v>
      </c>
    </row>
    <row r="30" spans="1:9" hidden="1" x14ac:dyDescent="0.25">
      <c r="A30" s="3">
        <v>55</v>
      </c>
      <c r="B30" s="3">
        <v>113.3950646</v>
      </c>
      <c r="C30" s="3">
        <v>23.06415127</v>
      </c>
      <c r="D30" s="3">
        <v>47</v>
      </c>
      <c r="E30" s="13">
        <f t="shared" si="0"/>
        <v>6.1079743501846447E-3</v>
      </c>
      <c r="F30" s="13">
        <f t="shared" si="1"/>
        <v>12.795327247770567</v>
      </c>
      <c r="G30" s="14" t="e">
        <f>F30/$F$124*$D$2</f>
        <v>#DIV/0!</v>
      </c>
      <c r="H30" s="14" t="e">
        <f>F30/$F$124*$E$2</f>
        <v>#DIV/0!</v>
      </c>
      <c r="I30" s="25" t="str">
        <f t="shared" si="2"/>
        <v/>
      </c>
    </row>
    <row r="31" spans="1:9" hidden="1" x14ac:dyDescent="0.25">
      <c r="A31" s="3">
        <v>99</v>
      </c>
      <c r="B31" s="3">
        <v>113.3841635</v>
      </c>
      <c r="C31" s="3">
        <v>23.058698920000001</v>
      </c>
      <c r="D31" s="3">
        <v>47</v>
      </c>
      <c r="E31" s="13">
        <f t="shared" si="0"/>
        <v>6.2848409088826019E-3</v>
      </c>
      <c r="F31" s="13">
        <f t="shared" si="1"/>
        <v>12.61400084264257</v>
      </c>
      <c r="G31" s="14" t="e">
        <f>F31/$F$124*$D$2</f>
        <v>#DIV/0!</v>
      </c>
      <c r="H31" s="14" t="e">
        <f>F31/$F$124*$E$2</f>
        <v>#DIV/0!</v>
      </c>
      <c r="I31" s="25" t="str">
        <f t="shared" si="2"/>
        <v/>
      </c>
    </row>
    <row r="32" spans="1:9" x14ac:dyDescent="0.25">
      <c r="A32" s="3">
        <v>105</v>
      </c>
      <c r="B32" s="3">
        <v>113.3892828</v>
      </c>
      <c r="C32" s="3">
        <v>23.05610184</v>
      </c>
      <c r="D32" s="3">
        <v>47</v>
      </c>
      <c r="E32" s="13">
        <f t="shared" si="0"/>
        <v>6.3659077780321444E-3</v>
      </c>
      <c r="F32" s="13">
        <f t="shared" si="1"/>
        <v>12.533426791079041</v>
      </c>
      <c r="G32" s="14">
        <f>F32/$F$85*$D$2</f>
        <v>0</v>
      </c>
      <c r="H32" s="14">
        <f>F32/$F$85*$E$2</f>
        <v>52.671391345809084</v>
      </c>
      <c r="I32" s="25" t="str">
        <f t="shared" si="2"/>
        <v>选中</v>
      </c>
    </row>
    <row r="33" spans="1:9" hidden="1" x14ac:dyDescent="0.25">
      <c r="A33" s="3">
        <v>53</v>
      </c>
      <c r="B33" s="3">
        <v>113.39537559999999</v>
      </c>
      <c r="C33" s="3">
        <v>23.064272200000001</v>
      </c>
      <c r="D33" s="3">
        <v>47</v>
      </c>
      <c r="E33" s="13">
        <f t="shared" si="0"/>
        <v>6.4403346688176486E-3</v>
      </c>
      <c r="F33" s="13">
        <f t="shared" si="1"/>
        <v>12.460795884803014</v>
      </c>
      <c r="G33" s="14" t="e">
        <f>F33/$F$124*$D$2</f>
        <v>#DIV/0!</v>
      </c>
      <c r="H33" s="14" t="e">
        <f>F33/$F$124*$E$2</f>
        <v>#DIV/0!</v>
      </c>
      <c r="I33" s="25" t="str">
        <f t="shared" si="2"/>
        <v/>
      </c>
    </row>
    <row r="34" spans="1:9" hidden="1" x14ac:dyDescent="0.25">
      <c r="A34" s="3">
        <v>106</v>
      </c>
      <c r="B34" s="3">
        <v>113.38423349999999</v>
      </c>
      <c r="C34" s="3">
        <v>23.05799618</v>
      </c>
      <c r="D34" s="3">
        <v>47</v>
      </c>
      <c r="E34" s="13">
        <f t="shared" si="0"/>
        <v>6.6775678576587337E-3</v>
      </c>
      <c r="F34" s="13">
        <f t="shared" si="1"/>
        <v>12.237447594139384</v>
      </c>
      <c r="G34" s="14" t="e">
        <f>F34/$F$124*$D$2</f>
        <v>#DIV/0!</v>
      </c>
      <c r="H34" s="14" t="e">
        <f>F34/$F$124*$E$2</f>
        <v>#DIV/0!</v>
      </c>
      <c r="I34" s="25" t="str">
        <f t="shared" si="2"/>
        <v/>
      </c>
    </row>
    <row r="35" spans="1:9" x14ac:dyDescent="0.25">
      <c r="A35" s="3">
        <v>50</v>
      </c>
      <c r="B35" s="3">
        <v>113.3906616</v>
      </c>
      <c r="C35" s="3">
        <v>23.06910989</v>
      </c>
      <c r="D35" s="3">
        <v>47</v>
      </c>
      <c r="E35" s="13">
        <f t="shared" si="0"/>
        <v>6.803087866028428E-3</v>
      </c>
      <c r="F35" s="13">
        <f t="shared" si="1"/>
        <v>12.12402881596266</v>
      </c>
      <c r="G35" s="14">
        <f>F35/$F$85*$D$2</f>
        <v>0</v>
      </c>
      <c r="H35" s="14">
        <f>F35/$F$85*$E$2</f>
        <v>50.950907289614257</v>
      </c>
      <c r="I35" s="25" t="str">
        <f t="shared" si="2"/>
        <v>选中</v>
      </c>
    </row>
    <row r="36" spans="1:9" hidden="1" x14ac:dyDescent="0.25">
      <c r="A36" s="3">
        <v>39</v>
      </c>
      <c r="B36" s="3">
        <v>113.3851983</v>
      </c>
      <c r="C36" s="3">
        <v>23.0685182</v>
      </c>
      <c r="D36" s="3">
        <v>47</v>
      </c>
      <c r="E36" s="13">
        <f t="shared" si="0"/>
        <v>7.2509580867886241E-3</v>
      </c>
      <c r="F36" s="13">
        <f t="shared" si="1"/>
        <v>11.743628456254026</v>
      </c>
      <c r="G36" s="14" t="e">
        <f>F36/$F$124*$D$2</f>
        <v>#DIV/0!</v>
      </c>
      <c r="H36" s="14" t="e">
        <f>F36/$F$124*$E$2</f>
        <v>#DIV/0!</v>
      </c>
      <c r="I36" s="25" t="str">
        <f t="shared" si="2"/>
        <v/>
      </c>
    </row>
    <row r="37" spans="1:9" hidden="1" x14ac:dyDescent="0.25">
      <c r="A37" s="3">
        <v>51</v>
      </c>
      <c r="B37" s="3">
        <v>113.3956955</v>
      </c>
      <c r="C37" s="3">
        <v>23.06582452</v>
      </c>
      <c r="D37" s="3">
        <v>47</v>
      </c>
      <c r="E37" s="13">
        <f t="shared" ref="E37:E68" si="3">SQRT((B37-$B$2)^2+(C37-$C$2)^2)</f>
        <v>7.3177482308472075E-3</v>
      </c>
      <c r="F37" s="13">
        <f t="shared" ref="F37:F68" si="4">SQRT(1/E37)</f>
        <v>11.689912711692267</v>
      </c>
      <c r="G37" s="14" t="e">
        <f>F37/$F$124*$D$2</f>
        <v>#DIV/0!</v>
      </c>
      <c r="H37" s="14" t="e">
        <f>F37/$F$124*$E$2</f>
        <v>#DIV/0!</v>
      </c>
      <c r="I37" s="25" t="str">
        <f t="shared" si="2"/>
        <v/>
      </c>
    </row>
    <row r="38" spans="1:9" x14ac:dyDescent="0.25">
      <c r="A38" s="3">
        <v>43</v>
      </c>
      <c r="B38" s="3">
        <v>113.3910465</v>
      </c>
      <c r="C38" s="3">
        <v>23.069901460000001</v>
      </c>
      <c r="D38" s="3">
        <v>47</v>
      </c>
      <c r="E38" s="13">
        <f t="shared" si="3"/>
        <v>7.6618138091195049E-3</v>
      </c>
      <c r="F38" s="13">
        <f t="shared" si="4"/>
        <v>11.424421109899578</v>
      </c>
      <c r="G38" s="14">
        <f>F38/$F$85*$D$2</f>
        <v>0</v>
      </c>
      <c r="H38" s="14">
        <f>F38/$F$85*$E$2</f>
        <v>48.010824590059109</v>
      </c>
      <c r="I38" s="25" t="str">
        <f t="shared" si="2"/>
        <v>选中</v>
      </c>
    </row>
    <row r="39" spans="1:9" hidden="1" x14ac:dyDescent="0.25">
      <c r="A39" s="3">
        <v>52</v>
      </c>
      <c r="B39" s="3">
        <v>113.3940063</v>
      </c>
      <c r="C39" s="3">
        <v>23.06879339</v>
      </c>
      <c r="D39" s="3">
        <v>47</v>
      </c>
      <c r="E39" s="13">
        <f t="shared" si="3"/>
        <v>7.9489432330926511E-3</v>
      </c>
      <c r="F39" s="13">
        <f t="shared" si="4"/>
        <v>11.216188571830003</v>
      </c>
      <c r="G39" s="14" t="e">
        <f>F39/$F$124*$D$2</f>
        <v>#DIV/0!</v>
      </c>
      <c r="H39" s="14" t="e">
        <f>F39/$F$124*$E$2</f>
        <v>#DIV/0!</v>
      </c>
      <c r="I39" s="25" t="str">
        <f t="shared" si="2"/>
        <v/>
      </c>
    </row>
    <row r="40" spans="1:9" hidden="1" x14ac:dyDescent="0.25">
      <c r="A40" s="3">
        <v>108</v>
      </c>
      <c r="B40" s="3">
        <v>113.39154240000001</v>
      </c>
      <c r="C40" s="3">
        <v>23.054711820000001</v>
      </c>
      <c r="D40" s="3">
        <v>47</v>
      </c>
      <c r="E40" s="13">
        <f t="shared" si="3"/>
        <v>8.1032388024811566E-3</v>
      </c>
      <c r="F40" s="13">
        <f t="shared" si="4"/>
        <v>11.108890376184457</v>
      </c>
      <c r="G40" s="14" t="e">
        <f>F40/$F$124*$D$2</f>
        <v>#DIV/0!</v>
      </c>
      <c r="H40" s="14" t="e">
        <f>F40/$F$124*$E$2</f>
        <v>#DIV/0!</v>
      </c>
      <c r="I40" s="25" t="str">
        <f t="shared" si="2"/>
        <v/>
      </c>
    </row>
    <row r="41" spans="1:9" x14ac:dyDescent="0.25">
      <c r="A41" s="3">
        <v>112</v>
      </c>
      <c r="B41" s="3">
        <v>113.39657010000001</v>
      </c>
      <c r="C41" s="3">
        <v>23.059066380000001</v>
      </c>
      <c r="D41" s="3">
        <v>47</v>
      </c>
      <c r="E41" s="13">
        <f t="shared" si="3"/>
        <v>8.1228526662577936E-3</v>
      </c>
      <c r="F41" s="13">
        <f t="shared" si="4"/>
        <v>11.095470216935112</v>
      </c>
      <c r="G41" s="14">
        <f>F41/$F$85*$D$2</f>
        <v>0</v>
      </c>
      <c r="H41" s="14">
        <f>F41/$F$85*$E$2</f>
        <v>46.628417248021002</v>
      </c>
      <c r="I41" s="25" t="str">
        <f t="shared" si="2"/>
        <v>选中</v>
      </c>
    </row>
    <row r="42" spans="1:9" hidden="1" x14ac:dyDescent="0.25">
      <c r="A42" s="3">
        <v>119</v>
      </c>
      <c r="B42" s="3">
        <v>113.397273</v>
      </c>
      <c r="C42" s="3">
        <v>23.0606717</v>
      </c>
      <c r="D42" s="3">
        <v>47</v>
      </c>
      <c r="E42" s="13">
        <f t="shared" si="3"/>
        <v>8.2766822541665494E-3</v>
      </c>
      <c r="F42" s="13">
        <f t="shared" si="4"/>
        <v>10.991876966493285</v>
      </c>
      <c r="G42" s="14" t="e">
        <f>F42/$F$124*$D$2</f>
        <v>#DIV/0!</v>
      </c>
      <c r="H42" s="14" t="e">
        <f>F42/$F$124*$E$2</f>
        <v>#DIV/0!</v>
      </c>
      <c r="I42" s="25" t="str">
        <f t="shared" si="2"/>
        <v/>
      </c>
    </row>
    <row r="43" spans="1:9" hidden="1" x14ac:dyDescent="0.25">
      <c r="A43" s="3">
        <v>113</v>
      </c>
      <c r="B43" s="3">
        <v>113.397436</v>
      </c>
      <c r="C43" s="3">
        <v>23.061609310000001</v>
      </c>
      <c r="D43" s="3">
        <v>47</v>
      </c>
      <c r="E43" s="13">
        <f t="shared" si="3"/>
        <v>8.287116069908923E-3</v>
      </c>
      <c r="F43" s="13">
        <f t="shared" si="4"/>
        <v>10.984955177316378</v>
      </c>
      <c r="G43" s="14" t="e">
        <f>F43/$F$124*$D$2</f>
        <v>#DIV/0!</v>
      </c>
      <c r="H43" s="14" t="e">
        <f>F43/$F$124*$E$2</f>
        <v>#DIV/0!</v>
      </c>
      <c r="I43" s="25" t="str">
        <f t="shared" si="2"/>
        <v/>
      </c>
    </row>
    <row r="44" spans="1:9" x14ac:dyDescent="0.25">
      <c r="A44" s="3">
        <v>130</v>
      </c>
      <c r="B44" s="3">
        <v>113.3918374</v>
      </c>
      <c r="C44" s="3">
        <v>23.054401890000001</v>
      </c>
      <c r="D44" s="3">
        <v>47</v>
      </c>
      <c r="E44" s="13">
        <f t="shared" si="3"/>
        <v>8.4875597761025785E-3</v>
      </c>
      <c r="F44" s="13">
        <f t="shared" si="4"/>
        <v>10.854468859509939</v>
      </c>
      <c r="G44" s="14">
        <f>F44/$F$85*$D$2</f>
        <v>0</v>
      </c>
      <c r="H44" s="14">
        <f>F44/$F$85*$E$2</f>
        <v>45.615615480124006</v>
      </c>
      <c r="I44" s="25" t="str">
        <f t="shared" si="2"/>
        <v>选中</v>
      </c>
    </row>
    <row r="45" spans="1:9" hidden="1" x14ac:dyDescent="0.25">
      <c r="A45" s="3">
        <v>80</v>
      </c>
      <c r="B45" s="3">
        <v>113.3807972</v>
      </c>
      <c r="C45" s="3">
        <v>23.060250270000001</v>
      </c>
      <c r="D45" s="3">
        <v>47</v>
      </c>
      <c r="E45" s="13">
        <f t="shared" si="3"/>
        <v>8.6839275885039376E-3</v>
      </c>
      <c r="F45" s="13">
        <f t="shared" si="4"/>
        <v>10.731042213725747</v>
      </c>
      <c r="G45" s="14" t="e">
        <f>F45/$F$124*$D$2</f>
        <v>#DIV/0!</v>
      </c>
      <c r="H45" s="14" t="e">
        <f>F45/$F$124*$E$2</f>
        <v>#DIV/0!</v>
      </c>
      <c r="I45" s="25" t="str">
        <f t="shared" si="2"/>
        <v/>
      </c>
    </row>
    <row r="46" spans="1:9" hidden="1" x14ac:dyDescent="0.25">
      <c r="A46" s="3">
        <v>79</v>
      </c>
      <c r="B46" s="3">
        <v>113.38095420000001</v>
      </c>
      <c r="C46" s="3">
        <v>23.058920730000001</v>
      </c>
      <c r="D46" s="3">
        <v>47</v>
      </c>
      <c r="E46" s="13">
        <f t="shared" si="3"/>
        <v>8.9700222224897395E-3</v>
      </c>
      <c r="F46" s="13">
        <f t="shared" si="4"/>
        <v>10.558524707038103</v>
      </c>
      <c r="G46" s="14" t="e">
        <f>F46/$F$124*$D$2</f>
        <v>#DIV/0!</v>
      </c>
      <c r="H46" s="14" t="e">
        <f>F46/$F$124*$E$2</f>
        <v>#DIV/0!</v>
      </c>
      <c r="I46" s="25" t="str">
        <f t="shared" si="2"/>
        <v/>
      </c>
    </row>
    <row r="47" spans="1:9" x14ac:dyDescent="0.25">
      <c r="A47" s="3">
        <v>82</v>
      </c>
      <c r="B47" s="3">
        <v>113.38088430000001</v>
      </c>
      <c r="C47" s="3">
        <v>23.058881800000002</v>
      </c>
      <c r="D47" s="3">
        <v>47</v>
      </c>
      <c r="E47" s="13">
        <f t="shared" si="3"/>
        <v>9.0496222193108908E-3</v>
      </c>
      <c r="F47" s="13">
        <f t="shared" si="4"/>
        <v>10.511986031556669</v>
      </c>
      <c r="G47" s="14">
        <f>F47/$F$85*$D$2</f>
        <v>0</v>
      </c>
      <c r="H47" s="14">
        <f>F47/$F$85*$E$2</f>
        <v>44.176340542707379</v>
      </c>
      <c r="I47" s="25" t="str">
        <f t="shared" si="2"/>
        <v>选中</v>
      </c>
    </row>
    <row r="48" spans="1:9" hidden="1" x14ac:dyDescent="0.25">
      <c r="A48" s="3">
        <v>115</v>
      </c>
      <c r="B48" s="3">
        <v>113.3927633</v>
      </c>
      <c r="C48" s="3">
        <v>23.05412583</v>
      </c>
      <c r="D48" s="3">
        <v>47</v>
      </c>
      <c r="E48" s="13">
        <f t="shared" si="3"/>
        <v>9.0731088869320953E-3</v>
      </c>
      <c r="F48" s="13">
        <f t="shared" si="4"/>
        <v>10.498371541300648</v>
      </c>
      <c r="G48" s="14" t="e">
        <f>F48/$F$124*$D$2</f>
        <v>#DIV/0!</v>
      </c>
      <c r="H48" s="14" t="e">
        <f>F48/$F$124*$E$2</f>
        <v>#DIV/0!</v>
      </c>
      <c r="I48" s="25" t="str">
        <f t="shared" si="2"/>
        <v/>
      </c>
    </row>
    <row r="49" spans="1:9" hidden="1" x14ac:dyDescent="0.25">
      <c r="A49" s="3">
        <v>89</v>
      </c>
      <c r="B49" s="3">
        <v>113.38042249999999</v>
      </c>
      <c r="C49" s="3">
        <v>23.05933491</v>
      </c>
      <c r="D49" s="3">
        <v>47</v>
      </c>
      <c r="E49" s="13">
        <f t="shared" si="3"/>
        <v>9.3134003615293059E-3</v>
      </c>
      <c r="F49" s="13">
        <f t="shared" si="4"/>
        <v>10.362054297268546</v>
      </c>
      <c r="G49" s="14" t="e">
        <f>F49/$F$124*$D$2</f>
        <v>#DIV/0!</v>
      </c>
      <c r="H49" s="14" t="e">
        <f>F49/$F$124*$E$2</f>
        <v>#DIV/0!</v>
      </c>
      <c r="I49" s="25" t="str">
        <f t="shared" si="2"/>
        <v/>
      </c>
    </row>
    <row r="50" spans="1:9" x14ac:dyDescent="0.25">
      <c r="A50" s="3">
        <v>33</v>
      </c>
      <c r="B50" s="3">
        <v>113.3800734</v>
      </c>
      <c r="C50" s="3">
        <v>23.06439099</v>
      </c>
      <c r="D50" s="3">
        <v>47</v>
      </c>
      <c r="E50" s="13">
        <f t="shared" si="3"/>
        <v>9.32071219257514E-3</v>
      </c>
      <c r="F50" s="13">
        <f t="shared" si="4"/>
        <v>10.357989132849925</v>
      </c>
      <c r="G50" s="14">
        <f>F50/$F$85*$D$2</f>
        <v>0</v>
      </c>
      <c r="H50" s="14">
        <f>F50/$F$85*$E$2</f>
        <v>43.529172688852981</v>
      </c>
      <c r="I50" s="25" t="str">
        <f t="shared" si="2"/>
        <v>选中</v>
      </c>
    </row>
    <row r="51" spans="1:9" hidden="1" x14ac:dyDescent="0.25">
      <c r="A51" s="3">
        <v>81</v>
      </c>
      <c r="B51" s="3">
        <v>113.37989159999999</v>
      </c>
      <c r="C51" s="3">
        <v>23.06314265</v>
      </c>
      <c r="D51" s="3">
        <v>47</v>
      </c>
      <c r="E51" s="13">
        <f t="shared" si="3"/>
        <v>9.3262974443748311E-3</v>
      </c>
      <c r="F51" s="13">
        <f t="shared" si="4"/>
        <v>10.354887117186305</v>
      </c>
      <c r="G51" s="14" t="e">
        <f>F51/$F$124*$D$2</f>
        <v>#DIV/0!</v>
      </c>
      <c r="H51" s="14" t="e">
        <f>F51/$F$124*$E$2</f>
        <v>#DIV/0!</v>
      </c>
      <c r="I51" s="25" t="str">
        <f t="shared" si="2"/>
        <v/>
      </c>
    </row>
    <row r="52" spans="1:9" hidden="1" x14ac:dyDescent="0.25">
      <c r="A52" s="3">
        <v>118</v>
      </c>
      <c r="B52" s="3">
        <v>113.39344629999999</v>
      </c>
      <c r="C52" s="3">
        <v>23.054165709999999</v>
      </c>
      <c r="D52" s="3">
        <v>47</v>
      </c>
      <c r="E52" s="13">
        <f t="shared" si="3"/>
        <v>9.3274094151645642E-3</v>
      </c>
      <c r="F52" s="13">
        <f t="shared" si="4"/>
        <v>10.354269867814875</v>
      </c>
      <c r="G52" s="14" t="e">
        <f>F52/$F$124*$D$2</f>
        <v>#DIV/0!</v>
      </c>
      <c r="H52" s="14" t="e">
        <f>F52/$F$124*$E$2</f>
        <v>#DIV/0!</v>
      </c>
      <c r="I52" s="25" t="str">
        <f t="shared" si="2"/>
        <v/>
      </c>
    </row>
    <row r="53" spans="1:9" x14ac:dyDescent="0.25">
      <c r="A53" s="3">
        <v>114</v>
      </c>
      <c r="B53" s="3">
        <v>113.3985721</v>
      </c>
      <c r="C53" s="3">
        <v>23.062427029999998</v>
      </c>
      <c r="D53" s="3">
        <v>47</v>
      </c>
      <c r="E53" s="13">
        <f t="shared" si="3"/>
        <v>9.3787856835565297E-3</v>
      </c>
      <c r="F53" s="13">
        <f t="shared" si="4"/>
        <v>10.325870974712718</v>
      </c>
      <c r="G53" s="14">
        <f>F53/$F$85*$D$2</f>
        <v>0</v>
      </c>
      <c r="H53" s="14">
        <f>F53/$F$85*$E$2</f>
        <v>43.394196987095548</v>
      </c>
      <c r="I53" s="25" t="str">
        <f t="shared" si="2"/>
        <v>选中</v>
      </c>
    </row>
    <row r="54" spans="1:9" hidden="1" x14ac:dyDescent="0.25">
      <c r="A54" s="3">
        <v>34</v>
      </c>
      <c r="B54" s="3">
        <v>113.3799625</v>
      </c>
      <c r="C54" s="3">
        <v>23.064250130000001</v>
      </c>
      <c r="D54" s="3">
        <v>47</v>
      </c>
      <c r="E54" s="13">
        <f t="shared" si="3"/>
        <v>9.401523252640747E-3</v>
      </c>
      <c r="F54" s="13">
        <f t="shared" si="4"/>
        <v>10.313376864600892</v>
      </c>
      <c r="G54" s="14" t="e">
        <f>F54/$F$124*$D$2</f>
        <v>#DIV/0!</v>
      </c>
      <c r="H54" s="14" t="e">
        <f>F54/$F$124*$E$2</f>
        <v>#DIV/0!</v>
      </c>
      <c r="I54" s="25" t="str">
        <f t="shared" si="2"/>
        <v/>
      </c>
    </row>
    <row r="55" spans="1:9" hidden="1" x14ac:dyDescent="0.25">
      <c r="A55" s="3">
        <v>88</v>
      </c>
      <c r="B55" s="3">
        <v>113.3798518</v>
      </c>
      <c r="C55" s="3">
        <v>23.060325880000001</v>
      </c>
      <c r="D55" s="3">
        <v>47</v>
      </c>
      <c r="E55" s="13">
        <f t="shared" si="3"/>
        <v>9.5838613980787305E-3</v>
      </c>
      <c r="F55" s="13">
        <f t="shared" si="4"/>
        <v>10.214796943026247</v>
      </c>
      <c r="G55" s="14" t="e">
        <f>F55/$F$124*$D$2</f>
        <v>#DIV/0!</v>
      </c>
      <c r="H55" s="14" t="e">
        <f>F55/$F$124*$E$2</f>
        <v>#DIV/0!</v>
      </c>
      <c r="I55" s="25" t="str">
        <f t="shared" si="2"/>
        <v/>
      </c>
    </row>
    <row r="56" spans="1:9" x14ac:dyDescent="0.25">
      <c r="A56" s="3">
        <v>92</v>
      </c>
      <c r="B56" s="3">
        <v>113.3805785</v>
      </c>
      <c r="C56" s="3">
        <v>23.058253270000002</v>
      </c>
      <c r="D56" s="3">
        <v>47</v>
      </c>
      <c r="E56" s="13">
        <f t="shared" si="3"/>
        <v>9.5902572349471152E-3</v>
      </c>
      <c r="F56" s="13">
        <f t="shared" si="4"/>
        <v>10.21139020066305</v>
      </c>
      <c r="G56" s="14">
        <f>F56/$F$85*$D$2</f>
        <v>0</v>
      </c>
      <c r="H56" s="14">
        <f>F56/$F$85*$E$2</f>
        <v>42.913094591712891</v>
      </c>
      <c r="I56" s="25" t="str">
        <f t="shared" si="2"/>
        <v>选中</v>
      </c>
    </row>
    <row r="57" spans="1:9" hidden="1" x14ac:dyDescent="0.25">
      <c r="A57" s="3">
        <v>77</v>
      </c>
      <c r="B57" s="3">
        <v>113.37987390000001</v>
      </c>
      <c r="C57" s="3">
        <v>23.059730120000001</v>
      </c>
      <c r="D57" s="3">
        <v>47</v>
      </c>
      <c r="E57" s="13">
        <f t="shared" si="3"/>
        <v>9.7130967898916148E-3</v>
      </c>
      <c r="F57" s="13">
        <f t="shared" si="4"/>
        <v>10.14661406129116</v>
      </c>
      <c r="G57" s="14" t="e">
        <f>F57/$F$124*$D$2</f>
        <v>#DIV/0!</v>
      </c>
      <c r="H57" s="14" t="e">
        <f>F57/$F$124*$E$2</f>
        <v>#DIV/0!</v>
      </c>
      <c r="I57" s="25" t="str">
        <f t="shared" si="2"/>
        <v/>
      </c>
    </row>
    <row r="58" spans="1:9" hidden="1" x14ac:dyDescent="0.25">
      <c r="A58" s="3">
        <v>76</v>
      </c>
      <c r="B58" s="3">
        <v>113.3803277</v>
      </c>
      <c r="C58" s="3">
        <v>23.05847035</v>
      </c>
      <c r="D58" s="3">
        <v>47</v>
      </c>
      <c r="E58" s="13">
        <f t="shared" si="3"/>
        <v>9.7249579393910764E-3</v>
      </c>
      <c r="F58" s="13">
        <f t="shared" si="4"/>
        <v>10.140424459951101</v>
      </c>
      <c r="G58" s="14" t="e">
        <f>F58/$F$124*$D$2</f>
        <v>#DIV/0!</v>
      </c>
      <c r="H58" s="14" t="e">
        <f>F58/$F$124*$E$2</f>
        <v>#DIV/0!</v>
      </c>
      <c r="I58" s="25" t="str">
        <f t="shared" si="2"/>
        <v/>
      </c>
    </row>
    <row r="59" spans="1:9" x14ac:dyDescent="0.25">
      <c r="A59" s="3">
        <v>75</v>
      </c>
      <c r="B59" s="3">
        <v>113.379591</v>
      </c>
      <c r="C59" s="3">
        <v>23.060666919999999</v>
      </c>
      <c r="D59" s="3">
        <v>47</v>
      </c>
      <c r="E59" s="13">
        <f t="shared" si="3"/>
        <v>9.7696881116974311E-3</v>
      </c>
      <c r="F59" s="13">
        <f t="shared" si="4"/>
        <v>10.117184040274582</v>
      </c>
      <c r="G59" s="14">
        <f>F59/$F$85*$D$2</f>
        <v>0</v>
      </c>
      <c r="H59" s="14">
        <f>F59/$F$85*$E$2</f>
        <v>42.517195718745533</v>
      </c>
      <c r="I59" s="25" t="str">
        <f t="shared" si="2"/>
        <v>选中</v>
      </c>
    </row>
    <row r="60" spans="1:9" hidden="1" x14ac:dyDescent="0.25">
      <c r="A60" s="3">
        <v>31</v>
      </c>
      <c r="B60" s="3">
        <v>113.3794838</v>
      </c>
      <c r="C60" s="3">
        <v>23.06493618</v>
      </c>
      <c r="D60" s="3">
        <v>47</v>
      </c>
      <c r="E60" s="13">
        <f t="shared" si="3"/>
        <v>1.0018612151564361E-2</v>
      </c>
      <c r="F60" s="13">
        <f t="shared" si="4"/>
        <v>9.9907068945591835</v>
      </c>
      <c r="G60" s="14" t="e">
        <f>F60/$F$124*$D$2</f>
        <v>#DIV/0!</v>
      </c>
      <c r="H60" s="14" t="e">
        <f>F60/$F$124*$E$2</f>
        <v>#DIV/0!</v>
      </c>
      <c r="I60" s="25" t="str">
        <f t="shared" si="2"/>
        <v/>
      </c>
    </row>
    <row r="61" spans="1:9" hidden="1" x14ac:dyDescent="0.25">
      <c r="A61" s="3">
        <v>86</v>
      </c>
      <c r="B61" s="3">
        <v>113.3799399</v>
      </c>
      <c r="C61" s="3">
        <v>23.058477610000001</v>
      </c>
      <c r="D61" s="3">
        <v>47</v>
      </c>
      <c r="E61" s="13">
        <f t="shared" si="3"/>
        <v>1.00768771100028E-2</v>
      </c>
      <c r="F61" s="13">
        <f t="shared" si="4"/>
        <v>9.9617816630147562</v>
      </c>
      <c r="G61" s="14" t="e">
        <f>F61/$F$124*$D$2</f>
        <v>#DIV/0!</v>
      </c>
      <c r="H61" s="14" t="e">
        <f>F61/$F$124*$E$2</f>
        <v>#DIV/0!</v>
      </c>
      <c r="I61" s="25" t="str">
        <f t="shared" si="2"/>
        <v/>
      </c>
    </row>
    <row r="62" spans="1:9" x14ac:dyDescent="0.25">
      <c r="A62" s="3">
        <v>111</v>
      </c>
      <c r="B62" s="3">
        <v>113.3950833</v>
      </c>
      <c r="C62" s="3">
        <v>23.054017600000002</v>
      </c>
      <c r="D62" s="3">
        <v>47</v>
      </c>
      <c r="E62" s="13">
        <f t="shared" si="3"/>
        <v>1.0299772339250163E-2</v>
      </c>
      <c r="F62" s="13">
        <f t="shared" si="4"/>
        <v>9.8534016770414716</v>
      </c>
      <c r="G62" s="14">
        <f>F62/$F$85*$D$2</f>
        <v>0</v>
      </c>
      <c r="H62" s="14">
        <f>F62/$F$85*$E$2</f>
        <v>41.408657382377484</v>
      </c>
      <c r="I62" s="25" t="str">
        <f t="shared" si="2"/>
        <v>选中</v>
      </c>
    </row>
    <row r="63" spans="1:9" hidden="1" x14ac:dyDescent="0.25">
      <c r="A63" s="3">
        <v>57</v>
      </c>
      <c r="B63" s="3">
        <v>113.3916942</v>
      </c>
      <c r="C63" s="3">
        <v>23.072490210000002</v>
      </c>
      <c r="D63" s="3">
        <v>47</v>
      </c>
      <c r="E63" s="13">
        <f t="shared" si="3"/>
        <v>1.0330359809229734E-2</v>
      </c>
      <c r="F63" s="13">
        <f t="shared" si="4"/>
        <v>9.8388032475778662</v>
      </c>
      <c r="G63" s="14" t="e">
        <f>F63/$F$124*$D$2</f>
        <v>#DIV/0!</v>
      </c>
      <c r="H63" s="14" t="e">
        <f>F63/$F$124*$E$2</f>
        <v>#DIV/0!</v>
      </c>
      <c r="I63" s="25" t="str">
        <f t="shared" si="2"/>
        <v/>
      </c>
    </row>
    <row r="64" spans="1:9" hidden="1" x14ac:dyDescent="0.25">
      <c r="A64" s="3">
        <v>32</v>
      </c>
      <c r="B64" s="3">
        <v>113.379154</v>
      </c>
      <c r="C64" s="3">
        <v>23.06503137</v>
      </c>
      <c r="D64" s="3">
        <v>47</v>
      </c>
      <c r="E64" s="13">
        <f t="shared" si="3"/>
        <v>1.0361704995917712E-2</v>
      </c>
      <c r="F64" s="13">
        <f t="shared" si="4"/>
        <v>9.8239102973999977</v>
      </c>
      <c r="G64" s="14" t="e">
        <f>F64/$F$124*$D$2</f>
        <v>#DIV/0!</v>
      </c>
      <c r="H64" s="14" t="e">
        <f>F64/$F$124*$E$2</f>
        <v>#DIV/0!</v>
      </c>
      <c r="I64" s="25" t="str">
        <f t="shared" si="2"/>
        <v/>
      </c>
    </row>
    <row r="65" spans="1:9" x14ac:dyDescent="0.25">
      <c r="A65" s="3">
        <v>91</v>
      </c>
      <c r="B65" s="3">
        <v>113.37976209999999</v>
      </c>
      <c r="C65" s="3">
        <v>23.058020930000001</v>
      </c>
      <c r="D65" s="3">
        <v>47</v>
      </c>
      <c r="E65" s="13">
        <f t="shared" si="3"/>
        <v>1.0426793620579059E-2</v>
      </c>
      <c r="F65" s="13">
        <f t="shared" si="4"/>
        <v>9.7931997140307434</v>
      </c>
      <c r="G65" s="14">
        <f>F65/$F$85*$D$2</f>
        <v>0</v>
      </c>
      <c r="H65" s="14">
        <f>F65/$F$85*$E$2</f>
        <v>41.155660240703433</v>
      </c>
      <c r="I65" s="25" t="str">
        <f t="shared" si="2"/>
        <v>选中</v>
      </c>
    </row>
    <row r="66" spans="1:9" hidden="1" x14ac:dyDescent="0.25">
      <c r="A66" s="3">
        <v>54</v>
      </c>
      <c r="B66" s="3">
        <v>113.3925931</v>
      </c>
      <c r="C66" s="3">
        <v>23.072415070000002</v>
      </c>
      <c r="D66" s="3">
        <v>47</v>
      </c>
      <c r="E66" s="13">
        <f t="shared" si="3"/>
        <v>1.0512833552022743E-2</v>
      </c>
      <c r="F66" s="13">
        <f t="shared" si="4"/>
        <v>9.7530422555496301</v>
      </c>
      <c r="G66" s="14" t="e">
        <f>F66/$F$124*$D$2</f>
        <v>#DIV/0!</v>
      </c>
      <c r="H66" s="14" t="e">
        <f>F66/$F$124*$E$2</f>
        <v>#DIV/0!</v>
      </c>
      <c r="I66" s="25" t="str">
        <f t="shared" si="2"/>
        <v/>
      </c>
    </row>
    <row r="67" spans="1:9" hidden="1" x14ac:dyDescent="0.25">
      <c r="A67" s="3">
        <v>48</v>
      </c>
      <c r="B67" s="3">
        <v>113.3851671</v>
      </c>
      <c r="C67" s="3">
        <v>23.07219065</v>
      </c>
      <c r="D67" s="3">
        <v>47</v>
      </c>
      <c r="E67" s="13">
        <f t="shared" si="3"/>
        <v>1.052416872493093E-2</v>
      </c>
      <c r="F67" s="13">
        <f t="shared" si="4"/>
        <v>9.7477885292360451</v>
      </c>
      <c r="G67" s="14" t="e">
        <f>F67/$F$124*$D$2</f>
        <v>#DIV/0!</v>
      </c>
      <c r="H67" s="14" t="e">
        <f>F67/$F$124*$E$2</f>
        <v>#DIV/0!</v>
      </c>
      <c r="I67" s="25" t="str">
        <f t="shared" si="2"/>
        <v/>
      </c>
    </row>
    <row r="68" spans="1:9" x14ac:dyDescent="0.25">
      <c r="A68" s="3">
        <v>30</v>
      </c>
      <c r="B68" s="3">
        <v>113.3791389</v>
      </c>
      <c r="C68" s="3">
        <v>23.066309839999999</v>
      </c>
      <c r="D68" s="3">
        <v>47</v>
      </c>
      <c r="E68" s="13">
        <f t="shared" si="3"/>
        <v>1.0763803567897929E-2</v>
      </c>
      <c r="F68" s="13">
        <f t="shared" si="4"/>
        <v>9.6386701478243815</v>
      </c>
      <c r="G68" s="14">
        <f>F68/$F$85*$D$2</f>
        <v>0</v>
      </c>
      <c r="H68" s="14">
        <f>F68/$F$85*$E$2</f>
        <v>40.506253865908413</v>
      </c>
      <c r="I68" s="25" t="str">
        <f t="shared" si="2"/>
        <v>选中</v>
      </c>
    </row>
    <row r="69" spans="1:9" hidden="1" x14ac:dyDescent="0.25">
      <c r="A69" s="3">
        <v>124</v>
      </c>
      <c r="B69" s="3">
        <v>113.3976954</v>
      </c>
      <c r="C69" s="3">
        <v>23.055812800000002</v>
      </c>
      <c r="D69" s="3">
        <v>47</v>
      </c>
      <c r="E69" s="13">
        <f t="shared" ref="E69:E83" si="5">SQRT((B69-$B$2)^2+(C69-$C$2)^2)</f>
        <v>1.0796479919978967E-2</v>
      </c>
      <c r="F69" s="13">
        <f t="shared" ref="F69:F83" si="6">SQRT(1/E69)</f>
        <v>9.6240730174220861</v>
      </c>
      <c r="G69" s="14" t="e">
        <f>F69/$F$124*$D$2</f>
        <v>#DIV/0!</v>
      </c>
      <c r="H69" s="14" t="e">
        <f>F69/$F$124*$E$2</f>
        <v>#DIV/0!</v>
      </c>
      <c r="I69" s="25" t="str">
        <f t="shared" si="2"/>
        <v/>
      </c>
    </row>
    <row r="70" spans="1:9" hidden="1" x14ac:dyDescent="0.25">
      <c r="A70" s="3">
        <v>44</v>
      </c>
      <c r="B70" s="3">
        <v>113.38725820000001</v>
      </c>
      <c r="C70" s="3">
        <v>23.07319429</v>
      </c>
      <c r="D70" s="3">
        <v>47</v>
      </c>
      <c r="E70" s="13">
        <f t="shared" si="5"/>
        <v>1.0900329134886123E-2</v>
      </c>
      <c r="F70" s="13">
        <f t="shared" si="6"/>
        <v>9.5781182435390519</v>
      </c>
      <c r="G70" s="14" t="e">
        <f>F70/$F$124*$D$2</f>
        <v>#DIV/0!</v>
      </c>
      <c r="H70" s="14" t="e">
        <f>F70/$F$124*$E$2</f>
        <v>#DIV/0!</v>
      </c>
      <c r="I70" s="25" t="str">
        <f t="shared" ref="I70:I83" si="7">IF(MOD(ROW()-1,3)=1,"选中","")</f>
        <v/>
      </c>
    </row>
    <row r="71" spans="1:9" x14ac:dyDescent="0.25">
      <c r="A71" s="3">
        <v>56</v>
      </c>
      <c r="B71" s="3">
        <v>113.4004985</v>
      </c>
      <c r="C71" s="3">
        <v>23.064042579999999</v>
      </c>
      <c r="D71" s="3">
        <v>47</v>
      </c>
      <c r="E71" s="13">
        <f t="shared" si="5"/>
        <v>1.1414348874185631E-2</v>
      </c>
      <c r="F71" s="13">
        <f t="shared" si="6"/>
        <v>9.3599693970317333</v>
      </c>
      <c r="G71" s="14">
        <f>F71/$F$85*$D$2</f>
        <v>0</v>
      </c>
      <c r="H71" s="14">
        <f>F71/$F$85*$E$2</f>
        <v>39.335021404262818</v>
      </c>
      <c r="I71" s="25" t="str">
        <f t="shared" si="7"/>
        <v>选中</v>
      </c>
    </row>
    <row r="72" spans="1:9" hidden="1" x14ac:dyDescent="0.25">
      <c r="A72" s="3">
        <v>125</v>
      </c>
      <c r="B72" s="3">
        <v>113.3971985</v>
      </c>
      <c r="C72" s="3">
        <v>23.05425245</v>
      </c>
      <c r="D72" s="3">
        <v>47</v>
      </c>
      <c r="E72" s="13">
        <f t="shared" si="5"/>
        <v>1.1470066661489068E-2</v>
      </c>
      <c r="F72" s="13">
        <f t="shared" si="6"/>
        <v>9.3372079048198042</v>
      </c>
      <c r="G72" s="14" t="e">
        <f>F72/$F$124*$D$2</f>
        <v>#DIV/0!</v>
      </c>
      <c r="H72" s="14" t="e">
        <f>F72/$F$124*$E$2</f>
        <v>#DIV/0!</v>
      </c>
      <c r="I72" s="25" t="str">
        <f t="shared" si="7"/>
        <v/>
      </c>
    </row>
    <row r="73" spans="1:9" hidden="1" x14ac:dyDescent="0.25">
      <c r="A73" s="3">
        <v>129</v>
      </c>
      <c r="B73" s="3">
        <v>113.4006866</v>
      </c>
      <c r="C73" s="3">
        <v>23.063323919999998</v>
      </c>
      <c r="D73" s="3">
        <v>47</v>
      </c>
      <c r="E73" s="13">
        <f t="shared" si="5"/>
        <v>1.1525092298115649E-2</v>
      </c>
      <c r="F73" s="13">
        <f t="shared" si="6"/>
        <v>9.3148913575115149</v>
      </c>
      <c r="G73" s="14" t="e">
        <f>F73/$F$124*$D$2</f>
        <v>#DIV/0!</v>
      </c>
      <c r="H73" s="14" t="e">
        <f>F73/$F$124*$E$2</f>
        <v>#DIV/0!</v>
      </c>
      <c r="I73" s="25" t="str">
        <f t="shared" si="7"/>
        <v/>
      </c>
    </row>
    <row r="74" spans="1:9" x14ac:dyDescent="0.25">
      <c r="A74" s="3">
        <v>122</v>
      </c>
      <c r="B74" s="3">
        <v>113.40085500000001</v>
      </c>
      <c r="C74" s="3">
        <v>23.058253109999999</v>
      </c>
      <c r="D74" s="3">
        <v>47</v>
      </c>
      <c r="E74" s="13">
        <f t="shared" si="5"/>
        <v>1.2399628818652822E-2</v>
      </c>
      <c r="F74" s="13">
        <f t="shared" si="6"/>
        <v>8.980399511892557</v>
      </c>
      <c r="G74" s="14">
        <f>F74/$F$85*$D$2</f>
        <v>0</v>
      </c>
      <c r="H74" s="14">
        <f>F74/$F$85*$E$2</f>
        <v>37.739889099546325</v>
      </c>
      <c r="I74" s="25" t="str">
        <f t="shared" si="7"/>
        <v>选中</v>
      </c>
    </row>
    <row r="75" spans="1:9" hidden="1" x14ac:dyDescent="0.25">
      <c r="A75" s="3">
        <v>127</v>
      </c>
      <c r="B75" s="3">
        <v>113.400944</v>
      </c>
      <c r="C75" s="3">
        <v>23.058180159999999</v>
      </c>
      <c r="D75" s="3">
        <v>47</v>
      </c>
      <c r="E75" s="13">
        <f t="shared" si="5"/>
        <v>1.2508182378011413E-2</v>
      </c>
      <c r="F75" s="13">
        <f t="shared" si="6"/>
        <v>8.9413459298571798</v>
      </c>
      <c r="G75" s="14" t="e">
        <f>F75/$F$124*$D$2</f>
        <v>#DIV/0!</v>
      </c>
      <c r="H75" s="14" t="e">
        <f>F75/$F$124*$E$2</f>
        <v>#DIV/0!</v>
      </c>
      <c r="I75" s="25" t="str">
        <f t="shared" si="7"/>
        <v/>
      </c>
    </row>
    <row r="76" spans="1:9" hidden="1" x14ac:dyDescent="0.25">
      <c r="A76" s="3">
        <v>143</v>
      </c>
      <c r="B76" s="3">
        <v>113.40176599999999</v>
      </c>
      <c r="C76" s="3">
        <v>23.063131219999999</v>
      </c>
      <c r="D76" s="3">
        <v>47</v>
      </c>
      <c r="E76" s="13">
        <f t="shared" si="5"/>
        <v>1.2590127067268314E-2</v>
      </c>
      <c r="F76" s="13">
        <f t="shared" si="6"/>
        <v>8.9122003970083963</v>
      </c>
      <c r="G76" s="14" t="e">
        <f>F76/$F$124*$D$2</f>
        <v>#DIV/0!</v>
      </c>
      <c r="H76" s="14" t="e">
        <f>F76/$F$124*$E$2</f>
        <v>#DIV/0!</v>
      </c>
      <c r="I76" s="25" t="str">
        <f t="shared" si="7"/>
        <v/>
      </c>
    </row>
    <row r="77" spans="1:9" x14ac:dyDescent="0.25">
      <c r="A77" s="3">
        <v>117</v>
      </c>
      <c r="B77" s="3">
        <v>113.4012211</v>
      </c>
      <c r="C77" s="3">
        <v>23.05827317</v>
      </c>
      <c r="D77" s="3">
        <v>47</v>
      </c>
      <c r="E77" s="13">
        <f t="shared" si="5"/>
        <v>1.2737926985683993E-2</v>
      </c>
      <c r="F77" s="13">
        <f t="shared" si="6"/>
        <v>8.8603447928258028</v>
      </c>
      <c r="G77" s="14">
        <f>F77/$F$85*$D$2</f>
        <v>0</v>
      </c>
      <c r="H77" s="14">
        <f>F77/$F$85*$E$2</f>
        <v>37.235362349098708</v>
      </c>
      <c r="I77" s="25" t="str">
        <f t="shared" si="7"/>
        <v>选中</v>
      </c>
    </row>
    <row r="78" spans="1:9" hidden="1" x14ac:dyDescent="0.25">
      <c r="A78" s="3">
        <v>142</v>
      </c>
      <c r="B78" s="3">
        <v>113.4016922</v>
      </c>
      <c r="C78" s="3">
        <v>23.05974964</v>
      </c>
      <c r="D78" s="3">
        <v>47</v>
      </c>
      <c r="E78" s="13">
        <f t="shared" si="5"/>
        <v>1.2790805251839387E-2</v>
      </c>
      <c r="F78" s="13">
        <f t="shared" si="6"/>
        <v>8.8420111191672568</v>
      </c>
      <c r="G78" s="14" t="e">
        <f>F78/$F$124*$D$2</f>
        <v>#DIV/0!</v>
      </c>
      <c r="H78" s="14" t="e">
        <f>F78/$F$124*$E$2</f>
        <v>#DIV/0!</v>
      </c>
      <c r="I78" s="25" t="str">
        <f t="shared" si="7"/>
        <v/>
      </c>
    </row>
    <row r="79" spans="1:9" hidden="1" x14ac:dyDescent="0.25">
      <c r="A79" s="3">
        <v>58</v>
      </c>
      <c r="B79" s="3">
        <v>113.4020671</v>
      </c>
      <c r="C79" s="3">
        <v>23.063571100000001</v>
      </c>
      <c r="D79" s="3">
        <v>47</v>
      </c>
      <c r="E79" s="13">
        <f t="shared" si="5"/>
        <v>1.292094901817983E-2</v>
      </c>
      <c r="F79" s="13">
        <f t="shared" si="6"/>
        <v>8.7973686959986637</v>
      </c>
      <c r="G79" s="14" t="e">
        <f>F79/$F$124*$D$2</f>
        <v>#DIV/0!</v>
      </c>
      <c r="H79" s="14" t="e">
        <f>F79/$F$124*$E$2</f>
        <v>#DIV/0!</v>
      </c>
      <c r="I79" s="25" t="str">
        <f t="shared" si="7"/>
        <v/>
      </c>
    </row>
    <row r="80" spans="1:9" x14ac:dyDescent="0.25">
      <c r="A80" s="3">
        <v>144</v>
      </c>
      <c r="B80" s="3">
        <v>113.4018853</v>
      </c>
      <c r="C80" s="3">
        <v>23.05920592</v>
      </c>
      <c r="D80" s="3">
        <v>47</v>
      </c>
      <c r="E80" s="13">
        <f t="shared" si="5"/>
        <v>1.3104188301844089E-2</v>
      </c>
      <c r="F80" s="13">
        <f t="shared" si="6"/>
        <v>8.7356442081830963</v>
      </c>
      <c r="G80" s="14">
        <f>F80/$F$85*$D$2</f>
        <v>0</v>
      </c>
      <c r="H80" s="14">
        <f>F80/$F$85*$E$2</f>
        <v>36.71131147265028</v>
      </c>
      <c r="I80" s="25" t="str">
        <f t="shared" si="7"/>
        <v>选中</v>
      </c>
    </row>
    <row r="81" spans="1:9" hidden="1" x14ac:dyDescent="0.25">
      <c r="A81" s="3">
        <v>116</v>
      </c>
      <c r="B81" s="3">
        <v>113.40150130000001</v>
      </c>
      <c r="C81" s="3">
        <v>23.057561539999998</v>
      </c>
      <c r="D81" s="3">
        <v>47</v>
      </c>
      <c r="E81" s="13">
        <f t="shared" si="5"/>
        <v>1.3249494992137657E-2</v>
      </c>
      <c r="F81" s="13">
        <f t="shared" si="6"/>
        <v>8.6876104157659171</v>
      </c>
      <c r="G81" s="14" t="e">
        <f>F81/$F$124*$D$2</f>
        <v>#DIV/0!</v>
      </c>
      <c r="H81" s="14" t="e">
        <f>F81/$F$124*$E$2</f>
        <v>#DIV/0!</v>
      </c>
      <c r="I81" s="25" t="str">
        <f t="shared" si="7"/>
        <v/>
      </c>
    </row>
    <row r="82" spans="1:9" hidden="1" x14ac:dyDescent="0.25">
      <c r="A82" s="3">
        <v>25</v>
      </c>
      <c r="B82" s="3">
        <v>113.37528450000001</v>
      </c>
      <c r="C82" s="3">
        <v>23.07357485</v>
      </c>
      <c r="D82" s="3">
        <v>47</v>
      </c>
      <c r="E82" s="13">
        <f t="shared" si="5"/>
        <v>1.7799976543877771E-2</v>
      </c>
      <c r="F82" s="13">
        <f t="shared" si="6"/>
        <v>7.4953218284766727</v>
      </c>
      <c r="G82" s="14" t="e">
        <f>F82/$F$124*$D$2</f>
        <v>#DIV/0!</v>
      </c>
      <c r="H82" s="14" t="e">
        <f>F82/$F$124*$E$2</f>
        <v>#DIV/0!</v>
      </c>
      <c r="I82" s="25" t="str">
        <f t="shared" si="7"/>
        <v/>
      </c>
    </row>
    <row r="83" spans="1:9" x14ac:dyDescent="0.25">
      <c r="A83" s="3">
        <v>28</v>
      </c>
      <c r="B83" s="3">
        <v>113.3710258</v>
      </c>
      <c r="C83" s="3">
        <v>23.069690550000001</v>
      </c>
      <c r="D83" s="3">
        <v>47</v>
      </c>
      <c r="E83" s="13">
        <f t="shared" si="5"/>
        <v>1.9550949611843178E-2</v>
      </c>
      <c r="F83" s="13">
        <f t="shared" si="6"/>
        <v>7.1518117063827047</v>
      </c>
      <c r="G83" s="14">
        <f>F83/$F$85*$D$2</f>
        <v>0</v>
      </c>
      <c r="H83" s="14">
        <f>F83/$F$85*$E$2</f>
        <v>30.05529768495111</v>
      </c>
      <c r="I83" s="25" t="str">
        <f t="shared" si="7"/>
        <v>选中</v>
      </c>
    </row>
    <row r="84" spans="1:9" x14ac:dyDescent="0.25">
      <c r="A84" s="3"/>
      <c r="B84" s="3"/>
      <c r="C84" s="3"/>
      <c r="D84" s="3"/>
      <c r="G84" s="14"/>
      <c r="H84" s="14"/>
    </row>
    <row r="85" spans="1:9" x14ac:dyDescent="0.25">
      <c r="A85" s="3"/>
      <c r="B85" s="3"/>
      <c r="C85" s="3"/>
      <c r="D85" s="3"/>
      <c r="F85" s="13">
        <f>SUBTOTAL(9,F5:F83)</f>
        <v>366.45087143302675</v>
      </c>
      <c r="G85" s="13">
        <f>SUBTOTAL(9,G5:G83)</f>
        <v>0</v>
      </c>
      <c r="H85" s="13">
        <f>SUBTOTAL(9,H5:H83)</f>
        <v>1540.0000000000005</v>
      </c>
    </row>
    <row r="86" spans="1:9" x14ac:dyDescent="0.25">
      <c r="A86" s="3"/>
      <c r="B86" s="3"/>
      <c r="C86" s="3"/>
      <c r="D86" s="3"/>
      <c r="G86" s="14"/>
      <c r="H86" s="14"/>
    </row>
    <row r="87" spans="1:9" x14ac:dyDescent="0.25">
      <c r="A87" s="3"/>
      <c r="B87" s="3"/>
      <c r="C87" s="3"/>
      <c r="D87" s="3"/>
      <c r="G87" s="14"/>
      <c r="H87" s="14"/>
    </row>
    <row r="88" spans="1:9" x14ac:dyDescent="0.25">
      <c r="A88" s="3"/>
      <c r="B88" s="3"/>
      <c r="C88" s="3"/>
      <c r="D88" s="3"/>
      <c r="G88" s="14"/>
      <c r="H88" s="14"/>
    </row>
    <row r="89" spans="1:9" x14ac:dyDescent="0.25">
      <c r="A89" s="3"/>
      <c r="B89" s="3"/>
      <c r="C89" s="3"/>
      <c r="D89" s="3"/>
      <c r="G89" s="14"/>
      <c r="H89" s="14"/>
    </row>
    <row r="90" spans="1:9" x14ac:dyDescent="0.25">
      <c r="A90" s="3"/>
      <c r="B90" s="3"/>
      <c r="C90" s="3"/>
      <c r="D90" s="3"/>
      <c r="G90" s="14"/>
      <c r="H90" s="14"/>
    </row>
    <row r="91" spans="1:9" x14ac:dyDescent="0.25">
      <c r="A91" s="3"/>
      <c r="B91" s="3"/>
      <c r="C91" s="3"/>
      <c r="D91" s="3"/>
      <c r="G91" s="14"/>
      <c r="H91" s="14"/>
    </row>
    <row r="92" spans="1:9" x14ac:dyDescent="0.25">
      <c r="A92" s="3"/>
      <c r="B92" s="3"/>
      <c r="C92" s="3"/>
      <c r="D92" s="3"/>
      <c r="G92" s="14"/>
      <c r="H92" s="14"/>
    </row>
    <row r="93" spans="1:9" x14ac:dyDescent="0.25">
      <c r="A93" s="3"/>
      <c r="B93" s="3"/>
      <c r="C93" s="3"/>
      <c r="D93" s="3"/>
      <c r="G93" s="14"/>
      <c r="H93" s="14"/>
    </row>
    <row r="94" spans="1:9" x14ac:dyDescent="0.25">
      <c r="A94" s="3"/>
      <c r="B94" s="3"/>
      <c r="C94" s="3"/>
      <c r="D94" s="3"/>
      <c r="G94" s="14"/>
      <c r="H94" s="14"/>
    </row>
    <row r="95" spans="1:9" x14ac:dyDescent="0.25">
      <c r="A95" s="3"/>
      <c r="B95" s="3"/>
      <c r="C95" s="3"/>
      <c r="D95" s="3"/>
      <c r="G95" s="14"/>
      <c r="H95" s="14"/>
    </row>
    <row r="96" spans="1:9" x14ac:dyDescent="0.25">
      <c r="A96" s="3"/>
      <c r="B96" s="3"/>
      <c r="C96" s="3"/>
      <c r="D96" s="3"/>
      <c r="G96" s="14"/>
      <c r="H96" s="14"/>
    </row>
    <row r="97" spans="1:8" x14ac:dyDescent="0.25">
      <c r="A97" s="3"/>
      <c r="B97" s="3"/>
      <c r="C97" s="3"/>
      <c r="D97" s="3"/>
      <c r="G97" s="14"/>
      <c r="H97" s="14"/>
    </row>
    <row r="98" spans="1:8" x14ac:dyDescent="0.25">
      <c r="A98" s="3"/>
      <c r="B98" s="3"/>
      <c r="C98" s="3"/>
      <c r="D98" s="3"/>
      <c r="G98" s="14"/>
      <c r="H98" s="14"/>
    </row>
    <row r="99" spans="1:8" x14ac:dyDescent="0.25">
      <c r="A99" s="3"/>
      <c r="B99" s="3"/>
      <c r="C99" s="3"/>
      <c r="D99" s="3"/>
      <c r="G99" s="14"/>
      <c r="H99" s="14"/>
    </row>
    <row r="100" spans="1:8" x14ac:dyDescent="0.25">
      <c r="A100" s="3"/>
      <c r="B100" s="3"/>
      <c r="C100" s="3"/>
      <c r="D100" s="3"/>
      <c r="G100" s="14"/>
      <c r="H100" s="14"/>
    </row>
    <row r="101" spans="1:8" x14ac:dyDescent="0.25">
      <c r="A101" s="3"/>
      <c r="B101" s="3"/>
      <c r="C101" s="3"/>
      <c r="D101" s="3"/>
      <c r="G101" s="14"/>
      <c r="H101" s="14"/>
    </row>
    <row r="102" spans="1:8" x14ac:dyDescent="0.25">
      <c r="A102" s="3"/>
      <c r="B102" s="3"/>
      <c r="C102" s="3"/>
      <c r="D102" s="3"/>
      <c r="G102" s="14"/>
      <c r="H102" s="14"/>
    </row>
    <row r="103" spans="1:8" x14ac:dyDescent="0.25">
      <c r="A103" s="3"/>
      <c r="B103" s="3"/>
      <c r="C103" s="3"/>
      <c r="D103" s="3"/>
      <c r="G103" s="14"/>
      <c r="H103" s="14"/>
    </row>
    <row r="104" spans="1:8" x14ac:dyDescent="0.25">
      <c r="A104" s="3"/>
      <c r="B104" s="3"/>
      <c r="C104" s="3"/>
      <c r="D104" s="3"/>
      <c r="G104" s="14"/>
      <c r="H104" s="14"/>
    </row>
    <row r="105" spans="1:8" x14ac:dyDescent="0.25">
      <c r="A105" s="3"/>
      <c r="B105" s="3"/>
      <c r="C105" s="3"/>
      <c r="D105" s="3"/>
      <c r="G105" s="14"/>
      <c r="H105" s="14"/>
    </row>
    <row r="106" spans="1:8" x14ac:dyDescent="0.25">
      <c r="A106" s="3"/>
      <c r="B106" s="3"/>
      <c r="C106" s="3"/>
      <c r="D106" s="3"/>
      <c r="G106" s="14"/>
      <c r="H106" s="14"/>
    </row>
    <row r="107" spans="1:8" x14ac:dyDescent="0.25">
      <c r="A107" s="3"/>
      <c r="B107" s="3"/>
      <c r="C107" s="3"/>
      <c r="D107" s="3"/>
      <c r="G107" s="14"/>
      <c r="H107" s="14"/>
    </row>
    <row r="108" spans="1:8" x14ac:dyDescent="0.25">
      <c r="A108" s="3"/>
      <c r="B108" s="3"/>
      <c r="C108" s="3"/>
      <c r="D108" s="3"/>
      <c r="G108" s="14"/>
      <c r="H108" s="14"/>
    </row>
    <row r="109" spans="1:8" x14ac:dyDescent="0.25">
      <c r="A109" s="3"/>
      <c r="B109" s="3"/>
      <c r="C109" s="3"/>
      <c r="D109" s="3"/>
      <c r="G109" s="14"/>
      <c r="H109" s="14"/>
    </row>
    <row r="110" spans="1:8" x14ac:dyDescent="0.25">
      <c r="A110" s="3"/>
      <c r="B110" s="3"/>
      <c r="C110" s="3"/>
      <c r="D110" s="3"/>
      <c r="G110" s="14"/>
      <c r="H110" s="14"/>
    </row>
    <row r="111" spans="1:8" x14ac:dyDescent="0.25">
      <c r="A111" s="3"/>
      <c r="B111" s="3"/>
      <c r="C111" s="3"/>
      <c r="D111" s="3"/>
      <c r="G111" s="14"/>
      <c r="H111" s="14"/>
    </row>
    <row r="112" spans="1:8" x14ac:dyDescent="0.25">
      <c r="A112" s="3"/>
      <c r="B112" s="3"/>
      <c r="C112" s="3"/>
      <c r="D112" s="3"/>
      <c r="G112" s="14"/>
      <c r="H112" s="14"/>
    </row>
    <row r="113" spans="1:8" x14ac:dyDescent="0.25">
      <c r="A113" s="3"/>
      <c r="B113" s="3"/>
      <c r="C113" s="3"/>
      <c r="D113" s="3"/>
      <c r="G113" s="14"/>
      <c r="H113" s="14"/>
    </row>
    <row r="114" spans="1:8" x14ac:dyDescent="0.25">
      <c r="A114" s="3"/>
      <c r="B114" s="3"/>
      <c r="C114" s="3"/>
      <c r="D114" s="3"/>
      <c r="G114" s="14"/>
      <c r="H114" s="14"/>
    </row>
    <row r="115" spans="1:8" x14ac:dyDescent="0.25">
      <c r="A115" s="3"/>
      <c r="B115" s="3"/>
      <c r="C115" s="3"/>
      <c r="D115" s="3"/>
      <c r="G115" s="14"/>
      <c r="H115" s="14"/>
    </row>
    <row r="116" spans="1:8" x14ac:dyDescent="0.25">
      <c r="A116" s="3"/>
      <c r="B116" s="3"/>
      <c r="C116" s="3"/>
      <c r="D116" s="3"/>
      <c r="G116" s="14"/>
      <c r="H116" s="14"/>
    </row>
    <row r="117" spans="1:8" x14ac:dyDescent="0.25">
      <c r="A117" s="3"/>
      <c r="B117" s="3"/>
      <c r="C117" s="3"/>
      <c r="D117" s="3"/>
      <c r="G117" s="14"/>
      <c r="H117" s="14"/>
    </row>
    <row r="118" spans="1:8" x14ac:dyDescent="0.25">
      <c r="A118" s="3"/>
      <c r="B118" s="3"/>
      <c r="C118" s="3"/>
      <c r="D118" s="3"/>
      <c r="G118" s="14"/>
      <c r="H118" s="14"/>
    </row>
    <row r="119" spans="1:8" x14ac:dyDescent="0.25">
      <c r="A119" s="3"/>
      <c r="B119" s="3"/>
      <c r="C119" s="3"/>
      <c r="D119" s="3"/>
      <c r="G119" s="14"/>
      <c r="H119" s="14"/>
    </row>
    <row r="120" spans="1:8" x14ac:dyDescent="0.25">
      <c r="A120" s="3"/>
      <c r="B120" s="3"/>
      <c r="C120" s="3"/>
      <c r="D120" s="3"/>
      <c r="G120" s="14"/>
      <c r="H120" s="14"/>
    </row>
    <row r="121" spans="1:8" x14ac:dyDescent="0.25">
      <c r="A121" s="3"/>
      <c r="B121" s="3"/>
      <c r="C121" s="3"/>
      <c r="D121" s="3"/>
      <c r="G121" s="14"/>
      <c r="H121" s="14"/>
    </row>
    <row r="122" spans="1:8" x14ac:dyDescent="0.25">
      <c r="A122" s="3"/>
      <c r="B122" s="3"/>
      <c r="C122" s="3"/>
      <c r="D122" s="3"/>
      <c r="G122" s="14"/>
      <c r="H122" s="14"/>
    </row>
    <row r="123" spans="1:8" x14ac:dyDescent="0.25">
      <c r="A123" s="3"/>
      <c r="B123" s="3"/>
      <c r="C123" s="3"/>
      <c r="D123" s="3"/>
      <c r="G123" s="14"/>
      <c r="H123" s="14"/>
    </row>
    <row r="124" spans="1:8" x14ac:dyDescent="0.25">
      <c r="A124" s="3"/>
      <c r="B124" s="3"/>
      <c r="C124" s="3"/>
      <c r="D124" s="3"/>
      <c r="G124" s="14"/>
      <c r="H124" s="14"/>
    </row>
    <row r="125" spans="1:8" x14ac:dyDescent="0.25">
      <c r="A125" s="3"/>
      <c r="B125" s="3"/>
      <c r="C125" s="3"/>
      <c r="D125" s="3"/>
      <c r="G125" s="14"/>
      <c r="H125" s="14"/>
    </row>
    <row r="126" spans="1:8" x14ac:dyDescent="0.25">
      <c r="A126" s="18"/>
      <c r="B126" s="3"/>
      <c r="C126" s="3"/>
      <c r="D126" s="3"/>
      <c r="G126" s="14"/>
      <c r="H126" s="14"/>
    </row>
    <row r="127" spans="1:8" x14ac:dyDescent="0.25">
      <c r="A127" s="3"/>
      <c r="B127" s="3"/>
      <c r="C127" s="3"/>
      <c r="D127" s="3"/>
      <c r="G127" s="14"/>
      <c r="H127" s="14"/>
    </row>
    <row r="128" spans="1:8" x14ac:dyDescent="0.25">
      <c r="A128" s="3"/>
      <c r="B128" s="3"/>
      <c r="C128" s="3"/>
      <c r="D128" s="3"/>
      <c r="G128" s="14"/>
      <c r="H128" s="14"/>
    </row>
    <row r="129" spans="1:8" x14ac:dyDescent="0.25">
      <c r="A129" s="3"/>
      <c r="B129" s="3"/>
      <c r="C129" s="3"/>
      <c r="D129" s="3"/>
      <c r="G129" s="14"/>
      <c r="H129" s="14"/>
    </row>
    <row r="130" spans="1:8" x14ac:dyDescent="0.25">
      <c r="A130" s="3"/>
      <c r="B130" s="3"/>
      <c r="C130" s="3"/>
      <c r="D130" s="3"/>
      <c r="G130" s="14"/>
      <c r="H130" s="14"/>
    </row>
    <row r="131" spans="1:8" x14ac:dyDescent="0.25">
      <c r="A131" s="3"/>
      <c r="B131" s="3"/>
      <c r="C131" s="3"/>
      <c r="D131" s="3"/>
      <c r="G131" s="14"/>
      <c r="H131" s="14"/>
    </row>
    <row r="132" spans="1:8" x14ac:dyDescent="0.25">
      <c r="A132" s="3"/>
      <c r="B132" s="3"/>
      <c r="C132" s="3"/>
      <c r="D132" s="3"/>
      <c r="G132" s="14"/>
      <c r="H132" s="14"/>
    </row>
    <row r="133" spans="1:8" x14ac:dyDescent="0.25">
      <c r="A133" s="3"/>
      <c r="B133" s="3"/>
      <c r="C133" s="3"/>
      <c r="D133" s="3"/>
      <c r="G133" s="14"/>
      <c r="H133" s="14"/>
    </row>
    <row r="134" spans="1:8" x14ac:dyDescent="0.25">
      <c r="A134" s="3"/>
      <c r="B134" s="3"/>
      <c r="C134" s="3"/>
      <c r="D134" s="3"/>
      <c r="G134" s="14"/>
      <c r="H134" s="14"/>
    </row>
    <row r="135" spans="1:8" x14ac:dyDescent="0.25">
      <c r="A135" s="3"/>
      <c r="B135" s="3"/>
      <c r="C135" s="3"/>
      <c r="D135" s="3"/>
      <c r="G135" s="14"/>
      <c r="H135" s="14"/>
    </row>
    <row r="136" spans="1:8" x14ac:dyDescent="0.25">
      <c r="A136" s="3"/>
      <c r="B136" s="3"/>
      <c r="C136" s="3"/>
      <c r="D136" s="3"/>
      <c r="G136" s="14"/>
      <c r="H136" s="14"/>
    </row>
    <row r="137" spans="1:8" x14ac:dyDescent="0.25">
      <c r="A137" s="3"/>
      <c r="B137" s="3"/>
      <c r="C137" s="3"/>
      <c r="D137" s="3"/>
      <c r="G137" s="14"/>
      <c r="H137" s="14"/>
    </row>
    <row r="138" spans="1:8" x14ac:dyDescent="0.25">
      <c r="A138" s="3"/>
      <c r="B138" s="3"/>
      <c r="C138" s="3"/>
      <c r="D138" s="3"/>
      <c r="G138" s="14"/>
      <c r="H138" s="14"/>
    </row>
    <row r="139" spans="1:8" x14ac:dyDescent="0.25">
      <c r="A139" s="3"/>
      <c r="B139" s="3"/>
      <c r="C139" s="3"/>
      <c r="D139" s="3"/>
      <c r="G139" s="14"/>
      <c r="H139" s="14"/>
    </row>
    <row r="140" spans="1:8" x14ac:dyDescent="0.25">
      <c r="A140" s="3"/>
      <c r="B140" s="3"/>
      <c r="C140" s="3"/>
      <c r="D140" s="3"/>
      <c r="G140" s="14"/>
      <c r="H140" s="14"/>
    </row>
    <row r="141" spans="1:8" x14ac:dyDescent="0.25">
      <c r="A141" s="3"/>
      <c r="B141" s="3"/>
      <c r="C141" s="3"/>
      <c r="D141" s="3"/>
      <c r="G141" s="14"/>
      <c r="H141" s="14"/>
    </row>
    <row r="142" spans="1:8" x14ac:dyDescent="0.25">
      <c r="A142" s="3"/>
      <c r="B142" s="3"/>
      <c r="C142" s="3"/>
      <c r="D142" s="3"/>
      <c r="G142" s="14"/>
      <c r="H142" s="14"/>
    </row>
    <row r="143" spans="1:8" x14ac:dyDescent="0.25">
      <c r="A143" s="3"/>
      <c r="B143" s="3"/>
      <c r="C143" s="3"/>
      <c r="D143" s="3"/>
      <c r="G143" s="14"/>
      <c r="H143" s="14"/>
    </row>
    <row r="144" spans="1:8" x14ac:dyDescent="0.25">
      <c r="A144" s="3"/>
      <c r="B144" s="3"/>
      <c r="C144" s="3"/>
      <c r="D144" s="3"/>
      <c r="G144" s="14"/>
      <c r="H144" s="14"/>
    </row>
    <row r="145" spans="1:8" x14ac:dyDescent="0.25">
      <c r="A145" s="3"/>
      <c r="B145" s="3"/>
      <c r="C145" s="3"/>
      <c r="D145" s="3"/>
      <c r="G145" s="14"/>
      <c r="H145" s="14"/>
    </row>
    <row r="146" spans="1:8" x14ac:dyDescent="0.25">
      <c r="A146" s="3"/>
      <c r="B146" s="3"/>
      <c r="C146" s="3"/>
      <c r="D146" s="3"/>
      <c r="G146" s="14"/>
      <c r="H146" s="14"/>
    </row>
    <row r="147" spans="1:8" x14ac:dyDescent="0.25">
      <c r="A147" s="3"/>
      <c r="B147" s="3"/>
      <c r="C147" s="3"/>
      <c r="D147" s="3"/>
      <c r="G147" s="14"/>
      <c r="H147" s="14"/>
    </row>
    <row r="148" spans="1:8" x14ac:dyDescent="0.25">
      <c r="A148" s="3"/>
      <c r="B148" s="3"/>
      <c r="C148" s="3"/>
      <c r="D148" s="3"/>
      <c r="G148" s="14"/>
      <c r="H148" s="14"/>
    </row>
    <row r="149" spans="1:8" x14ac:dyDescent="0.25">
      <c r="A149" s="3"/>
      <c r="B149" s="3"/>
      <c r="C149" s="3"/>
      <c r="D149" s="3"/>
      <c r="G149" s="14"/>
      <c r="H149" s="14"/>
    </row>
    <row r="150" spans="1:8" x14ac:dyDescent="0.25">
      <c r="A150" s="3"/>
      <c r="B150" s="3"/>
      <c r="C150" s="3"/>
      <c r="D150" s="3"/>
      <c r="G150" s="14"/>
      <c r="H150" s="14"/>
    </row>
    <row r="151" spans="1:8" x14ac:dyDescent="0.25">
      <c r="A151" s="3"/>
      <c r="B151" s="3"/>
      <c r="C151" s="3"/>
      <c r="D151" s="3"/>
      <c r="G151" s="14"/>
      <c r="H151" s="14"/>
    </row>
    <row r="152" spans="1:8" x14ac:dyDescent="0.25">
      <c r="A152" s="3"/>
      <c r="B152" s="3"/>
      <c r="C152" s="3"/>
      <c r="D152" s="3"/>
      <c r="G152" s="14"/>
      <c r="H152" s="14"/>
    </row>
    <row r="153" spans="1:8" x14ac:dyDescent="0.25">
      <c r="A153" s="3"/>
      <c r="B153" s="3"/>
      <c r="C153" s="3"/>
      <c r="D153" s="3"/>
      <c r="G153" s="14"/>
      <c r="H153" s="14"/>
    </row>
    <row r="154" spans="1:8" x14ac:dyDescent="0.25">
      <c r="A154" s="3"/>
      <c r="B154" s="3"/>
      <c r="C154" s="3"/>
      <c r="D154" s="3"/>
      <c r="G154" s="14"/>
      <c r="H154" s="14"/>
    </row>
    <row r="155" spans="1:8" x14ac:dyDescent="0.25">
      <c r="A155" s="3"/>
      <c r="B155" s="3"/>
      <c r="C155" s="3"/>
      <c r="D155" s="3"/>
      <c r="G155" s="14"/>
      <c r="H155" s="14"/>
    </row>
    <row r="156" spans="1:8" x14ac:dyDescent="0.25">
      <c r="A156" s="3"/>
      <c r="B156" s="3"/>
      <c r="C156" s="3"/>
      <c r="D156" s="3"/>
      <c r="G156" s="14"/>
      <c r="H156" s="14"/>
    </row>
    <row r="157" spans="1:8" x14ac:dyDescent="0.25">
      <c r="A157" s="3"/>
      <c r="B157" s="3"/>
      <c r="C157" s="3"/>
      <c r="D157" s="3"/>
      <c r="G157" s="14"/>
      <c r="H157" s="14"/>
    </row>
    <row r="158" spans="1:8" x14ac:dyDescent="0.25">
      <c r="A158" s="3"/>
      <c r="B158" s="3"/>
      <c r="C158" s="3"/>
      <c r="D158" s="3"/>
      <c r="G158" s="14"/>
      <c r="H158" s="14"/>
    </row>
    <row r="159" spans="1:8" x14ac:dyDescent="0.25">
      <c r="A159" s="3"/>
      <c r="B159" s="3"/>
      <c r="C159" s="3"/>
      <c r="D159" s="3"/>
      <c r="G159" s="14"/>
      <c r="H159" s="14"/>
    </row>
    <row r="160" spans="1:8" x14ac:dyDescent="0.25">
      <c r="A160" s="3"/>
      <c r="B160" s="3"/>
      <c r="C160" s="3"/>
      <c r="D160" s="3"/>
      <c r="G160" s="14"/>
      <c r="H160" s="14"/>
    </row>
    <row r="161" spans="1:8" x14ac:dyDescent="0.25">
      <c r="A161" s="3"/>
      <c r="B161" s="3"/>
      <c r="C161" s="3"/>
      <c r="D161" s="3"/>
      <c r="G161" s="14"/>
      <c r="H161" s="14"/>
    </row>
    <row r="162" spans="1:8" x14ac:dyDescent="0.25">
      <c r="A162" s="3"/>
      <c r="B162" s="3"/>
      <c r="C162" s="3"/>
      <c r="D162" s="3"/>
      <c r="G162" s="14"/>
      <c r="H162" s="14"/>
    </row>
    <row r="163" spans="1:8" x14ac:dyDescent="0.25">
      <c r="A163" s="3"/>
      <c r="B163" s="3"/>
      <c r="C163" s="3"/>
      <c r="D163" s="3"/>
      <c r="G163" s="14"/>
      <c r="H163" s="14"/>
    </row>
    <row r="164" spans="1:8" x14ac:dyDescent="0.25">
      <c r="A164" s="3"/>
      <c r="B164" s="3"/>
      <c r="C164" s="3"/>
      <c r="D164" s="3"/>
      <c r="G164" s="14"/>
      <c r="H164" s="14"/>
    </row>
    <row r="165" spans="1:8" x14ac:dyDescent="0.25">
      <c r="A165" s="3"/>
      <c r="B165" s="3"/>
      <c r="C165" s="3"/>
      <c r="D165" s="3"/>
      <c r="G165" s="14"/>
      <c r="H165" s="14"/>
    </row>
    <row r="166" spans="1:8" x14ac:dyDescent="0.25">
      <c r="A166" s="3"/>
      <c r="B166" s="3"/>
      <c r="C166" s="3"/>
      <c r="D166" s="3"/>
      <c r="G166" s="14"/>
      <c r="H166" s="14"/>
    </row>
    <row r="167" spans="1:8" x14ac:dyDescent="0.25">
      <c r="A167" s="3"/>
      <c r="B167" s="3"/>
      <c r="C167" s="3"/>
      <c r="D167" s="3"/>
      <c r="G167" s="14"/>
      <c r="H167" s="14"/>
    </row>
    <row r="168" spans="1:8" x14ac:dyDescent="0.25">
      <c r="A168" s="3"/>
      <c r="B168" s="3"/>
      <c r="C168" s="3"/>
      <c r="D168" s="3"/>
      <c r="G168" s="14"/>
      <c r="H168" s="14"/>
    </row>
    <row r="169" spans="1:8" x14ac:dyDescent="0.25">
      <c r="A169" s="3"/>
      <c r="B169" s="3"/>
      <c r="C169" s="3"/>
      <c r="D169" s="3"/>
      <c r="G169" s="14"/>
      <c r="H169" s="14"/>
    </row>
    <row r="170" spans="1:8" x14ac:dyDescent="0.25">
      <c r="A170" s="3"/>
      <c r="B170" s="3"/>
      <c r="C170" s="3"/>
      <c r="D170" s="3"/>
      <c r="G170" s="14"/>
      <c r="H170" s="14"/>
    </row>
    <row r="171" spans="1:8" x14ac:dyDescent="0.25">
      <c r="A171" s="3"/>
      <c r="B171" s="3"/>
      <c r="C171" s="3"/>
      <c r="D171" s="3"/>
      <c r="G171" s="14"/>
      <c r="H171" s="14"/>
    </row>
    <row r="172" spans="1:8" x14ac:dyDescent="0.25">
      <c r="A172" s="3"/>
      <c r="B172" s="3"/>
      <c r="C172" s="3"/>
      <c r="D172" s="3"/>
      <c r="G172" s="14"/>
      <c r="H172" s="14"/>
    </row>
    <row r="173" spans="1:8" x14ac:dyDescent="0.25">
      <c r="A173" s="3"/>
      <c r="B173" s="3"/>
      <c r="C173" s="3"/>
      <c r="D173" s="3"/>
      <c r="G173" s="14"/>
      <c r="H173" s="14"/>
    </row>
    <row r="174" spans="1:8" x14ac:dyDescent="0.25">
      <c r="A174" s="3"/>
      <c r="B174" s="3"/>
      <c r="C174" s="3"/>
      <c r="D174" s="3"/>
      <c r="G174" s="14"/>
      <c r="H174" s="14"/>
    </row>
    <row r="175" spans="1:8" x14ac:dyDescent="0.25">
      <c r="A175" s="3"/>
      <c r="B175" s="3"/>
      <c r="C175" s="3"/>
      <c r="D175" s="3"/>
      <c r="G175" s="14"/>
      <c r="H175" s="14"/>
    </row>
    <row r="176" spans="1:8" x14ac:dyDescent="0.25">
      <c r="A176" s="3"/>
      <c r="B176" s="3"/>
      <c r="C176" s="3"/>
      <c r="D176" s="3"/>
      <c r="G176" s="14"/>
      <c r="H176" s="14"/>
    </row>
    <row r="177" spans="1:8" x14ac:dyDescent="0.25">
      <c r="A177" s="3"/>
      <c r="B177" s="3"/>
      <c r="C177" s="3"/>
      <c r="D177" s="3"/>
      <c r="G177" s="14"/>
      <c r="H177" s="14"/>
    </row>
    <row r="178" spans="1:8" x14ac:dyDescent="0.25">
      <c r="A178" s="3"/>
      <c r="B178" s="3"/>
      <c r="C178" s="3"/>
      <c r="D178" s="3"/>
      <c r="G178" s="14"/>
      <c r="H178" s="14"/>
    </row>
    <row r="179" spans="1:8" x14ac:dyDescent="0.25">
      <c r="A179" s="3"/>
      <c r="B179" s="3"/>
      <c r="C179" s="3"/>
      <c r="D179" s="3"/>
      <c r="G179" s="14"/>
      <c r="H179" s="14"/>
    </row>
    <row r="180" spans="1:8" x14ac:dyDescent="0.25">
      <c r="A180" s="3"/>
      <c r="B180" s="3"/>
      <c r="C180" s="3"/>
      <c r="D180" s="3"/>
      <c r="G180" s="14"/>
      <c r="H180" s="14"/>
    </row>
    <row r="181" spans="1:8" x14ac:dyDescent="0.25">
      <c r="A181" s="3"/>
      <c r="B181" s="3"/>
      <c r="C181" s="3"/>
      <c r="D181" s="3"/>
      <c r="G181" s="14"/>
      <c r="H181" s="14"/>
    </row>
    <row r="182" spans="1:8" x14ac:dyDescent="0.25">
      <c r="A182" s="3"/>
      <c r="B182" s="3"/>
      <c r="C182" s="3"/>
      <c r="D182" s="3"/>
      <c r="G182" s="14"/>
      <c r="H182" s="14"/>
    </row>
    <row r="183" spans="1:8" x14ac:dyDescent="0.25">
      <c r="A183" s="3"/>
      <c r="B183" s="3"/>
      <c r="C183" s="3"/>
      <c r="D183" s="3"/>
      <c r="G183" s="14"/>
      <c r="H183" s="14"/>
    </row>
    <row r="184" spans="1:8" x14ac:dyDescent="0.25">
      <c r="A184" s="3"/>
      <c r="B184" s="3"/>
      <c r="C184" s="3"/>
      <c r="D184" s="3"/>
      <c r="G184" s="14"/>
      <c r="H184" s="14"/>
    </row>
    <row r="185" spans="1:8" x14ac:dyDescent="0.25">
      <c r="A185" s="3"/>
      <c r="B185" s="3"/>
      <c r="C185" s="3"/>
      <c r="D185" s="3"/>
      <c r="G185" s="14"/>
      <c r="H185" s="14"/>
    </row>
    <row r="186" spans="1:8" x14ac:dyDescent="0.25">
      <c r="A186" s="3"/>
      <c r="B186" s="3"/>
      <c r="C186" s="3"/>
      <c r="D186" s="3"/>
      <c r="G186" s="14"/>
      <c r="H186" s="14"/>
    </row>
    <row r="187" spans="1:8" x14ac:dyDescent="0.25">
      <c r="A187" s="3"/>
      <c r="B187" s="3"/>
      <c r="C187" s="3"/>
      <c r="D187" s="3"/>
      <c r="G187" s="14"/>
      <c r="H187" s="14"/>
    </row>
    <row r="188" spans="1:8" x14ac:dyDescent="0.25">
      <c r="A188" s="3"/>
      <c r="B188" s="3"/>
      <c r="C188" s="3"/>
      <c r="D188" s="3"/>
      <c r="G188" s="14"/>
      <c r="H188" s="14"/>
    </row>
    <row r="189" spans="1:8" x14ac:dyDescent="0.25">
      <c r="A189" s="3"/>
      <c r="B189" s="3"/>
      <c r="C189" s="3"/>
      <c r="D189" s="3"/>
      <c r="G189" s="14"/>
      <c r="H189" s="14"/>
    </row>
    <row r="190" spans="1:8" x14ac:dyDescent="0.25">
      <c r="A190" s="3"/>
      <c r="B190" s="3"/>
      <c r="C190" s="3"/>
      <c r="D190" s="3"/>
      <c r="G190" s="14"/>
      <c r="H190" s="14"/>
    </row>
    <row r="191" spans="1:8" x14ac:dyDescent="0.25">
      <c r="A191" s="3"/>
      <c r="B191" s="3"/>
      <c r="C191" s="3"/>
      <c r="D191" s="3"/>
      <c r="G191" s="14"/>
      <c r="H191" s="14"/>
    </row>
    <row r="192" spans="1:8" x14ac:dyDescent="0.25">
      <c r="A192" s="3"/>
      <c r="B192" s="3"/>
      <c r="C192" s="3"/>
      <c r="D192" s="3"/>
      <c r="G192" s="14"/>
      <c r="H192" s="14"/>
    </row>
    <row r="193" spans="1:8" x14ac:dyDescent="0.25">
      <c r="A193" s="3"/>
      <c r="B193" s="3"/>
      <c r="C193" s="3"/>
      <c r="D193" s="3"/>
      <c r="G193" s="14"/>
      <c r="H193" s="14"/>
    </row>
    <row r="194" spans="1:8" x14ac:dyDescent="0.25">
      <c r="A194" s="3"/>
      <c r="B194" s="3"/>
      <c r="C194" s="3"/>
      <c r="D194" s="3"/>
      <c r="G194" s="14"/>
      <c r="H194" s="14"/>
    </row>
    <row r="195" spans="1:8" x14ac:dyDescent="0.25">
      <c r="A195" s="3"/>
      <c r="B195" s="3"/>
      <c r="C195" s="3"/>
      <c r="D195" s="3"/>
      <c r="G195" s="14"/>
      <c r="H195" s="14"/>
    </row>
    <row r="196" spans="1:8" x14ac:dyDescent="0.25">
      <c r="A196" s="3"/>
      <c r="B196" s="3"/>
      <c r="C196" s="3"/>
      <c r="D196" s="3"/>
      <c r="G196" s="14"/>
      <c r="H196" s="14"/>
    </row>
    <row r="197" spans="1:8" x14ac:dyDescent="0.25">
      <c r="A197" s="3"/>
      <c r="B197" s="3"/>
      <c r="C197" s="3"/>
      <c r="D197" s="3"/>
      <c r="G197" s="14"/>
      <c r="H197" s="14"/>
    </row>
    <row r="198" spans="1:8" x14ac:dyDescent="0.25">
      <c r="A198" s="3"/>
      <c r="B198" s="3"/>
      <c r="C198" s="3"/>
      <c r="D198" s="3"/>
      <c r="G198" s="14"/>
      <c r="H198" s="14"/>
    </row>
    <row r="199" spans="1:8" x14ac:dyDescent="0.25">
      <c r="A199" s="3"/>
      <c r="B199" s="3"/>
      <c r="C199" s="3"/>
      <c r="D199" s="3"/>
      <c r="G199" s="14"/>
      <c r="H199" s="14"/>
    </row>
    <row r="200" spans="1:8" x14ac:dyDescent="0.25">
      <c r="A200" s="3"/>
      <c r="B200" s="3"/>
      <c r="C200" s="3"/>
      <c r="D200" s="3"/>
      <c r="G200" s="14"/>
      <c r="H200" s="14"/>
    </row>
    <row r="201" spans="1:8" x14ac:dyDescent="0.25">
      <c r="A201" s="3"/>
      <c r="B201" s="3"/>
      <c r="C201" s="3"/>
      <c r="D201" s="3"/>
      <c r="G201" s="14"/>
      <c r="H201" s="14"/>
    </row>
    <row r="202" spans="1:8" x14ac:dyDescent="0.25">
      <c r="A202" s="3"/>
      <c r="B202" s="3"/>
      <c r="C202" s="3"/>
      <c r="D202" s="3"/>
      <c r="G202" s="14"/>
      <c r="H202" s="14"/>
    </row>
    <row r="203" spans="1:8" x14ac:dyDescent="0.25">
      <c r="A203" s="3"/>
      <c r="B203" s="3"/>
      <c r="C203" s="3"/>
      <c r="D203" s="3"/>
      <c r="G203" s="14"/>
      <c r="H203" s="14"/>
    </row>
    <row r="204" spans="1:8" x14ac:dyDescent="0.25">
      <c r="A204" s="3"/>
      <c r="B204" s="3"/>
      <c r="C204" s="3"/>
      <c r="D204" s="3"/>
      <c r="G204" s="14"/>
      <c r="H204" s="14"/>
    </row>
    <row r="205" spans="1:8" x14ac:dyDescent="0.25">
      <c r="A205" s="3"/>
      <c r="B205" s="3"/>
      <c r="C205" s="3"/>
      <c r="D205" s="3"/>
      <c r="G205" s="14"/>
      <c r="H205" s="14"/>
    </row>
    <row r="206" spans="1:8" x14ac:dyDescent="0.25">
      <c r="A206" s="3"/>
      <c r="B206" s="3"/>
      <c r="C206" s="3"/>
      <c r="D206" s="3"/>
      <c r="G206" s="14"/>
      <c r="H206" s="14"/>
    </row>
    <row r="207" spans="1:8" x14ac:dyDescent="0.25">
      <c r="A207" s="3"/>
      <c r="B207" s="3"/>
      <c r="C207" s="3"/>
      <c r="D207" s="3"/>
      <c r="G207" s="14"/>
      <c r="H207" s="14"/>
    </row>
    <row r="208" spans="1:8" x14ac:dyDescent="0.25">
      <c r="A208" s="3"/>
      <c r="B208" s="3"/>
      <c r="C208" s="3"/>
      <c r="D208" s="3"/>
      <c r="G208" s="14"/>
      <c r="H208" s="14"/>
    </row>
    <row r="209" spans="1:8" x14ac:dyDescent="0.25">
      <c r="A209" s="3"/>
      <c r="B209" s="3"/>
      <c r="C209" s="3"/>
      <c r="D209" s="3"/>
      <c r="G209" s="14"/>
      <c r="H209" s="14"/>
    </row>
    <row r="210" spans="1:8" x14ac:dyDescent="0.25">
      <c r="A210" s="3"/>
      <c r="B210" s="3"/>
      <c r="C210" s="3"/>
      <c r="D210" s="3"/>
      <c r="G210" s="14"/>
      <c r="H210" s="14"/>
    </row>
    <row r="211" spans="1:8" x14ac:dyDescent="0.25">
      <c r="A211" s="3"/>
      <c r="B211" s="3"/>
      <c r="C211" s="3"/>
      <c r="D211" s="3"/>
      <c r="G211" s="14"/>
      <c r="H211" s="14"/>
    </row>
    <row r="212" spans="1:8" x14ac:dyDescent="0.25">
      <c r="A212" s="3"/>
      <c r="B212" s="3"/>
      <c r="C212" s="3"/>
      <c r="D212" s="3"/>
      <c r="G212" s="14"/>
      <c r="H212" s="14"/>
    </row>
    <row r="213" spans="1:8" x14ac:dyDescent="0.25">
      <c r="A213" s="3"/>
      <c r="B213" s="3"/>
      <c r="C213" s="3"/>
      <c r="D213" s="3"/>
      <c r="G213" s="14"/>
      <c r="H213" s="14"/>
    </row>
    <row r="214" spans="1:8" x14ac:dyDescent="0.25">
      <c r="A214" s="3"/>
      <c r="B214" s="3"/>
      <c r="C214" s="3"/>
      <c r="D214" s="3"/>
      <c r="G214" s="14"/>
      <c r="H214" s="14"/>
    </row>
    <row r="215" spans="1:8" x14ac:dyDescent="0.25">
      <c r="A215" s="3"/>
      <c r="B215" s="3"/>
      <c r="C215" s="3"/>
      <c r="D215" s="3"/>
      <c r="G215" s="14"/>
      <c r="H215" s="14"/>
    </row>
    <row r="216" spans="1:8" x14ac:dyDescent="0.25">
      <c r="A216" s="3"/>
      <c r="B216" s="3"/>
      <c r="C216" s="3"/>
      <c r="D216" s="3"/>
      <c r="G216" s="14"/>
      <c r="H216" s="14"/>
    </row>
    <row r="217" spans="1:8" x14ac:dyDescent="0.25">
      <c r="A217" s="3"/>
      <c r="B217" s="3"/>
      <c r="C217" s="3"/>
      <c r="D217" s="3"/>
      <c r="G217" s="14"/>
      <c r="H217" s="14"/>
    </row>
    <row r="218" spans="1:8" x14ac:dyDescent="0.25">
      <c r="A218" s="3"/>
      <c r="B218" s="3"/>
      <c r="C218" s="3"/>
      <c r="D218" s="3"/>
      <c r="G218" s="14"/>
      <c r="H218" s="14"/>
    </row>
    <row r="219" spans="1:8" x14ac:dyDescent="0.25">
      <c r="A219" s="3"/>
      <c r="B219" s="3"/>
      <c r="C219" s="3"/>
      <c r="D219" s="3"/>
      <c r="G219" s="14"/>
      <c r="H219" s="14"/>
    </row>
    <row r="220" spans="1:8" x14ac:dyDescent="0.25">
      <c r="A220" s="3"/>
      <c r="B220" s="3"/>
      <c r="C220" s="3"/>
      <c r="D220" s="3"/>
      <c r="G220" s="14"/>
      <c r="H220" s="14"/>
    </row>
    <row r="221" spans="1:8" x14ac:dyDescent="0.25">
      <c r="A221" s="3"/>
      <c r="B221" s="3"/>
      <c r="C221" s="3"/>
      <c r="D221" s="3"/>
      <c r="G221" s="14"/>
      <c r="H221" s="14"/>
    </row>
    <row r="222" spans="1:8" x14ac:dyDescent="0.25">
      <c r="A222" s="3"/>
      <c r="B222" s="3"/>
      <c r="C222" s="3"/>
      <c r="D222" s="3"/>
      <c r="G222" s="14"/>
      <c r="H222" s="14"/>
    </row>
    <row r="223" spans="1:8" x14ac:dyDescent="0.25">
      <c r="A223" s="3"/>
      <c r="B223" s="3"/>
      <c r="C223" s="3"/>
      <c r="D223" s="3"/>
      <c r="G223" s="14"/>
      <c r="H223" s="14"/>
    </row>
    <row r="224" spans="1:8" x14ac:dyDescent="0.25">
      <c r="A224" s="3"/>
      <c r="B224" s="3"/>
      <c r="C224" s="3"/>
      <c r="D224" s="3"/>
      <c r="G224" s="14"/>
      <c r="H224" s="14"/>
    </row>
    <row r="225" spans="1:8" x14ac:dyDescent="0.25">
      <c r="A225" s="3"/>
      <c r="B225" s="3"/>
      <c r="C225" s="3"/>
      <c r="D225" s="3"/>
      <c r="G225" s="14"/>
      <c r="H225" s="14"/>
    </row>
    <row r="226" spans="1:8" x14ac:dyDescent="0.25">
      <c r="A226" s="3"/>
      <c r="B226" s="3"/>
      <c r="C226" s="3"/>
      <c r="D226" s="3"/>
      <c r="G226" s="14"/>
      <c r="H226" s="14"/>
    </row>
    <row r="227" spans="1:8" x14ac:dyDescent="0.25">
      <c r="A227" s="3"/>
      <c r="B227" s="3"/>
      <c r="C227" s="3"/>
      <c r="D227" s="3"/>
      <c r="G227" s="14"/>
      <c r="H227" s="14"/>
    </row>
    <row r="228" spans="1:8" x14ac:dyDescent="0.25">
      <c r="A228" s="3"/>
      <c r="B228" s="3"/>
      <c r="C228" s="3"/>
      <c r="D228" s="3"/>
      <c r="G228" s="14"/>
      <c r="H228" s="14"/>
    </row>
    <row r="229" spans="1:8" x14ac:dyDescent="0.25">
      <c r="A229" s="3"/>
      <c r="B229" s="3"/>
      <c r="C229" s="3"/>
      <c r="D229" s="3"/>
      <c r="G229" s="14"/>
      <c r="H229" s="14"/>
    </row>
    <row r="230" spans="1:8" x14ac:dyDescent="0.25">
      <c r="A230" s="3"/>
      <c r="B230" s="3"/>
      <c r="C230" s="3"/>
      <c r="D230" s="3"/>
      <c r="G230" s="14"/>
      <c r="H230" s="14"/>
    </row>
    <row r="231" spans="1:8" x14ac:dyDescent="0.25">
      <c r="A231" s="3"/>
      <c r="B231" s="3"/>
      <c r="C231" s="3"/>
      <c r="D231" s="3"/>
      <c r="G231" s="14"/>
      <c r="H231" s="14"/>
    </row>
    <row r="232" spans="1:8" x14ac:dyDescent="0.25">
      <c r="A232" s="3"/>
      <c r="B232" s="3"/>
      <c r="C232" s="3"/>
      <c r="D232" s="3"/>
      <c r="G232" s="14"/>
      <c r="H232" s="14"/>
    </row>
    <row r="233" spans="1:8" x14ac:dyDescent="0.25">
      <c r="A233" s="3"/>
      <c r="B233" s="3"/>
      <c r="C233" s="3"/>
      <c r="D233" s="3"/>
      <c r="G233" s="14"/>
      <c r="H233" s="14"/>
    </row>
    <row r="234" spans="1:8" x14ac:dyDescent="0.25">
      <c r="A234" s="3"/>
      <c r="B234" s="3"/>
      <c r="C234" s="3"/>
      <c r="D234" s="3"/>
      <c r="G234" s="14"/>
      <c r="H234" s="14"/>
    </row>
    <row r="235" spans="1:8" x14ac:dyDescent="0.25">
      <c r="A235" s="3"/>
      <c r="B235" s="3"/>
      <c r="C235" s="3"/>
      <c r="D235" s="3"/>
      <c r="G235" s="14"/>
      <c r="H235" s="14"/>
    </row>
    <row r="236" spans="1:8" x14ac:dyDescent="0.25">
      <c r="A236" s="3"/>
      <c r="B236" s="3"/>
      <c r="C236" s="3"/>
      <c r="D236" s="3"/>
      <c r="G236" s="14"/>
      <c r="H236" s="14"/>
    </row>
    <row r="237" spans="1:8" x14ac:dyDescent="0.25">
      <c r="A237" s="3"/>
      <c r="B237" s="3"/>
      <c r="C237" s="3"/>
      <c r="D237" s="3"/>
      <c r="G237" s="14"/>
      <c r="H237" s="14"/>
    </row>
    <row r="238" spans="1:8" x14ac:dyDescent="0.25">
      <c r="A238" s="3"/>
      <c r="B238" s="3"/>
      <c r="C238" s="3"/>
      <c r="D238" s="3"/>
      <c r="G238" s="14"/>
      <c r="H238" s="14"/>
    </row>
    <row r="239" spans="1:8" x14ac:dyDescent="0.25">
      <c r="A239" s="3"/>
      <c r="B239" s="3"/>
      <c r="C239" s="3"/>
      <c r="D239" s="3"/>
      <c r="G239" s="14"/>
      <c r="H239" s="14"/>
    </row>
    <row r="240" spans="1:8" x14ac:dyDescent="0.25">
      <c r="A240" s="3"/>
      <c r="B240" s="3"/>
      <c r="C240" s="3"/>
      <c r="D240" s="3"/>
      <c r="G240" s="14"/>
      <c r="H240" s="14"/>
    </row>
    <row r="241" spans="1:8" x14ac:dyDescent="0.25">
      <c r="A241" s="3"/>
      <c r="B241" s="3"/>
      <c r="C241" s="3"/>
      <c r="D241" s="3"/>
      <c r="G241" s="14"/>
      <c r="H241" s="14"/>
    </row>
    <row r="242" spans="1:8" x14ac:dyDescent="0.25">
      <c r="A242" s="3"/>
      <c r="B242" s="3"/>
      <c r="C242" s="3"/>
      <c r="D242" s="3"/>
      <c r="G242" s="14"/>
      <c r="H242" s="14"/>
    </row>
    <row r="243" spans="1:8" x14ac:dyDescent="0.25">
      <c r="A243" s="3"/>
      <c r="B243" s="3"/>
      <c r="C243" s="3"/>
      <c r="D243" s="3"/>
      <c r="G243" s="14"/>
      <c r="H243" s="14"/>
    </row>
    <row r="244" spans="1:8" x14ac:dyDescent="0.25">
      <c r="A244" s="3"/>
      <c r="B244" s="3"/>
      <c r="C244" s="3"/>
      <c r="D244" s="3"/>
      <c r="G244" s="14"/>
      <c r="H244" s="14"/>
    </row>
    <row r="245" spans="1:8" x14ac:dyDescent="0.25">
      <c r="A245" s="3"/>
      <c r="B245" s="3"/>
      <c r="C245" s="3"/>
      <c r="D245" s="3"/>
      <c r="G245" s="14"/>
      <c r="H245" s="14"/>
    </row>
    <row r="247" spans="1:8" x14ac:dyDescent="0.25">
      <c r="A247" s="3"/>
      <c r="G247" s="14"/>
      <c r="H247" s="14"/>
    </row>
  </sheetData>
  <phoneticPr fontId="1" type="noConversion"/>
  <pageMargins left="0.7" right="0.7" top="0.75" bottom="0.75" header="0.3" footer="0.3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1C840F-2114-424E-91B9-EB06FD5B2BF7}">
  <sheetPr/>
  <dimension ref="A1:I247"/>
  <sheetViews>
    <sheetView zoomScale="115" zoomScaleNormal="115" workbookViewId="0">
      <selection activeCell="A5" sqref="A5:H80"/>
    </sheetView>
  </sheetViews>
  <sheetFormatPr defaultRowHeight="15" x14ac:dyDescent="0.25"/>
  <cols>
    <col min="1" max="1" width="8.875" style="4" customWidth="1"/>
    <col min="2" max="3" width="15.125" style="4" customWidth="1"/>
    <col min="4" max="4" width="10.25" style="4" customWidth="1"/>
    <col min="5" max="5" width="12" style="13" customWidth="1"/>
    <col min="6" max="6" width="15" style="13" customWidth="1"/>
    <col min="7" max="7" width="13.875" customWidth="1"/>
    <col min="8" max="8" width="11.125" customWidth="1"/>
    <col min="11" max="12" width="15.125" customWidth="1"/>
    <col min="13" max="13" width="11.125" customWidth="1"/>
  </cols>
  <sheetData>
    <row r="1" spans="1:9" ht="14.25" x14ac:dyDescent="0.2">
      <c r="A1" s="2" t="s">
        <v>12</v>
      </c>
      <c r="B1" s="2" t="s">
        <v>4</v>
      </c>
      <c r="C1" s="2" t="s">
        <v>5</v>
      </c>
      <c r="D1" s="2" t="s">
        <v>13</v>
      </c>
      <c r="E1" s="2" t="s">
        <v>14</v>
      </c>
      <c r="F1" s="2" t="s">
        <v>15</v>
      </c>
      <c r="G1" s="2" t="s">
        <v>16</v>
      </c>
    </row>
    <row r="2" spans="1:9" x14ac:dyDescent="0.25">
      <c r="A2" s="11">
        <v>48</v>
      </c>
      <c r="B2" s="3">
        <v>113.3687403</v>
      </c>
      <c r="C2" s="8">
        <v>23.049751730000001</v>
      </c>
      <c r="D2" s="3">
        <v>0</v>
      </c>
      <c r="E2" s="13">
        <v>1785</v>
      </c>
      <c r="F2" s="13">
        <v>5</v>
      </c>
      <c r="G2" s="19">
        <f>SUBTOTAL(2,A5:A250)</f>
        <v>26</v>
      </c>
    </row>
    <row r="3" spans="1:9" x14ac:dyDescent="0.25">
      <c r="A3" s="3"/>
      <c r="B3" s="3"/>
      <c r="C3" s="3"/>
      <c r="D3" s="3"/>
    </row>
    <row r="4" spans="1:9" ht="14.25" x14ac:dyDescent="0.2">
      <c r="A4" s="2" t="s">
        <v>0</v>
      </c>
      <c r="B4" s="2" t="s">
        <v>1</v>
      </c>
      <c r="C4" s="2" t="s">
        <v>2</v>
      </c>
      <c r="D4" s="2" t="s">
        <v>3</v>
      </c>
      <c r="E4" s="2" t="s">
        <v>7</v>
      </c>
      <c r="F4" s="2" t="s">
        <v>8</v>
      </c>
      <c r="G4" s="2" t="s">
        <v>13</v>
      </c>
      <c r="H4" s="2" t="s">
        <v>14</v>
      </c>
      <c r="I4" s="24" t="s">
        <v>20</v>
      </c>
    </row>
    <row r="5" spans="1:9" x14ac:dyDescent="0.25">
      <c r="A5" s="3">
        <v>283</v>
      </c>
      <c r="B5" s="3">
        <v>113.3680864</v>
      </c>
      <c r="C5" s="3">
        <v>23.049020550000002</v>
      </c>
      <c r="D5" s="3">
        <v>48</v>
      </c>
      <c r="E5" s="13">
        <f t="shared" ref="E5:E36" si="0">SQRT((B5-$B$2)^2+(C5-$C$2)^2)</f>
        <v>9.8092273008766888E-4</v>
      </c>
      <c r="F5" s="13">
        <f t="shared" ref="F5:F36" si="1">SQRT(1/E5)</f>
        <v>31.928800324999521</v>
      </c>
      <c r="G5" s="14">
        <f>F5/$F$83*$D$2</f>
        <v>0</v>
      </c>
      <c r="H5" s="14">
        <f>F5/$F$83*$E$2</f>
        <v>175.80256713070639</v>
      </c>
      <c r="I5" s="25" t="str">
        <f>IF(MOD(ROW()-1,3)=1,"选中","")</f>
        <v>选中</v>
      </c>
    </row>
    <row r="6" spans="1:9" hidden="1" x14ac:dyDescent="0.25">
      <c r="A6" s="3">
        <v>288</v>
      </c>
      <c r="B6" s="3">
        <v>113.3696885</v>
      </c>
      <c r="C6" s="3">
        <v>23.050029349999999</v>
      </c>
      <c r="D6" s="3">
        <v>48</v>
      </c>
      <c r="E6" s="13">
        <f t="shared" si="0"/>
        <v>9.8800612568554079E-4</v>
      </c>
      <c r="F6" s="13">
        <f t="shared" si="1"/>
        <v>31.814139523732006</v>
      </c>
      <c r="G6" s="14" t="e">
        <f>F6/$F$124*$D$2</f>
        <v>#DIV/0!</v>
      </c>
      <c r="H6" s="14" t="e">
        <f>F6/$F$124*$E$2</f>
        <v>#DIV/0!</v>
      </c>
      <c r="I6" s="25" t="str">
        <f t="shared" ref="I6:I69" si="2">IF(MOD(ROW()-1,3)=1,"选中","")</f>
        <v/>
      </c>
    </row>
    <row r="7" spans="1:9" hidden="1" x14ac:dyDescent="0.25">
      <c r="A7" s="3">
        <v>281</v>
      </c>
      <c r="B7" s="3">
        <v>113.3664223</v>
      </c>
      <c r="C7" s="3">
        <v>23.049936070000001</v>
      </c>
      <c r="D7" s="3">
        <v>48</v>
      </c>
      <c r="E7" s="13">
        <f t="shared" si="0"/>
        <v>2.3253183084497755E-3</v>
      </c>
      <c r="F7" s="13">
        <f t="shared" si="1"/>
        <v>20.737614382356366</v>
      </c>
      <c r="G7" s="14" t="e">
        <f>F7/$F$124*$D$2</f>
        <v>#DIV/0!</v>
      </c>
      <c r="H7" s="14" t="e">
        <f>F7/$F$124*$E$2</f>
        <v>#DIV/0!</v>
      </c>
      <c r="I7" s="25" t="str">
        <f t="shared" si="2"/>
        <v/>
      </c>
    </row>
    <row r="8" spans="1:9" x14ac:dyDescent="0.25">
      <c r="A8" s="3">
        <v>282</v>
      </c>
      <c r="B8" s="3">
        <v>113.3661456</v>
      </c>
      <c r="C8" s="3">
        <v>23.05024427</v>
      </c>
      <c r="D8" s="3">
        <v>48</v>
      </c>
      <c r="E8" s="13">
        <f t="shared" si="0"/>
        <v>2.6410345968229266E-3</v>
      </c>
      <c r="F8" s="13">
        <f t="shared" si="1"/>
        <v>19.458661123549454</v>
      </c>
      <c r="G8" s="14">
        <f>F8/$F$83*$D$2</f>
        <v>0</v>
      </c>
      <c r="H8" s="14">
        <f>F8/$F$83*$E$2</f>
        <v>107.14096814242021</v>
      </c>
      <c r="I8" s="25" t="str">
        <f t="shared" si="2"/>
        <v>选中</v>
      </c>
    </row>
    <row r="9" spans="1:9" hidden="1" x14ac:dyDescent="0.25">
      <c r="A9" s="3">
        <v>294</v>
      </c>
      <c r="B9" s="3">
        <v>113.371207</v>
      </c>
      <c r="C9" s="3">
        <v>23.048571389999999</v>
      </c>
      <c r="D9" s="3">
        <v>48</v>
      </c>
      <c r="E9" s="13">
        <f t="shared" si="0"/>
        <v>2.7345587222804006E-3</v>
      </c>
      <c r="F9" s="13">
        <f t="shared" si="1"/>
        <v>19.123015323755702</v>
      </c>
      <c r="G9" s="14" t="e">
        <f>F9/$F$124*$D$2</f>
        <v>#DIV/0!</v>
      </c>
      <c r="H9" s="14" t="e">
        <f>F9/$F$124*$E$2</f>
        <v>#DIV/0!</v>
      </c>
      <c r="I9" s="25" t="str">
        <f t="shared" si="2"/>
        <v/>
      </c>
    </row>
    <row r="10" spans="1:9" hidden="1" x14ac:dyDescent="0.25">
      <c r="A10" s="3">
        <v>285</v>
      </c>
      <c r="B10" s="3">
        <v>113.3687098</v>
      </c>
      <c r="C10" s="3">
        <v>23.0468218</v>
      </c>
      <c r="D10" s="3">
        <v>48</v>
      </c>
      <c r="E10" s="13">
        <f t="shared" si="0"/>
        <v>2.93008874522645E-3</v>
      </c>
      <c r="F10" s="13">
        <f t="shared" si="1"/>
        <v>18.473943576775227</v>
      </c>
      <c r="G10" s="14" t="e">
        <f>F10/$F$124*$D$2</f>
        <v>#DIV/0!</v>
      </c>
      <c r="H10" s="14" t="e">
        <f>F10/$F$124*$E$2</f>
        <v>#DIV/0!</v>
      </c>
      <c r="I10" s="25" t="str">
        <f t="shared" si="2"/>
        <v/>
      </c>
    </row>
    <row r="11" spans="1:9" x14ac:dyDescent="0.25">
      <c r="A11" s="3">
        <v>286</v>
      </c>
      <c r="B11" s="3">
        <v>113.3688107</v>
      </c>
      <c r="C11" s="3">
        <v>23.046762709999999</v>
      </c>
      <c r="D11" s="3">
        <v>48</v>
      </c>
      <c r="E11" s="13">
        <f t="shared" si="0"/>
        <v>2.9898489460851488E-3</v>
      </c>
      <c r="F11" s="13">
        <f t="shared" si="1"/>
        <v>18.288385866741049</v>
      </c>
      <c r="G11" s="14">
        <f>F11/$F$83*$D$2</f>
        <v>0</v>
      </c>
      <c r="H11" s="14">
        <f>F11/$F$83*$E$2</f>
        <v>100.69733755491652</v>
      </c>
      <c r="I11" s="25" t="str">
        <f t="shared" si="2"/>
        <v>选中</v>
      </c>
    </row>
    <row r="12" spans="1:9" hidden="1" x14ac:dyDescent="0.25">
      <c r="A12" s="3">
        <v>289</v>
      </c>
      <c r="B12" s="3">
        <v>113.36823</v>
      </c>
      <c r="C12" s="3">
        <v>23.053084640000002</v>
      </c>
      <c r="D12" s="3">
        <v>48</v>
      </c>
      <c r="E12" s="13">
        <f t="shared" si="0"/>
        <v>3.371749569305053E-3</v>
      </c>
      <c r="F12" s="13">
        <f t="shared" si="1"/>
        <v>17.221554272471359</v>
      </c>
      <c r="G12" s="14" t="e">
        <f>F12/$F$124*$D$2</f>
        <v>#DIV/0!</v>
      </c>
      <c r="H12" s="14" t="e">
        <f>F12/$F$124*$E$2</f>
        <v>#DIV/0!</v>
      </c>
      <c r="I12" s="25" t="str">
        <f t="shared" si="2"/>
        <v/>
      </c>
    </row>
    <row r="13" spans="1:9" hidden="1" x14ac:dyDescent="0.25">
      <c r="A13" s="3">
        <v>291</v>
      </c>
      <c r="B13" s="3">
        <v>113.3667846</v>
      </c>
      <c r="C13" s="3">
        <v>23.053185249999999</v>
      </c>
      <c r="D13" s="3">
        <v>48</v>
      </c>
      <c r="E13" s="13">
        <f t="shared" si="0"/>
        <v>3.9514329148261831E-3</v>
      </c>
      <c r="F13" s="13">
        <f t="shared" si="1"/>
        <v>15.908260479038589</v>
      </c>
      <c r="G13" s="14" t="e">
        <f>F13/$F$124*$D$2</f>
        <v>#DIV/0!</v>
      </c>
      <c r="H13" s="14" t="e">
        <f>F13/$F$124*$E$2</f>
        <v>#DIV/0!</v>
      </c>
      <c r="I13" s="25" t="str">
        <f t="shared" si="2"/>
        <v/>
      </c>
    </row>
    <row r="14" spans="1:9" x14ac:dyDescent="0.25">
      <c r="A14" s="3">
        <v>290</v>
      </c>
      <c r="B14" s="3">
        <v>113.3666018</v>
      </c>
      <c r="C14" s="3">
        <v>23.053484340000001</v>
      </c>
      <c r="D14" s="3">
        <v>48</v>
      </c>
      <c r="E14" s="13">
        <f t="shared" si="0"/>
        <v>4.3018088825638222E-3</v>
      </c>
      <c r="F14" s="13">
        <f t="shared" si="1"/>
        <v>15.246650463454552</v>
      </c>
      <c r="G14" s="14">
        <f>F14/$F$83*$D$2</f>
        <v>0</v>
      </c>
      <c r="H14" s="14">
        <f>F14/$F$83*$E$2</f>
        <v>83.949295442873009</v>
      </c>
      <c r="I14" s="25" t="str">
        <f t="shared" si="2"/>
        <v>选中</v>
      </c>
    </row>
    <row r="15" spans="1:9" hidden="1" x14ac:dyDescent="0.25">
      <c r="A15" s="3">
        <v>66</v>
      </c>
      <c r="B15" s="3">
        <v>113.3686184</v>
      </c>
      <c r="C15" s="3">
        <v>23.054219719999999</v>
      </c>
      <c r="D15" s="3">
        <v>48</v>
      </c>
      <c r="E15" s="13">
        <f t="shared" si="0"/>
        <v>4.4696525871800166E-3</v>
      </c>
      <c r="F15" s="13">
        <f t="shared" si="1"/>
        <v>14.957641362518237</v>
      </c>
      <c r="G15" s="14" t="e">
        <f>F15/$F$124*$D$2</f>
        <v>#DIV/0!</v>
      </c>
      <c r="H15" s="14" t="e">
        <f>F15/$F$124*$E$2</f>
        <v>#DIV/0!</v>
      </c>
      <c r="I15" s="25" t="str">
        <f t="shared" si="2"/>
        <v/>
      </c>
    </row>
    <row r="16" spans="1:9" hidden="1" x14ac:dyDescent="0.25">
      <c r="A16" s="3">
        <v>287</v>
      </c>
      <c r="B16" s="3">
        <v>113.3655286</v>
      </c>
      <c r="C16" s="3">
        <v>23.046406659999999</v>
      </c>
      <c r="D16" s="3">
        <v>48</v>
      </c>
      <c r="E16" s="13">
        <f t="shared" si="0"/>
        <v>4.6372955690655217E-3</v>
      </c>
      <c r="F16" s="13">
        <f t="shared" si="1"/>
        <v>14.684785636258463</v>
      </c>
      <c r="G16" s="14" t="e">
        <f>F16/$F$124*$D$2</f>
        <v>#DIV/0!</v>
      </c>
      <c r="H16" s="14" t="e">
        <f>F16/$F$124*$E$2</f>
        <v>#DIV/0!</v>
      </c>
      <c r="I16" s="25" t="str">
        <f t="shared" si="2"/>
        <v/>
      </c>
    </row>
    <row r="17" spans="1:9" x14ac:dyDescent="0.25">
      <c r="A17" s="3">
        <v>297</v>
      </c>
      <c r="B17" s="3">
        <v>113.3709085</v>
      </c>
      <c r="C17" s="3">
        <v>23.045524</v>
      </c>
      <c r="D17" s="3">
        <v>48</v>
      </c>
      <c r="E17" s="13">
        <f t="shared" si="0"/>
        <v>4.7512937388569298E-3</v>
      </c>
      <c r="F17" s="13">
        <f t="shared" si="1"/>
        <v>14.507549454556674</v>
      </c>
      <c r="G17" s="14">
        <f>F17/$F$83*$D$2</f>
        <v>0</v>
      </c>
      <c r="H17" s="14">
        <f>F17/$F$83*$E$2</f>
        <v>79.879745274669375</v>
      </c>
      <c r="I17" s="25" t="str">
        <f t="shared" si="2"/>
        <v>选中</v>
      </c>
    </row>
    <row r="18" spans="1:9" hidden="1" x14ac:dyDescent="0.25">
      <c r="A18" s="3">
        <v>284</v>
      </c>
      <c r="B18" s="3">
        <v>113.3668091</v>
      </c>
      <c r="C18" s="3">
        <v>23.045331600000001</v>
      </c>
      <c r="D18" s="3">
        <v>48</v>
      </c>
      <c r="E18" s="13">
        <f t="shared" si="0"/>
        <v>4.8235964442418866E-3</v>
      </c>
      <c r="F18" s="13">
        <f t="shared" si="1"/>
        <v>14.398409361112662</v>
      </c>
      <c r="G18" s="14" t="e">
        <f>F18/$F$124*$D$2</f>
        <v>#DIV/0!</v>
      </c>
      <c r="H18" s="14" t="e">
        <f>F18/$F$124*$E$2</f>
        <v>#DIV/0!</v>
      </c>
      <c r="I18" s="25" t="str">
        <f t="shared" si="2"/>
        <v/>
      </c>
    </row>
    <row r="19" spans="1:9" hidden="1" x14ac:dyDescent="0.25">
      <c r="A19" s="3">
        <v>68</v>
      </c>
      <c r="B19" s="3">
        <v>113.37139449999999</v>
      </c>
      <c r="C19" s="3">
        <v>23.05380495</v>
      </c>
      <c r="D19" s="3">
        <v>48</v>
      </c>
      <c r="E19" s="13">
        <f t="shared" si="0"/>
        <v>4.8449324049328491E-3</v>
      </c>
      <c r="F19" s="13">
        <f t="shared" si="1"/>
        <v>14.366670749413831</v>
      </c>
      <c r="G19" s="14" t="e">
        <f>F19/$F$124*$D$2</f>
        <v>#DIV/0!</v>
      </c>
      <c r="H19" s="14" t="e">
        <f>F19/$F$124*$E$2</f>
        <v>#DIV/0!</v>
      </c>
      <c r="I19" s="25" t="str">
        <f t="shared" si="2"/>
        <v/>
      </c>
    </row>
    <row r="20" spans="1:9" x14ac:dyDescent="0.25">
      <c r="A20" s="3">
        <v>65</v>
      </c>
      <c r="B20" s="3">
        <v>113.36629720000001</v>
      </c>
      <c r="C20" s="3">
        <v>23.053973490000001</v>
      </c>
      <c r="D20" s="3">
        <v>48</v>
      </c>
      <c r="E20" s="13">
        <f t="shared" si="0"/>
        <v>4.8777038765764899E-3</v>
      </c>
      <c r="F20" s="13">
        <f t="shared" si="1"/>
        <v>14.318327263049605</v>
      </c>
      <c r="G20" s="14">
        <f>F20/$F$83*$D$2</f>
        <v>0</v>
      </c>
      <c r="H20" s="14">
        <f>F20/$F$83*$E$2</f>
        <v>78.837872523847778</v>
      </c>
      <c r="I20" s="25" t="str">
        <f t="shared" si="2"/>
        <v>选中</v>
      </c>
    </row>
    <row r="21" spans="1:9" hidden="1" x14ac:dyDescent="0.25">
      <c r="A21" s="3">
        <v>67</v>
      </c>
      <c r="B21" s="3">
        <v>113.36888709999999</v>
      </c>
      <c r="C21" s="3">
        <v>23.054869149999998</v>
      </c>
      <c r="D21" s="3">
        <v>48</v>
      </c>
      <c r="E21" s="13">
        <f t="shared" si="0"/>
        <v>5.1195251436412896E-3</v>
      </c>
      <c r="F21" s="13">
        <f t="shared" si="1"/>
        <v>13.976072982519371</v>
      </c>
      <c r="G21" s="14" t="e">
        <f>F21/$F$124*$D$2</f>
        <v>#DIV/0!</v>
      </c>
      <c r="H21" s="14" t="e">
        <f>F21/$F$124*$E$2</f>
        <v>#DIV/0!</v>
      </c>
      <c r="I21" s="25" t="str">
        <f t="shared" si="2"/>
        <v/>
      </c>
    </row>
    <row r="22" spans="1:9" hidden="1" x14ac:dyDescent="0.25">
      <c r="A22" s="3">
        <v>280</v>
      </c>
      <c r="B22" s="3">
        <v>113.3679479</v>
      </c>
      <c r="C22" s="3">
        <v>23.044602600000001</v>
      </c>
      <c r="D22" s="3">
        <v>48</v>
      </c>
      <c r="E22" s="13">
        <f t="shared" si="0"/>
        <v>5.2097444771203793E-3</v>
      </c>
      <c r="F22" s="13">
        <f t="shared" si="1"/>
        <v>13.854529717244271</v>
      </c>
      <c r="G22" s="14" t="e">
        <f>F22/$F$124*$D$2</f>
        <v>#DIV/0!</v>
      </c>
      <c r="H22" s="14" t="e">
        <f>F22/$F$124*$E$2</f>
        <v>#DIV/0!</v>
      </c>
      <c r="I22" s="25" t="str">
        <f t="shared" si="2"/>
        <v/>
      </c>
    </row>
    <row r="23" spans="1:9" x14ac:dyDescent="0.25">
      <c r="A23" s="3">
        <v>296</v>
      </c>
      <c r="B23" s="3">
        <v>113.3656216</v>
      </c>
      <c r="C23" s="3">
        <v>23.0455659</v>
      </c>
      <c r="D23" s="3">
        <v>48</v>
      </c>
      <c r="E23" s="13">
        <f t="shared" si="0"/>
        <v>5.2199101983575876E-3</v>
      </c>
      <c r="F23" s="13">
        <f t="shared" si="1"/>
        <v>13.841032365736824</v>
      </c>
      <c r="G23" s="14">
        <f>F23/$F$83*$D$2</f>
        <v>0</v>
      </c>
      <c r="H23" s="14">
        <f>F23/$F$83*$E$2</f>
        <v>76.209848064053887</v>
      </c>
      <c r="I23" s="25" t="str">
        <f t="shared" si="2"/>
        <v>选中</v>
      </c>
    </row>
    <row r="24" spans="1:9" hidden="1" x14ac:dyDescent="0.25">
      <c r="A24" s="3">
        <v>292</v>
      </c>
      <c r="B24" s="3">
        <v>113.36824249999999</v>
      </c>
      <c r="C24" s="3">
        <v>23.044555290000002</v>
      </c>
      <c r="D24" s="3">
        <v>48</v>
      </c>
      <c r="E24" s="13">
        <f t="shared" si="0"/>
        <v>5.2202292587196983E-3</v>
      </c>
      <c r="F24" s="13">
        <f t="shared" si="1"/>
        <v>13.840609377390894</v>
      </c>
      <c r="G24" s="14" t="e">
        <f>F24/$F$124*$D$2</f>
        <v>#DIV/0!</v>
      </c>
      <c r="H24" s="14" t="e">
        <f>F24/$F$124*$E$2</f>
        <v>#DIV/0!</v>
      </c>
      <c r="I24" s="25" t="str">
        <f t="shared" si="2"/>
        <v/>
      </c>
    </row>
    <row r="25" spans="1:9" hidden="1" x14ac:dyDescent="0.25">
      <c r="A25" s="3">
        <v>83</v>
      </c>
      <c r="B25" s="3">
        <v>113.3722496</v>
      </c>
      <c r="C25" s="3">
        <v>23.053630170000002</v>
      </c>
      <c r="D25" s="3">
        <v>48</v>
      </c>
      <c r="E25" s="13">
        <f t="shared" si="0"/>
        <v>5.2304381579023757E-3</v>
      </c>
      <c r="F25" s="13">
        <f t="shared" si="1"/>
        <v>13.827095557343846</v>
      </c>
      <c r="G25" s="14" t="e">
        <f>F25/$F$124*$D$2</f>
        <v>#DIV/0!</v>
      </c>
      <c r="H25" s="14" t="e">
        <f>F25/$F$124*$E$2</f>
        <v>#DIV/0!</v>
      </c>
      <c r="I25" s="25" t="str">
        <f t="shared" si="2"/>
        <v/>
      </c>
    </row>
    <row r="26" spans="1:9" x14ac:dyDescent="0.25">
      <c r="A26" s="3">
        <v>93</v>
      </c>
      <c r="B26" s="3">
        <v>113.37224260000001</v>
      </c>
      <c r="C26" s="3">
        <v>23.053644179999999</v>
      </c>
      <c r="D26" s="3">
        <v>48</v>
      </c>
      <c r="E26" s="13">
        <f t="shared" si="0"/>
        <v>5.236150522334667E-3</v>
      </c>
      <c r="F26" s="13">
        <f t="shared" si="1"/>
        <v>13.819551182662901</v>
      </c>
      <c r="G26" s="14">
        <f>F26/$F$83*$D$2</f>
        <v>0</v>
      </c>
      <c r="H26" s="14">
        <f>F26/$F$83*$E$2</f>
        <v>76.091570925828833</v>
      </c>
      <c r="I26" s="25" t="str">
        <f t="shared" si="2"/>
        <v>选中</v>
      </c>
    </row>
    <row r="27" spans="1:9" hidden="1" x14ac:dyDescent="0.25">
      <c r="A27" s="3">
        <v>307</v>
      </c>
      <c r="B27" s="3">
        <v>113.3717288</v>
      </c>
      <c r="C27" s="3">
        <v>23.04486945</v>
      </c>
      <c r="D27" s="3">
        <v>48</v>
      </c>
      <c r="E27" s="13">
        <f t="shared" si="0"/>
        <v>5.7243157013225398E-3</v>
      </c>
      <c r="F27" s="13">
        <f t="shared" si="1"/>
        <v>13.217161944186689</v>
      </c>
      <c r="G27" s="14" t="e">
        <f>F27/$F$124*$D$2</f>
        <v>#DIV/0!</v>
      </c>
      <c r="H27" s="14" t="e">
        <f>F27/$F$124*$E$2</f>
        <v>#DIV/0!</v>
      </c>
      <c r="I27" s="25" t="str">
        <f t="shared" si="2"/>
        <v/>
      </c>
    </row>
    <row r="28" spans="1:9" hidden="1" x14ac:dyDescent="0.25">
      <c r="A28" s="3">
        <v>304</v>
      </c>
      <c r="B28" s="3">
        <v>113.3744387</v>
      </c>
      <c r="C28" s="3">
        <v>23.051177160000002</v>
      </c>
      <c r="D28" s="3">
        <v>48</v>
      </c>
      <c r="E28" s="13">
        <f t="shared" si="0"/>
        <v>5.8739776340145568E-3</v>
      </c>
      <c r="F28" s="13">
        <f t="shared" si="1"/>
        <v>13.047696788879128</v>
      </c>
      <c r="G28" s="14" t="e">
        <f>F28/$F$124*$D$2</f>
        <v>#DIV/0!</v>
      </c>
      <c r="H28" s="14" t="e">
        <f>F28/$F$124*$E$2</f>
        <v>#DIV/0!</v>
      </c>
      <c r="I28" s="25" t="str">
        <f t="shared" si="2"/>
        <v/>
      </c>
    </row>
    <row r="29" spans="1:9" x14ac:dyDescent="0.25">
      <c r="A29" s="3">
        <v>300</v>
      </c>
      <c r="B29" s="3">
        <v>113.37420090000001</v>
      </c>
      <c r="C29" s="3">
        <v>23.05194504</v>
      </c>
      <c r="D29" s="3">
        <v>48</v>
      </c>
      <c r="E29" s="13">
        <f t="shared" si="0"/>
        <v>5.8846207283193407E-3</v>
      </c>
      <c r="F29" s="13">
        <f t="shared" si="1"/>
        <v>13.03589222909954</v>
      </c>
      <c r="G29" s="14">
        <f>F29/$F$83*$D$2</f>
        <v>0</v>
      </c>
      <c r="H29" s="14">
        <f>F29/$F$83*$E$2</f>
        <v>71.776681096299853</v>
      </c>
      <c r="I29" s="25" t="str">
        <f t="shared" si="2"/>
        <v>选中</v>
      </c>
    </row>
    <row r="30" spans="1:9" hidden="1" x14ac:dyDescent="0.25">
      <c r="A30" s="3">
        <v>60</v>
      </c>
      <c r="B30" s="3">
        <v>113.3667166</v>
      </c>
      <c r="C30" s="3">
        <v>23.05538739</v>
      </c>
      <c r="D30" s="3">
        <v>48</v>
      </c>
      <c r="E30" s="13">
        <f t="shared" si="0"/>
        <v>5.9879900906375499E-3</v>
      </c>
      <c r="F30" s="13">
        <f t="shared" si="1"/>
        <v>12.922884521945928</v>
      </c>
      <c r="G30" s="14" t="e">
        <f>F30/$F$124*$D$2</f>
        <v>#DIV/0!</v>
      </c>
      <c r="H30" s="14" t="e">
        <f>F30/$F$124*$E$2</f>
        <v>#DIV/0!</v>
      </c>
      <c r="I30" s="25" t="str">
        <f t="shared" si="2"/>
        <v/>
      </c>
    </row>
    <row r="31" spans="1:9" hidden="1" x14ac:dyDescent="0.25">
      <c r="A31" s="3">
        <v>298</v>
      </c>
      <c r="B31" s="3">
        <v>113.37424919999999</v>
      </c>
      <c r="C31" s="3">
        <v>23.04723302</v>
      </c>
      <c r="D31" s="3">
        <v>48</v>
      </c>
      <c r="E31" s="13">
        <f t="shared" si="0"/>
        <v>6.0573822129736613E-3</v>
      </c>
      <c r="F31" s="13">
        <f t="shared" si="1"/>
        <v>12.848650355744162</v>
      </c>
      <c r="G31" s="14" t="e">
        <f>F31/$F$124*$D$2</f>
        <v>#DIV/0!</v>
      </c>
      <c r="H31" s="14" t="e">
        <f>F31/$F$124*$E$2</f>
        <v>#DIV/0!</v>
      </c>
      <c r="I31" s="25" t="str">
        <f t="shared" si="2"/>
        <v/>
      </c>
    </row>
    <row r="32" spans="1:9" x14ac:dyDescent="0.25">
      <c r="A32" s="3">
        <v>293</v>
      </c>
      <c r="B32" s="3">
        <v>113.3631336</v>
      </c>
      <c r="C32" s="3">
        <v>23.047356229999998</v>
      </c>
      <c r="D32" s="3">
        <v>48</v>
      </c>
      <c r="E32" s="13">
        <f t="shared" si="0"/>
        <v>6.0970078842023118E-3</v>
      </c>
      <c r="F32" s="13">
        <f t="shared" si="1"/>
        <v>12.806829322512632</v>
      </c>
      <c r="G32" s="14">
        <f>F32/$F$83*$D$2</f>
        <v>0</v>
      </c>
      <c r="H32" s="14">
        <f>F32/$F$83*$E$2</f>
        <v>70.51544213327908</v>
      </c>
      <c r="I32" s="25" t="str">
        <f t="shared" si="2"/>
        <v>选中</v>
      </c>
    </row>
    <row r="33" spans="1:9" hidden="1" x14ac:dyDescent="0.25">
      <c r="A33" s="3">
        <v>295</v>
      </c>
      <c r="B33" s="3">
        <v>113.3664107</v>
      </c>
      <c r="C33" s="3">
        <v>23.04402163</v>
      </c>
      <c r="D33" s="3">
        <v>48</v>
      </c>
      <c r="E33" s="13">
        <f t="shared" si="0"/>
        <v>6.1855543138826337E-3</v>
      </c>
      <c r="F33" s="13">
        <f t="shared" si="1"/>
        <v>12.714833797677628</v>
      </c>
      <c r="G33" s="14" t="e">
        <f>F33/$F$124*$D$2</f>
        <v>#DIV/0!</v>
      </c>
      <c r="H33" s="14" t="e">
        <f>F33/$F$124*$E$2</f>
        <v>#DIV/0!</v>
      </c>
      <c r="I33" s="25" t="str">
        <f t="shared" si="2"/>
        <v/>
      </c>
    </row>
    <row r="34" spans="1:9" hidden="1" x14ac:dyDescent="0.25">
      <c r="A34" s="3">
        <v>64</v>
      </c>
      <c r="B34" s="3">
        <v>113.36754550000001</v>
      </c>
      <c r="C34" s="3">
        <v>23.056062140000002</v>
      </c>
      <c r="D34" s="3">
        <v>48</v>
      </c>
      <c r="E34" s="13">
        <f t="shared" si="0"/>
        <v>6.4225245354220181E-3</v>
      </c>
      <c r="F34" s="13">
        <f t="shared" si="1"/>
        <v>12.478061275747423</v>
      </c>
      <c r="G34" s="14" t="e">
        <f>F34/$F$124*$D$2</f>
        <v>#DIV/0!</v>
      </c>
      <c r="H34" s="14" t="e">
        <f>F34/$F$124*$E$2</f>
        <v>#DIV/0!</v>
      </c>
      <c r="I34" s="25" t="str">
        <f t="shared" si="2"/>
        <v/>
      </c>
    </row>
    <row r="35" spans="1:9" x14ac:dyDescent="0.25">
      <c r="A35" s="3">
        <v>69</v>
      </c>
      <c r="B35" s="3">
        <v>113.3705612</v>
      </c>
      <c r="C35" s="3">
        <v>23.056142810000001</v>
      </c>
      <c r="D35" s="3">
        <v>48</v>
      </c>
      <c r="E35" s="13">
        <f t="shared" si="0"/>
        <v>6.645417998621091E-3</v>
      </c>
      <c r="F35" s="13">
        <f t="shared" si="1"/>
        <v>12.267013643746303</v>
      </c>
      <c r="G35" s="14">
        <f>F35/$F$83*$D$2</f>
        <v>0</v>
      </c>
      <c r="H35" s="14">
        <f>F35/$F$83*$E$2</f>
        <v>67.543173174265917</v>
      </c>
      <c r="I35" s="25" t="str">
        <f t="shared" si="2"/>
        <v>选中</v>
      </c>
    </row>
    <row r="36" spans="1:9" hidden="1" x14ac:dyDescent="0.25">
      <c r="A36" s="3">
        <v>595</v>
      </c>
      <c r="B36" s="3">
        <v>113.367052</v>
      </c>
      <c r="C36" s="3">
        <v>23.043320179999998</v>
      </c>
      <c r="D36" s="3">
        <v>48</v>
      </c>
      <c r="E36" s="13">
        <f t="shared" si="0"/>
        <v>6.6494505256088129E-3</v>
      </c>
      <c r="F36" s="13">
        <f t="shared" si="1"/>
        <v>12.263293444202993</v>
      </c>
      <c r="G36" s="14" t="e">
        <f>F36/$F$124*$D$2</f>
        <v>#DIV/0!</v>
      </c>
      <c r="H36" s="14" t="e">
        <f>F36/$F$124*$E$2</f>
        <v>#DIV/0!</v>
      </c>
      <c r="I36" s="25" t="str">
        <f t="shared" si="2"/>
        <v/>
      </c>
    </row>
    <row r="37" spans="1:9" hidden="1" x14ac:dyDescent="0.25">
      <c r="A37" s="3">
        <v>602</v>
      </c>
      <c r="B37" s="3">
        <v>113.3726539</v>
      </c>
      <c r="C37" s="3">
        <v>23.043574100000001</v>
      </c>
      <c r="D37" s="3">
        <v>48</v>
      </c>
      <c r="E37" s="13">
        <f t="shared" ref="E37:E68" si="3">SQRT((B37-$B$2)^2+(C37-$C$2)^2)</f>
        <v>7.3129595497944972E-3</v>
      </c>
      <c r="F37" s="13">
        <f t="shared" ref="F37:F68" si="4">SQRT(1/E37)</f>
        <v>11.693739486750031</v>
      </c>
      <c r="G37" s="14" t="e">
        <f>F37/$F$124*$D$2</f>
        <v>#DIV/0!</v>
      </c>
      <c r="H37" s="14" t="e">
        <f>F37/$F$124*$E$2</f>
        <v>#DIV/0!</v>
      </c>
      <c r="I37" s="25" t="str">
        <f t="shared" si="2"/>
        <v/>
      </c>
    </row>
    <row r="38" spans="1:9" x14ac:dyDescent="0.25">
      <c r="A38" s="3">
        <v>72</v>
      </c>
      <c r="B38" s="3">
        <v>113.3712854</v>
      </c>
      <c r="C38" s="3">
        <v>23.05685076</v>
      </c>
      <c r="D38" s="3">
        <v>48</v>
      </c>
      <c r="E38" s="13">
        <f t="shared" si="3"/>
        <v>7.5414694158975667E-3</v>
      </c>
      <c r="F38" s="13">
        <f t="shared" si="4"/>
        <v>11.515213989028165</v>
      </c>
      <c r="G38" s="14">
        <f>F38/$F$83*$D$2</f>
        <v>0</v>
      </c>
      <c r="H38" s="14">
        <f>F38/$F$83*$E$2</f>
        <v>63.403703231076648</v>
      </c>
      <c r="I38" s="25" t="str">
        <f t="shared" si="2"/>
        <v>选中</v>
      </c>
    </row>
    <row r="39" spans="1:9" hidden="1" x14ac:dyDescent="0.25">
      <c r="A39" s="3">
        <v>95</v>
      </c>
      <c r="B39" s="3">
        <v>113.3752398</v>
      </c>
      <c r="C39" s="3">
        <v>23.0538463</v>
      </c>
      <c r="D39" s="3">
        <v>48</v>
      </c>
      <c r="E39" s="13">
        <f t="shared" si="3"/>
        <v>7.681731818733716E-3</v>
      </c>
      <c r="F39" s="13">
        <f t="shared" si="4"/>
        <v>11.409600270569987</v>
      </c>
      <c r="G39" s="14" t="e">
        <f>F39/$F$124*$D$2</f>
        <v>#DIV/0!</v>
      </c>
      <c r="H39" s="14" t="e">
        <f>F39/$F$124*$E$2</f>
        <v>#DIV/0!</v>
      </c>
      <c r="I39" s="25" t="str">
        <f t="shared" si="2"/>
        <v/>
      </c>
    </row>
    <row r="40" spans="1:9" hidden="1" x14ac:dyDescent="0.25">
      <c r="A40" s="3">
        <v>70</v>
      </c>
      <c r="B40" s="3">
        <v>113.3684634</v>
      </c>
      <c r="C40" s="3">
        <v>23.057714399999998</v>
      </c>
      <c r="D40" s="3">
        <v>48</v>
      </c>
      <c r="E40" s="13">
        <f t="shared" si="3"/>
        <v>7.9674831119284743E-3</v>
      </c>
      <c r="F40" s="13">
        <f t="shared" si="4"/>
        <v>11.203131255910931</v>
      </c>
      <c r="G40" s="14" t="e">
        <f>F40/$F$124*$D$2</f>
        <v>#DIV/0!</v>
      </c>
      <c r="H40" s="14" t="e">
        <f>F40/$F$124*$E$2</f>
        <v>#DIV/0!</v>
      </c>
      <c r="I40" s="25" t="str">
        <f t="shared" si="2"/>
        <v/>
      </c>
    </row>
    <row r="41" spans="1:9" x14ac:dyDescent="0.25">
      <c r="A41" s="3">
        <v>596</v>
      </c>
      <c r="B41" s="3">
        <v>113.36669550000001</v>
      </c>
      <c r="C41" s="3">
        <v>23.04196018</v>
      </c>
      <c r="D41" s="3">
        <v>48</v>
      </c>
      <c r="E41" s="13">
        <f t="shared" si="3"/>
        <v>8.055399334761534E-3</v>
      </c>
      <c r="F41" s="13">
        <f t="shared" si="4"/>
        <v>11.141828327473892</v>
      </c>
      <c r="G41" s="14">
        <f>F41/$F$83*$D$2</f>
        <v>0</v>
      </c>
      <c r="H41" s="14">
        <f>F41/$F$83*$E$2</f>
        <v>61.347811460547391</v>
      </c>
      <c r="I41" s="25" t="str">
        <f t="shared" si="2"/>
        <v>选中</v>
      </c>
    </row>
    <row r="42" spans="1:9" hidden="1" x14ac:dyDescent="0.25">
      <c r="A42" s="3">
        <v>299</v>
      </c>
      <c r="B42" s="3">
        <v>113.3770717</v>
      </c>
      <c r="C42" s="3">
        <v>23.047730380000001</v>
      </c>
      <c r="D42" s="3">
        <v>48</v>
      </c>
      <c r="E42" s="13">
        <f t="shared" si="3"/>
        <v>8.5731022262975822E-3</v>
      </c>
      <c r="F42" s="13">
        <f t="shared" si="4"/>
        <v>10.800180128659445</v>
      </c>
      <c r="G42" s="14" t="e">
        <f>F42/$F$124*$D$2</f>
        <v>#DIV/0!</v>
      </c>
      <c r="H42" s="14" t="e">
        <f>F42/$F$124*$E$2</f>
        <v>#DIV/0!</v>
      </c>
      <c r="I42" s="25" t="str">
        <f t="shared" si="2"/>
        <v/>
      </c>
    </row>
    <row r="43" spans="1:9" hidden="1" x14ac:dyDescent="0.25">
      <c r="A43" s="3">
        <v>61</v>
      </c>
      <c r="B43" s="3">
        <v>113.3677821</v>
      </c>
      <c r="C43" s="3">
        <v>23.05831791</v>
      </c>
      <c r="D43" s="3">
        <v>48</v>
      </c>
      <c r="E43" s="13">
        <f t="shared" si="3"/>
        <v>8.6196048072044156E-3</v>
      </c>
      <c r="F43" s="13">
        <f t="shared" si="4"/>
        <v>10.771007360107943</v>
      </c>
      <c r="G43" s="14" t="e">
        <f>F43/$F$124*$D$2</f>
        <v>#DIV/0!</v>
      </c>
      <c r="H43" s="14" t="e">
        <f>F43/$F$124*$E$2</f>
        <v>#DIV/0!</v>
      </c>
      <c r="I43" s="25" t="str">
        <f t="shared" si="2"/>
        <v/>
      </c>
    </row>
    <row r="44" spans="1:9" x14ac:dyDescent="0.25">
      <c r="A44" s="3">
        <v>599</v>
      </c>
      <c r="B44" s="3">
        <v>113.37486490000001</v>
      </c>
      <c r="C44" s="3">
        <v>23.043389120000001</v>
      </c>
      <c r="D44" s="3">
        <v>48</v>
      </c>
      <c r="E44" s="13">
        <f t="shared" si="3"/>
        <v>8.831394633475733E-3</v>
      </c>
      <c r="F44" s="13">
        <f t="shared" si="4"/>
        <v>10.641071323045743</v>
      </c>
      <c r="G44" s="14">
        <f>F44/$F$83*$D$2</f>
        <v>0</v>
      </c>
      <c r="H44" s="14">
        <f>F44/$F$83*$E$2</f>
        <v>58.590602733910011</v>
      </c>
      <c r="I44" s="25" t="str">
        <f t="shared" si="2"/>
        <v>选中</v>
      </c>
    </row>
    <row r="45" spans="1:9" hidden="1" x14ac:dyDescent="0.25">
      <c r="A45" s="3">
        <v>71</v>
      </c>
      <c r="B45" s="3">
        <v>113.369606</v>
      </c>
      <c r="C45" s="3">
        <v>23.058664740000001</v>
      </c>
      <c r="D45" s="3">
        <v>48</v>
      </c>
      <c r="E45" s="13">
        <f t="shared" si="3"/>
        <v>8.9549530289175523E-3</v>
      </c>
      <c r="F45" s="13">
        <f t="shared" si="4"/>
        <v>10.567404796769566</v>
      </c>
      <c r="G45" s="14" t="e">
        <f>F45/$F$124*$D$2</f>
        <v>#DIV/0!</v>
      </c>
      <c r="H45" s="14" t="e">
        <f>F45/$F$124*$E$2</f>
        <v>#DIV/0!</v>
      </c>
      <c r="I45" s="25" t="str">
        <f t="shared" si="2"/>
        <v/>
      </c>
    </row>
    <row r="46" spans="1:9" hidden="1" x14ac:dyDescent="0.25">
      <c r="A46" s="3">
        <v>90</v>
      </c>
      <c r="B46" s="3">
        <v>113.3725381</v>
      </c>
      <c r="C46" s="3">
        <v>23.057971030000001</v>
      </c>
      <c r="D46" s="3">
        <v>48</v>
      </c>
      <c r="E46" s="13">
        <f t="shared" si="3"/>
        <v>9.0542905481331582E-3</v>
      </c>
      <c r="F46" s="13">
        <f t="shared" si="4"/>
        <v>10.509275728953885</v>
      </c>
      <c r="G46" s="14" t="e">
        <f>F46/$F$124*$D$2</f>
        <v>#DIV/0!</v>
      </c>
      <c r="H46" s="14" t="e">
        <f>F46/$F$124*$E$2</f>
        <v>#DIV/0!</v>
      </c>
      <c r="I46" s="25" t="str">
        <f t="shared" si="2"/>
        <v/>
      </c>
    </row>
    <row r="47" spans="1:9" x14ac:dyDescent="0.25">
      <c r="A47" s="3">
        <v>589</v>
      </c>
      <c r="B47" s="3">
        <v>113.3684166</v>
      </c>
      <c r="C47" s="3">
        <v>23.040639779999999</v>
      </c>
      <c r="D47" s="3">
        <v>48</v>
      </c>
      <c r="E47" s="13">
        <f t="shared" si="3"/>
        <v>9.1176978724083115E-3</v>
      </c>
      <c r="F47" s="13">
        <f t="shared" si="4"/>
        <v>10.472669579181192</v>
      </c>
      <c r="G47" s="14">
        <f>F47/$F$83*$D$2</f>
        <v>0</v>
      </c>
      <c r="H47" s="14">
        <f>F47/$F$83*$E$2</f>
        <v>57.663369058378038</v>
      </c>
      <c r="I47" s="25" t="str">
        <f t="shared" si="2"/>
        <v>选中</v>
      </c>
    </row>
    <row r="48" spans="1:9" hidden="1" x14ac:dyDescent="0.25">
      <c r="A48" s="3">
        <v>594</v>
      </c>
      <c r="B48" s="3">
        <v>113.36608029999999</v>
      </c>
      <c r="C48" s="3">
        <v>23.040723440000001</v>
      </c>
      <c r="D48" s="3">
        <v>48</v>
      </c>
      <c r="E48" s="13">
        <f t="shared" si="3"/>
        <v>9.4119934298812682E-3</v>
      </c>
      <c r="F48" s="13">
        <f t="shared" si="4"/>
        <v>10.307638817072947</v>
      </c>
      <c r="G48" s="14" t="e">
        <f>F48/$F$124*$D$2</f>
        <v>#DIV/0!</v>
      </c>
      <c r="H48" s="14" t="e">
        <f>F48/$F$124*$E$2</f>
        <v>#DIV/0!</v>
      </c>
      <c r="I48" s="25" t="str">
        <f t="shared" si="2"/>
        <v/>
      </c>
    </row>
    <row r="49" spans="1:9" hidden="1" x14ac:dyDescent="0.25">
      <c r="A49" s="3">
        <v>78</v>
      </c>
      <c r="B49" s="3">
        <v>113.37268589999999</v>
      </c>
      <c r="C49" s="3">
        <v>23.058362720000002</v>
      </c>
      <c r="D49" s="3">
        <v>48</v>
      </c>
      <c r="E49" s="13">
        <f t="shared" si="3"/>
        <v>9.4719009781603514E-3</v>
      </c>
      <c r="F49" s="13">
        <f t="shared" si="4"/>
        <v>10.274990414941694</v>
      </c>
      <c r="G49" s="14" t="e">
        <f>F49/$F$124*$D$2</f>
        <v>#DIV/0!</v>
      </c>
      <c r="H49" s="14" t="e">
        <f>F49/$F$124*$E$2</f>
        <v>#DIV/0!</v>
      </c>
      <c r="I49" s="25" t="str">
        <f t="shared" si="2"/>
        <v/>
      </c>
    </row>
    <row r="50" spans="1:9" x14ac:dyDescent="0.25">
      <c r="A50" s="3">
        <v>302</v>
      </c>
      <c r="B50" s="3">
        <v>113.37782180000001</v>
      </c>
      <c r="C50" s="3">
        <v>23.05248074</v>
      </c>
      <c r="D50" s="3">
        <v>48</v>
      </c>
      <c r="E50" s="13">
        <f t="shared" si="3"/>
        <v>9.4826756683036272E-3</v>
      </c>
      <c r="F50" s="13">
        <f t="shared" si="4"/>
        <v>10.269151276906594</v>
      </c>
      <c r="G50" s="14">
        <f>F50/$F$83*$D$2</f>
        <v>0</v>
      </c>
      <c r="H50" s="14">
        <f>F50/$F$83*$E$2</f>
        <v>56.542780760860857</v>
      </c>
      <c r="I50" s="25" t="str">
        <f t="shared" si="2"/>
        <v>选中</v>
      </c>
    </row>
    <row r="51" spans="1:9" hidden="1" x14ac:dyDescent="0.25">
      <c r="A51" s="3">
        <v>592</v>
      </c>
      <c r="B51" s="3">
        <v>113.36922869999999</v>
      </c>
      <c r="C51" s="3">
        <v>23.04007713</v>
      </c>
      <c r="D51" s="3">
        <v>48</v>
      </c>
      <c r="E51" s="13">
        <f t="shared" si="3"/>
        <v>9.6869200327039384E-3</v>
      </c>
      <c r="F51" s="13">
        <f t="shared" si="4"/>
        <v>10.160314301342199</v>
      </c>
      <c r="G51" s="14" t="e">
        <f>F51/$F$124*$D$2</f>
        <v>#DIV/0!</v>
      </c>
      <c r="H51" s="14" t="e">
        <f>F51/$F$124*$E$2</f>
        <v>#DIV/0!</v>
      </c>
      <c r="I51" s="25" t="str">
        <f t="shared" si="2"/>
        <v/>
      </c>
    </row>
    <row r="52" spans="1:9" hidden="1" x14ac:dyDescent="0.25">
      <c r="A52" s="3">
        <v>73</v>
      </c>
      <c r="B52" s="3">
        <v>113.37400770000001</v>
      </c>
      <c r="C52" s="3">
        <v>23.05810258</v>
      </c>
      <c r="D52" s="3">
        <v>48</v>
      </c>
      <c r="E52" s="13">
        <f t="shared" si="3"/>
        <v>9.8733073730424784E-3</v>
      </c>
      <c r="F52" s="13">
        <f t="shared" si="4"/>
        <v>10.063954652884904</v>
      </c>
      <c r="G52" s="14" t="e">
        <f>F52/$F$124*$D$2</f>
        <v>#DIV/0!</v>
      </c>
      <c r="H52" s="14" t="e">
        <f>F52/$F$124*$E$2</f>
        <v>#DIV/0!</v>
      </c>
      <c r="I52" s="25" t="str">
        <f t="shared" si="2"/>
        <v/>
      </c>
    </row>
    <row r="53" spans="1:9" x14ac:dyDescent="0.25">
      <c r="A53" s="3">
        <v>306</v>
      </c>
      <c r="B53" s="3">
        <v>113.3768941</v>
      </c>
      <c r="C53" s="3">
        <v>23.043991129999998</v>
      </c>
      <c r="D53" s="3">
        <v>48</v>
      </c>
      <c r="E53" s="13">
        <f t="shared" si="3"/>
        <v>9.9834346194114087E-3</v>
      </c>
      <c r="F53" s="13">
        <f t="shared" si="4"/>
        <v>10.008292994964119</v>
      </c>
      <c r="G53" s="14">
        <f>F53/$F$83*$D$2</f>
        <v>0</v>
      </c>
      <c r="H53" s="14">
        <f>F53/$F$83*$E$2</f>
        <v>55.106473879424861</v>
      </c>
      <c r="I53" s="25" t="str">
        <f t="shared" si="2"/>
        <v>选中</v>
      </c>
    </row>
    <row r="54" spans="1:9" hidden="1" x14ac:dyDescent="0.25">
      <c r="A54" s="3">
        <v>590</v>
      </c>
      <c r="B54" s="3">
        <v>113.3662901</v>
      </c>
      <c r="C54" s="3">
        <v>23.039908539999999</v>
      </c>
      <c r="D54" s="3">
        <v>48</v>
      </c>
      <c r="E54" s="13">
        <f t="shared" si="3"/>
        <v>1.0143562954707917E-2</v>
      </c>
      <c r="F54" s="13">
        <f t="shared" si="4"/>
        <v>9.9289822778946881</v>
      </c>
      <c r="G54" s="14" t="e">
        <f>F54/$F$124*$D$2</f>
        <v>#DIV/0!</v>
      </c>
      <c r="H54" s="14" t="e">
        <f>F54/$F$124*$E$2</f>
        <v>#DIV/0!</v>
      </c>
      <c r="I54" s="25" t="str">
        <f t="shared" si="2"/>
        <v/>
      </c>
    </row>
    <row r="55" spans="1:9" hidden="1" x14ac:dyDescent="0.25">
      <c r="A55" s="3">
        <v>84</v>
      </c>
      <c r="B55" s="3">
        <v>113.37810349999999</v>
      </c>
      <c r="C55" s="3">
        <v>23.053726990000001</v>
      </c>
      <c r="D55" s="3">
        <v>48</v>
      </c>
      <c r="E55" s="13">
        <f t="shared" si="3"/>
        <v>1.0172128897508367E-2</v>
      </c>
      <c r="F55" s="13">
        <f t="shared" si="4"/>
        <v>9.9150309138436885</v>
      </c>
      <c r="G55" s="14" t="e">
        <f>F55/$F$124*$D$2</f>
        <v>#DIV/0!</v>
      </c>
      <c r="H55" s="14" t="e">
        <f>F55/$F$124*$E$2</f>
        <v>#DIV/0!</v>
      </c>
      <c r="I55" s="25" t="str">
        <f t="shared" si="2"/>
        <v/>
      </c>
    </row>
    <row r="56" spans="1:9" x14ac:dyDescent="0.25">
      <c r="A56" s="3">
        <v>85</v>
      </c>
      <c r="B56" s="3">
        <v>113.3719715</v>
      </c>
      <c r="C56" s="3">
        <v>23.05945796</v>
      </c>
      <c r="D56" s="3">
        <v>48</v>
      </c>
      <c r="E56" s="13">
        <f t="shared" si="3"/>
        <v>1.0229934225247662E-2</v>
      </c>
      <c r="F56" s="13">
        <f t="shared" si="4"/>
        <v>9.8869782624846749</v>
      </c>
      <c r="G56" s="14">
        <f>F56/$F$83*$D$2</f>
        <v>0</v>
      </c>
      <c r="H56" s="14">
        <f>F56/$F$83*$E$2</f>
        <v>54.438505111930574</v>
      </c>
      <c r="I56" s="25" t="str">
        <f t="shared" si="2"/>
        <v>选中</v>
      </c>
    </row>
    <row r="57" spans="1:9" hidden="1" x14ac:dyDescent="0.25">
      <c r="A57" s="3">
        <v>601</v>
      </c>
      <c r="B57" s="3">
        <v>113.3768592</v>
      </c>
      <c r="C57" s="3">
        <v>23.043311450000001</v>
      </c>
      <c r="D57" s="3">
        <v>48</v>
      </c>
      <c r="E57" s="13">
        <f t="shared" si="3"/>
        <v>1.0363095275466055E-2</v>
      </c>
      <c r="F57" s="13">
        <f t="shared" si="4"/>
        <v>9.8232513031846302</v>
      </c>
      <c r="G57" s="14" t="e">
        <f>F57/$F$124*$D$2</f>
        <v>#DIV/0!</v>
      </c>
      <c r="H57" s="14" t="e">
        <f>F57/$F$124*$E$2</f>
        <v>#DIV/0!</v>
      </c>
      <c r="I57" s="25" t="str">
        <f t="shared" si="2"/>
        <v/>
      </c>
    </row>
    <row r="58" spans="1:9" hidden="1" x14ac:dyDescent="0.25">
      <c r="A58" s="3">
        <v>600</v>
      </c>
      <c r="B58" s="3">
        <v>113.3723425</v>
      </c>
      <c r="C58" s="3">
        <v>23.039804019999998</v>
      </c>
      <c r="D58" s="3">
        <v>48</v>
      </c>
      <c r="E58" s="13">
        <f t="shared" si="3"/>
        <v>1.0579828877830096E-2</v>
      </c>
      <c r="F58" s="13">
        <f t="shared" si="4"/>
        <v>9.7221133084042144</v>
      </c>
      <c r="G58" s="14" t="e">
        <f>F58/$F$124*$D$2</f>
        <v>#DIV/0!</v>
      </c>
      <c r="H58" s="14" t="e">
        <f>F58/$F$124*$E$2</f>
        <v>#DIV/0!</v>
      </c>
      <c r="I58" s="25" t="str">
        <f t="shared" si="2"/>
        <v/>
      </c>
    </row>
    <row r="59" spans="1:9" x14ac:dyDescent="0.25">
      <c r="A59" s="3">
        <v>593</v>
      </c>
      <c r="B59" s="3">
        <v>113.3636494</v>
      </c>
      <c r="C59" s="3">
        <v>23.040420560000001</v>
      </c>
      <c r="D59" s="3">
        <v>48</v>
      </c>
      <c r="E59" s="13">
        <f t="shared" si="3"/>
        <v>1.0629581194895616E-2</v>
      </c>
      <c r="F59" s="13">
        <f t="shared" si="4"/>
        <v>9.6993341896138734</v>
      </c>
      <c r="G59" s="14">
        <f>F59/$F$83*$D$2</f>
        <v>0</v>
      </c>
      <c r="H59" s="14">
        <f>F59/$F$83*$E$2</f>
        <v>53.405321610459666</v>
      </c>
      <c r="I59" s="25" t="str">
        <f t="shared" si="2"/>
        <v>选中</v>
      </c>
    </row>
    <row r="60" spans="1:9" hidden="1" x14ac:dyDescent="0.25">
      <c r="A60" s="3">
        <v>301</v>
      </c>
      <c r="B60" s="3">
        <v>113.3791509</v>
      </c>
      <c r="C60" s="3">
        <v>23.05209391</v>
      </c>
      <c r="D60" s="3">
        <v>48</v>
      </c>
      <c r="E60" s="13">
        <f t="shared" si="3"/>
        <v>1.0670820001874297E-2</v>
      </c>
      <c r="F60" s="13">
        <f t="shared" si="4"/>
        <v>9.6805738613713235</v>
      </c>
      <c r="G60" s="14" t="e">
        <f>F60/$F$124*$D$2</f>
        <v>#DIV/0!</v>
      </c>
      <c r="H60" s="14" t="e">
        <f>F60/$F$124*$E$2</f>
        <v>#DIV/0!</v>
      </c>
      <c r="I60" s="25" t="str">
        <f t="shared" si="2"/>
        <v/>
      </c>
    </row>
    <row r="61" spans="1:9" hidden="1" x14ac:dyDescent="0.25">
      <c r="A61" s="3">
        <v>303</v>
      </c>
      <c r="B61" s="3">
        <v>113.378282</v>
      </c>
      <c r="C61" s="3">
        <v>23.044520810000002</v>
      </c>
      <c r="D61" s="3">
        <v>48</v>
      </c>
      <c r="E61" s="13">
        <f t="shared" si="3"/>
        <v>1.0881477975734003E-2</v>
      </c>
      <c r="F61" s="13">
        <f t="shared" si="4"/>
        <v>9.5864112575556444</v>
      </c>
      <c r="G61" s="14" t="e">
        <f>F61/$F$124*$D$2</f>
        <v>#DIV/0!</v>
      </c>
      <c r="H61" s="14" t="e">
        <f>F61/$F$124*$E$2</f>
        <v>#DIV/0!</v>
      </c>
      <c r="I61" s="25" t="str">
        <f t="shared" si="2"/>
        <v/>
      </c>
    </row>
    <row r="62" spans="1:9" x14ac:dyDescent="0.25">
      <c r="A62" s="3">
        <v>591</v>
      </c>
      <c r="B62" s="3">
        <v>113.3638851</v>
      </c>
      <c r="C62" s="3">
        <v>23.039994440000001</v>
      </c>
      <c r="D62" s="3">
        <v>48</v>
      </c>
      <c r="E62" s="13">
        <f t="shared" si="3"/>
        <v>1.0898517109407018E-2</v>
      </c>
      <c r="F62" s="13">
        <f t="shared" si="4"/>
        <v>9.5789144561235808</v>
      </c>
      <c r="G62" s="14">
        <f>F62/$F$83*$D$2</f>
        <v>0</v>
      </c>
      <c r="H62" s="14">
        <f>F62/$F$83*$E$2</f>
        <v>52.742280780071397</v>
      </c>
      <c r="I62" s="25" t="str">
        <f t="shared" si="2"/>
        <v>选中</v>
      </c>
    </row>
    <row r="63" spans="1:9" hidden="1" x14ac:dyDescent="0.25">
      <c r="A63" s="3">
        <v>87</v>
      </c>
      <c r="B63" s="3">
        <v>113.37765469999999</v>
      </c>
      <c r="C63" s="3">
        <v>23.056156300000001</v>
      </c>
      <c r="D63" s="3">
        <v>48</v>
      </c>
      <c r="E63" s="13">
        <f t="shared" si="3"/>
        <v>1.0976567962929826E-2</v>
      </c>
      <c r="F63" s="13">
        <f t="shared" si="4"/>
        <v>9.5447974051735542</v>
      </c>
      <c r="G63" s="14" t="e">
        <f>F63/$F$124*$D$2</f>
        <v>#DIV/0!</v>
      </c>
      <c r="H63" s="14" t="e">
        <f>F63/$F$124*$E$2</f>
        <v>#DIV/0!</v>
      </c>
      <c r="I63" s="25" t="str">
        <f t="shared" si="2"/>
        <v/>
      </c>
    </row>
    <row r="64" spans="1:9" hidden="1" x14ac:dyDescent="0.25">
      <c r="A64" s="3">
        <v>305</v>
      </c>
      <c r="B64" s="3">
        <v>113.3786358</v>
      </c>
      <c r="C64" s="3">
        <v>23.044919369999999</v>
      </c>
      <c r="D64" s="3">
        <v>48</v>
      </c>
      <c r="E64" s="13">
        <f t="shared" si="3"/>
        <v>1.1012385001424357E-2</v>
      </c>
      <c r="F64" s="13">
        <f t="shared" si="4"/>
        <v>9.5292628591450708</v>
      </c>
      <c r="G64" s="14" t="e">
        <f>F64/$F$124*$D$2</f>
        <v>#DIV/0!</v>
      </c>
      <c r="H64" s="14" t="e">
        <f>F64/$F$124*$E$2</f>
        <v>#DIV/0!</v>
      </c>
      <c r="I64" s="25" t="str">
        <f t="shared" si="2"/>
        <v/>
      </c>
    </row>
    <row r="65" spans="1:9" x14ac:dyDescent="0.25">
      <c r="A65" s="3">
        <v>276</v>
      </c>
      <c r="B65" s="3">
        <v>113.3590635</v>
      </c>
      <c r="C65" s="3">
        <v>23.043894179999999</v>
      </c>
      <c r="D65" s="3">
        <v>48</v>
      </c>
      <c r="E65" s="13">
        <f t="shared" si="3"/>
        <v>1.131155825880791E-2</v>
      </c>
      <c r="F65" s="13">
        <f t="shared" si="4"/>
        <v>9.4024012673898074</v>
      </c>
      <c r="G65" s="14">
        <f>F65/$F$83*$D$2</f>
        <v>0</v>
      </c>
      <c r="H65" s="14">
        <f>F65/$F$83*$E$2</f>
        <v>51.770384830459804</v>
      </c>
      <c r="I65" s="25" t="str">
        <f t="shared" si="2"/>
        <v>选中</v>
      </c>
    </row>
    <row r="66" spans="1:9" hidden="1" x14ac:dyDescent="0.25">
      <c r="A66" s="3">
        <v>63</v>
      </c>
      <c r="B66" s="3">
        <v>113.36548569999999</v>
      </c>
      <c r="C66" s="3">
        <v>23.061339310000001</v>
      </c>
      <c r="D66" s="3">
        <v>48</v>
      </c>
      <c r="E66" s="13">
        <f t="shared" si="3"/>
        <v>1.2035964083381352E-2</v>
      </c>
      <c r="F66" s="13">
        <f t="shared" si="4"/>
        <v>9.115060560520023</v>
      </c>
      <c r="G66" s="14" t="e">
        <f>F66/$F$124*$D$2</f>
        <v>#DIV/0!</v>
      </c>
      <c r="H66" s="14" t="e">
        <f>F66/$F$124*$E$2</f>
        <v>#DIV/0!</v>
      </c>
      <c r="I66" s="25" t="str">
        <f t="shared" si="2"/>
        <v/>
      </c>
    </row>
    <row r="67" spans="1:9" hidden="1" x14ac:dyDescent="0.25">
      <c r="A67" s="3">
        <v>588</v>
      </c>
      <c r="B67" s="3">
        <v>113.363253</v>
      </c>
      <c r="C67" s="3">
        <v>23.038944699999998</v>
      </c>
      <c r="D67" s="3">
        <v>48</v>
      </c>
      <c r="E67" s="13">
        <f t="shared" si="3"/>
        <v>1.2120328325211911E-2</v>
      </c>
      <c r="F67" s="13">
        <f t="shared" si="4"/>
        <v>9.0832822137790963</v>
      </c>
      <c r="G67" s="14" t="e">
        <f>F67/$F$124*$D$2</f>
        <v>#DIV/0!</v>
      </c>
      <c r="H67" s="14" t="e">
        <f>F67/$F$124*$E$2</f>
        <v>#DIV/0!</v>
      </c>
      <c r="I67" s="25" t="str">
        <f t="shared" si="2"/>
        <v/>
      </c>
    </row>
    <row r="68" spans="1:9" x14ac:dyDescent="0.25">
      <c r="A68" s="3">
        <v>585</v>
      </c>
      <c r="B68" s="3">
        <v>113.3608143</v>
      </c>
      <c r="C68" s="3">
        <v>23.040474240000002</v>
      </c>
      <c r="D68" s="3">
        <v>48</v>
      </c>
      <c r="E68" s="13">
        <f t="shared" si="3"/>
        <v>1.2202184095482259E-2</v>
      </c>
      <c r="F68" s="13">
        <f t="shared" si="4"/>
        <v>9.0527643084819331</v>
      </c>
      <c r="G68" s="14">
        <f>F68/$F$83*$D$2</f>
        <v>0</v>
      </c>
      <c r="H68" s="14">
        <f>F68/$F$83*$E$2</f>
        <v>49.845255345038765</v>
      </c>
      <c r="I68" s="25" t="str">
        <f t="shared" si="2"/>
        <v>选中</v>
      </c>
    </row>
    <row r="69" spans="1:9" hidden="1" x14ac:dyDescent="0.25">
      <c r="A69" s="3">
        <v>275</v>
      </c>
      <c r="B69" s="3">
        <v>113.3575767</v>
      </c>
      <c r="C69" s="3">
        <v>23.044298120000001</v>
      </c>
      <c r="D69" s="3">
        <v>48</v>
      </c>
      <c r="E69" s="13">
        <f t="shared" ref="E69:E81" si="5">SQRT((B69-$B$2)^2+(C69-$C$2)^2)</f>
        <v>1.2424484978950759E-2</v>
      </c>
      <c r="F69" s="13">
        <f t="shared" ref="F69:F81" si="6">SQRT(1/E69)</f>
        <v>8.9714120164986113</v>
      </c>
      <c r="G69" s="14" t="e">
        <f>F69/$F$124*$D$2</f>
        <v>#DIV/0!</v>
      </c>
      <c r="H69" s="14" t="e">
        <f>F69/$F$124*$E$2</f>
        <v>#DIV/0!</v>
      </c>
      <c r="I69" s="25" t="str">
        <f t="shared" si="2"/>
        <v/>
      </c>
    </row>
    <row r="70" spans="1:9" hidden="1" x14ac:dyDescent="0.25">
      <c r="A70" s="3">
        <v>74</v>
      </c>
      <c r="B70" s="3">
        <v>113.3760417</v>
      </c>
      <c r="C70" s="3">
        <v>23.060072940000001</v>
      </c>
      <c r="D70" s="3">
        <v>48</v>
      </c>
      <c r="E70" s="13">
        <f t="shared" si="5"/>
        <v>1.2642698201893366E-2</v>
      </c>
      <c r="F70" s="13">
        <f t="shared" si="6"/>
        <v>8.8936516445278944</v>
      </c>
      <c r="G70" s="14" t="e">
        <f>F70/$F$124*$D$2</f>
        <v>#DIV/0!</v>
      </c>
      <c r="H70" s="14" t="e">
        <f>F70/$F$124*$E$2</f>
        <v>#DIV/0!</v>
      </c>
      <c r="I70" s="25" t="str">
        <f t="shared" ref="I70:I81" si="7">IF(MOD(ROW()-1,3)=1,"选中","")</f>
        <v/>
      </c>
    </row>
    <row r="71" spans="1:9" x14ac:dyDescent="0.25">
      <c r="A71" s="3">
        <v>277</v>
      </c>
      <c r="B71" s="3">
        <v>113.3567379</v>
      </c>
      <c r="C71" s="3">
        <v>23.044561219999999</v>
      </c>
      <c r="D71" s="3">
        <v>48</v>
      </c>
      <c r="E71" s="13">
        <f t="shared" si="5"/>
        <v>1.3076658587732687E-2</v>
      </c>
      <c r="F71" s="13">
        <f t="shared" si="6"/>
        <v>8.7448347573564238</v>
      </c>
      <c r="G71" s="14">
        <f>F71/$F$83*$D$2</f>
        <v>0</v>
      </c>
      <c r="H71" s="14">
        <f>F71/$F$83*$E$2</f>
        <v>48.149770233407928</v>
      </c>
      <c r="I71" s="25" t="str">
        <f t="shared" si="7"/>
        <v>选中</v>
      </c>
    </row>
    <row r="72" spans="1:9" hidden="1" x14ac:dyDescent="0.25">
      <c r="A72" s="3">
        <v>94</v>
      </c>
      <c r="B72" s="3">
        <v>113.3742951</v>
      </c>
      <c r="C72" s="3">
        <v>23.061859720000001</v>
      </c>
      <c r="D72" s="3">
        <v>48</v>
      </c>
      <c r="E72" s="13">
        <f t="shared" si="5"/>
        <v>1.3321382243599893E-2</v>
      </c>
      <c r="F72" s="13">
        <f t="shared" si="6"/>
        <v>8.6641378791891928</v>
      </c>
      <c r="G72" s="14" t="e">
        <f>F72/$F$124*$D$2</f>
        <v>#DIV/0!</v>
      </c>
      <c r="H72" s="14" t="e">
        <f>F72/$F$124*$E$2</f>
        <v>#DIV/0!</v>
      </c>
      <c r="I72" s="25" t="str">
        <f t="shared" si="7"/>
        <v/>
      </c>
    </row>
    <row r="73" spans="1:9" hidden="1" x14ac:dyDescent="0.25">
      <c r="A73" s="3">
        <v>586</v>
      </c>
      <c r="B73" s="3">
        <v>113.3593733</v>
      </c>
      <c r="C73" s="3">
        <v>23.040057399999998</v>
      </c>
      <c r="D73" s="3">
        <v>48</v>
      </c>
      <c r="E73" s="13">
        <f t="shared" si="5"/>
        <v>1.3480382900678036E-2</v>
      </c>
      <c r="F73" s="13">
        <f t="shared" si="6"/>
        <v>8.6128897077637152</v>
      </c>
      <c r="G73" s="14" t="e">
        <f>F73/$F$124*$D$2</f>
        <v>#DIV/0!</v>
      </c>
      <c r="H73" s="14" t="e">
        <f>F73/$F$124*$E$2</f>
        <v>#DIV/0!</v>
      </c>
      <c r="I73" s="25" t="str">
        <f t="shared" si="7"/>
        <v/>
      </c>
    </row>
    <row r="74" spans="1:9" x14ac:dyDescent="0.25">
      <c r="A74" s="3">
        <v>584</v>
      </c>
      <c r="B74" s="3">
        <v>113.35922859999999</v>
      </c>
      <c r="C74" s="3">
        <v>23.039776719999999</v>
      </c>
      <c r="D74" s="3">
        <v>48</v>
      </c>
      <c r="E74" s="13">
        <f t="shared" si="5"/>
        <v>1.3783078806646063E-2</v>
      </c>
      <c r="F74" s="13">
        <f t="shared" si="6"/>
        <v>8.5177890526985589</v>
      </c>
      <c r="G74" s="14">
        <f>F74/$F$83*$D$2</f>
        <v>0</v>
      </c>
      <c r="H74" s="14">
        <f>F74/$F$83*$E$2</f>
        <v>46.899638148000378</v>
      </c>
      <c r="I74" s="25" t="str">
        <f t="shared" si="7"/>
        <v>选中</v>
      </c>
    </row>
    <row r="75" spans="1:9" hidden="1" x14ac:dyDescent="0.25">
      <c r="A75" s="3">
        <v>278</v>
      </c>
      <c r="B75" s="3">
        <v>113.35616589999999</v>
      </c>
      <c r="C75" s="3">
        <v>23.044069270000001</v>
      </c>
      <c r="D75" s="3">
        <v>48</v>
      </c>
      <c r="E75" s="13">
        <f t="shared" si="5"/>
        <v>1.3798763966809744E-2</v>
      </c>
      <c r="F75" s="13">
        <f t="shared" si="6"/>
        <v>8.512946558316381</v>
      </c>
      <c r="G75" s="14" t="e">
        <f>F75/$F$124*$D$2</f>
        <v>#DIV/0!</v>
      </c>
      <c r="H75" s="14" t="e">
        <f>F75/$F$124*$E$2</f>
        <v>#DIV/0!</v>
      </c>
      <c r="I75" s="25" t="str">
        <f t="shared" si="7"/>
        <v/>
      </c>
    </row>
    <row r="76" spans="1:9" hidden="1" x14ac:dyDescent="0.25">
      <c r="A76" s="3">
        <v>587</v>
      </c>
      <c r="B76" s="3">
        <v>113.35701469999999</v>
      </c>
      <c r="C76" s="3">
        <v>23.04197293</v>
      </c>
      <c r="D76" s="3">
        <v>48</v>
      </c>
      <c r="E76" s="13">
        <f t="shared" si="5"/>
        <v>1.4071226840618265E-2</v>
      </c>
      <c r="F76" s="13">
        <f t="shared" si="6"/>
        <v>8.4301250689740925</v>
      </c>
      <c r="G76" s="14" t="e">
        <f>F76/$F$124*$D$2</f>
        <v>#DIV/0!</v>
      </c>
      <c r="H76" s="14" t="e">
        <f>F76/$F$124*$E$2</f>
        <v>#DIV/0!</v>
      </c>
      <c r="I76" s="25" t="str">
        <f t="shared" si="7"/>
        <v/>
      </c>
    </row>
    <row r="77" spans="1:9" x14ac:dyDescent="0.25">
      <c r="A77" s="3">
        <v>62</v>
      </c>
      <c r="B77" s="3">
        <v>113.3624255</v>
      </c>
      <c r="C77" s="3">
        <v>23.06293947</v>
      </c>
      <c r="D77" s="3">
        <v>48</v>
      </c>
      <c r="E77" s="13">
        <f t="shared" si="5"/>
        <v>1.4621668350347792E-2</v>
      </c>
      <c r="F77" s="13">
        <f t="shared" si="6"/>
        <v>8.2699243250867074</v>
      </c>
      <c r="G77" s="14">
        <f>F77/$F$83*$D$2</f>
        <v>0</v>
      </c>
      <c r="H77" s="14">
        <f>F77/$F$83*$E$2</f>
        <v>45.534874831753939</v>
      </c>
      <c r="I77" s="25" t="str">
        <f t="shared" si="7"/>
        <v>选中</v>
      </c>
    </row>
    <row r="78" spans="1:9" hidden="1" x14ac:dyDescent="0.25">
      <c r="A78" s="3">
        <v>279</v>
      </c>
      <c r="B78" s="3">
        <v>113.3550127</v>
      </c>
      <c r="C78" s="3">
        <v>23.043975029999999</v>
      </c>
      <c r="D78" s="3">
        <v>48</v>
      </c>
      <c r="E78" s="13">
        <f t="shared" si="5"/>
        <v>1.489353096649366E-2</v>
      </c>
      <c r="F78" s="13">
        <f t="shared" si="6"/>
        <v>8.1940981867506295</v>
      </c>
      <c r="G78" s="14" t="e">
        <f>F78/$F$124*$D$2</f>
        <v>#DIV/0!</v>
      </c>
      <c r="H78" s="14" t="e">
        <f>F78/$F$124*$E$2</f>
        <v>#DIV/0!</v>
      </c>
      <c r="I78" s="25" t="str">
        <f t="shared" si="7"/>
        <v/>
      </c>
    </row>
    <row r="79" spans="1:9" hidden="1" x14ac:dyDescent="0.25">
      <c r="A79" s="3">
        <v>29</v>
      </c>
      <c r="B79" s="3">
        <v>113.3714667</v>
      </c>
      <c r="C79" s="3">
        <v>23.064448330000001</v>
      </c>
      <c r="D79" s="3">
        <v>48</v>
      </c>
      <c r="E79" s="13">
        <f t="shared" si="5"/>
        <v>1.4947351220869182E-2</v>
      </c>
      <c r="F79" s="13">
        <f t="shared" si="6"/>
        <v>8.1793328233632412</v>
      </c>
      <c r="G79" s="14" t="e">
        <f>F79/$F$124*$D$2</f>
        <v>#DIV/0!</v>
      </c>
      <c r="H79" s="14" t="e">
        <f>F79/$F$124*$E$2</f>
        <v>#DIV/0!</v>
      </c>
      <c r="I79" s="25" t="str">
        <f t="shared" si="7"/>
        <v/>
      </c>
    </row>
    <row r="80" spans="1:9" x14ac:dyDescent="0.25">
      <c r="A80" s="3">
        <v>27</v>
      </c>
      <c r="B80" s="3">
        <v>113.3647022</v>
      </c>
      <c r="C80" s="3">
        <v>23.067225759999999</v>
      </c>
      <c r="D80" s="3">
        <v>48</v>
      </c>
      <c r="E80" s="13">
        <f t="shared" si="5"/>
        <v>1.7934546998764209E-2</v>
      </c>
      <c r="F80" s="13">
        <f t="shared" si="6"/>
        <v>7.4671486028218084</v>
      </c>
      <c r="G80" s="14">
        <f>F80/$F$83*$D$2</f>
        <v>0</v>
      </c>
      <c r="H80" s="14">
        <f>F80/$F$83*$E$2</f>
        <v>41.114726521518968</v>
      </c>
      <c r="I80" s="25" t="str">
        <f t="shared" si="7"/>
        <v>选中</v>
      </c>
    </row>
    <row r="81" spans="1:9" hidden="1" x14ac:dyDescent="0.25">
      <c r="A81" s="3">
        <v>26</v>
      </c>
      <c r="B81" s="3">
        <v>113.3647122</v>
      </c>
      <c r="C81" s="3">
        <v>23.067479639999998</v>
      </c>
      <c r="D81" s="3">
        <v>48</v>
      </c>
      <c r="E81" s="13">
        <f t="shared" si="5"/>
        <v>1.8179779497508163E-2</v>
      </c>
      <c r="F81" s="13">
        <f t="shared" si="6"/>
        <v>7.4166143024704159</v>
      </c>
      <c r="G81" s="14" t="e">
        <f>F81/$F$124*$D$2</f>
        <v>#DIV/0!</v>
      </c>
      <c r="H81" s="14" t="e">
        <f>F81/$F$124*$E$2</f>
        <v>#DIV/0!</v>
      </c>
      <c r="I81" s="25" t="str">
        <f t="shared" si="7"/>
        <v/>
      </c>
    </row>
    <row r="82" spans="1:9" x14ac:dyDescent="0.25">
      <c r="A82" s="3"/>
      <c r="B82" s="3"/>
      <c r="C82" s="3"/>
      <c r="D82" s="3"/>
      <c r="G82" s="14"/>
      <c r="H82" s="14"/>
    </row>
    <row r="83" spans="1:9" x14ac:dyDescent="0.25">
      <c r="A83" s="3"/>
      <c r="B83" s="3"/>
      <c r="C83" s="3"/>
      <c r="D83" s="3"/>
      <c r="F83" s="13">
        <f>SUBTOTAL(9,F5:F81)</f>
        <v>324.18700995276612</v>
      </c>
      <c r="G83" s="13">
        <f>SUBTOTAL(9,G5:G81)</f>
        <v>0</v>
      </c>
      <c r="H83" s="13">
        <f>SUBTOTAL(9,H5:H81)</f>
        <v>1785</v>
      </c>
    </row>
    <row r="84" spans="1:9" x14ac:dyDescent="0.25">
      <c r="A84" s="3"/>
      <c r="B84" s="3"/>
      <c r="C84" s="3"/>
      <c r="D84" s="3"/>
      <c r="G84" s="14"/>
      <c r="H84" s="14"/>
    </row>
    <row r="85" spans="1:9" x14ac:dyDescent="0.25">
      <c r="A85" s="3"/>
      <c r="B85" s="3"/>
      <c r="C85" s="3"/>
      <c r="D85" s="3"/>
      <c r="G85" s="14"/>
      <c r="H85" s="14"/>
    </row>
    <row r="86" spans="1:9" x14ac:dyDescent="0.25">
      <c r="A86" s="3"/>
      <c r="B86" s="3"/>
      <c r="C86" s="3"/>
      <c r="D86" s="3"/>
      <c r="G86" s="14"/>
      <c r="H86" s="14"/>
    </row>
    <row r="87" spans="1:9" x14ac:dyDescent="0.25">
      <c r="A87" s="3"/>
      <c r="B87" s="3"/>
      <c r="C87" s="3"/>
      <c r="D87" s="3"/>
      <c r="G87" s="14"/>
      <c r="H87" s="14"/>
    </row>
    <row r="88" spans="1:9" x14ac:dyDescent="0.25">
      <c r="A88" s="3"/>
      <c r="B88" s="3"/>
      <c r="C88" s="3"/>
      <c r="D88" s="3"/>
      <c r="G88" s="14"/>
      <c r="H88" s="14"/>
    </row>
    <row r="89" spans="1:9" x14ac:dyDescent="0.25">
      <c r="A89" s="3"/>
      <c r="B89" s="3"/>
      <c r="C89" s="3"/>
      <c r="D89" s="3"/>
      <c r="G89" s="14"/>
      <c r="H89" s="14"/>
    </row>
    <row r="90" spans="1:9" x14ac:dyDescent="0.25">
      <c r="A90" s="3"/>
      <c r="B90" s="3"/>
      <c r="C90" s="3"/>
      <c r="D90" s="3"/>
      <c r="G90" s="14"/>
      <c r="H90" s="14"/>
    </row>
    <row r="91" spans="1:9" x14ac:dyDescent="0.25">
      <c r="A91" s="3"/>
      <c r="B91" s="3"/>
      <c r="C91" s="3"/>
      <c r="D91" s="3"/>
      <c r="G91" s="14"/>
      <c r="H91" s="14"/>
    </row>
    <row r="92" spans="1:9" x14ac:dyDescent="0.25">
      <c r="A92" s="3"/>
      <c r="B92" s="3"/>
      <c r="C92" s="3"/>
      <c r="D92" s="3"/>
      <c r="G92" s="14"/>
      <c r="H92" s="14"/>
    </row>
    <row r="93" spans="1:9" x14ac:dyDescent="0.25">
      <c r="A93" s="3"/>
      <c r="B93" s="3"/>
      <c r="C93" s="3"/>
      <c r="D93" s="3"/>
      <c r="G93" s="14"/>
      <c r="H93" s="14"/>
    </row>
    <row r="94" spans="1:9" x14ac:dyDescent="0.25">
      <c r="A94" s="3"/>
      <c r="B94" s="3"/>
      <c r="C94" s="3"/>
      <c r="D94" s="3"/>
      <c r="G94" s="14"/>
      <c r="H94" s="14"/>
    </row>
    <row r="95" spans="1:9" x14ac:dyDescent="0.25">
      <c r="A95" s="3"/>
      <c r="B95" s="3"/>
      <c r="C95" s="3"/>
      <c r="D95" s="3"/>
      <c r="G95" s="14"/>
      <c r="H95" s="14"/>
    </row>
    <row r="96" spans="1:9" x14ac:dyDescent="0.25">
      <c r="A96" s="3"/>
      <c r="B96" s="3"/>
      <c r="C96" s="3"/>
      <c r="D96" s="3"/>
      <c r="G96" s="14"/>
      <c r="H96" s="14"/>
    </row>
    <row r="97" spans="1:8" x14ac:dyDescent="0.25">
      <c r="A97" s="3"/>
      <c r="B97" s="3"/>
      <c r="C97" s="3"/>
      <c r="D97" s="3"/>
      <c r="G97" s="14"/>
      <c r="H97" s="14"/>
    </row>
    <row r="98" spans="1:8" x14ac:dyDescent="0.25">
      <c r="A98" s="3"/>
      <c r="B98" s="3"/>
      <c r="C98" s="3"/>
      <c r="D98" s="3"/>
      <c r="G98" s="14"/>
      <c r="H98" s="14"/>
    </row>
    <row r="99" spans="1:8" x14ac:dyDescent="0.25">
      <c r="A99" s="3"/>
      <c r="B99" s="3"/>
      <c r="C99" s="3"/>
      <c r="D99" s="3"/>
      <c r="G99" s="14"/>
      <c r="H99" s="14"/>
    </row>
    <row r="100" spans="1:8" x14ac:dyDescent="0.25">
      <c r="A100" s="3"/>
      <c r="B100" s="3"/>
      <c r="C100" s="3"/>
      <c r="D100" s="3"/>
      <c r="G100" s="14"/>
      <c r="H100" s="14"/>
    </row>
    <row r="101" spans="1:8" x14ac:dyDescent="0.25">
      <c r="A101" s="3"/>
      <c r="B101" s="3"/>
      <c r="C101" s="3"/>
      <c r="D101" s="3"/>
      <c r="G101" s="14"/>
      <c r="H101" s="14"/>
    </row>
    <row r="102" spans="1:8" x14ac:dyDescent="0.25">
      <c r="A102" s="3"/>
      <c r="B102" s="3"/>
      <c r="C102" s="3"/>
      <c r="D102" s="3"/>
      <c r="G102" s="14"/>
      <c r="H102" s="14"/>
    </row>
    <row r="103" spans="1:8" x14ac:dyDescent="0.25">
      <c r="A103" s="3"/>
      <c r="B103" s="3"/>
      <c r="C103" s="3"/>
      <c r="D103" s="3"/>
      <c r="G103" s="14"/>
      <c r="H103" s="14"/>
    </row>
    <row r="104" spans="1:8" x14ac:dyDescent="0.25">
      <c r="A104" s="3"/>
      <c r="B104" s="3"/>
      <c r="C104" s="3"/>
      <c r="D104" s="3"/>
      <c r="G104" s="14"/>
      <c r="H104" s="14"/>
    </row>
    <row r="105" spans="1:8" x14ac:dyDescent="0.25">
      <c r="A105" s="3"/>
      <c r="B105" s="3"/>
      <c r="C105" s="3"/>
      <c r="D105" s="3"/>
      <c r="G105" s="14"/>
      <c r="H105" s="14"/>
    </row>
    <row r="106" spans="1:8" x14ac:dyDescent="0.25">
      <c r="A106" s="3"/>
      <c r="B106" s="3"/>
      <c r="C106" s="3"/>
      <c r="D106" s="3"/>
      <c r="G106" s="14"/>
      <c r="H106" s="14"/>
    </row>
    <row r="107" spans="1:8" x14ac:dyDescent="0.25">
      <c r="A107" s="3"/>
      <c r="B107" s="3"/>
      <c r="C107" s="3"/>
      <c r="D107" s="3"/>
      <c r="G107" s="14"/>
      <c r="H107" s="14"/>
    </row>
    <row r="108" spans="1:8" x14ac:dyDescent="0.25">
      <c r="A108" s="3"/>
      <c r="B108" s="3"/>
      <c r="C108" s="3"/>
      <c r="D108" s="3"/>
      <c r="G108" s="14"/>
      <c r="H108" s="14"/>
    </row>
    <row r="109" spans="1:8" x14ac:dyDescent="0.25">
      <c r="A109" s="3"/>
      <c r="B109" s="3"/>
      <c r="C109" s="3"/>
      <c r="D109" s="3"/>
      <c r="G109" s="14"/>
      <c r="H109" s="14"/>
    </row>
    <row r="110" spans="1:8" x14ac:dyDescent="0.25">
      <c r="A110" s="3"/>
      <c r="B110" s="3"/>
      <c r="C110" s="3"/>
      <c r="D110" s="3"/>
      <c r="G110" s="14"/>
      <c r="H110" s="14"/>
    </row>
    <row r="111" spans="1:8" x14ac:dyDescent="0.25">
      <c r="A111" s="3"/>
      <c r="B111" s="3"/>
      <c r="C111" s="3"/>
      <c r="D111" s="3"/>
      <c r="G111" s="14"/>
      <c r="H111" s="14"/>
    </row>
    <row r="112" spans="1:8" x14ac:dyDescent="0.25">
      <c r="A112" s="3"/>
      <c r="B112" s="3"/>
      <c r="C112" s="3"/>
      <c r="D112" s="3"/>
      <c r="G112" s="14"/>
      <c r="H112" s="14"/>
    </row>
    <row r="113" spans="1:8" x14ac:dyDescent="0.25">
      <c r="A113" s="3"/>
      <c r="B113" s="3"/>
      <c r="C113" s="3"/>
      <c r="D113" s="3"/>
      <c r="G113" s="14"/>
      <c r="H113" s="14"/>
    </row>
    <row r="114" spans="1:8" x14ac:dyDescent="0.25">
      <c r="A114" s="3"/>
      <c r="B114" s="3"/>
      <c r="C114" s="3"/>
      <c r="D114" s="3"/>
      <c r="G114" s="14"/>
      <c r="H114" s="14"/>
    </row>
    <row r="115" spans="1:8" x14ac:dyDescent="0.25">
      <c r="A115" s="3"/>
      <c r="B115" s="3"/>
      <c r="C115" s="3"/>
      <c r="D115" s="3"/>
      <c r="G115" s="14"/>
      <c r="H115" s="14"/>
    </row>
    <row r="116" spans="1:8" x14ac:dyDescent="0.25">
      <c r="A116" s="3"/>
      <c r="B116" s="3"/>
      <c r="C116" s="3"/>
      <c r="D116" s="3"/>
      <c r="G116" s="14"/>
      <c r="H116" s="14"/>
    </row>
    <row r="117" spans="1:8" x14ac:dyDescent="0.25">
      <c r="A117" s="3"/>
      <c r="B117" s="3"/>
      <c r="C117" s="3"/>
      <c r="D117" s="3"/>
      <c r="G117" s="14"/>
      <c r="H117" s="14"/>
    </row>
    <row r="118" spans="1:8" x14ac:dyDescent="0.25">
      <c r="A118" s="3"/>
      <c r="B118" s="3"/>
      <c r="C118" s="3"/>
      <c r="D118" s="3"/>
      <c r="G118" s="14"/>
      <c r="H118" s="14"/>
    </row>
    <row r="119" spans="1:8" x14ac:dyDescent="0.25">
      <c r="A119" s="3"/>
      <c r="B119" s="3"/>
      <c r="C119" s="3"/>
      <c r="D119" s="3"/>
      <c r="G119" s="14"/>
      <c r="H119" s="14"/>
    </row>
    <row r="120" spans="1:8" x14ac:dyDescent="0.25">
      <c r="A120" s="3"/>
      <c r="B120" s="3"/>
      <c r="C120" s="3"/>
      <c r="D120" s="3"/>
      <c r="G120" s="14"/>
      <c r="H120" s="14"/>
    </row>
    <row r="121" spans="1:8" x14ac:dyDescent="0.25">
      <c r="A121" s="3"/>
      <c r="B121" s="3"/>
      <c r="C121" s="3"/>
      <c r="D121" s="3"/>
      <c r="G121" s="14"/>
      <c r="H121" s="14"/>
    </row>
    <row r="122" spans="1:8" x14ac:dyDescent="0.25">
      <c r="A122" s="3"/>
      <c r="B122" s="3"/>
      <c r="C122" s="3"/>
      <c r="D122" s="3"/>
      <c r="G122" s="14"/>
      <c r="H122" s="14"/>
    </row>
    <row r="123" spans="1:8" x14ac:dyDescent="0.25">
      <c r="A123" s="3"/>
      <c r="B123" s="3"/>
      <c r="C123" s="3"/>
      <c r="D123" s="3"/>
      <c r="G123" s="14"/>
      <c r="H123" s="14"/>
    </row>
    <row r="124" spans="1:8" x14ac:dyDescent="0.25">
      <c r="A124" s="3"/>
      <c r="B124" s="3"/>
      <c r="C124" s="3"/>
      <c r="D124" s="3"/>
      <c r="G124" s="14"/>
      <c r="H124" s="14"/>
    </row>
    <row r="125" spans="1:8" x14ac:dyDescent="0.25">
      <c r="A125" s="3"/>
      <c r="B125" s="3"/>
      <c r="C125" s="3"/>
      <c r="D125" s="3"/>
      <c r="G125" s="14"/>
      <c r="H125" s="14"/>
    </row>
    <row r="126" spans="1:8" x14ac:dyDescent="0.25">
      <c r="A126" s="18"/>
      <c r="B126" s="3"/>
      <c r="C126" s="3"/>
      <c r="D126" s="3"/>
      <c r="G126" s="14"/>
      <c r="H126" s="14"/>
    </row>
    <row r="127" spans="1:8" x14ac:dyDescent="0.25">
      <c r="A127" s="3"/>
      <c r="B127" s="3"/>
      <c r="C127" s="3"/>
      <c r="D127" s="3"/>
      <c r="G127" s="14"/>
      <c r="H127" s="14"/>
    </row>
    <row r="128" spans="1:8" x14ac:dyDescent="0.25">
      <c r="A128" s="3"/>
      <c r="B128" s="3"/>
      <c r="C128" s="3"/>
      <c r="D128" s="3"/>
      <c r="G128" s="14"/>
      <c r="H128" s="14"/>
    </row>
    <row r="129" spans="1:8" x14ac:dyDescent="0.25">
      <c r="A129" s="3"/>
      <c r="B129" s="3"/>
      <c r="C129" s="3"/>
      <c r="D129" s="3"/>
      <c r="G129" s="14"/>
      <c r="H129" s="14"/>
    </row>
    <row r="130" spans="1:8" x14ac:dyDescent="0.25">
      <c r="A130" s="3"/>
      <c r="B130" s="3"/>
      <c r="C130" s="3"/>
      <c r="D130" s="3"/>
      <c r="G130" s="14"/>
      <c r="H130" s="14"/>
    </row>
    <row r="131" spans="1:8" x14ac:dyDescent="0.25">
      <c r="A131" s="3"/>
      <c r="B131" s="3"/>
      <c r="C131" s="3"/>
      <c r="D131" s="3"/>
      <c r="G131" s="14"/>
      <c r="H131" s="14"/>
    </row>
    <row r="132" spans="1:8" x14ac:dyDescent="0.25">
      <c r="A132" s="3"/>
      <c r="B132" s="3"/>
      <c r="C132" s="3"/>
      <c r="D132" s="3"/>
      <c r="G132" s="14"/>
      <c r="H132" s="14"/>
    </row>
    <row r="133" spans="1:8" x14ac:dyDescent="0.25">
      <c r="A133" s="3"/>
      <c r="B133" s="3"/>
      <c r="C133" s="3"/>
      <c r="D133" s="3"/>
      <c r="G133" s="14"/>
      <c r="H133" s="14"/>
    </row>
    <row r="134" spans="1:8" x14ac:dyDescent="0.25">
      <c r="A134" s="3"/>
      <c r="B134" s="3"/>
      <c r="C134" s="3"/>
      <c r="D134" s="3"/>
      <c r="G134" s="14"/>
      <c r="H134" s="14"/>
    </row>
    <row r="135" spans="1:8" x14ac:dyDescent="0.25">
      <c r="A135" s="3"/>
      <c r="B135" s="3"/>
      <c r="C135" s="3"/>
      <c r="D135" s="3"/>
      <c r="G135" s="14"/>
      <c r="H135" s="14"/>
    </row>
    <row r="136" spans="1:8" x14ac:dyDescent="0.25">
      <c r="A136" s="3"/>
      <c r="B136" s="3"/>
      <c r="C136" s="3"/>
      <c r="D136" s="3"/>
      <c r="G136" s="14"/>
      <c r="H136" s="14"/>
    </row>
    <row r="137" spans="1:8" x14ac:dyDescent="0.25">
      <c r="A137" s="3"/>
      <c r="B137" s="3"/>
      <c r="C137" s="3"/>
      <c r="D137" s="3"/>
      <c r="G137" s="14"/>
      <c r="H137" s="14"/>
    </row>
    <row r="138" spans="1:8" x14ac:dyDescent="0.25">
      <c r="A138" s="3"/>
      <c r="B138" s="3"/>
      <c r="C138" s="3"/>
      <c r="D138" s="3"/>
      <c r="G138" s="14"/>
      <c r="H138" s="14"/>
    </row>
    <row r="139" spans="1:8" x14ac:dyDescent="0.25">
      <c r="A139" s="3"/>
      <c r="B139" s="3"/>
      <c r="C139" s="3"/>
      <c r="D139" s="3"/>
      <c r="G139" s="14"/>
      <c r="H139" s="14"/>
    </row>
    <row r="140" spans="1:8" x14ac:dyDescent="0.25">
      <c r="A140" s="3"/>
      <c r="B140" s="3"/>
      <c r="C140" s="3"/>
      <c r="D140" s="3"/>
      <c r="G140" s="14"/>
      <c r="H140" s="14"/>
    </row>
    <row r="141" spans="1:8" x14ac:dyDescent="0.25">
      <c r="A141" s="3"/>
      <c r="B141" s="3"/>
      <c r="C141" s="3"/>
      <c r="D141" s="3"/>
      <c r="G141" s="14"/>
      <c r="H141" s="14"/>
    </row>
    <row r="142" spans="1:8" x14ac:dyDescent="0.25">
      <c r="A142" s="3"/>
      <c r="B142" s="3"/>
      <c r="C142" s="3"/>
      <c r="D142" s="3"/>
      <c r="G142" s="14"/>
      <c r="H142" s="14"/>
    </row>
    <row r="143" spans="1:8" x14ac:dyDescent="0.25">
      <c r="A143" s="3"/>
      <c r="B143" s="3"/>
      <c r="C143" s="3"/>
      <c r="D143" s="3"/>
      <c r="G143" s="14"/>
      <c r="H143" s="14"/>
    </row>
    <row r="144" spans="1:8" x14ac:dyDescent="0.25">
      <c r="A144" s="3"/>
      <c r="B144" s="3"/>
      <c r="C144" s="3"/>
      <c r="D144" s="3"/>
      <c r="G144" s="14"/>
      <c r="H144" s="14"/>
    </row>
    <row r="145" spans="1:8" x14ac:dyDescent="0.25">
      <c r="A145" s="3"/>
      <c r="B145" s="3"/>
      <c r="C145" s="3"/>
      <c r="D145" s="3"/>
      <c r="G145" s="14"/>
      <c r="H145" s="14"/>
    </row>
    <row r="146" spans="1:8" x14ac:dyDescent="0.25">
      <c r="A146" s="3"/>
      <c r="B146" s="3"/>
      <c r="C146" s="3"/>
      <c r="D146" s="3"/>
      <c r="G146" s="14"/>
      <c r="H146" s="14"/>
    </row>
    <row r="147" spans="1:8" x14ac:dyDescent="0.25">
      <c r="A147" s="3"/>
      <c r="B147" s="3"/>
      <c r="C147" s="3"/>
      <c r="D147" s="3"/>
      <c r="G147" s="14"/>
      <c r="H147" s="14"/>
    </row>
    <row r="148" spans="1:8" x14ac:dyDescent="0.25">
      <c r="A148" s="3"/>
      <c r="B148" s="3"/>
      <c r="C148" s="3"/>
      <c r="D148" s="3"/>
      <c r="G148" s="14"/>
      <c r="H148" s="14"/>
    </row>
    <row r="149" spans="1:8" x14ac:dyDescent="0.25">
      <c r="A149" s="3"/>
      <c r="B149" s="3"/>
      <c r="C149" s="3"/>
      <c r="D149" s="3"/>
      <c r="G149" s="14"/>
      <c r="H149" s="14"/>
    </row>
    <row r="150" spans="1:8" x14ac:dyDescent="0.25">
      <c r="A150" s="3"/>
      <c r="B150" s="3"/>
      <c r="C150" s="3"/>
      <c r="D150" s="3"/>
      <c r="G150" s="14"/>
      <c r="H150" s="14"/>
    </row>
    <row r="151" spans="1:8" x14ac:dyDescent="0.25">
      <c r="A151" s="3"/>
      <c r="B151" s="3"/>
      <c r="C151" s="3"/>
      <c r="D151" s="3"/>
      <c r="G151" s="14"/>
      <c r="H151" s="14"/>
    </row>
    <row r="152" spans="1:8" x14ac:dyDescent="0.25">
      <c r="A152" s="3"/>
      <c r="B152" s="3"/>
      <c r="C152" s="3"/>
      <c r="D152" s="3"/>
      <c r="G152" s="14"/>
      <c r="H152" s="14"/>
    </row>
    <row r="153" spans="1:8" x14ac:dyDescent="0.25">
      <c r="A153" s="3"/>
      <c r="B153" s="3"/>
      <c r="C153" s="3"/>
      <c r="D153" s="3"/>
      <c r="G153" s="14"/>
      <c r="H153" s="14"/>
    </row>
    <row r="154" spans="1:8" x14ac:dyDescent="0.25">
      <c r="A154" s="3"/>
      <c r="B154" s="3"/>
      <c r="C154" s="3"/>
      <c r="D154" s="3"/>
      <c r="G154" s="14"/>
      <c r="H154" s="14"/>
    </row>
    <row r="155" spans="1:8" x14ac:dyDescent="0.25">
      <c r="A155" s="3"/>
      <c r="B155" s="3"/>
      <c r="C155" s="3"/>
      <c r="D155" s="3"/>
      <c r="G155" s="14"/>
      <c r="H155" s="14"/>
    </row>
    <row r="156" spans="1:8" x14ac:dyDescent="0.25">
      <c r="A156" s="3"/>
      <c r="B156" s="3"/>
      <c r="C156" s="3"/>
      <c r="D156" s="3"/>
      <c r="G156" s="14"/>
      <c r="H156" s="14"/>
    </row>
    <row r="157" spans="1:8" x14ac:dyDescent="0.25">
      <c r="A157" s="3"/>
      <c r="B157" s="3"/>
      <c r="C157" s="3"/>
      <c r="D157" s="3"/>
      <c r="G157" s="14"/>
      <c r="H157" s="14"/>
    </row>
    <row r="158" spans="1:8" x14ac:dyDescent="0.25">
      <c r="A158" s="3"/>
      <c r="B158" s="3"/>
      <c r="C158" s="3"/>
      <c r="D158" s="3"/>
      <c r="G158" s="14"/>
      <c r="H158" s="14"/>
    </row>
    <row r="159" spans="1:8" x14ac:dyDescent="0.25">
      <c r="A159" s="3"/>
      <c r="B159" s="3"/>
      <c r="C159" s="3"/>
      <c r="D159" s="3"/>
      <c r="G159" s="14"/>
      <c r="H159" s="14"/>
    </row>
    <row r="160" spans="1:8" x14ac:dyDescent="0.25">
      <c r="A160" s="3"/>
      <c r="B160" s="3"/>
      <c r="C160" s="3"/>
      <c r="D160" s="3"/>
      <c r="G160" s="14"/>
      <c r="H160" s="14"/>
    </row>
    <row r="161" spans="1:8" x14ac:dyDescent="0.25">
      <c r="A161" s="3"/>
      <c r="B161" s="3"/>
      <c r="C161" s="3"/>
      <c r="D161" s="3"/>
      <c r="G161" s="14"/>
      <c r="H161" s="14"/>
    </row>
    <row r="162" spans="1:8" x14ac:dyDescent="0.25">
      <c r="A162" s="3"/>
      <c r="B162" s="3"/>
      <c r="C162" s="3"/>
      <c r="D162" s="3"/>
      <c r="G162" s="14"/>
      <c r="H162" s="14"/>
    </row>
    <row r="163" spans="1:8" x14ac:dyDescent="0.25">
      <c r="A163" s="3"/>
      <c r="B163" s="3"/>
      <c r="C163" s="3"/>
      <c r="D163" s="3"/>
      <c r="G163" s="14"/>
      <c r="H163" s="14"/>
    </row>
    <row r="164" spans="1:8" x14ac:dyDescent="0.25">
      <c r="A164" s="3"/>
      <c r="B164" s="3"/>
      <c r="C164" s="3"/>
      <c r="D164" s="3"/>
      <c r="G164" s="14"/>
      <c r="H164" s="14"/>
    </row>
    <row r="165" spans="1:8" x14ac:dyDescent="0.25">
      <c r="A165" s="3"/>
      <c r="B165" s="3"/>
      <c r="C165" s="3"/>
      <c r="D165" s="3"/>
      <c r="G165" s="14"/>
      <c r="H165" s="14"/>
    </row>
    <row r="166" spans="1:8" x14ac:dyDescent="0.25">
      <c r="A166" s="3"/>
      <c r="B166" s="3"/>
      <c r="C166" s="3"/>
      <c r="D166" s="3"/>
      <c r="G166" s="14"/>
      <c r="H166" s="14"/>
    </row>
    <row r="167" spans="1:8" x14ac:dyDescent="0.25">
      <c r="A167" s="3"/>
      <c r="B167" s="3"/>
      <c r="C167" s="3"/>
      <c r="D167" s="3"/>
      <c r="G167" s="14"/>
      <c r="H167" s="14"/>
    </row>
    <row r="168" spans="1:8" x14ac:dyDescent="0.25">
      <c r="A168" s="3"/>
      <c r="B168" s="3"/>
      <c r="C168" s="3"/>
      <c r="D168" s="3"/>
      <c r="G168" s="14"/>
      <c r="H168" s="14"/>
    </row>
    <row r="169" spans="1:8" x14ac:dyDescent="0.25">
      <c r="A169" s="3"/>
      <c r="B169" s="3"/>
      <c r="C169" s="3"/>
      <c r="D169" s="3"/>
      <c r="G169" s="14"/>
      <c r="H169" s="14"/>
    </row>
    <row r="170" spans="1:8" x14ac:dyDescent="0.25">
      <c r="A170" s="3"/>
      <c r="B170" s="3"/>
      <c r="C170" s="3"/>
      <c r="D170" s="3"/>
      <c r="G170" s="14"/>
      <c r="H170" s="14"/>
    </row>
    <row r="171" spans="1:8" x14ac:dyDescent="0.25">
      <c r="A171" s="3"/>
      <c r="B171" s="3"/>
      <c r="C171" s="3"/>
      <c r="D171" s="3"/>
      <c r="G171" s="14"/>
      <c r="H171" s="14"/>
    </row>
    <row r="172" spans="1:8" x14ac:dyDescent="0.25">
      <c r="A172" s="3"/>
      <c r="B172" s="3"/>
      <c r="C172" s="3"/>
      <c r="D172" s="3"/>
      <c r="G172" s="14"/>
      <c r="H172" s="14"/>
    </row>
    <row r="173" spans="1:8" x14ac:dyDescent="0.25">
      <c r="A173" s="3"/>
      <c r="B173" s="3"/>
      <c r="C173" s="3"/>
      <c r="D173" s="3"/>
      <c r="G173" s="14"/>
      <c r="H173" s="14"/>
    </row>
    <row r="174" spans="1:8" x14ac:dyDescent="0.25">
      <c r="A174" s="3"/>
      <c r="B174" s="3"/>
      <c r="C174" s="3"/>
      <c r="D174" s="3"/>
      <c r="G174" s="14"/>
      <c r="H174" s="14"/>
    </row>
    <row r="175" spans="1:8" x14ac:dyDescent="0.25">
      <c r="A175" s="3"/>
      <c r="B175" s="3"/>
      <c r="C175" s="3"/>
      <c r="D175" s="3"/>
      <c r="G175" s="14"/>
      <c r="H175" s="14"/>
    </row>
    <row r="176" spans="1:8" x14ac:dyDescent="0.25">
      <c r="A176" s="3"/>
      <c r="B176" s="3"/>
      <c r="C176" s="3"/>
      <c r="D176" s="3"/>
      <c r="G176" s="14"/>
      <c r="H176" s="14"/>
    </row>
    <row r="177" spans="1:8" x14ac:dyDescent="0.25">
      <c r="A177" s="3"/>
      <c r="B177" s="3"/>
      <c r="C177" s="3"/>
      <c r="D177" s="3"/>
      <c r="G177" s="14"/>
      <c r="H177" s="14"/>
    </row>
    <row r="178" spans="1:8" x14ac:dyDescent="0.25">
      <c r="A178" s="3"/>
      <c r="B178" s="3"/>
      <c r="C178" s="3"/>
      <c r="D178" s="3"/>
      <c r="G178" s="14"/>
      <c r="H178" s="14"/>
    </row>
    <row r="179" spans="1:8" x14ac:dyDescent="0.25">
      <c r="A179" s="3"/>
      <c r="B179" s="3"/>
      <c r="C179" s="3"/>
      <c r="D179" s="3"/>
      <c r="G179" s="14"/>
      <c r="H179" s="14"/>
    </row>
    <row r="180" spans="1:8" x14ac:dyDescent="0.25">
      <c r="A180" s="3"/>
      <c r="B180" s="3"/>
      <c r="C180" s="3"/>
      <c r="D180" s="3"/>
      <c r="G180" s="14"/>
      <c r="H180" s="14"/>
    </row>
    <row r="181" spans="1:8" x14ac:dyDescent="0.25">
      <c r="A181" s="3"/>
      <c r="B181" s="3"/>
      <c r="C181" s="3"/>
      <c r="D181" s="3"/>
      <c r="G181" s="14"/>
      <c r="H181" s="14"/>
    </row>
    <row r="182" spans="1:8" x14ac:dyDescent="0.25">
      <c r="A182" s="3"/>
      <c r="B182" s="3"/>
      <c r="C182" s="3"/>
      <c r="D182" s="3"/>
      <c r="G182" s="14"/>
      <c r="H182" s="14"/>
    </row>
    <row r="183" spans="1:8" x14ac:dyDescent="0.25">
      <c r="A183" s="3"/>
      <c r="B183" s="3"/>
      <c r="C183" s="3"/>
      <c r="D183" s="3"/>
      <c r="G183" s="14"/>
      <c r="H183" s="14"/>
    </row>
    <row r="184" spans="1:8" x14ac:dyDescent="0.25">
      <c r="A184" s="3"/>
      <c r="B184" s="3"/>
      <c r="C184" s="3"/>
      <c r="D184" s="3"/>
      <c r="G184" s="14"/>
      <c r="H184" s="14"/>
    </row>
    <row r="185" spans="1:8" x14ac:dyDescent="0.25">
      <c r="A185" s="3"/>
      <c r="B185" s="3"/>
      <c r="C185" s="3"/>
      <c r="D185" s="3"/>
      <c r="G185" s="14"/>
      <c r="H185" s="14"/>
    </row>
    <row r="186" spans="1:8" x14ac:dyDescent="0.25">
      <c r="A186" s="3"/>
      <c r="B186" s="3"/>
      <c r="C186" s="3"/>
      <c r="D186" s="3"/>
      <c r="G186" s="14"/>
      <c r="H186" s="14"/>
    </row>
    <row r="187" spans="1:8" x14ac:dyDescent="0.25">
      <c r="A187" s="3"/>
      <c r="B187" s="3"/>
      <c r="C187" s="3"/>
      <c r="D187" s="3"/>
      <c r="G187" s="14"/>
      <c r="H187" s="14"/>
    </row>
    <row r="188" spans="1:8" x14ac:dyDescent="0.25">
      <c r="A188" s="3"/>
      <c r="B188" s="3"/>
      <c r="C188" s="3"/>
      <c r="D188" s="3"/>
      <c r="G188" s="14"/>
      <c r="H188" s="14"/>
    </row>
    <row r="189" spans="1:8" x14ac:dyDescent="0.25">
      <c r="A189" s="3"/>
      <c r="B189" s="3"/>
      <c r="C189" s="3"/>
      <c r="D189" s="3"/>
      <c r="G189" s="14"/>
      <c r="H189" s="14"/>
    </row>
    <row r="190" spans="1:8" x14ac:dyDescent="0.25">
      <c r="A190" s="3"/>
      <c r="B190" s="3"/>
      <c r="C190" s="3"/>
      <c r="D190" s="3"/>
      <c r="G190" s="14"/>
      <c r="H190" s="14"/>
    </row>
    <row r="191" spans="1:8" x14ac:dyDescent="0.25">
      <c r="A191" s="3"/>
      <c r="B191" s="3"/>
      <c r="C191" s="3"/>
      <c r="D191" s="3"/>
      <c r="G191" s="14"/>
      <c r="H191" s="14"/>
    </row>
    <row r="192" spans="1:8" x14ac:dyDescent="0.25">
      <c r="A192" s="3"/>
      <c r="B192" s="3"/>
      <c r="C192" s="3"/>
      <c r="D192" s="3"/>
      <c r="G192" s="14"/>
      <c r="H192" s="14"/>
    </row>
    <row r="193" spans="1:8" x14ac:dyDescent="0.25">
      <c r="A193" s="3"/>
      <c r="B193" s="3"/>
      <c r="C193" s="3"/>
      <c r="D193" s="3"/>
      <c r="G193" s="14"/>
      <c r="H193" s="14"/>
    </row>
    <row r="194" spans="1:8" x14ac:dyDescent="0.25">
      <c r="A194" s="3"/>
      <c r="B194" s="3"/>
      <c r="C194" s="3"/>
      <c r="D194" s="3"/>
      <c r="G194" s="14"/>
      <c r="H194" s="14"/>
    </row>
    <row r="195" spans="1:8" x14ac:dyDescent="0.25">
      <c r="A195" s="3"/>
      <c r="B195" s="3"/>
      <c r="C195" s="3"/>
      <c r="D195" s="3"/>
      <c r="G195" s="14"/>
      <c r="H195" s="14"/>
    </row>
    <row r="196" spans="1:8" x14ac:dyDescent="0.25">
      <c r="A196" s="3"/>
      <c r="B196" s="3"/>
      <c r="C196" s="3"/>
      <c r="D196" s="3"/>
      <c r="G196" s="14"/>
      <c r="H196" s="14"/>
    </row>
    <row r="197" spans="1:8" x14ac:dyDescent="0.25">
      <c r="A197" s="3"/>
      <c r="B197" s="3"/>
      <c r="C197" s="3"/>
      <c r="D197" s="3"/>
      <c r="G197" s="14"/>
      <c r="H197" s="14"/>
    </row>
    <row r="198" spans="1:8" x14ac:dyDescent="0.25">
      <c r="A198" s="3"/>
      <c r="B198" s="3"/>
      <c r="C198" s="3"/>
      <c r="D198" s="3"/>
      <c r="G198" s="14"/>
      <c r="H198" s="14"/>
    </row>
    <row r="199" spans="1:8" x14ac:dyDescent="0.25">
      <c r="A199" s="3"/>
      <c r="B199" s="3"/>
      <c r="C199" s="3"/>
      <c r="D199" s="3"/>
      <c r="G199" s="14"/>
      <c r="H199" s="14"/>
    </row>
    <row r="200" spans="1:8" x14ac:dyDescent="0.25">
      <c r="A200" s="3"/>
      <c r="B200" s="3"/>
      <c r="C200" s="3"/>
      <c r="D200" s="3"/>
      <c r="G200" s="14"/>
      <c r="H200" s="14"/>
    </row>
    <row r="201" spans="1:8" x14ac:dyDescent="0.25">
      <c r="A201" s="3"/>
      <c r="B201" s="3"/>
      <c r="C201" s="3"/>
      <c r="D201" s="3"/>
      <c r="G201" s="14"/>
      <c r="H201" s="14"/>
    </row>
    <row r="202" spans="1:8" x14ac:dyDescent="0.25">
      <c r="A202" s="3"/>
      <c r="B202" s="3"/>
      <c r="C202" s="3"/>
      <c r="D202" s="3"/>
      <c r="G202" s="14"/>
      <c r="H202" s="14"/>
    </row>
    <row r="203" spans="1:8" x14ac:dyDescent="0.25">
      <c r="A203" s="3"/>
      <c r="B203" s="3"/>
      <c r="C203" s="3"/>
      <c r="D203" s="3"/>
      <c r="G203" s="14"/>
      <c r="H203" s="14"/>
    </row>
    <row r="204" spans="1:8" x14ac:dyDescent="0.25">
      <c r="A204" s="3"/>
      <c r="B204" s="3"/>
      <c r="C204" s="3"/>
      <c r="D204" s="3"/>
      <c r="G204" s="14"/>
      <c r="H204" s="14"/>
    </row>
    <row r="205" spans="1:8" x14ac:dyDescent="0.25">
      <c r="A205" s="3"/>
      <c r="B205" s="3"/>
      <c r="C205" s="3"/>
      <c r="D205" s="3"/>
      <c r="G205" s="14"/>
      <c r="H205" s="14"/>
    </row>
    <row r="206" spans="1:8" x14ac:dyDescent="0.25">
      <c r="A206" s="3"/>
      <c r="B206" s="3"/>
      <c r="C206" s="3"/>
      <c r="D206" s="3"/>
      <c r="G206" s="14"/>
      <c r="H206" s="14"/>
    </row>
    <row r="207" spans="1:8" x14ac:dyDescent="0.25">
      <c r="A207" s="3"/>
      <c r="B207" s="3"/>
      <c r="C207" s="3"/>
      <c r="D207" s="3"/>
      <c r="G207" s="14"/>
      <c r="H207" s="14"/>
    </row>
    <row r="208" spans="1:8" x14ac:dyDescent="0.25">
      <c r="A208" s="3"/>
      <c r="B208" s="3"/>
      <c r="C208" s="3"/>
      <c r="D208" s="3"/>
      <c r="G208" s="14"/>
      <c r="H208" s="14"/>
    </row>
    <row r="209" spans="1:8" x14ac:dyDescent="0.25">
      <c r="A209" s="3"/>
      <c r="B209" s="3"/>
      <c r="C209" s="3"/>
      <c r="D209" s="3"/>
      <c r="G209" s="14"/>
      <c r="H209" s="14"/>
    </row>
    <row r="210" spans="1:8" x14ac:dyDescent="0.25">
      <c r="A210" s="3"/>
      <c r="B210" s="3"/>
      <c r="C210" s="3"/>
      <c r="D210" s="3"/>
      <c r="G210" s="14"/>
      <c r="H210" s="14"/>
    </row>
    <row r="211" spans="1:8" x14ac:dyDescent="0.25">
      <c r="A211" s="3"/>
      <c r="B211" s="3"/>
      <c r="C211" s="3"/>
      <c r="D211" s="3"/>
      <c r="G211" s="14"/>
      <c r="H211" s="14"/>
    </row>
    <row r="212" spans="1:8" x14ac:dyDescent="0.25">
      <c r="A212" s="3"/>
      <c r="B212" s="3"/>
      <c r="C212" s="3"/>
      <c r="D212" s="3"/>
      <c r="G212" s="14"/>
      <c r="H212" s="14"/>
    </row>
    <row r="213" spans="1:8" x14ac:dyDescent="0.25">
      <c r="A213" s="3"/>
      <c r="B213" s="3"/>
      <c r="C213" s="3"/>
      <c r="D213" s="3"/>
      <c r="G213" s="14"/>
      <c r="H213" s="14"/>
    </row>
    <row r="214" spans="1:8" x14ac:dyDescent="0.25">
      <c r="A214" s="3"/>
      <c r="B214" s="3"/>
      <c r="C214" s="3"/>
      <c r="D214" s="3"/>
      <c r="G214" s="14"/>
      <c r="H214" s="14"/>
    </row>
    <row r="215" spans="1:8" x14ac:dyDescent="0.25">
      <c r="A215" s="3"/>
      <c r="B215" s="3"/>
      <c r="C215" s="3"/>
      <c r="D215" s="3"/>
      <c r="G215" s="14"/>
      <c r="H215" s="14"/>
    </row>
    <row r="216" spans="1:8" x14ac:dyDescent="0.25">
      <c r="A216" s="3"/>
      <c r="B216" s="3"/>
      <c r="C216" s="3"/>
      <c r="D216" s="3"/>
      <c r="G216" s="14"/>
      <c r="H216" s="14"/>
    </row>
    <row r="217" spans="1:8" x14ac:dyDescent="0.25">
      <c r="A217" s="3"/>
      <c r="B217" s="3"/>
      <c r="C217" s="3"/>
      <c r="D217" s="3"/>
      <c r="G217" s="14"/>
      <c r="H217" s="14"/>
    </row>
    <row r="218" spans="1:8" x14ac:dyDescent="0.25">
      <c r="A218" s="3"/>
      <c r="B218" s="3"/>
      <c r="C218" s="3"/>
      <c r="D218" s="3"/>
      <c r="G218" s="14"/>
      <c r="H218" s="14"/>
    </row>
    <row r="219" spans="1:8" x14ac:dyDescent="0.25">
      <c r="A219" s="3"/>
      <c r="B219" s="3"/>
      <c r="C219" s="3"/>
      <c r="D219" s="3"/>
      <c r="G219" s="14"/>
      <c r="H219" s="14"/>
    </row>
    <row r="220" spans="1:8" x14ac:dyDescent="0.25">
      <c r="A220" s="3"/>
      <c r="B220" s="3"/>
      <c r="C220" s="3"/>
      <c r="D220" s="3"/>
      <c r="G220" s="14"/>
      <c r="H220" s="14"/>
    </row>
    <row r="221" spans="1:8" x14ac:dyDescent="0.25">
      <c r="A221" s="3"/>
      <c r="B221" s="3"/>
      <c r="C221" s="3"/>
      <c r="D221" s="3"/>
      <c r="G221" s="14"/>
      <c r="H221" s="14"/>
    </row>
    <row r="222" spans="1:8" x14ac:dyDescent="0.25">
      <c r="A222" s="3"/>
      <c r="B222" s="3"/>
      <c r="C222" s="3"/>
      <c r="D222" s="3"/>
      <c r="G222" s="14"/>
      <c r="H222" s="14"/>
    </row>
    <row r="223" spans="1:8" x14ac:dyDescent="0.25">
      <c r="A223" s="3"/>
      <c r="B223" s="3"/>
      <c r="C223" s="3"/>
      <c r="D223" s="3"/>
      <c r="G223" s="14"/>
      <c r="H223" s="14"/>
    </row>
    <row r="224" spans="1:8" x14ac:dyDescent="0.25">
      <c r="A224" s="3"/>
      <c r="B224" s="3"/>
      <c r="C224" s="3"/>
      <c r="D224" s="3"/>
      <c r="G224" s="14"/>
      <c r="H224" s="14"/>
    </row>
    <row r="225" spans="1:8" x14ac:dyDescent="0.25">
      <c r="A225" s="3"/>
      <c r="B225" s="3"/>
      <c r="C225" s="3"/>
      <c r="D225" s="3"/>
      <c r="G225" s="14"/>
      <c r="H225" s="14"/>
    </row>
    <row r="226" spans="1:8" x14ac:dyDescent="0.25">
      <c r="A226" s="3"/>
      <c r="B226" s="3"/>
      <c r="C226" s="3"/>
      <c r="D226" s="3"/>
      <c r="G226" s="14"/>
      <c r="H226" s="14"/>
    </row>
    <row r="227" spans="1:8" x14ac:dyDescent="0.25">
      <c r="A227" s="3"/>
      <c r="B227" s="3"/>
      <c r="C227" s="3"/>
      <c r="D227" s="3"/>
      <c r="G227" s="14"/>
      <c r="H227" s="14"/>
    </row>
    <row r="228" spans="1:8" x14ac:dyDescent="0.25">
      <c r="A228" s="3"/>
      <c r="B228" s="3"/>
      <c r="C228" s="3"/>
      <c r="D228" s="3"/>
      <c r="G228" s="14"/>
      <c r="H228" s="14"/>
    </row>
    <row r="229" spans="1:8" x14ac:dyDescent="0.25">
      <c r="A229" s="3"/>
      <c r="B229" s="3"/>
      <c r="C229" s="3"/>
      <c r="D229" s="3"/>
      <c r="G229" s="14"/>
      <c r="H229" s="14"/>
    </row>
    <row r="230" spans="1:8" x14ac:dyDescent="0.25">
      <c r="A230" s="3"/>
      <c r="B230" s="3"/>
      <c r="C230" s="3"/>
      <c r="D230" s="3"/>
      <c r="G230" s="14"/>
      <c r="H230" s="14"/>
    </row>
    <row r="231" spans="1:8" x14ac:dyDescent="0.25">
      <c r="A231" s="3"/>
      <c r="B231" s="3"/>
      <c r="C231" s="3"/>
      <c r="D231" s="3"/>
      <c r="G231" s="14"/>
      <c r="H231" s="14"/>
    </row>
    <row r="232" spans="1:8" x14ac:dyDescent="0.25">
      <c r="A232" s="3"/>
      <c r="B232" s="3"/>
      <c r="C232" s="3"/>
      <c r="D232" s="3"/>
      <c r="G232" s="14"/>
      <c r="H232" s="14"/>
    </row>
    <row r="233" spans="1:8" x14ac:dyDescent="0.25">
      <c r="A233" s="3"/>
      <c r="B233" s="3"/>
      <c r="C233" s="3"/>
      <c r="D233" s="3"/>
      <c r="G233" s="14"/>
      <c r="H233" s="14"/>
    </row>
    <row r="234" spans="1:8" x14ac:dyDescent="0.25">
      <c r="A234" s="3"/>
      <c r="B234" s="3"/>
      <c r="C234" s="3"/>
      <c r="D234" s="3"/>
      <c r="G234" s="14"/>
      <c r="H234" s="14"/>
    </row>
    <row r="235" spans="1:8" x14ac:dyDescent="0.25">
      <c r="A235" s="3"/>
      <c r="B235" s="3"/>
      <c r="C235" s="3"/>
      <c r="D235" s="3"/>
      <c r="G235" s="14"/>
      <c r="H235" s="14"/>
    </row>
    <row r="236" spans="1:8" x14ac:dyDescent="0.25">
      <c r="A236" s="3"/>
      <c r="B236" s="3"/>
      <c r="C236" s="3"/>
      <c r="D236" s="3"/>
      <c r="G236" s="14"/>
      <c r="H236" s="14"/>
    </row>
    <row r="237" spans="1:8" x14ac:dyDescent="0.25">
      <c r="A237" s="3"/>
      <c r="B237" s="3"/>
      <c r="C237" s="3"/>
      <c r="D237" s="3"/>
      <c r="G237" s="14"/>
      <c r="H237" s="14"/>
    </row>
    <row r="238" spans="1:8" x14ac:dyDescent="0.25">
      <c r="A238" s="3"/>
      <c r="B238" s="3"/>
      <c r="C238" s="3"/>
      <c r="D238" s="3"/>
      <c r="G238" s="14"/>
      <c r="H238" s="14"/>
    </row>
    <row r="239" spans="1:8" x14ac:dyDescent="0.25">
      <c r="A239" s="3"/>
      <c r="B239" s="3"/>
      <c r="C239" s="3"/>
      <c r="D239" s="3"/>
      <c r="G239" s="14"/>
      <c r="H239" s="14"/>
    </row>
    <row r="240" spans="1:8" x14ac:dyDescent="0.25">
      <c r="A240" s="3"/>
      <c r="B240" s="3"/>
      <c r="C240" s="3"/>
      <c r="D240" s="3"/>
      <c r="G240" s="14"/>
      <c r="H240" s="14"/>
    </row>
    <row r="241" spans="1:8" x14ac:dyDescent="0.25">
      <c r="A241" s="3"/>
      <c r="B241" s="3"/>
      <c r="C241" s="3"/>
      <c r="D241" s="3"/>
      <c r="G241" s="14"/>
      <c r="H241" s="14"/>
    </row>
    <row r="242" spans="1:8" x14ac:dyDescent="0.25">
      <c r="A242" s="3"/>
      <c r="B242" s="3"/>
      <c r="C242" s="3"/>
      <c r="D242" s="3"/>
      <c r="G242" s="14"/>
      <c r="H242" s="14"/>
    </row>
    <row r="243" spans="1:8" x14ac:dyDescent="0.25">
      <c r="A243" s="3"/>
      <c r="B243" s="3"/>
      <c r="C243" s="3"/>
      <c r="D243" s="3"/>
      <c r="G243" s="14"/>
      <c r="H243" s="14"/>
    </row>
    <row r="244" spans="1:8" x14ac:dyDescent="0.25">
      <c r="A244" s="3"/>
      <c r="B244" s="3"/>
      <c r="C244" s="3"/>
      <c r="D244" s="3"/>
      <c r="G244" s="14"/>
      <c r="H244" s="14"/>
    </row>
    <row r="245" spans="1:8" x14ac:dyDescent="0.25">
      <c r="A245" s="3"/>
      <c r="B245" s="3"/>
      <c r="C245" s="3"/>
      <c r="D245" s="3"/>
      <c r="G245" s="14"/>
      <c r="H245" s="14"/>
    </row>
    <row r="247" spans="1:8" x14ac:dyDescent="0.25">
      <c r="A247" s="3"/>
      <c r="G247" s="14"/>
      <c r="H247" s="14"/>
    </row>
  </sheetData>
  <phoneticPr fontId="1" type="noConversion"/>
  <pageMargins left="0.7" right="0.7" top="0.75" bottom="0.75" header="0.3" footer="0.3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C5BE3C-087F-4D52-800E-09342ABBC5C8}">
  <sheetPr/>
  <dimension ref="A1:I247"/>
  <sheetViews>
    <sheetView zoomScale="115" zoomScaleNormal="115" workbookViewId="0">
      <selection activeCell="A5" sqref="A5:H80"/>
    </sheetView>
  </sheetViews>
  <sheetFormatPr defaultRowHeight="15" x14ac:dyDescent="0.25"/>
  <cols>
    <col min="1" max="1" width="8.875" style="4" customWidth="1"/>
    <col min="2" max="3" width="15.125" style="4" customWidth="1"/>
    <col min="4" max="4" width="10.25" style="4" customWidth="1"/>
    <col min="5" max="5" width="12" style="13" customWidth="1"/>
    <col min="6" max="6" width="15" style="13" customWidth="1"/>
    <col min="7" max="7" width="13.875" customWidth="1"/>
    <col min="8" max="8" width="11.125" customWidth="1"/>
    <col min="11" max="12" width="15.125" customWidth="1"/>
    <col min="13" max="13" width="11.125" customWidth="1"/>
  </cols>
  <sheetData>
    <row r="1" spans="1:9" ht="14.25" x14ac:dyDescent="0.2">
      <c r="A1" s="2" t="s">
        <v>12</v>
      </c>
      <c r="B1" s="2" t="s">
        <v>4</v>
      </c>
      <c r="C1" s="2" t="s">
        <v>5</v>
      </c>
      <c r="D1" s="2" t="s">
        <v>13</v>
      </c>
      <c r="E1" s="2" t="s">
        <v>14</v>
      </c>
      <c r="F1" s="2" t="s">
        <v>15</v>
      </c>
      <c r="G1" s="2" t="s">
        <v>16</v>
      </c>
    </row>
    <row r="2" spans="1:9" x14ac:dyDescent="0.25">
      <c r="A2" s="11">
        <v>49</v>
      </c>
      <c r="B2" s="3">
        <v>113.4070122</v>
      </c>
      <c r="C2" s="8">
        <v>23.0448682</v>
      </c>
      <c r="D2" s="3">
        <v>1610</v>
      </c>
      <c r="E2" s="13">
        <v>1785</v>
      </c>
      <c r="F2" s="13">
        <v>6</v>
      </c>
      <c r="G2" s="19">
        <f>SUBTOTAL(2,A5:A250)</f>
        <v>26</v>
      </c>
    </row>
    <row r="3" spans="1:9" x14ac:dyDescent="0.25">
      <c r="A3" s="3"/>
      <c r="B3" s="3"/>
      <c r="C3" s="3"/>
      <c r="D3" s="3"/>
    </row>
    <row r="4" spans="1:9" ht="14.25" x14ac:dyDescent="0.2">
      <c r="A4" s="2" t="s">
        <v>0</v>
      </c>
      <c r="B4" s="2" t="s">
        <v>1</v>
      </c>
      <c r="C4" s="2" t="s">
        <v>2</v>
      </c>
      <c r="D4" s="2" t="s">
        <v>3</v>
      </c>
      <c r="E4" s="2" t="s">
        <v>7</v>
      </c>
      <c r="F4" s="2" t="s">
        <v>8</v>
      </c>
      <c r="G4" s="2" t="s">
        <v>13</v>
      </c>
      <c r="H4" s="2" t="s">
        <v>14</v>
      </c>
      <c r="I4" s="24" t="s">
        <v>20</v>
      </c>
    </row>
    <row r="5" spans="1:9" x14ac:dyDescent="0.25">
      <c r="A5" s="3">
        <v>359</v>
      </c>
      <c r="B5" s="3">
        <v>113.40538359999999</v>
      </c>
      <c r="C5" s="3">
        <v>23.04863653</v>
      </c>
      <c r="D5" s="3">
        <v>49</v>
      </c>
      <c r="E5" s="13">
        <f t="shared" ref="E5:E36" si="0">SQRT((B5-$B$2)^2+(C5-$C$2)^2)</f>
        <v>4.1051977965635335E-3</v>
      </c>
      <c r="F5" s="13">
        <f t="shared" ref="F5:F36" si="1">SQRT(1/E5)</f>
        <v>15.607486086139362</v>
      </c>
      <c r="G5" s="14">
        <f>F5/$F$84*$D$2</f>
        <v>86.74885028858931</v>
      </c>
      <c r="H5" s="14">
        <f>F5/$F$84*$E$2</f>
        <v>96.178073146044667</v>
      </c>
      <c r="I5" s="25" t="str">
        <f>IF(MOD(ROW()-1,3)=1,"选中","")</f>
        <v>选中</v>
      </c>
    </row>
    <row r="6" spans="1:9" hidden="1" x14ac:dyDescent="0.25">
      <c r="A6" s="3">
        <v>367</v>
      </c>
      <c r="B6" s="3">
        <v>113.40379489999999</v>
      </c>
      <c r="C6" s="3">
        <v>23.047557430000001</v>
      </c>
      <c r="D6" s="3">
        <v>49</v>
      </c>
      <c r="E6" s="13">
        <f t="shared" si="0"/>
        <v>4.1932060863885678E-3</v>
      </c>
      <c r="F6" s="13">
        <f t="shared" si="1"/>
        <v>15.442830200631539</v>
      </c>
      <c r="G6" s="14" t="e">
        <f>F6/$F$124*$D$2</f>
        <v>#DIV/0!</v>
      </c>
      <c r="H6" s="14" t="e">
        <f>F6/$F$124*$E$2</f>
        <v>#DIV/0!</v>
      </c>
      <c r="I6" s="25" t="str">
        <f t="shared" ref="I6:I69" si="2">IF(MOD(ROW()-1,3)=1,"选中","")</f>
        <v/>
      </c>
    </row>
    <row r="7" spans="1:9" hidden="1" x14ac:dyDescent="0.25">
      <c r="A7" s="3">
        <v>358</v>
      </c>
      <c r="B7" s="3">
        <v>113.4045161</v>
      </c>
      <c r="C7" s="3">
        <v>23.048804130000001</v>
      </c>
      <c r="D7" s="3">
        <v>49</v>
      </c>
      <c r="E7" s="13">
        <f t="shared" si="0"/>
        <v>4.6606931002712241E-3</v>
      </c>
      <c r="F7" s="13">
        <f t="shared" si="1"/>
        <v>14.647879104667727</v>
      </c>
      <c r="G7" s="14" t="e">
        <f>F7/$F$124*$D$2</f>
        <v>#DIV/0!</v>
      </c>
      <c r="H7" s="14" t="e">
        <f>F7/$F$124*$E$2</f>
        <v>#DIV/0!</v>
      </c>
      <c r="I7" s="25" t="str">
        <f t="shared" si="2"/>
        <v/>
      </c>
    </row>
    <row r="8" spans="1:9" x14ac:dyDescent="0.25">
      <c r="A8" s="3">
        <v>368</v>
      </c>
      <c r="B8" s="3">
        <v>113.4023344</v>
      </c>
      <c r="C8" s="3">
        <v>23.045237010000001</v>
      </c>
      <c r="D8" s="3">
        <v>49</v>
      </c>
      <c r="E8" s="13">
        <f t="shared" si="0"/>
        <v>4.6923164488410322E-3</v>
      </c>
      <c r="F8" s="13">
        <f t="shared" si="1"/>
        <v>14.598436779181569</v>
      </c>
      <c r="G8" s="14">
        <f>F8/$F$84*$D$2</f>
        <v>81.140396321052322</v>
      </c>
      <c r="H8" s="14">
        <f>F8/$F$84*$E$2</f>
        <v>89.960004616818878</v>
      </c>
      <c r="I8" s="25" t="str">
        <f t="shared" si="2"/>
        <v>选中</v>
      </c>
    </row>
    <row r="9" spans="1:9" hidden="1" x14ac:dyDescent="0.25">
      <c r="A9" s="3">
        <v>362</v>
      </c>
      <c r="B9" s="3">
        <v>113.40433299999999</v>
      </c>
      <c r="C9" s="3">
        <v>23.04936983</v>
      </c>
      <c r="D9" s="3">
        <v>49</v>
      </c>
      <c r="E9" s="13">
        <f t="shared" si="0"/>
        <v>5.2385861925633844E-3</v>
      </c>
      <c r="F9" s="13">
        <f t="shared" si="1"/>
        <v>13.816338122727972</v>
      </c>
      <c r="G9" s="14" t="e">
        <f>F9/$F$124*$D$2</f>
        <v>#DIV/0!</v>
      </c>
      <c r="H9" s="14" t="e">
        <f>F9/$F$124*$E$2</f>
        <v>#DIV/0!</v>
      </c>
      <c r="I9" s="25" t="str">
        <f t="shared" si="2"/>
        <v/>
      </c>
    </row>
    <row r="10" spans="1:9" hidden="1" x14ac:dyDescent="0.25">
      <c r="A10" s="3">
        <v>651</v>
      </c>
      <c r="B10" s="3">
        <v>113.4106317</v>
      </c>
      <c r="C10" s="3">
        <v>23.04081454</v>
      </c>
      <c r="D10" s="3">
        <v>49</v>
      </c>
      <c r="E10" s="13">
        <f t="shared" si="0"/>
        <v>5.4344217397618967E-3</v>
      </c>
      <c r="F10" s="13">
        <f t="shared" si="1"/>
        <v>13.565110334601812</v>
      </c>
      <c r="G10" s="14" t="e">
        <f>F10/$F$124*$D$2</f>
        <v>#DIV/0!</v>
      </c>
      <c r="H10" s="14" t="e">
        <f>F10/$F$124*$E$2</f>
        <v>#DIV/0!</v>
      </c>
      <c r="I10" s="25" t="str">
        <f t="shared" si="2"/>
        <v/>
      </c>
    </row>
    <row r="11" spans="1:9" x14ac:dyDescent="0.25">
      <c r="A11" s="3">
        <v>654</v>
      </c>
      <c r="B11" s="3">
        <v>113.41078779999999</v>
      </c>
      <c r="C11" s="3">
        <v>23.040917589999999</v>
      </c>
      <c r="D11" s="3">
        <v>49</v>
      </c>
      <c r="E11" s="13">
        <f t="shared" si="0"/>
        <v>5.4646568723098294E-3</v>
      </c>
      <c r="F11" s="13">
        <f t="shared" si="1"/>
        <v>13.527531415341148</v>
      </c>
      <c r="G11" s="14">
        <f>F11/$F$84*$D$2</f>
        <v>75.18813670868964</v>
      </c>
      <c r="H11" s="14">
        <f>F11/$F$84*$E$2</f>
        <v>83.360760263981987</v>
      </c>
      <c r="I11" s="25" t="str">
        <f t="shared" si="2"/>
        <v>选中</v>
      </c>
    </row>
    <row r="12" spans="1:9" hidden="1" x14ac:dyDescent="0.25">
      <c r="A12" s="3">
        <v>361</v>
      </c>
      <c r="B12" s="3">
        <v>113.4039058</v>
      </c>
      <c r="C12" s="3">
        <v>23.04941367</v>
      </c>
      <c r="D12" s="3">
        <v>49</v>
      </c>
      <c r="E12" s="13">
        <f t="shared" si="0"/>
        <v>5.505544340104503E-3</v>
      </c>
      <c r="F12" s="13">
        <f t="shared" si="1"/>
        <v>13.477206031789283</v>
      </c>
      <c r="G12" s="14" t="e">
        <f>F12/$F$124*$D$2</f>
        <v>#DIV/0!</v>
      </c>
      <c r="H12" s="14" t="e">
        <f>F12/$F$124*$E$2</f>
        <v>#DIV/0!</v>
      </c>
      <c r="I12" s="25" t="str">
        <f t="shared" si="2"/>
        <v/>
      </c>
    </row>
    <row r="13" spans="1:9" hidden="1" x14ac:dyDescent="0.25">
      <c r="A13" s="3">
        <v>662</v>
      </c>
      <c r="B13" s="3">
        <v>113.4115164</v>
      </c>
      <c r="C13" s="3">
        <v>23.041552790000001</v>
      </c>
      <c r="D13" s="3">
        <v>49</v>
      </c>
      <c r="E13" s="13">
        <f t="shared" si="0"/>
        <v>5.592831224709818E-3</v>
      </c>
      <c r="F13" s="13">
        <f t="shared" si="1"/>
        <v>13.371623601196587</v>
      </c>
      <c r="G13" s="14" t="e">
        <f>F13/$F$124*$D$2</f>
        <v>#DIV/0!</v>
      </c>
      <c r="H13" s="14" t="e">
        <f>F13/$F$124*$E$2</f>
        <v>#DIV/0!</v>
      </c>
      <c r="I13" s="25" t="str">
        <f t="shared" si="2"/>
        <v/>
      </c>
    </row>
    <row r="14" spans="1:9" x14ac:dyDescent="0.25">
      <c r="A14" s="3">
        <v>372</v>
      </c>
      <c r="B14" s="3">
        <v>113.40171309999999</v>
      </c>
      <c r="C14" s="3">
        <v>23.04671823</v>
      </c>
      <c r="D14" s="3">
        <v>49</v>
      </c>
      <c r="E14" s="13">
        <f t="shared" si="0"/>
        <v>5.612759732156811E-3</v>
      </c>
      <c r="F14" s="13">
        <f t="shared" si="1"/>
        <v>13.347864036375102</v>
      </c>
      <c r="G14" s="14">
        <f>F14/$F$84*$D$2</f>
        <v>74.189517297873039</v>
      </c>
      <c r="H14" s="14">
        <f>F14/$F$84*$E$2</f>
        <v>82.253595265033155</v>
      </c>
      <c r="I14" s="25" t="str">
        <f t="shared" si="2"/>
        <v>选中</v>
      </c>
    </row>
    <row r="15" spans="1:9" hidden="1" x14ac:dyDescent="0.25">
      <c r="A15" s="3">
        <v>360</v>
      </c>
      <c r="B15" s="3">
        <v>113.4041659</v>
      </c>
      <c r="C15" s="3">
        <v>23.049711630000001</v>
      </c>
      <c r="D15" s="3">
        <v>49</v>
      </c>
      <c r="E15" s="13">
        <f t="shared" si="0"/>
        <v>5.617849931683818E-3</v>
      </c>
      <c r="F15" s="13">
        <f t="shared" si="1"/>
        <v>13.34181557571352</v>
      </c>
      <c r="G15" s="14" t="e">
        <f>F15/$F$124*$D$2</f>
        <v>#DIV/0!</v>
      </c>
      <c r="H15" s="14" t="e">
        <f>F15/$F$124*$E$2</f>
        <v>#DIV/0!</v>
      </c>
      <c r="I15" s="25" t="str">
        <f t="shared" si="2"/>
        <v/>
      </c>
    </row>
    <row r="16" spans="1:9" hidden="1" x14ac:dyDescent="0.25">
      <c r="A16" s="3">
        <v>341</v>
      </c>
      <c r="B16" s="3">
        <v>113.401563</v>
      </c>
      <c r="C16" s="3">
        <v>23.046740190000001</v>
      </c>
      <c r="D16" s="3">
        <v>49</v>
      </c>
      <c r="E16" s="13">
        <f t="shared" si="0"/>
        <v>5.761781599480922E-3</v>
      </c>
      <c r="F16" s="13">
        <f t="shared" si="1"/>
        <v>13.174119661282894</v>
      </c>
      <c r="G16" s="14" t="e">
        <f>F16/$F$124*$D$2</f>
        <v>#DIV/0!</v>
      </c>
      <c r="H16" s="14" t="e">
        <f>F16/$F$124*$E$2</f>
        <v>#DIV/0!</v>
      </c>
      <c r="I16" s="25" t="str">
        <f t="shared" si="2"/>
        <v/>
      </c>
    </row>
    <row r="17" spans="1:9" x14ac:dyDescent="0.25">
      <c r="A17" s="3">
        <v>659</v>
      </c>
      <c r="B17" s="3">
        <v>113.4114453</v>
      </c>
      <c r="C17" s="3">
        <v>23.04104396</v>
      </c>
      <c r="D17" s="3">
        <v>49</v>
      </c>
      <c r="E17" s="13">
        <f t="shared" si="0"/>
        <v>5.8546722527909982E-3</v>
      </c>
      <c r="F17" s="13">
        <f t="shared" si="1"/>
        <v>13.069191028286799</v>
      </c>
      <c r="G17" s="14">
        <f>F17/$F$84*$D$2</f>
        <v>72.640609105695191</v>
      </c>
      <c r="H17" s="14">
        <f>F17/$F$84*$E$2</f>
        <v>80.536327486749016</v>
      </c>
      <c r="I17" s="25" t="str">
        <f t="shared" si="2"/>
        <v>选中</v>
      </c>
    </row>
    <row r="18" spans="1:9" hidden="1" x14ac:dyDescent="0.25">
      <c r="A18" s="3">
        <v>363</v>
      </c>
      <c r="B18" s="3">
        <v>113.4074177</v>
      </c>
      <c r="C18" s="3">
        <v>23.050742499999998</v>
      </c>
      <c r="D18" s="3">
        <v>49</v>
      </c>
      <c r="E18" s="13">
        <f t="shared" si="0"/>
        <v>5.8882790983429559E-3</v>
      </c>
      <c r="F18" s="13">
        <f t="shared" si="1"/>
        <v>13.031842019666623</v>
      </c>
      <c r="G18" s="14" t="e">
        <f>F18/$F$124*$D$2</f>
        <v>#DIV/0!</v>
      </c>
      <c r="H18" s="14" t="e">
        <f>F18/$F$124*$E$2</f>
        <v>#DIV/0!</v>
      </c>
      <c r="I18" s="25" t="str">
        <f t="shared" si="2"/>
        <v/>
      </c>
    </row>
    <row r="19" spans="1:9" hidden="1" x14ac:dyDescent="0.25">
      <c r="A19" s="3">
        <v>640</v>
      </c>
      <c r="B19" s="3">
        <v>113.40122119999999</v>
      </c>
      <c r="C19" s="3">
        <v>23.042630880000001</v>
      </c>
      <c r="D19" s="3">
        <v>49</v>
      </c>
      <c r="E19" s="13">
        <f t="shared" si="0"/>
        <v>6.208162512565194E-3</v>
      </c>
      <c r="F19" s="13">
        <f t="shared" si="1"/>
        <v>12.691660944576286</v>
      </c>
      <c r="G19" s="14" t="e">
        <f>F19/$F$124*$D$2</f>
        <v>#DIV/0!</v>
      </c>
      <c r="H19" s="14" t="e">
        <f>F19/$F$124*$E$2</f>
        <v>#DIV/0!</v>
      </c>
      <c r="I19" s="25" t="str">
        <f t="shared" si="2"/>
        <v/>
      </c>
    </row>
    <row r="20" spans="1:9" x14ac:dyDescent="0.25">
      <c r="A20" s="3">
        <v>648</v>
      </c>
      <c r="B20" s="3">
        <v>113.40883340000001</v>
      </c>
      <c r="C20" s="3">
        <v>23.038889319999999</v>
      </c>
      <c r="D20" s="3">
        <v>49</v>
      </c>
      <c r="E20" s="13">
        <f t="shared" si="0"/>
        <v>6.2501020387223478E-3</v>
      </c>
      <c r="F20" s="13">
        <f t="shared" si="1"/>
        <v>12.649007386010744</v>
      </c>
      <c r="G20" s="14">
        <f>F20/$F$84*$D$2</f>
        <v>70.305162661831929</v>
      </c>
      <c r="H20" s="14">
        <f>F20/$F$84*$E$2</f>
        <v>77.947028168552791</v>
      </c>
      <c r="I20" s="25" t="str">
        <f t="shared" si="2"/>
        <v>选中</v>
      </c>
    </row>
    <row r="21" spans="1:9" hidden="1" x14ac:dyDescent="0.25">
      <c r="A21" s="3">
        <v>366</v>
      </c>
      <c r="B21" s="3">
        <v>113.40359359999999</v>
      </c>
      <c r="C21" s="3">
        <v>23.050279199999999</v>
      </c>
      <c r="D21" s="3">
        <v>49</v>
      </c>
      <c r="E21" s="13">
        <f t="shared" si="0"/>
        <v>6.4004489655030668E-3</v>
      </c>
      <c r="F21" s="13">
        <f t="shared" si="1"/>
        <v>12.499561580192422</v>
      </c>
      <c r="G21" s="14" t="e">
        <f>F21/$F$124*$D$2</f>
        <v>#DIV/0!</v>
      </c>
      <c r="H21" s="14" t="e">
        <f>F21/$F$124*$E$2</f>
        <v>#DIV/0!</v>
      </c>
      <c r="I21" s="25" t="str">
        <f t="shared" si="2"/>
        <v/>
      </c>
    </row>
    <row r="22" spans="1:9" hidden="1" x14ac:dyDescent="0.25">
      <c r="A22" s="3">
        <v>375</v>
      </c>
      <c r="B22" s="3">
        <v>113.4021891</v>
      </c>
      <c r="C22" s="3">
        <v>23.0491353</v>
      </c>
      <c r="D22" s="3">
        <v>49</v>
      </c>
      <c r="E22" s="13">
        <f t="shared" si="0"/>
        <v>6.4397543446903984E-3</v>
      </c>
      <c r="F22" s="13">
        <f t="shared" si="1"/>
        <v>12.461357329945425</v>
      </c>
      <c r="G22" s="14" t="e">
        <f>F22/$F$124*$D$2</f>
        <v>#DIV/0!</v>
      </c>
      <c r="H22" s="14" t="e">
        <f>F22/$F$124*$E$2</f>
        <v>#DIV/0!</v>
      </c>
      <c r="I22" s="25" t="str">
        <f t="shared" si="2"/>
        <v/>
      </c>
    </row>
    <row r="23" spans="1:9" x14ac:dyDescent="0.25">
      <c r="A23" s="3">
        <v>354</v>
      </c>
      <c r="B23" s="3">
        <v>113.4006399</v>
      </c>
      <c r="C23" s="3">
        <v>23.043582369999999</v>
      </c>
      <c r="D23" s="3">
        <v>49</v>
      </c>
      <c r="E23" s="13">
        <f t="shared" si="0"/>
        <v>6.5007358105711229E-3</v>
      </c>
      <c r="F23" s="13">
        <f t="shared" si="1"/>
        <v>12.402771471836019</v>
      </c>
      <c r="G23" s="14">
        <f>F23/$F$84*$D$2</f>
        <v>68.936544914135382</v>
      </c>
      <c r="H23" s="14">
        <f>F23/$F$84*$E$2</f>
        <v>76.429647622193585</v>
      </c>
      <c r="I23" s="25" t="str">
        <f t="shared" si="2"/>
        <v>选中</v>
      </c>
    </row>
    <row r="24" spans="1:9" hidden="1" x14ac:dyDescent="0.25">
      <c r="A24" s="3">
        <v>355</v>
      </c>
      <c r="B24" s="3">
        <v>113.40045189999999</v>
      </c>
      <c r="C24" s="3">
        <v>23.043741270000002</v>
      </c>
      <c r="D24" s="3">
        <v>49</v>
      </c>
      <c r="E24" s="13">
        <f t="shared" si="0"/>
        <v>6.6563884588375834E-3</v>
      </c>
      <c r="F24" s="13">
        <f t="shared" si="1"/>
        <v>12.256900781475899</v>
      </c>
      <c r="G24" s="14" t="e">
        <f>F24/$F$124*$D$2</f>
        <v>#DIV/0!</v>
      </c>
      <c r="H24" s="14" t="e">
        <f>F24/$F$124*$E$2</f>
        <v>#DIV/0!</v>
      </c>
      <c r="I24" s="25" t="str">
        <f t="shared" si="2"/>
        <v/>
      </c>
    </row>
    <row r="25" spans="1:9" hidden="1" x14ac:dyDescent="0.25">
      <c r="A25" s="3">
        <v>649</v>
      </c>
      <c r="B25" s="3">
        <v>113.4097101</v>
      </c>
      <c r="C25" s="3">
        <v>23.038760870000001</v>
      </c>
      <c r="D25" s="3">
        <v>49</v>
      </c>
      <c r="E25" s="13">
        <f t="shared" si="0"/>
        <v>6.6766866137998072E-3</v>
      </c>
      <c r="F25" s="13">
        <f t="shared" si="1"/>
        <v>12.238255166842922</v>
      </c>
      <c r="G25" s="14" t="e">
        <f>F25/$F$124*$D$2</f>
        <v>#DIV/0!</v>
      </c>
      <c r="H25" s="14" t="e">
        <f>F25/$F$124*$E$2</f>
        <v>#DIV/0!</v>
      </c>
      <c r="I25" s="25" t="str">
        <f t="shared" si="2"/>
        <v/>
      </c>
    </row>
    <row r="26" spans="1:9" x14ac:dyDescent="0.25">
      <c r="A26" s="3">
        <v>652</v>
      </c>
      <c r="B26" s="3">
        <v>113.4112593</v>
      </c>
      <c r="C26" s="3">
        <v>23.03950051</v>
      </c>
      <c r="D26" s="3">
        <v>49</v>
      </c>
      <c r="E26" s="13">
        <f t="shared" si="0"/>
        <v>6.8447026484796556E-3</v>
      </c>
      <c r="F26" s="13">
        <f t="shared" si="1"/>
        <v>12.087116471619979</v>
      </c>
      <c r="G26" s="14">
        <f>F26/$F$84*$D$2</f>
        <v>67.182085021910737</v>
      </c>
      <c r="H26" s="14">
        <f>F26/$F$84*$E$2</f>
        <v>74.484485567770591</v>
      </c>
      <c r="I26" s="25" t="str">
        <f t="shared" si="2"/>
        <v>选中</v>
      </c>
    </row>
    <row r="27" spans="1:9" hidden="1" x14ac:dyDescent="0.25">
      <c r="A27" s="3">
        <v>364</v>
      </c>
      <c r="B27" s="3">
        <v>113.4071734</v>
      </c>
      <c r="C27" s="3">
        <v>23.05177694</v>
      </c>
      <c r="D27" s="3">
        <v>49</v>
      </c>
      <c r="E27" s="13">
        <f t="shared" si="0"/>
        <v>6.9106203648879221E-3</v>
      </c>
      <c r="F27" s="13">
        <f t="shared" si="1"/>
        <v>12.029331195206259</v>
      </c>
      <c r="G27" s="14" t="e">
        <f>F27/$F$124*$D$2</f>
        <v>#DIV/0!</v>
      </c>
      <c r="H27" s="14" t="e">
        <f>F27/$F$124*$E$2</f>
        <v>#DIV/0!</v>
      </c>
      <c r="I27" s="25" t="str">
        <f t="shared" si="2"/>
        <v/>
      </c>
    </row>
    <row r="28" spans="1:9" hidden="1" x14ac:dyDescent="0.25">
      <c r="A28" s="3">
        <v>672</v>
      </c>
      <c r="B28" s="3">
        <v>113.4116946</v>
      </c>
      <c r="C28" s="3">
        <v>23.03970271</v>
      </c>
      <c r="D28" s="3">
        <v>49</v>
      </c>
      <c r="E28" s="13">
        <f t="shared" si="0"/>
        <v>6.9718832965105426E-3</v>
      </c>
      <c r="F28" s="13">
        <f t="shared" si="1"/>
        <v>11.976362855017928</v>
      </c>
      <c r="G28" s="14" t="e">
        <f>F28/$F$124*$D$2</f>
        <v>#DIV/0!</v>
      </c>
      <c r="H28" s="14" t="e">
        <f>F28/$F$124*$E$2</f>
        <v>#DIV/0!</v>
      </c>
      <c r="I28" s="25" t="str">
        <f t="shared" si="2"/>
        <v/>
      </c>
    </row>
    <row r="29" spans="1:9" x14ac:dyDescent="0.25">
      <c r="A29" s="3">
        <v>658</v>
      </c>
      <c r="B29" s="3">
        <v>113.4022428</v>
      </c>
      <c r="C29" s="3">
        <v>23.03975835</v>
      </c>
      <c r="D29" s="3">
        <v>49</v>
      </c>
      <c r="E29" s="13">
        <f t="shared" si="0"/>
        <v>6.989831427331325E-3</v>
      </c>
      <c r="F29" s="13">
        <f t="shared" si="1"/>
        <v>11.960976826507007</v>
      </c>
      <c r="G29" s="14">
        <f>F29/$F$84*$D$2</f>
        <v>66.480981133112209</v>
      </c>
      <c r="H29" s="14">
        <f>F29/$F$84*$E$2</f>
        <v>73.70717473453746</v>
      </c>
      <c r="I29" s="25" t="str">
        <f t="shared" si="2"/>
        <v>选中</v>
      </c>
    </row>
    <row r="30" spans="1:9" hidden="1" x14ac:dyDescent="0.25">
      <c r="A30" s="3">
        <v>660</v>
      </c>
      <c r="B30" s="3">
        <v>113.4112083</v>
      </c>
      <c r="C30" s="3">
        <v>23.039265570000001</v>
      </c>
      <c r="D30" s="3">
        <v>49</v>
      </c>
      <c r="E30" s="13">
        <f t="shared" si="0"/>
        <v>6.9997655765672321E-3</v>
      </c>
      <c r="F30" s="13">
        <f t="shared" si="1"/>
        <v>11.952486233794797</v>
      </c>
      <c r="G30" s="14" t="e">
        <f>F30/$F$124*$D$2</f>
        <v>#DIV/0!</v>
      </c>
      <c r="H30" s="14" t="e">
        <f>F30/$F$124*$E$2</f>
        <v>#DIV/0!</v>
      </c>
      <c r="I30" s="25" t="str">
        <f t="shared" si="2"/>
        <v/>
      </c>
    </row>
    <row r="31" spans="1:9" hidden="1" x14ac:dyDescent="0.25">
      <c r="A31" s="3">
        <v>630</v>
      </c>
      <c r="B31" s="3">
        <v>113.400471</v>
      </c>
      <c r="C31" s="3">
        <v>23.042281899999999</v>
      </c>
      <c r="D31" s="3">
        <v>49</v>
      </c>
      <c r="E31" s="13">
        <f t="shared" si="0"/>
        <v>7.0339352520488972E-3</v>
      </c>
      <c r="F31" s="13">
        <f t="shared" si="1"/>
        <v>11.923419305433667</v>
      </c>
      <c r="G31" s="14" t="e">
        <f>F31/$F$124*$D$2</f>
        <v>#DIV/0!</v>
      </c>
      <c r="H31" s="14" t="e">
        <f>F31/$F$124*$E$2</f>
        <v>#DIV/0!</v>
      </c>
      <c r="I31" s="25" t="str">
        <f t="shared" si="2"/>
        <v/>
      </c>
    </row>
    <row r="32" spans="1:9" x14ac:dyDescent="0.25">
      <c r="A32" s="3">
        <v>650</v>
      </c>
      <c r="B32" s="3">
        <v>113.4107029</v>
      </c>
      <c r="C32" s="3">
        <v>23.03885743</v>
      </c>
      <c r="D32" s="3">
        <v>49</v>
      </c>
      <c r="E32" s="13">
        <f t="shared" si="0"/>
        <v>7.0534121163410889E-3</v>
      </c>
      <c r="F32" s="13">
        <f t="shared" si="1"/>
        <v>11.906945621872479</v>
      </c>
      <c r="G32" s="14">
        <f>F32/$F$84*$D$2</f>
        <v>66.180667241696</v>
      </c>
      <c r="H32" s="14">
        <f>F32/$F$84*$E$2</f>
        <v>73.374218028836879</v>
      </c>
      <c r="I32" s="25" t="str">
        <f t="shared" si="2"/>
        <v>选中</v>
      </c>
    </row>
    <row r="33" spans="1:9" hidden="1" x14ac:dyDescent="0.25">
      <c r="A33" s="3">
        <v>663</v>
      </c>
      <c r="B33" s="3">
        <v>113.4113754</v>
      </c>
      <c r="C33" s="3">
        <v>23.03930467</v>
      </c>
      <c r="D33" s="3">
        <v>49</v>
      </c>
      <c r="E33" s="13">
        <f t="shared" si="0"/>
        <v>7.0703875636983736E-3</v>
      </c>
      <c r="F33" s="13">
        <f t="shared" si="1"/>
        <v>11.892643209547529</v>
      </c>
      <c r="G33" s="14" t="e">
        <f>F33/$F$124*$D$2</f>
        <v>#DIV/0!</v>
      </c>
      <c r="H33" s="14" t="e">
        <f>F33/$F$124*$E$2</f>
        <v>#DIV/0!</v>
      </c>
      <c r="I33" s="25" t="str">
        <f t="shared" si="2"/>
        <v/>
      </c>
    </row>
    <row r="34" spans="1:9" hidden="1" x14ac:dyDescent="0.25">
      <c r="A34" s="3">
        <v>661</v>
      </c>
      <c r="B34" s="3">
        <v>113.40203270000001</v>
      </c>
      <c r="C34" s="3">
        <v>23.039656340000001</v>
      </c>
      <c r="D34" s="3">
        <v>49</v>
      </c>
      <c r="E34" s="13">
        <f t="shared" si="0"/>
        <v>7.2082525558901352E-3</v>
      </c>
      <c r="F34" s="13">
        <f t="shared" si="1"/>
        <v>11.778364840799728</v>
      </c>
      <c r="G34" s="14" t="e">
        <f>F34/$F$124*$D$2</f>
        <v>#DIV/0!</v>
      </c>
      <c r="H34" s="14" t="e">
        <f>F34/$F$124*$E$2</f>
        <v>#DIV/0!</v>
      </c>
      <c r="I34" s="25" t="str">
        <f t="shared" si="2"/>
        <v/>
      </c>
    </row>
    <row r="35" spans="1:9" x14ac:dyDescent="0.25">
      <c r="A35" s="3">
        <v>664</v>
      </c>
      <c r="B35" s="3">
        <v>113.4020017</v>
      </c>
      <c r="C35" s="3">
        <v>23.03963834</v>
      </c>
      <c r="D35" s="3">
        <v>49</v>
      </c>
      <c r="E35" s="13">
        <f t="shared" si="0"/>
        <v>7.2426891324682647E-3</v>
      </c>
      <c r="F35" s="13">
        <f t="shared" si="1"/>
        <v>11.750330374868733</v>
      </c>
      <c r="G35" s="14">
        <f>F35/$F$84*$D$2</f>
        <v>65.31017518805875</v>
      </c>
      <c r="H35" s="14">
        <f>F35/$F$84*$E$2</f>
        <v>72.409107273717311</v>
      </c>
      <c r="I35" s="25" t="str">
        <f t="shared" si="2"/>
        <v>选中</v>
      </c>
    </row>
    <row r="36" spans="1:9" hidden="1" x14ac:dyDescent="0.25">
      <c r="A36" s="3">
        <v>657</v>
      </c>
      <c r="B36" s="3">
        <v>113.4109931</v>
      </c>
      <c r="C36" s="3">
        <v>23.038779640000001</v>
      </c>
      <c r="D36" s="3">
        <v>49</v>
      </c>
      <c r="E36" s="13">
        <f t="shared" si="0"/>
        <v>7.2744847022725165E-3</v>
      </c>
      <c r="F36" s="13">
        <f t="shared" si="1"/>
        <v>11.724622877720478</v>
      </c>
      <c r="G36" s="14" t="e">
        <f>F36/$F$124*$D$2</f>
        <v>#DIV/0!</v>
      </c>
      <c r="H36" s="14" t="e">
        <f>F36/$F$124*$E$2</f>
        <v>#DIV/0!</v>
      </c>
      <c r="I36" s="25" t="str">
        <f t="shared" si="2"/>
        <v/>
      </c>
    </row>
    <row r="37" spans="1:9" hidden="1" x14ac:dyDescent="0.25">
      <c r="A37" s="3">
        <v>371</v>
      </c>
      <c r="B37" s="3">
        <v>113.40230510000001</v>
      </c>
      <c r="C37" s="3">
        <v>23.050537729999999</v>
      </c>
      <c r="D37" s="3">
        <v>49</v>
      </c>
      <c r="E37" s="13">
        <f t="shared" ref="E37:E68" si="3">SQRT((B37-$B$2)^2+(C37-$C$2)^2)</f>
        <v>7.3688778542457881E-3</v>
      </c>
      <c r="F37" s="13">
        <f t="shared" ref="F37:F68" si="4">SQRT(1/E37)</f>
        <v>11.649286359941172</v>
      </c>
      <c r="G37" s="14" t="e">
        <f>F37/$F$124*$D$2</f>
        <v>#DIV/0!</v>
      </c>
      <c r="H37" s="14" t="e">
        <f>F37/$F$124*$E$2</f>
        <v>#DIV/0!</v>
      </c>
      <c r="I37" s="25" t="str">
        <f t="shared" si="2"/>
        <v/>
      </c>
    </row>
    <row r="38" spans="1:9" x14ac:dyDescent="0.25">
      <c r="A38" s="3">
        <v>373</v>
      </c>
      <c r="B38" s="3">
        <v>113.40230510000001</v>
      </c>
      <c r="C38" s="3">
        <v>23.050537729999999</v>
      </c>
      <c r="D38" s="3">
        <v>49</v>
      </c>
      <c r="E38" s="13">
        <f t="shared" si="3"/>
        <v>7.3688778542457881E-3</v>
      </c>
      <c r="F38" s="13">
        <f t="shared" si="4"/>
        <v>11.649286359941172</v>
      </c>
      <c r="G38" s="14">
        <f>F38/$F$84*$D$2</f>
        <v>64.74855673937769</v>
      </c>
      <c r="H38" s="14">
        <f>F38/$F$84*$E$2</f>
        <v>71.78644334148396</v>
      </c>
      <c r="I38" s="25" t="str">
        <f t="shared" si="2"/>
        <v>选中</v>
      </c>
    </row>
    <row r="39" spans="1:9" hidden="1" x14ac:dyDescent="0.25">
      <c r="A39" s="3">
        <v>374</v>
      </c>
      <c r="B39" s="3">
        <v>113.40230510000001</v>
      </c>
      <c r="C39" s="3">
        <v>23.050537729999999</v>
      </c>
      <c r="D39" s="3">
        <v>49</v>
      </c>
      <c r="E39" s="13">
        <f t="shared" si="3"/>
        <v>7.3688778542457881E-3</v>
      </c>
      <c r="F39" s="13">
        <f t="shared" si="4"/>
        <v>11.649286359941172</v>
      </c>
      <c r="G39" s="14" t="e">
        <f>F39/$F$124*$D$2</f>
        <v>#DIV/0!</v>
      </c>
      <c r="H39" s="14" t="e">
        <f>F39/$F$124*$E$2</f>
        <v>#DIV/0!</v>
      </c>
      <c r="I39" s="25" t="str">
        <f t="shared" si="2"/>
        <v/>
      </c>
    </row>
    <row r="40" spans="1:9" hidden="1" x14ac:dyDescent="0.25">
      <c r="A40" s="3">
        <v>636</v>
      </c>
      <c r="B40" s="3">
        <v>113.3999998</v>
      </c>
      <c r="C40" s="3">
        <v>23.042563699999999</v>
      </c>
      <c r="D40" s="3">
        <v>49</v>
      </c>
      <c r="E40" s="13">
        <f t="shared" si="3"/>
        <v>7.3813599024783304E-3</v>
      </c>
      <c r="F40" s="13">
        <f t="shared" si="4"/>
        <v>11.639432587750699</v>
      </c>
      <c r="G40" s="14" t="e">
        <f>F40/$F$124*$D$2</f>
        <v>#DIV/0!</v>
      </c>
      <c r="H40" s="14" t="e">
        <f>F40/$F$124*$E$2</f>
        <v>#DIV/0!</v>
      </c>
      <c r="I40" s="25" t="str">
        <f t="shared" si="2"/>
        <v/>
      </c>
    </row>
    <row r="41" spans="1:9" x14ac:dyDescent="0.25">
      <c r="A41" s="3">
        <v>647</v>
      </c>
      <c r="B41" s="3">
        <v>113.39999880000001</v>
      </c>
      <c r="C41" s="3">
        <v>23.042535709999999</v>
      </c>
      <c r="D41" s="3">
        <v>49</v>
      </c>
      <c r="E41" s="13">
        <f t="shared" si="3"/>
        <v>7.3910952611894653E-3</v>
      </c>
      <c r="F41" s="13">
        <f t="shared" si="4"/>
        <v>11.631764482713079</v>
      </c>
      <c r="G41" s="14">
        <f>F41/$F$84*$D$2</f>
        <v>64.651167403513739</v>
      </c>
      <c r="H41" s="14">
        <f>F41/$F$84*$E$2</f>
        <v>71.678468208243487</v>
      </c>
      <c r="I41" s="25" t="str">
        <f t="shared" si="2"/>
        <v>选中</v>
      </c>
    </row>
    <row r="42" spans="1:9" hidden="1" x14ac:dyDescent="0.25">
      <c r="A42" s="3">
        <v>344</v>
      </c>
      <c r="B42" s="3">
        <v>113.3996605</v>
      </c>
      <c r="C42" s="3">
        <v>23.046348030000001</v>
      </c>
      <c r="D42" s="3">
        <v>49</v>
      </c>
      <c r="E42" s="13">
        <f t="shared" si="3"/>
        <v>7.4991592674723854E-3</v>
      </c>
      <c r="F42" s="13">
        <f t="shared" si="4"/>
        <v>11.547652634411001</v>
      </c>
      <c r="G42" s="14" t="e">
        <f>F42/$F$124*$D$2</f>
        <v>#DIV/0!</v>
      </c>
      <c r="H42" s="14" t="e">
        <f>F42/$F$124*$E$2</f>
        <v>#DIV/0!</v>
      </c>
      <c r="I42" s="25" t="str">
        <f t="shared" si="2"/>
        <v/>
      </c>
    </row>
    <row r="43" spans="1:9" hidden="1" x14ac:dyDescent="0.25">
      <c r="A43" s="3">
        <v>669</v>
      </c>
      <c r="B43" s="3">
        <v>113.4122541</v>
      </c>
      <c r="C43" s="3">
        <v>23.039459189999999</v>
      </c>
      <c r="D43" s="3">
        <v>49</v>
      </c>
      <c r="E43" s="13">
        <f t="shared" si="3"/>
        <v>7.5322576157568245E-3</v>
      </c>
      <c r="F43" s="13">
        <f t="shared" si="4"/>
        <v>11.522253275448747</v>
      </c>
      <c r="G43" s="14" t="e">
        <f>F43/$F$124*$D$2</f>
        <v>#DIV/0!</v>
      </c>
      <c r="H43" s="14" t="e">
        <f>F43/$F$124*$E$2</f>
        <v>#DIV/0!</v>
      </c>
      <c r="I43" s="25" t="str">
        <f t="shared" si="2"/>
        <v/>
      </c>
    </row>
    <row r="44" spans="1:9" x14ac:dyDescent="0.25">
      <c r="A44" s="3">
        <v>671</v>
      </c>
      <c r="B44" s="3">
        <v>113.41229420000001</v>
      </c>
      <c r="C44" s="3">
        <v>23.039228319999999</v>
      </c>
      <c r="D44" s="3">
        <v>49</v>
      </c>
      <c r="E44" s="13">
        <f t="shared" si="3"/>
        <v>7.7270803292376292E-3</v>
      </c>
      <c r="F44" s="13">
        <f t="shared" si="4"/>
        <v>11.37607080471534</v>
      </c>
      <c r="G44" s="14">
        <f>F44/$F$84*$D$2</f>
        <v>63.229981924318395</v>
      </c>
      <c r="H44" s="14">
        <f>F44/$F$84*$E$2</f>
        <v>70.102806046526908</v>
      </c>
      <c r="I44" s="25" t="str">
        <f t="shared" si="2"/>
        <v>选中</v>
      </c>
    </row>
    <row r="45" spans="1:9" hidden="1" x14ac:dyDescent="0.25">
      <c r="A45" s="3">
        <v>370</v>
      </c>
      <c r="B45" s="3">
        <v>113.402162</v>
      </c>
      <c r="C45" s="3">
        <v>23.051160429999999</v>
      </c>
      <c r="D45" s="3">
        <v>49</v>
      </c>
      <c r="E45" s="13">
        <f t="shared" si="3"/>
        <v>7.9445955474666038E-3</v>
      </c>
      <c r="F45" s="13">
        <f t="shared" si="4"/>
        <v>11.219257185692701</v>
      </c>
      <c r="G45" s="14" t="e">
        <f>F45/$F$124*$D$2</f>
        <v>#DIV/0!</v>
      </c>
      <c r="H45" s="14" t="e">
        <f>F45/$F$124*$E$2</f>
        <v>#DIV/0!</v>
      </c>
      <c r="I45" s="25" t="str">
        <f t="shared" si="2"/>
        <v/>
      </c>
    </row>
    <row r="46" spans="1:9" hidden="1" x14ac:dyDescent="0.25">
      <c r="A46" s="3">
        <v>656</v>
      </c>
      <c r="B46" s="3">
        <v>113.4106379</v>
      </c>
      <c r="C46" s="3">
        <v>23.037652909999998</v>
      </c>
      <c r="D46" s="3">
        <v>49</v>
      </c>
      <c r="E46" s="13">
        <f t="shared" si="3"/>
        <v>8.0750300478774385E-3</v>
      </c>
      <c r="F46" s="13">
        <f t="shared" si="4"/>
        <v>11.128276976800164</v>
      </c>
      <c r="G46" s="14" t="e">
        <f>F46/$F$124*$D$2</f>
        <v>#DIV/0!</v>
      </c>
      <c r="H46" s="14" t="e">
        <f>F46/$F$124*$E$2</f>
        <v>#DIV/0!</v>
      </c>
      <c r="I46" s="25" t="str">
        <f t="shared" si="2"/>
        <v/>
      </c>
    </row>
    <row r="47" spans="1:9" x14ac:dyDescent="0.25">
      <c r="A47" s="3">
        <v>643</v>
      </c>
      <c r="B47" s="3">
        <v>113.3992497</v>
      </c>
      <c r="C47" s="3">
        <v>23.04245465</v>
      </c>
      <c r="D47" s="3">
        <v>49</v>
      </c>
      <c r="E47" s="13">
        <f t="shared" si="3"/>
        <v>8.1290608222890151E-3</v>
      </c>
      <c r="F47" s="13">
        <f t="shared" si="4"/>
        <v>11.091232607681428</v>
      </c>
      <c r="G47" s="14">
        <f>F47/$F$84*$D$2</f>
        <v>61.646806647108932</v>
      </c>
      <c r="H47" s="14">
        <f>F47/$F$84*$E$2</f>
        <v>68.347546500055557</v>
      </c>
      <c r="I47" s="25" t="str">
        <f t="shared" si="2"/>
        <v>选中</v>
      </c>
    </row>
    <row r="48" spans="1:9" hidden="1" x14ac:dyDescent="0.25">
      <c r="A48" s="3">
        <v>369</v>
      </c>
      <c r="B48" s="3">
        <v>113.4050191</v>
      </c>
      <c r="C48" s="3">
        <v>23.052787609999999</v>
      </c>
      <c r="D48" s="3">
        <v>49</v>
      </c>
      <c r="E48" s="13">
        <f t="shared" si="3"/>
        <v>8.1663640843440168E-3</v>
      </c>
      <c r="F48" s="13">
        <f t="shared" si="4"/>
        <v>11.065871705583117</v>
      </c>
      <c r="G48" s="14" t="e">
        <f>F48/$F$124*$D$2</f>
        <v>#DIV/0!</v>
      </c>
      <c r="H48" s="14" t="e">
        <f>F48/$F$124*$E$2</f>
        <v>#DIV/0!</v>
      </c>
      <c r="I48" s="25" t="str">
        <f t="shared" si="2"/>
        <v/>
      </c>
    </row>
    <row r="49" spans="1:9" hidden="1" x14ac:dyDescent="0.25">
      <c r="A49" s="3">
        <v>668</v>
      </c>
      <c r="B49" s="3">
        <v>113.41287370000001</v>
      </c>
      <c r="C49" s="3">
        <v>23.038944860000001</v>
      </c>
      <c r="D49" s="3">
        <v>49</v>
      </c>
      <c r="E49" s="13">
        <f t="shared" si="3"/>
        <v>8.3332550066400335E-3</v>
      </c>
      <c r="F49" s="13">
        <f t="shared" si="4"/>
        <v>10.95450263202237</v>
      </c>
      <c r="G49" s="14" t="e">
        <f>F49/$F$124*$D$2</f>
        <v>#DIV/0!</v>
      </c>
      <c r="H49" s="14" t="e">
        <f>F49/$F$124*$E$2</f>
        <v>#DIV/0!</v>
      </c>
      <c r="I49" s="25" t="str">
        <f t="shared" si="2"/>
        <v/>
      </c>
    </row>
    <row r="50" spans="1:9" x14ac:dyDescent="0.25">
      <c r="A50" s="3">
        <v>348</v>
      </c>
      <c r="B50" s="3">
        <v>113.3996973</v>
      </c>
      <c r="C50" s="3">
        <v>23.048864949999999</v>
      </c>
      <c r="D50" s="3">
        <v>49</v>
      </c>
      <c r="E50" s="13">
        <f t="shared" si="3"/>
        <v>8.3355727201225149E-3</v>
      </c>
      <c r="F50" s="13">
        <f t="shared" si="4"/>
        <v>10.952979571494417</v>
      </c>
      <c r="G50" s="14">
        <f>F50/$F$84*$D$2</f>
        <v>60.8783746349362</v>
      </c>
      <c r="H50" s="14">
        <f>F50/$F$84*$E$2</f>
        <v>67.495589269168391</v>
      </c>
      <c r="I50" s="25" t="str">
        <f t="shared" si="2"/>
        <v>选中</v>
      </c>
    </row>
    <row r="51" spans="1:9" hidden="1" x14ac:dyDescent="0.25">
      <c r="A51" s="3">
        <v>653</v>
      </c>
      <c r="B51" s="3">
        <v>113.410686</v>
      </c>
      <c r="C51" s="3">
        <v>23.03734807</v>
      </c>
      <c r="D51" s="3">
        <v>49</v>
      </c>
      <c r="E51" s="13">
        <f t="shared" si="3"/>
        <v>8.3695377206214078E-3</v>
      </c>
      <c r="F51" s="13">
        <f t="shared" si="4"/>
        <v>10.930732455537788</v>
      </c>
      <c r="G51" s="14" t="e">
        <f>F51/$F$124*$D$2</f>
        <v>#DIV/0!</v>
      </c>
      <c r="H51" s="14" t="e">
        <f>F51/$F$124*$E$2</f>
        <v>#DIV/0!</v>
      </c>
      <c r="I51" s="25" t="str">
        <f t="shared" si="2"/>
        <v/>
      </c>
    </row>
    <row r="52" spans="1:9" hidden="1" x14ac:dyDescent="0.25">
      <c r="A52" s="3">
        <v>655</v>
      </c>
      <c r="B52" s="3">
        <v>113.41063389999999</v>
      </c>
      <c r="C52" s="3">
        <v>23.037035169999999</v>
      </c>
      <c r="D52" s="3">
        <v>49</v>
      </c>
      <c r="E52" s="13">
        <f t="shared" si="3"/>
        <v>8.6297780893185173E-3</v>
      </c>
      <c r="F52" s="13">
        <f t="shared" si="4"/>
        <v>10.764656744355042</v>
      </c>
      <c r="G52" s="14" t="e">
        <f>F52/$F$124*$D$2</f>
        <v>#DIV/0!</v>
      </c>
      <c r="H52" s="14" t="e">
        <f>F52/$F$124*$E$2</f>
        <v>#DIV/0!</v>
      </c>
      <c r="I52" s="25" t="str">
        <f t="shared" si="2"/>
        <v/>
      </c>
    </row>
    <row r="53" spans="1:9" x14ac:dyDescent="0.25">
      <c r="A53" s="3">
        <v>635</v>
      </c>
      <c r="B53" s="3">
        <v>113.3988536</v>
      </c>
      <c r="C53" s="3">
        <v>23.041740919999999</v>
      </c>
      <c r="D53" s="3">
        <v>49</v>
      </c>
      <c r="E53" s="13">
        <f t="shared" si="3"/>
        <v>8.7374272047572605E-3</v>
      </c>
      <c r="F53" s="13">
        <f t="shared" si="4"/>
        <v>10.698138468303743</v>
      </c>
      <c r="G53" s="14">
        <f>F53/$F$84*$D$2</f>
        <v>59.461927899949224</v>
      </c>
      <c r="H53" s="14">
        <f>F53/$F$84*$E$2</f>
        <v>65.925180932552394</v>
      </c>
      <c r="I53" s="25" t="str">
        <f t="shared" si="2"/>
        <v>选中</v>
      </c>
    </row>
    <row r="54" spans="1:9" hidden="1" x14ac:dyDescent="0.25">
      <c r="A54" s="3">
        <v>666</v>
      </c>
      <c r="B54" s="3">
        <v>113.4133952</v>
      </c>
      <c r="C54" s="3">
        <v>23.038826289999999</v>
      </c>
      <c r="D54" s="3">
        <v>49</v>
      </c>
      <c r="E54" s="13">
        <f t="shared" si="3"/>
        <v>8.7890480399244516E-3</v>
      </c>
      <c r="F54" s="13">
        <f t="shared" si="4"/>
        <v>10.666675441265561</v>
      </c>
      <c r="G54" s="14" t="e">
        <f>F54/$F$124*$D$2</f>
        <v>#DIV/0!</v>
      </c>
      <c r="H54" s="14" t="e">
        <f>F54/$F$124*$E$2</f>
        <v>#DIV/0!</v>
      </c>
      <c r="I54" s="25" t="str">
        <f t="shared" si="2"/>
        <v/>
      </c>
    </row>
    <row r="55" spans="1:9" hidden="1" x14ac:dyDescent="0.25">
      <c r="A55" s="3">
        <v>365</v>
      </c>
      <c r="B55" s="3">
        <v>113.40268709999999</v>
      </c>
      <c r="C55" s="3">
        <v>23.052607940000001</v>
      </c>
      <c r="D55" s="3">
        <v>49</v>
      </c>
      <c r="E55" s="13">
        <f t="shared" si="3"/>
        <v>8.8662317405788851E-3</v>
      </c>
      <c r="F55" s="13">
        <f t="shared" si="4"/>
        <v>10.620145352965462</v>
      </c>
      <c r="G55" s="14" t="e">
        <f>F55/$F$124*$D$2</f>
        <v>#DIV/0!</v>
      </c>
      <c r="H55" s="14" t="e">
        <f>F55/$F$124*$E$2</f>
        <v>#DIV/0!</v>
      </c>
      <c r="I55" s="25" t="str">
        <f t="shared" si="2"/>
        <v/>
      </c>
    </row>
    <row r="56" spans="1:9" x14ac:dyDescent="0.25">
      <c r="A56" s="3">
        <v>351</v>
      </c>
      <c r="B56" s="3">
        <v>113.4010255</v>
      </c>
      <c r="C56" s="3">
        <v>23.05232668</v>
      </c>
      <c r="D56" s="3">
        <v>49</v>
      </c>
      <c r="E56" s="13">
        <f t="shared" si="3"/>
        <v>9.563968883279263E-3</v>
      </c>
      <c r="F56" s="13">
        <f t="shared" si="4"/>
        <v>10.22541452509355</v>
      </c>
      <c r="G56" s="14">
        <f>F56/$F$84*$D$2</f>
        <v>56.834454240767748</v>
      </c>
      <c r="H56" s="14">
        <f>F56/$F$84*$E$2</f>
        <v>63.01211231041642</v>
      </c>
      <c r="I56" s="25" t="str">
        <f t="shared" si="2"/>
        <v>选中</v>
      </c>
    </row>
    <row r="57" spans="1:9" hidden="1" x14ac:dyDescent="0.25">
      <c r="A57" s="3">
        <v>670</v>
      </c>
      <c r="B57" s="3">
        <v>113.41358750000001</v>
      </c>
      <c r="C57" s="3">
        <v>23.03776989</v>
      </c>
      <c r="D57" s="3">
        <v>49</v>
      </c>
      <c r="E57" s="13">
        <f t="shared" si="3"/>
        <v>9.6757725761931999E-3</v>
      </c>
      <c r="F57" s="13">
        <f t="shared" si="4"/>
        <v>10.166165465035304</v>
      </c>
      <c r="G57" s="14" t="e">
        <f>F57/$F$124*$D$2</f>
        <v>#DIV/0!</v>
      </c>
      <c r="H57" s="14" t="e">
        <f>F57/$F$124*$E$2</f>
        <v>#DIV/0!</v>
      </c>
      <c r="I57" s="25" t="str">
        <f t="shared" si="2"/>
        <v/>
      </c>
    </row>
    <row r="58" spans="1:9" hidden="1" x14ac:dyDescent="0.25">
      <c r="A58" s="3">
        <v>353</v>
      </c>
      <c r="B58" s="3">
        <v>113.3997782</v>
      </c>
      <c r="C58" s="3">
        <v>23.051568799999998</v>
      </c>
      <c r="D58" s="3">
        <v>49</v>
      </c>
      <c r="E58" s="13">
        <f t="shared" si="3"/>
        <v>9.8604663358248124E-3</v>
      </c>
      <c r="F58" s="13">
        <f t="shared" si="4"/>
        <v>10.070505538282086</v>
      </c>
      <c r="G58" s="14" t="e">
        <f>F58/$F$124*$D$2</f>
        <v>#DIV/0!</v>
      </c>
      <c r="H58" s="14" t="e">
        <f>F58/$F$124*$E$2</f>
        <v>#DIV/0!</v>
      </c>
      <c r="I58" s="25" t="str">
        <f t="shared" si="2"/>
        <v/>
      </c>
    </row>
    <row r="59" spans="1:9" x14ac:dyDescent="0.25">
      <c r="A59" s="3">
        <v>138</v>
      </c>
      <c r="B59" s="3">
        <v>113.4076195</v>
      </c>
      <c r="C59" s="3">
        <v>23.054737889999998</v>
      </c>
      <c r="D59" s="3">
        <v>49</v>
      </c>
      <c r="E59" s="13">
        <f t="shared" si="3"/>
        <v>9.8883564855880221E-3</v>
      </c>
      <c r="F59" s="13">
        <f t="shared" si="4"/>
        <v>10.056293559015209</v>
      </c>
      <c r="G59" s="14">
        <f>F59/$F$84*$D$2</f>
        <v>55.894453443328594</v>
      </c>
      <c r="H59" s="14">
        <f>F59/$F$84*$E$2</f>
        <v>61.969937513255616</v>
      </c>
      <c r="I59" s="25" t="str">
        <f t="shared" si="2"/>
        <v>选中</v>
      </c>
    </row>
    <row r="60" spans="1:9" hidden="1" x14ac:dyDescent="0.25">
      <c r="A60" s="3">
        <v>340</v>
      </c>
      <c r="B60" s="3">
        <v>113.398521</v>
      </c>
      <c r="C60" s="3">
        <v>23.05007531</v>
      </c>
      <c r="D60" s="3">
        <v>49</v>
      </c>
      <c r="E60" s="13">
        <f t="shared" si="3"/>
        <v>9.9606461633778894E-3</v>
      </c>
      <c r="F60" s="13">
        <f t="shared" si="4"/>
        <v>10.019735186599652</v>
      </c>
      <c r="G60" s="14" t="e">
        <f>F60/$F$124*$D$2</f>
        <v>#DIV/0!</v>
      </c>
      <c r="H60" s="14" t="e">
        <f>F60/$F$124*$E$2</f>
        <v>#DIV/0!</v>
      </c>
      <c r="I60" s="25" t="str">
        <f t="shared" si="2"/>
        <v/>
      </c>
    </row>
    <row r="61" spans="1:9" hidden="1" x14ac:dyDescent="0.25">
      <c r="A61" s="3">
        <v>665</v>
      </c>
      <c r="B61" s="3">
        <v>113.4153432</v>
      </c>
      <c r="C61" s="3">
        <v>23.037745300000001</v>
      </c>
      <c r="D61" s="3">
        <v>49</v>
      </c>
      <c r="E61" s="13">
        <f t="shared" si="3"/>
        <v>1.0960897107899293E-2</v>
      </c>
      <c r="F61" s="13">
        <f t="shared" si="4"/>
        <v>9.5516180928893721</v>
      </c>
      <c r="G61" s="14" t="e">
        <f>F61/$F$124*$D$2</f>
        <v>#DIV/0!</v>
      </c>
      <c r="H61" s="14" t="e">
        <f>F61/$F$124*$E$2</f>
        <v>#DIV/0!</v>
      </c>
      <c r="I61" s="25" t="str">
        <f t="shared" si="2"/>
        <v/>
      </c>
    </row>
    <row r="62" spans="1:9" x14ac:dyDescent="0.25">
      <c r="A62" s="3">
        <v>132</v>
      </c>
      <c r="B62" s="3">
        <v>113.4068449</v>
      </c>
      <c r="C62" s="3">
        <v>23.056077949999999</v>
      </c>
      <c r="D62" s="3">
        <v>49</v>
      </c>
      <c r="E62" s="13">
        <f t="shared" si="3"/>
        <v>1.1210998365555065E-2</v>
      </c>
      <c r="F62" s="13">
        <f t="shared" si="4"/>
        <v>9.4444757400413533</v>
      </c>
      <c r="G62" s="14">
        <f>F62/$F$84*$D$2</f>
        <v>52.493874254013242</v>
      </c>
      <c r="H62" s="14">
        <f>F62/$F$84*$E$2</f>
        <v>58.199730151188596</v>
      </c>
      <c r="I62" s="25" t="str">
        <f t="shared" si="2"/>
        <v>选中</v>
      </c>
    </row>
    <row r="63" spans="1:9" hidden="1" x14ac:dyDescent="0.25">
      <c r="A63" s="3">
        <v>133</v>
      </c>
      <c r="B63" s="3">
        <v>113.4063136</v>
      </c>
      <c r="C63" s="3">
        <v>23.05622765</v>
      </c>
      <c r="D63" s="3">
        <v>49</v>
      </c>
      <c r="E63" s="13">
        <f t="shared" si="3"/>
        <v>1.1380911486454015E-2</v>
      </c>
      <c r="F63" s="13">
        <f t="shared" si="4"/>
        <v>9.3737092184364741</v>
      </c>
      <c r="G63" s="14" t="e">
        <f>F63/$F$124*$D$2</f>
        <v>#DIV/0!</v>
      </c>
      <c r="H63" s="14" t="e">
        <f>F63/$F$124*$E$2</f>
        <v>#DIV/0!</v>
      </c>
      <c r="I63" s="25" t="str">
        <f t="shared" si="2"/>
        <v/>
      </c>
    </row>
    <row r="64" spans="1:9" hidden="1" x14ac:dyDescent="0.25">
      <c r="A64" s="3">
        <v>140</v>
      </c>
      <c r="B64" s="3">
        <v>113.4089634</v>
      </c>
      <c r="C64" s="3">
        <v>23.056171970000001</v>
      </c>
      <c r="D64" s="3">
        <v>49</v>
      </c>
      <c r="E64" s="13">
        <f t="shared" si="3"/>
        <v>1.1470937086958555E-2</v>
      </c>
      <c r="F64" s="13">
        <f t="shared" si="4"/>
        <v>9.3368536400506716</v>
      </c>
      <c r="G64" s="14" t="e">
        <f>F64/$F$124*$D$2</f>
        <v>#DIV/0!</v>
      </c>
      <c r="H64" s="14" t="e">
        <f>F64/$F$124*$E$2</f>
        <v>#DIV/0!</v>
      </c>
      <c r="I64" s="25" t="str">
        <f t="shared" si="2"/>
        <v/>
      </c>
    </row>
    <row r="65" spans="1:9" x14ac:dyDescent="0.25">
      <c r="A65" s="3">
        <v>667</v>
      </c>
      <c r="B65" s="3">
        <v>113.4145846</v>
      </c>
      <c r="C65" s="3">
        <v>23.036007430000002</v>
      </c>
      <c r="D65" s="3">
        <v>49</v>
      </c>
      <c r="E65" s="13">
        <f t="shared" si="3"/>
        <v>1.1655663290987868E-2</v>
      </c>
      <c r="F65" s="13">
        <f t="shared" si="4"/>
        <v>9.2625700083035927</v>
      </c>
      <c r="G65" s="14">
        <f>F65/$F$84*$D$2</f>
        <v>51.482813728182045</v>
      </c>
      <c r="H65" s="14">
        <f>F65/$F$84*$E$2</f>
        <v>57.078771742114874</v>
      </c>
      <c r="I65" s="25" t="str">
        <f t="shared" si="2"/>
        <v>选中</v>
      </c>
    </row>
    <row r="66" spans="1:9" hidden="1" x14ac:dyDescent="0.25">
      <c r="A66" s="3">
        <v>137</v>
      </c>
      <c r="B66" s="3">
        <v>113.4096278</v>
      </c>
      <c r="C66" s="3">
        <v>23.056339269999999</v>
      </c>
      <c r="D66" s="3">
        <v>49</v>
      </c>
      <c r="E66" s="13">
        <f t="shared" si="3"/>
        <v>1.1765492352845583E-2</v>
      </c>
      <c r="F66" s="13">
        <f t="shared" si="4"/>
        <v>9.2192363095065311</v>
      </c>
      <c r="G66" s="14" t="e">
        <f>F66/$F$124*$D$2</f>
        <v>#DIV/0!</v>
      </c>
      <c r="H66" s="14" t="e">
        <f>F66/$F$124*$E$2</f>
        <v>#DIV/0!</v>
      </c>
      <c r="I66" s="25" t="str">
        <f t="shared" si="2"/>
        <v/>
      </c>
    </row>
    <row r="67" spans="1:9" hidden="1" x14ac:dyDescent="0.25">
      <c r="A67" s="3">
        <v>141</v>
      </c>
      <c r="B67" s="3">
        <v>113.40260379999999</v>
      </c>
      <c r="C67" s="3">
        <v>23.05598947</v>
      </c>
      <c r="D67" s="3">
        <v>49</v>
      </c>
      <c r="E67" s="13">
        <f t="shared" si="3"/>
        <v>1.1963136585901285E-2</v>
      </c>
      <c r="F67" s="13">
        <f t="shared" si="4"/>
        <v>9.1427631542561656</v>
      </c>
      <c r="G67" s="14" t="e">
        <f>F67/$F$124*$D$2</f>
        <v>#DIV/0!</v>
      </c>
      <c r="H67" s="14" t="e">
        <f>F67/$F$124*$E$2</f>
        <v>#DIV/0!</v>
      </c>
      <c r="I67" s="25" t="str">
        <f t="shared" si="2"/>
        <v/>
      </c>
    </row>
    <row r="68" spans="1:9" x14ac:dyDescent="0.25">
      <c r="A68" s="3">
        <v>120</v>
      </c>
      <c r="B68" s="3">
        <v>113.4009102</v>
      </c>
      <c r="C68" s="3">
        <v>23.055379349999999</v>
      </c>
      <c r="D68" s="3">
        <v>49</v>
      </c>
      <c r="E68" s="13">
        <f t="shared" si="3"/>
        <v>1.215395731119975E-2</v>
      </c>
      <c r="F68" s="13">
        <f t="shared" si="4"/>
        <v>9.0707071671518342</v>
      </c>
      <c r="G68" s="14">
        <f>F68/$F$84*$D$2</f>
        <v>50.416410029908157</v>
      </c>
      <c r="H68" s="14">
        <f>F68/$F$84*$E$2</f>
        <v>55.89645459837643</v>
      </c>
      <c r="I68" s="25" t="str">
        <f t="shared" si="2"/>
        <v>选中</v>
      </c>
    </row>
    <row r="69" spans="1:9" hidden="1" x14ac:dyDescent="0.25">
      <c r="A69" s="3">
        <v>121</v>
      </c>
      <c r="B69" s="3">
        <v>113.4012973</v>
      </c>
      <c r="C69" s="3">
        <v>23.055883210000001</v>
      </c>
      <c r="D69" s="3">
        <v>49</v>
      </c>
      <c r="E69" s="13">
        <f t="shared" ref="E69:E82" si="5">SQRT((B69-$B$2)^2+(C69-$C$2)^2)</f>
        <v>1.2409291974570465E-2</v>
      </c>
      <c r="F69" s="13">
        <f t="shared" ref="F69:F82" si="6">SQRT(1/E69)</f>
        <v>8.9769022978203452</v>
      </c>
      <c r="G69" s="14" t="e">
        <f>F69/$F$124*$D$2</f>
        <v>#DIV/0!</v>
      </c>
      <c r="H69" s="14" t="e">
        <f>F69/$F$124*$E$2</f>
        <v>#DIV/0!</v>
      </c>
      <c r="I69" s="25" t="str">
        <f t="shared" si="2"/>
        <v/>
      </c>
    </row>
    <row r="70" spans="1:9" hidden="1" x14ac:dyDescent="0.25">
      <c r="A70" s="3">
        <v>131</v>
      </c>
      <c r="B70" s="3">
        <v>113.4013393</v>
      </c>
      <c r="C70" s="3">
        <v>23.056309039999999</v>
      </c>
      <c r="D70" s="3">
        <v>49</v>
      </c>
      <c r="E70" s="13">
        <f t="shared" si="5"/>
        <v>1.277006712259166E-2</v>
      </c>
      <c r="F70" s="13">
        <f t="shared" si="6"/>
        <v>8.8491877605571787</v>
      </c>
      <c r="G70" s="14" t="e">
        <f>F70/$F$124*$D$2</f>
        <v>#DIV/0!</v>
      </c>
      <c r="H70" s="14" t="e">
        <f>F70/$F$124*$E$2</f>
        <v>#DIV/0!</v>
      </c>
      <c r="I70" s="25" t="str">
        <f t="shared" ref="I70:I82" si="7">IF(MOD(ROW()-1,3)=1,"选中","")</f>
        <v/>
      </c>
    </row>
    <row r="71" spans="1:9" x14ac:dyDescent="0.25">
      <c r="A71" s="3">
        <v>139</v>
      </c>
      <c r="B71" s="3">
        <v>113.4097088</v>
      </c>
      <c r="C71" s="3">
        <v>23.057407860000001</v>
      </c>
      <c r="D71" s="3">
        <v>49</v>
      </c>
      <c r="E71" s="13">
        <f t="shared" si="5"/>
        <v>1.282632934536143E-2</v>
      </c>
      <c r="F71" s="13">
        <f t="shared" si="6"/>
        <v>8.8297581116679122</v>
      </c>
      <c r="G71" s="14">
        <f>F71/$F$84*$D$2</f>
        <v>49.077177470225507</v>
      </c>
      <c r="H71" s="14">
        <f>F71/$F$84*$E$2</f>
        <v>54.411653282206537</v>
      </c>
      <c r="I71" s="25" t="str">
        <f t="shared" si="7"/>
        <v>选中</v>
      </c>
    </row>
    <row r="72" spans="1:9" hidden="1" x14ac:dyDescent="0.25">
      <c r="A72" s="3">
        <v>134</v>
      </c>
      <c r="B72" s="3">
        <v>113.40271869999999</v>
      </c>
      <c r="C72" s="3">
        <v>23.057411890000001</v>
      </c>
      <c r="D72" s="3">
        <v>49</v>
      </c>
      <c r="E72" s="13">
        <f t="shared" si="5"/>
        <v>1.3258140935521544E-2</v>
      </c>
      <c r="F72" s="13">
        <f t="shared" si="6"/>
        <v>8.6847772569609205</v>
      </c>
      <c r="G72" s="14" t="e">
        <f>F72/$F$124*$D$2</f>
        <v>#DIV/0!</v>
      </c>
      <c r="H72" s="14" t="e">
        <f>F72/$F$124*$E$2</f>
        <v>#DIV/0!</v>
      </c>
      <c r="I72" s="25" t="str">
        <f t="shared" si="7"/>
        <v/>
      </c>
    </row>
    <row r="73" spans="1:9" hidden="1" x14ac:dyDescent="0.25">
      <c r="A73" s="3">
        <v>984</v>
      </c>
      <c r="B73" s="3">
        <v>113.40937630000001</v>
      </c>
      <c r="C73" s="3">
        <v>23.0315248</v>
      </c>
      <c r="D73" s="3">
        <v>49</v>
      </c>
      <c r="E73" s="13">
        <f t="shared" si="5"/>
        <v>1.3551209996529548E-2</v>
      </c>
      <c r="F73" s="13">
        <f t="shared" si="6"/>
        <v>8.5903520469494712</v>
      </c>
      <c r="G73" s="14" t="e">
        <f>F73/$F$124*$D$2</f>
        <v>#DIV/0!</v>
      </c>
      <c r="H73" s="14" t="e">
        <f>F73/$F$124*$E$2</f>
        <v>#DIV/0!</v>
      </c>
      <c r="I73" s="25" t="str">
        <f t="shared" si="7"/>
        <v/>
      </c>
    </row>
    <row r="74" spans="1:9" x14ac:dyDescent="0.25">
      <c r="A74" s="3">
        <v>136</v>
      </c>
      <c r="B74" s="3">
        <v>113.4083888</v>
      </c>
      <c r="C74" s="3">
        <v>23.058852519999999</v>
      </c>
      <c r="D74" s="3">
        <v>49</v>
      </c>
      <c r="E74" s="13">
        <f t="shared" si="5"/>
        <v>1.4051912091326406E-2</v>
      </c>
      <c r="F74" s="13">
        <f t="shared" si="6"/>
        <v>8.435916801708494</v>
      </c>
      <c r="G74" s="14">
        <f>F74/$F$84*$D$2</f>
        <v>46.888145832037928</v>
      </c>
      <c r="H74" s="14">
        <f>F74/$F$84*$E$2</f>
        <v>51.984683422476834</v>
      </c>
      <c r="I74" s="25" t="str">
        <f t="shared" si="7"/>
        <v>选中</v>
      </c>
    </row>
    <row r="75" spans="1:9" hidden="1" x14ac:dyDescent="0.25">
      <c r="A75" s="3">
        <v>135</v>
      </c>
      <c r="B75" s="3">
        <v>113.4076412</v>
      </c>
      <c r="C75" s="3">
        <v>23.059148010000001</v>
      </c>
      <c r="D75" s="3">
        <v>49</v>
      </c>
      <c r="E75" s="13">
        <f t="shared" si="5"/>
        <v>1.429365644739462E-2</v>
      </c>
      <c r="F75" s="13">
        <f t="shared" si="6"/>
        <v>8.3642755234075938</v>
      </c>
      <c r="G75" s="14" t="e">
        <f>F75/$F$124*$D$2</f>
        <v>#DIV/0!</v>
      </c>
      <c r="H75" s="14" t="e">
        <f>F75/$F$124*$E$2</f>
        <v>#DIV/0!</v>
      </c>
      <c r="I75" s="25" t="str">
        <f t="shared" si="7"/>
        <v/>
      </c>
    </row>
    <row r="76" spans="1:9" hidden="1" x14ac:dyDescent="0.25">
      <c r="A76" s="3">
        <v>983</v>
      </c>
      <c r="B76" s="3">
        <v>113.4094997</v>
      </c>
      <c r="C76" s="3">
        <v>23.027641540000001</v>
      </c>
      <c r="D76" s="3">
        <v>49</v>
      </c>
      <c r="E76" s="13">
        <f t="shared" si="5"/>
        <v>1.740532881061305E-2</v>
      </c>
      <c r="F76" s="13">
        <f t="shared" si="6"/>
        <v>7.5798198515235269</v>
      </c>
      <c r="G76" s="14" t="e">
        <f>F76/$F$124*$D$2</f>
        <v>#DIV/0!</v>
      </c>
      <c r="H76" s="14" t="e">
        <f>F76/$F$124*$E$2</f>
        <v>#DIV/0!</v>
      </c>
      <c r="I76" s="25" t="str">
        <f t="shared" si="7"/>
        <v/>
      </c>
    </row>
    <row r="77" spans="1:9" x14ac:dyDescent="0.25">
      <c r="A77" s="3">
        <v>986</v>
      </c>
      <c r="B77" s="3">
        <v>113.4221719</v>
      </c>
      <c r="C77" s="3">
        <v>23.031747630000002</v>
      </c>
      <c r="D77" s="3">
        <v>49</v>
      </c>
      <c r="E77" s="13">
        <f t="shared" si="5"/>
        <v>2.0049086293763941E-2</v>
      </c>
      <c r="F77" s="13">
        <f t="shared" si="6"/>
        <v>7.062406439113472</v>
      </c>
      <c r="G77" s="14">
        <f>F77/$F$84*$D$2</f>
        <v>39.253960277940507</v>
      </c>
      <c r="H77" s="14">
        <f>F77/$F$84*$E$2</f>
        <v>43.520695090760128</v>
      </c>
      <c r="I77" s="25" t="str">
        <f t="shared" si="7"/>
        <v>选中</v>
      </c>
    </row>
    <row r="78" spans="1:9" hidden="1" x14ac:dyDescent="0.25">
      <c r="A78" s="3">
        <v>6</v>
      </c>
      <c r="B78" s="3">
        <v>113.4119458</v>
      </c>
      <c r="C78" s="3">
        <v>23.025368060000002</v>
      </c>
      <c r="D78" s="3">
        <v>49</v>
      </c>
      <c r="E78" s="13">
        <f t="shared" si="5"/>
        <v>2.0114568575525977E-2</v>
      </c>
      <c r="F78" s="13">
        <f t="shared" si="6"/>
        <v>7.0509013580280442</v>
      </c>
      <c r="G78" s="14" t="e">
        <f>F78/$F$124*$D$2</f>
        <v>#DIV/0!</v>
      </c>
      <c r="H78" s="14" t="e">
        <f>F78/$F$124*$E$2</f>
        <v>#DIV/0!</v>
      </c>
      <c r="I78" s="25" t="str">
        <f t="shared" si="7"/>
        <v/>
      </c>
    </row>
    <row r="79" spans="1:9" hidden="1" x14ac:dyDescent="0.25">
      <c r="A79" s="3">
        <v>5</v>
      </c>
      <c r="B79" s="3">
        <v>113.41200790000001</v>
      </c>
      <c r="C79" s="3">
        <v>23.025294129999999</v>
      </c>
      <c r="D79" s="3">
        <v>49</v>
      </c>
      <c r="E79" s="13">
        <f t="shared" si="5"/>
        <v>2.0201515657371508E-2</v>
      </c>
      <c r="F79" s="13">
        <f t="shared" si="6"/>
        <v>7.0357114985907279</v>
      </c>
      <c r="G79" s="14" t="e">
        <f>F79/$F$124*$D$2</f>
        <v>#DIV/0!</v>
      </c>
      <c r="H79" s="14" t="e">
        <f>F79/$F$124*$E$2</f>
        <v>#DIV/0!</v>
      </c>
      <c r="I79" s="25" t="str">
        <f t="shared" si="7"/>
        <v/>
      </c>
    </row>
    <row r="80" spans="1:9" x14ac:dyDescent="0.25">
      <c r="A80" s="3">
        <v>376</v>
      </c>
      <c r="B80" s="3">
        <v>113.42623949999999</v>
      </c>
      <c r="C80" s="3">
        <v>23.05222281</v>
      </c>
      <c r="D80" s="3">
        <v>49</v>
      </c>
      <c r="E80" s="13">
        <f t="shared" si="5"/>
        <v>2.0585901815125648E-2</v>
      </c>
      <c r="F80" s="13">
        <f t="shared" si="6"/>
        <v>6.9697155107644466</v>
      </c>
      <c r="G80" s="14">
        <f>F80/$F$84*$D$2</f>
        <v>38.738769591747882</v>
      </c>
      <c r="H80" s="14">
        <f>F80/$F$84*$E$2</f>
        <v>42.949505416937868</v>
      </c>
      <c r="I80" s="25" t="str">
        <f t="shared" si="7"/>
        <v>选中</v>
      </c>
    </row>
    <row r="81" spans="1:9" hidden="1" x14ac:dyDescent="0.25">
      <c r="A81" s="3">
        <v>985</v>
      </c>
      <c r="B81" s="3">
        <v>113.4230534</v>
      </c>
      <c r="C81" s="3">
        <v>23.028422079999999</v>
      </c>
      <c r="D81" s="3">
        <v>49</v>
      </c>
      <c r="E81" s="13">
        <f t="shared" si="5"/>
        <v>2.2973788553361355E-2</v>
      </c>
      <c r="F81" s="13">
        <f t="shared" si="6"/>
        <v>6.5975651910341524</v>
      </c>
      <c r="G81" s="14" t="e">
        <f>F81/$F$124*$D$2</f>
        <v>#DIV/0!</v>
      </c>
      <c r="H81" s="14" t="e">
        <f>F81/$F$124*$E$2</f>
        <v>#DIV/0!</v>
      </c>
      <c r="I81" s="25" t="str">
        <f t="shared" si="7"/>
        <v/>
      </c>
    </row>
    <row r="82" spans="1:9" hidden="1" x14ac:dyDescent="0.25">
      <c r="A82" s="3">
        <v>987</v>
      </c>
      <c r="B82" s="3">
        <v>113.42751490000001</v>
      </c>
      <c r="C82" s="3">
        <v>23.032095179999999</v>
      </c>
      <c r="D82" s="3">
        <v>49</v>
      </c>
      <c r="E82" s="13">
        <f t="shared" si="5"/>
        <v>2.4155967113961258E-2</v>
      </c>
      <c r="F82" s="13">
        <f t="shared" si="6"/>
        <v>6.4340996837193734</v>
      </c>
      <c r="G82" s="14" t="e">
        <f>F82/$F$124*$D$2</f>
        <v>#DIV/0!</v>
      </c>
      <c r="H82" s="14" t="e">
        <f>F82/$F$124*$E$2</f>
        <v>#DIV/0!</v>
      </c>
      <c r="I82" s="25" t="str">
        <f t="shared" si="7"/>
        <v/>
      </c>
    </row>
    <row r="83" spans="1:9" x14ac:dyDescent="0.25">
      <c r="A83" s="3"/>
      <c r="B83" s="3"/>
      <c r="C83" s="3"/>
      <c r="D83" s="3"/>
      <c r="G83" s="14"/>
      <c r="H83" s="14"/>
    </row>
    <row r="84" spans="1:9" x14ac:dyDescent="0.25">
      <c r="A84" s="3"/>
      <c r="B84" s="3"/>
      <c r="C84" s="3"/>
      <c r="D84" s="3"/>
      <c r="F84" s="13">
        <f>SUBTOTAL(9,F5:F82)</f>
        <v>289.66438765574793</v>
      </c>
      <c r="G84" s="13">
        <f>SUBTOTAL(9,G5:G82)</f>
        <v>1610.0000000000005</v>
      </c>
      <c r="H84" s="13">
        <f>SUBTOTAL(9,H5:H82)</f>
        <v>1785.0000000000005</v>
      </c>
    </row>
    <row r="85" spans="1:9" x14ac:dyDescent="0.25">
      <c r="A85" s="3"/>
      <c r="B85" s="3"/>
      <c r="C85" s="3"/>
      <c r="D85" s="3"/>
      <c r="G85" s="14"/>
      <c r="H85" s="14"/>
    </row>
    <row r="86" spans="1:9" x14ac:dyDescent="0.25">
      <c r="A86" s="3"/>
      <c r="B86" s="3"/>
      <c r="C86" s="3"/>
      <c r="D86" s="3"/>
      <c r="G86" s="14"/>
      <c r="H86" s="14"/>
    </row>
    <row r="87" spans="1:9" x14ac:dyDescent="0.25">
      <c r="A87" s="3"/>
      <c r="B87" s="3"/>
      <c r="C87" s="3"/>
      <c r="D87" s="3"/>
      <c r="G87" s="14"/>
      <c r="H87" s="14"/>
    </row>
    <row r="88" spans="1:9" x14ac:dyDescent="0.25">
      <c r="A88" s="3"/>
      <c r="B88" s="3"/>
      <c r="C88" s="3"/>
      <c r="D88" s="3"/>
      <c r="G88" s="14"/>
      <c r="H88" s="14"/>
    </row>
    <row r="89" spans="1:9" x14ac:dyDescent="0.25">
      <c r="A89" s="3"/>
      <c r="B89" s="3"/>
      <c r="C89" s="3"/>
      <c r="D89" s="3"/>
      <c r="G89" s="14"/>
      <c r="H89" s="14"/>
    </row>
    <row r="90" spans="1:9" x14ac:dyDescent="0.25">
      <c r="A90" s="3"/>
      <c r="B90" s="3"/>
      <c r="C90" s="3"/>
      <c r="D90" s="3"/>
      <c r="G90" s="14"/>
      <c r="H90" s="14"/>
    </row>
    <row r="91" spans="1:9" x14ac:dyDescent="0.25">
      <c r="A91" s="3"/>
      <c r="B91" s="3"/>
      <c r="C91" s="3"/>
      <c r="D91" s="3"/>
      <c r="G91" s="14"/>
      <c r="H91" s="14"/>
    </row>
    <row r="92" spans="1:9" x14ac:dyDescent="0.25">
      <c r="A92" s="3"/>
      <c r="B92" s="3"/>
      <c r="C92" s="3"/>
      <c r="D92" s="3"/>
      <c r="G92" s="14"/>
      <c r="H92" s="14"/>
    </row>
    <row r="93" spans="1:9" x14ac:dyDescent="0.25">
      <c r="A93" s="3"/>
      <c r="B93" s="3"/>
      <c r="C93" s="3"/>
      <c r="D93" s="3"/>
      <c r="G93" s="14"/>
      <c r="H93" s="14"/>
    </row>
    <row r="94" spans="1:9" x14ac:dyDescent="0.25">
      <c r="A94" s="3"/>
      <c r="B94" s="3"/>
      <c r="C94" s="3"/>
      <c r="D94" s="3"/>
      <c r="G94" s="14"/>
      <c r="H94" s="14"/>
    </row>
    <row r="95" spans="1:9" x14ac:dyDescent="0.25">
      <c r="A95" s="3"/>
      <c r="B95" s="3"/>
      <c r="C95" s="3"/>
      <c r="D95" s="3"/>
      <c r="G95" s="14"/>
      <c r="H95" s="14"/>
    </row>
    <row r="96" spans="1:9" x14ac:dyDescent="0.25">
      <c r="A96" s="3"/>
      <c r="B96" s="3"/>
      <c r="C96" s="3"/>
      <c r="D96" s="3"/>
      <c r="G96" s="14"/>
      <c r="H96" s="14"/>
    </row>
    <row r="97" spans="1:8" x14ac:dyDescent="0.25">
      <c r="A97" s="3"/>
      <c r="B97" s="3"/>
      <c r="C97" s="3"/>
      <c r="D97" s="3"/>
      <c r="G97" s="14"/>
      <c r="H97" s="14"/>
    </row>
    <row r="98" spans="1:8" x14ac:dyDescent="0.25">
      <c r="A98" s="3"/>
      <c r="B98" s="3"/>
      <c r="C98" s="3"/>
      <c r="D98" s="3"/>
      <c r="G98" s="14"/>
      <c r="H98" s="14"/>
    </row>
    <row r="99" spans="1:8" x14ac:dyDescent="0.25">
      <c r="A99" s="3"/>
      <c r="B99" s="3"/>
      <c r="C99" s="3"/>
      <c r="D99" s="3"/>
      <c r="G99" s="14"/>
      <c r="H99" s="14"/>
    </row>
    <row r="100" spans="1:8" x14ac:dyDescent="0.25">
      <c r="A100" s="3"/>
      <c r="B100" s="3"/>
      <c r="C100" s="3"/>
      <c r="D100" s="3"/>
      <c r="G100" s="14"/>
      <c r="H100" s="14"/>
    </row>
    <row r="101" spans="1:8" x14ac:dyDescent="0.25">
      <c r="A101" s="3"/>
      <c r="B101" s="3"/>
      <c r="C101" s="3"/>
      <c r="D101" s="3"/>
      <c r="G101" s="14"/>
      <c r="H101" s="14"/>
    </row>
    <row r="102" spans="1:8" x14ac:dyDescent="0.25">
      <c r="A102" s="3"/>
      <c r="B102" s="3"/>
      <c r="C102" s="3"/>
      <c r="D102" s="3"/>
      <c r="G102" s="14"/>
      <c r="H102" s="14"/>
    </row>
    <row r="103" spans="1:8" x14ac:dyDescent="0.25">
      <c r="A103" s="3"/>
      <c r="B103" s="3"/>
      <c r="C103" s="3"/>
      <c r="D103" s="3"/>
      <c r="G103" s="14"/>
      <c r="H103" s="14"/>
    </row>
    <row r="104" spans="1:8" x14ac:dyDescent="0.25">
      <c r="A104" s="3"/>
      <c r="B104" s="3"/>
      <c r="C104" s="3"/>
      <c r="D104" s="3"/>
      <c r="G104" s="14"/>
      <c r="H104" s="14"/>
    </row>
    <row r="105" spans="1:8" x14ac:dyDescent="0.25">
      <c r="A105" s="3"/>
      <c r="B105" s="3"/>
      <c r="C105" s="3"/>
      <c r="D105" s="3"/>
      <c r="G105" s="14"/>
      <c r="H105" s="14"/>
    </row>
    <row r="106" spans="1:8" x14ac:dyDescent="0.25">
      <c r="A106" s="3"/>
      <c r="B106" s="3"/>
      <c r="C106" s="3"/>
      <c r="D106" s="3"/>
      <c r="G106" s="14"/>
      <c r="H106" s="14"/>
    </row>
    <row r="107" spans="1:8" x14ac:dyDescent="0.25">
      <c r="A107" s="3"/>
      <c r="B107" s="3"/>
      <c r="C107" s="3"/>
      <c r="D107" s="3"/>
      <c r="G107" s="14"/>
      <c r="H107" s="14"/>
    </row>
    <row r="108" spans="1:8" x14ac:dyDescent="0.25">
      <c r="A108" s="3"/>
      <c r="B108" s="3"/>
      <c r="C108" s="3"/>
      <c r="D108" s="3"/>
      <c r="G108" s="14"/>
      <c r="H108" s="14"/>
    </row>
    <row r="109" spans="1:8" x14ac:dyDescent="0.25">
      <c r="A109" s="3"/>
      <c r="B109" s="3"/>
      <c r="C109" s="3"/>
      <c r="D109" s="3"/>
      <c r="G109" s="14"/>
      <c r="H109" s="14"/>
    </row>
    <row r="110" spans="1:8" x14ac:dyDescent="0.25">
      <c r="A110" s="3"/>
      <c r="B110" s="3"/>
      <c r="C110" s="3"/>
      <c r="D110" s="3"/>
      <c r="G110" s="14"/>
      <c r="H110" s="14"/>
    </row>
    <row r="111" spans="1:8" x14ac:dyDescent="0.25">
      <c r="A111" s="3"/>
      <c r="B111" s="3"/>
      <c r="C111" s="3"/>
      <c r="D111" s="3"/>
      <c r="G111" s="14"/>
      <c r="H111" s="14"/>
    </row>
    <row r="112" spans="1:8" x14ac:dyDescent="0.25">
      <c r="A112" s="3"/>
      <c r="B112" s="3"/>
      <c r="C112" s="3"/>
      <c r="D112" s="3"/>
      <c r="G112" s="14"/>
      <c r="H112" s="14"/>
    </row>
    <row r="113" spans="1:8" x14ac:dyDescent="0.25">
      <c r="A113" s="3"/>
      <c r="B113" s="3"/>
      <c r="C113" s="3"/>
      <c r="D113" s="3"/>
      <c r="G113" s="14"/>
      <c r="H113" s="14"/>
    </row>
    <row r="114" spans="1:8" x14ac:dyDescent="0.25">
      <c r="A114" s="3"/>
      <c r="B114" s="3"/>
      <c r="C114" s="3"/>
      <c r="D114" s="3"/>
      <c r="G114" s="14"/>
      <c r="H114" s="14"/>
    </row>
    <row r="115" spans="1:8" x14ac:dyDescent="0.25">
      <c r="A115" s="3"/>
      <c r="B115" s="3"/>
      <c r="C115" s="3"/>
      <c r="D115" s="3"/>
      <c r="G115" s="14"/>
      <c r="H115" s="14"/>
    </row>
    <row r="116" spans="1:8" x14ac:dyDescent="0.25">
      <c r="A116" s="3"/>
      <c r="B116" s="3"/>
      <c r="C116" s="3"/>
      <c r="D116" s="3"/>
      <c r="G116" s="14"/>
      <c r="H116" s="14"/>
    </row>
    <row r="117" spans="1:8" x14ac:dyDescent="0.25">
      <c r="A117" s="3"/>
      <c r="B117" s="3"/>
      <c r="C117" s="3"/>
      <c r="D117" s="3"/>
      <c r="G117" s="14"/>
      <c r="H117" s="14"/>
    </row>
    <row r="118" spans="1:8" x14ac:dyDescent="0.25">
      <c r="A118" s="3"/>
      <c r="B118" s="3"/>
      <c r="C118" s="3"/>
      <c r="D118" s="3"/>
      <c r="G118" s="14"/>
      <c r="H118" s="14"/>
    </row>
    <row r="119" spans="1:8" x14ac:dyDescent="0.25">
      <c r="A119" s="3"/>
      <c r="B119" s="3"/>
      <c r="C119" s="3"/>
      <c r="D119" s="3"/>
      <c r="G119" s="14"/>
      <c r="H119" s="14"/>
    </row>
    <row r="120" spans="1:8" x14ac:dyDescent="0.25">
      <c r="A120" s="3"/>
      <c r="B120" s="3"/>
      <c r="C120" s="3"/>
      <c r="D120" s="3"/>
      <c r="G120" s="14"/>
      <c r="H120" s="14"/>
    </row>
    <row r="121" spans="1:8" x14ac:dyDescent="0.25">
      <c r="A121" s="3"/>
      <c r="B121" s="3"/>
      <c r="C121" s="3"/>
      <c r="D121" s="3"/>
      <c r="G121" s="14"/>
      <c r="H121" s="14"/>
    </row>
    <row r="122" spans="1:8" x14ac:dyDescent="0.25">
      <c r="A122" s="3"/>
      <c r="B122" s="3"/>
      <c r="C122" s="3"/>
      <c r="D122" s="3"/>
      <c r="G122" s="14"/>
      <c r="H122" s="14"/>
    </row>
    <row r="123" spans="1:8" x14ac:dyDescent="0.25">
      <c r="A123" s="3"/>
      <c r="B123" s="3"/>
      <c r="C123" s="3"/>
      <c r="D123" s="3"/>
      <c r="G123" s="14"/>
      <c r="H123" s="14"/>
    </row>
    <row r="124" spans="1:8" x14ac:dyDescent="0.25">
      <c r="A124" s="3"/>
      <c r="B124" s="3"/>
      <c r="C124" s="3"/>
      <c r="D124" s="3"/>
      <c r="G124" s="14"/>
      <c r="H124" s="14"/>
    </row>
    <row r="125" spans="1:8" x14ac:dyDescent="0.25">
      <c r="A125" s="3"/>
      <c r="B125" s="3"/>
      <c r="C125" s="3"/>
      <c r="D125" s="3"/>
      <c r="G125" s="14"/>
      <c r="H125" s="14"/>
    </row>
    <row r="126" spans="1:8" x14ac:dyDescent="0.25">
      <c r="A126" s="18"/>
      <c r="B126" s="3"/>
      <c r="C126" s="3"/>
      <c r="D126" s="3"/>
      <c r="G126" s="14"/>
      <c r="H126" s="14"/>
    </row>
    <row r="127" spans="1:8" x14ac:dyDescent="0.25">
      <c r="A127" s="3"/>
      <c r="B127" s="3"/>
      <c r="C127" s="3"/>
      <c r="D127" s="3"/>
      <c r="G127" s="14"/>
      <c r="H127" s="14"/>
    </row>
    <row r="128" spans="1:8" x14ac:dyDescent="0.25">
      <c r="A128" s="3"/>
      <c r="B128" s="3"/>
      <c r="C128" s="3"/>
      <c r="D128" s="3"/>
      <c r="G128" s="14"/>
      <c r="H128" s="14"/>
    </row>
    <row r="129" spans="1:8" x14ac:dyDescent="0.25">
      <c r="A129" s="3"/>
      <c r="B129" s="3"/>
      <c r="C129" s="3"/>
      <c r="D129" s="3"/>
      <c r="G129" s="14"/>
      <c r="H129" s="14"/>
    </row>
    <row r="130" spans="1:8" x14ac:dyDescent="0.25">
      <c r="A130" s="3"/>
      <c r="B130" s="3"/>
      <c r="C130" s="3"/>
      <c r="D130" s="3"/>
      <c r="G130" s="14"/>
      <c r="H130" s="14"/>
    </row>
    <row r="131" spans="1:8" x14ac:dyDescent="0.25">
      <c r="A131" s="3"/>
      <c r="B131" s="3"/>
      <c r="C131" s="3"/>
      <c r="D131" s="3"/>
      <c r="G131" s="14"/>
      <c r="H131" s="14"/>
    </row>
    <row r="132" spans="1:8" x14ac:dyDescent="0.25">
      <c r="A132" s="3"/>
      <c r="B132" s="3"/>
      <c r="C132" s="3"/>
      <c r="D132" s="3"/>
      <c r="G132" s="14"/>
      <c r="H132" s="14"/>
    </row>
    <row r="133" spans="1:8" x14ac:dyDescent="0.25">
      <c r="A133" s="3"/>
      <c r="B133" s="3"/>
      <c r="C133" s="3"/>
      <c r="D133" s="3"/>
      <c r="G133" s="14"/>
      <c r="H133" s="14"/>
    </row>
    <row r="134" spans="1:8" x14ac:dyDescent="0.25">
      <c r="A134" s="3"/>
      <c r="B134" s="3"/>
      <c r="C134" s="3"/>
      <c r="D134" s="3"/>
      <c r="G134" s="14"/>
      <c r="H134" s="14"/>
    </row>
    <row r="135" spans="1:8" x14ac:dyDescent="0.25">
      <c r="A135" s="3"/>
      <c r="B135" s="3"/>
      <c r="C135" s="3"/>
      <c r="D135" s="3"/>
      <c r="G135" s="14"/>
      <c r="H135" s="14"/>
    </row>
    <row r="136" spans="1:8" x14ac:dyDescent="0.25">
      <c r="A136" s="3"/>
      <c r="B136" s="3"/>
      <c r="C136" s="3"/>
      <c r="D136" s="3"/>
      <c r="G136" s="14"/>
      <c r="H136" s="14"/>
    </row>
    <row r="137" spans="1:8" x14ac:dyDescent="0.25">
      <c r="A137" s="3"/>
      <c r="B137" s="3"/>
      <c r="C137" s="3"/>
      <c r="D137" s="3"/>
      <c r="G137" s="14"/>
      <c r="H137" s="14"/>
    </row>
    <row r="138" spans="1:8" x14ac:dyDescent="0.25">
      <c r="A138" s="3"/>
      <c r="B138" s="3"/>
      <c r="C138" s="3"/>
      <c r="D138" s="3"/>
      <c r="G138" s="14"/>
      <c r="H138" s="14"/>
    </row>
    <row r="139" spans="1:8" x14ac:dyDescent="0.25">
      <c r="A139" s="3"/>
      <c r="B139" s="3"/>
      <c r="C139" s="3"/>
      <c r="D139" s="3"/>
      <c r="G139" s="14"/>
      <c r="H139" s="14"/>
    </row>
    <row r="140" spans="1:8" x14ac:dyDescent="0.25">
      <c r="A140" s="3"/>
      <c r="B140" s="3"/>
      <c r="C140" s="3"/>
      <c r="D140" s="3"/>
      <c r="G140" s="14"/>
      <c r="H140" s="14"/>
    </row>
    <row r="141" spans="1:8" x14ac:dyDescent="0.25">
      <c r="A141" s="3"/>
      <c r="B141" s="3"/>
      <c r="C141" s="3"/>
      <c r="D141" s="3"/>
      <c r="G141" s="14"/>
      <c r="H141" s="14"/>
    </row>
    <row r="142" spans="1:8" x14ac:dyDescent="0.25">
      <c r="A142" s="3"/>
      <c r="B142" s="3"/>
      <c r="C142" s="3"/>
      <c r="D142" s="3"/>
      <c r="G142" s="14"/>
      <c r="H142" s="14"/>
    </row>
    <row r="143" spans="1:8" x14ac:dyDescent="0.25">
      <c r="A143" s="3"/>
      <c r="B143" s="3"/>
      <c r="C143" s="3"/>
      <c r="D143" s="3"/>
      <c r="G143" s="14"/>
      <c r="H143" s="14"/>
    </row>
    <row r="144" spans="1:8" x14ac:dyDescent="0.25">
      <c r="A144" s="3"/>
      <c r="B144" s="3"/>
      <c r="C144" s="3"/>
      <c r="D144" s="3"/>
      <c r="G144" s="14"/>
      <c r="H144" s="14"/>
    </row>
    <row r="145" spans="1:8" x14ac:dyDescent="0.25">
      <c r="A145" s="3"/>
      <c r="B145" s="3"/>
      <c r="C145" s="3"/>
      <c r="D145" s="3"/>
      <c r="G145" s="14"/>
      <c r="H145" s="14"/>
    </row>
    <row r="146" spans="1:8" x14ac:dyDescent="0.25">
      <c r="A146" s="3"/>
      <c r="B146" s="3"/>
      <c r="C146" s="3"/>
      <c r="D146" s="3"/>
      <c r="G146" s="14"/>
      <c r="H146" s="14"/>
    </row>
    <row r="147" spans="1:8" x14ac:dyDescent="0.25">
      <c r="A147" s="3"/>
      <c r="B147" s="3"/>
      <c r="C147" s="3"/>
      <c r="D147" s="3"/>
      <c r="G147" s="14"/>
      <c r="H147" s="14"/>
    </row>
    <row r="148" spans="1:8" x14ac:dyDescent="0.25">
      <c r="A148" s="3"/>
      <c r="B148" s="3"/>
      <c r="C148" s="3"/>
      <c r="D148" s="3"/>
      <c r="G148" s="14"/>
      <c r="H148" s="14"/>
    </row>
    <row r="149" spans="1:8" x14ac:dyDescent="0.25">
      <c r="A149" s="3"/>
      <c r="B149" s="3"/>
      <c r="C149" s="3"/>
      <c r="D149" s="3"/>
      <c r="G149" s="14"/>
      <c r="H149" s="14"/>
    </row>
    <row r="150" spans="1:8" x14ac:dyDescent="0.25">
      <c r="A150" s="3"/>
      <c r="B150" s="3"/>
      <c r="C150" s="3"/>
      <c r="D150" s="3"/>
      <c r="G150" s="14"/>
      <c r="H150" s="14"/>
    </row>
    <row r="151" spans="1:8" x14ac:dyDescent="0.25">
      <c r="A151" s="3"/>
      <c r="B151" s="3"/>
      <c r="C151" s="3"/>
      <c r="D151" s="3"/>
      <c r="G151" s="14"/>
      <c r="H151" s="14"/>
    </row>
    <row r="152" spans="1:8" x14ac:dyDescent="0.25">
      <c r="A152" s="3"/>
      <c r="B152" s="3"/>
      <c r="C152" s="3"/>
      <c r="D152" s="3"/>
      <c r="G152" s="14"/>
      <c r="H152" s="14"/>
    </row>
    <row r="153" spans="1:8" x14ac:dyDescent="0.25">
      <c r="A153" s="3"/>
      <c r="B153" s="3"/>
      <c r="C153" s="3"/>
      <c r="D153" s="3"/>
      <c r="G153" s="14"/>
      <c r="H153" s="14"/>
    </row>
    <row r="154" spans="1:8" x14ac:dyDescent="0.25">
      <c r="A154" s="3"/>
      <c r="B154" s="3"/>
      <c r="C154" s="3"/>
      <c r="D154" s="3"/>
      <c r="G154" s="14"/>
      <c r="H154" s="14"/>
    </row>
    <row r="155" spans="1:8" x14ac:dyDescent="0.25">
      <c r="A155" s="3"/>
      <c r="B155" s="3"/>
      <c r="C155" s="3"/>
      <c r="D155" s="3"/>
      <c r="G155" s="14"/>
      <c r="H155" s="14"/>
    </row>
    <row r="156" spans="1:8" x14ac:dyDescent="0.25">
      <c r="A156" s="3"/>
      <c r="B156" s="3"/>
      <c r="C156" s="3"/>
      <c r="D156" s="3"/>
      <c r="G156" s="14"/>
      <c r="H156" s="14"/>
    </row>
    <row r="157" spans="1:8" x14ac:dyDescent="0.25">
      <c r="A157" s="3"/>
      <c r="B157" s="3"/>
      <c r="C157" s="3"/>
      <c r="D157" s="3"/>
      <c r="G157" s="14"/>
      <c r="H157" s="14"/>
    </row>
    <row r="158" spans="1:8" x14ac:dyDescent="0.25">
      <c r="A158" s="3"/>
      <c r="B158" s="3"/>
      <c r="C158" s="3"/>
      <c r="D158" s="3"/>
      <c r="G158" s="14"/>
      <c r="H158" s="14"/>
    </row>
    <row r="159" spans="1:8" x14ac:dyDescent="0.25">
      <c r="A159" s="3"/>
      <c r="B159" s="3"/>
      <c r="C159" s="3"/>
      <c r="D159" s="3"/>
      <c r="G159" s="14"/>
      <c r="H159" s="14"/>
    </row>
    <row r="160" spans="1:8" x14ac:dyDescent="0.25">
      <c r="A160" s="3"/>
      <c r="B160" s="3"/>
      <c r="C160" s="3"/>
      <c r="D160" s="3"/>
      <c r="G160" s="14"/>
      <c r="H160" s="14"/>
    </row>
    <row r="161" spans="1:8" x14ac:dyDescent="0.25">
      <c r="A161" s="3"/>
      <c r="B161" s="3"/>
      <c r="C161" s="3"/>
      <c r="D161" s="3"/>
      <c r="G161" s="14"/>
      <c r="H161" s="14"/>
    </row>
    <row r="162" spans="1:8" x14ac:dyDescent="0.25">
      <c r="A162" s="3"/>
      <c r="B162" s="3"/>
      <c r="C162" s="3"/>
      <c r="D162" s="3"/>
      <c r="G162" s="14"/>
      <c r="H162" s="14"/>
    </row>
    <row r="163" spans="1:8" x14ac:dyDescent="0.25">
      <c r="A163" s="3"/>
      <c r="B163" s="3"/>
      <c r="C163" s="3"/>
      <c r="D163" s="3"/>
      <c r="G163" s="14"/>
      <c r="H163" s="14"/>
    </row>
    <row r="164" spans="1:8" x14ac:dyDescent="0.25">
      <c r="A164" s="3"/>
      <c r="B164" s="3"/>
      <c r="C164" s="3"/>
      <c r="D164" s="3"/>
      <c r="G164" s="14"/>
      <c r="H164" s="14"/>
    </row>
    <row r="165" spans="1:8" x14ac:dyDescent="0.25">
      <c r="A165" s="3"/>
      <c r="B165" s="3"/>
      <c r="C165" s="3"/>
      <c r="D165" s="3"/>
      <c r="G165" s="14"/>
      <c r="H165" s="14"/>
    </row>
    <row r="166" spans="1:8" x14ac:dyDescent="0.25">
      <c r="A166" s="3"/>
      <c r="B166" s="3"/>
      <c r="C166" s="3"/>
      <c r="D166" s="3"/>
      <c r="G166" s="14"/>
      <c r="H166" s="14"/>
    </row>
    <row r="167" spans="1:8" x14ac:dyDescent="0.25">
      <c r="A167" s="3"/>
      <c r="B167" s="3"/>
      <c r="C167" s="3"/>
      <c r="D167" s="3"/>
      <c r="G167" s="14"/>
      <c r="H167" s="14"/>
    </row>
    <row r="168" spans="1:8" x14ac:dyDescent="0.25">
      <c r="A168" s="3"/>
      <c r="B168" s="3"/>
      <c r="C168" s="3"/>
      <c r="D168" s="3"/>
      <c r="G168" s="14"/>
      <c r="H168" s="14"/>
    </row>
    <row r="169" spans="1:8" x14ac:dyDescent="0.25">
      <c r="A169" s="3"/>
      <c r="B169" s="3"/>
      <c r="C169" s="3"/>
      <c r="D169" s="3"/>
      <c r="G169" s="14"/>
      <c r="H169" s="14"/>
    </row>
    <row r="170" spans="1:8" x14ac:dyDescent="0.25">
      <c r="A170" s="3"/>
      <c r="B170" s="3"/>
      <c r="C170" s="3"/>
      <c r="D170" s="3"/>
      <c r="G170" s="14"/>
      <c r="H170" s="14"/>
    </row>
    <row r="171" spans="1:8" x14ac:dyDescent="0.25">
      <c r="A171" s="3"/>
      <c r="B171" s="3"/>
      <c r="C171" s="3"/>
      <c r="D171" s="3"/>
      <c r="G171" s="14"/>
      <c r="H171" s="14"/>
    </row>
    <row r="172" spans="1:8" x14ac:dyDescent="0.25">
      <c r="A172" s="3"/>
      <c r="B172" s="3"/>
      <c r="C172" s="3"/>
      <c r="D172" s="3"/>
      <c r="G172" s="14"/>
      <c r="H172" s="14"/>
    </row>
    <row r="173" spans="1:8" x14ac:dyDescent="0.25">
      <c r="A173" s="3"/>
      <c r="B173" s="3"/>
      <c r="C173" s="3"/>
      <c r="D173" s="3"/>
      <c r="G173" s="14"/>
      <c r="H173" s="14"/>
    </row>
    <row r="174" spans="1:8" x14ac:dyDescent="0.25">
      <c r="A174" s="3"/>
      <c r="B174" s="3"/>
      <c r="C174" s="3"/>
      <c r="D174" s="3"/>
      <c r="G174" s="14"/>
      <c r="H174" s="14"/>
    </row>
    <row r="175" spans="1:8" x14ac:dyDescent="0.25">
      <c r="A175" s="3"/>
      <c r="B175" s="3"/>
      <c r="C175" s="3"/>
      <c r="D175" s="3"/>
      <c r="G175" s="14"/>
      <c r="H175" s="14"/>
    </row>
    <row r="176" spans="1:8" x14ac:dyDescent="0.25">
      <c r="A176" s="3"/>
      <c r="B176" s="3"/>
      <c r="C176" s="3"/>
      <c r="D176" s="3"/>
      <c r="G176" s="14"/>
      <c r="H176" s="14"/>
    </row>
    <row r="177" spans="1:8" x14ac:dyDescent="0.25">
      <c r="A177" s="3"/>
      <c r="B177" s="3"/>
      <c r="C177" s="3"/>
      <c r="D177" s="3"/>
      <c r="G177" s="14"/>
      <c r="H177" s="14"/>
    </row>
    <row r="178" spans="1:8" x14ac:dyDescent="0.25">
      <c r="A178" s="3"/>
      <c r="B178" s="3"/>
      <c r="C178" s="3"/>
      <c r="D178" s="3"/>
      <c r="G178" s="14"/>
      <c r="H178" s="14"/>
    </row>
    <row r="179" spans="1:8" x14ac:dyDescent="0.25">
      <c r="A179" s="3"/>
      <c r="B179" s="3"/>
      <c r="C179" s="3"/>
      <c r="D179" s="3"/>
      <c r="G179" s="14"/>
      <c r="H179" s="14"/>
    </row>
    <row r="180" spans="1:8" x14ac:dyDescent="0.25">
      <c r="A180" s="3"/>
      <c r="B180" s="3"/>
      <c r="C180" s="3"/>
      <c r="D180" s="3"/>
      <c r="G180" s="14"/>
      <c r="H180" s="14"/>
    </row>
    <row r="181" spans="1:8" x14ac:dyDescent="0.25">
      <c r="A181" s="3"/>
      <c r="B181" s="3"/>
      <c r="C181" s="3"/>
      <c r="D181" s="3"/>
      <c r="G181" s="14"/>
      <c r="H181" s="14"/>
    </row>
    <row r="182" spans="1:8" x14ac:dyDescent="0.25">
      <c r="A182" s="3"/>
      <c r="B182" s="3"/>
      <c r="C182" s="3"/>
      <c r="D182" s="3"/>
      <c r="G182" s="14"/>
      <c r="H182" s="14"/>
    </row>
    <row r="183" spans="1:8" x14ac:dyDescent="0.25">
      <c r="A183" s="3"/>
      <c r="B183" s="3"/>
      <c r="C183" s="3"/>
      <c r="D183" s="3"/>
      <c r="G183" s="14"/>
      <c r="H183" s="14"/>
    </row>
    <row r="184" spans="1:8" x14ac:dyDescent="0.25">
      <c r="A184" s="3"/>
      <c r="B184" s="3"/>
      <c r="C184" s="3"/>
      <c r="D184" s="3"/>
      <c r="G184" s="14"/>
      <c r="H184" s="14"/>
    </row>
    <row r="185" spans="1:8" x14ac:dyDescent="0.25">
      <c r="A185" s="3"/>
      <c r="B185" s="3"/>
      <c r="C185" s="3"/>
      <c r="D185" s="3"/>
      <c r="G185" s="14"/>
      <c r="H185" s="14"/>
    </row>
    <row r="186" spans="1:8" x14ac:dyDescent="0.25">
      <c r="A186" s="3"/>
      <c r="B186" s="3"/>
      <c r="C186" s="3"/>
      <c r="D186" s="3"/>
      <c r="G186" s="14"/>
      <c r="H186" s="14"/>
    </row>
    <row r="187" spans="1:8" x14ac:dyDescent="0.25">
      <c r="A187" s="3"/>
      <c r="B187" s="3"/>
      <c r="C187" s="3"/>
      <c r="D187" s="3"/>
      <c r="G187" s="14"/>
      <c r="H187" s="14"/>
    </row>
    <row r="188" spans="1:8" x14ac:dyDescent="0.25">
      <c r="A188" s="3"/>
      <c r="B188" s="3"/>
      <c r="C188" s="3"/>
      <c r="D188" s="3"/>
      <c r="G188" s="14"/>
      <c r="H188" s="14"/>
    </row>
    <row r="189" spans="1:8" x14ac:dyDescent="0.25">
      <c r="A189" s="3"/>
      <c r="B189" s="3"/>
      <c r="C189" s="3"/>
      <c r="D189" s="3"/>
      <c r="G189" s="14"/>
      <c r="H189" s="14"/>
    </row>
    <row r="190" spans="1:8" x14ac:dyDescent="0.25">
      <c r="A190" s="3"/>
      <c r="B190" s="3"/>
      <c r="C190" s="3"/>
      <c r="D190" s="3"/>
      <c r="G190" s="14"/>
      <c r="H190" s="14"/>
    </row>
    <row r="191" spans="1:8" x14ac:dyDescent="0.25">
      <c r="A191" s="3"/>
      <c r="B191" s="3"/>
      <c r="C191" s="3"/>
      <c r="D191" s="3"/>
      <c r="G191" s="14"/>
      <c r="H191" s="14"/>
    </row>
    <row r="192" spans="1:8" x14ac:dyDescent="0.25">
      <c r="A192" s="3"/>
      <c r="B192" s="3"/>
      <c r="C192" s="3"/>
      <c r="D192" s="3"/>
      <c r="G192" s="14"/>
      <c r="H192" s="14"/>
    </row>
    <row r="193" spans="1:8" x14ac:dyDescent="0.25">
      <c r="A193" s="3"/>
      <c r="B193" s="3"/>
      <c r="C193" s="3"/>
      <c r="D193" s="3"/>
      <c r="G193" s="14"/>
      <c r="H193" s="14"/>
    </row>
    <row r="194" spans="1:8" x14ac:dyDescent="0.25">
      <c r="A194" s="3"/>
      <c r="B194" s="3"/>
      <c r="C194" s="3"/>
      <c r="D194" s="3"/>
      <c r="G194" s="14"/>
      <c r="H194" s="14"/>
    </row>
    <row r="195" spans="1:8" x14ac:dyDescent="0.25">
      <c r="A195" s="3"/>
      <c r="B195" s="3"/>
      <c r="C195" s="3"/>
      <c r="D195" s="3"/>
      <c r="G195" s="14"/>
      <c r="H195" s="14"/>
    </row>
    <row r="196" spans="1:8" x14ac:dyDescent="0.25">
      <c r="A196" s="3"/>
      <c r="B196" s="3"/>
      <c r="C196" s="3"/>
      <c r="D196" s="3"/>
      <c r="G196" s="14"/>
      <c r="H196" s="14"/>
    </row>
    <row r="197" spans="1:8" x14ac:dyDescent="0.25">
      <c r="A197" s="3"/>
      <c r="B197" s="3"/>
      <c r="C197" s="3"/>
      <c r="D197" s="3"/>
      <c r="G197" s="14"/>
      <c r="H197" s="14"/>
    </row>
    <row r="198" spans="1:8" x14ac:dyDescent="0.25">
      <c r="A198" s="3"/>
      <c r="B198" s="3"/>
      <c r="C198" s="3"/>
      <c r="D198" s="3"/>
      <c r="G198" s="14"/>
      <c r="H198" s="14"/>
    </row>
    <row r="199" spans="1:8" x14ac:dyDescent="0.25">
      <c r="A199" s="3"/>
      <c r="B199" s="3"/>
      <c r="C199" s="3"/>
      <c r="D199" s="3"/>
      <c r="G199" s="14"/>
      <c r="H199" s="14"/>
    </row>
    <row r="200" spans="1:8" x14ac:dyDescent="0.25">
      <c r="A200" s="3"/>
      <c r="B200" s="3"/>
      <c r="C200" s="3"/>
      <c r="D200" s="3"/>
      <c r="G200" s="14"/>
      <c r="H200" s="14"/>
    </row>
    <row r="201" spans="1:8" x14ac:dyDescent="0.25">
      <c r="A201" s="3"/>
      <c r="B201" s="3"/>
      <c r="C201" s="3"/>
      <c r="D201" s="3"/>
      <c r="G201" s="14"/>
      <c r="H201" s="14"/>
    </row>
    <row r="202" spans="1:8" x14ac:dyDescent="0.25">
      <c r="A202" s="3"/>
      <c r="B202" s="3"/>
      <c r="C202" s="3"/>
      <c r="D202" s="3"/>
      <c r="G202" s="14"/>
      <c r="H202" s="14"/>
    </row>
    <row r="203" spans="1:8" x14ac:dyDescent="0.25">
      <c r="A203" s="3"/>
      <c r="B203" s="3"/>
      <c r="C203" s="3"/>
      <c r="D203" s="3"/>
      <c r="G203" s="14"/>
      <c r="H203" s="14"/>
    </row>
    <row r="204" spans="1:8" x14ac:dyDescent="0.25">
      <c r="A204" s="3"/>
      <c r="B204" s="3"/>
      <c r="C204" s="3"/>
      <c r="D204" s="3"/>
      <c r="G204" s="14"/>
      <c r="H204" s="14"/>
    </row>
    <row r="205" spans="1:8" x14ac:dyDescent="0.25">
      <c r="A205" s="3"/>
      <c r="B205" s="3"/>
      <c r="C205" s="3"/>
      <c r="D205" s="3"/>
      <c r="G205" s="14"/>
      <c r="H205" s="14"/>
    </row>
    <row r="206" spans="1:8" x14ac:dyDescent="0.25">
      <c r="A206" s="3"/>
      <c r="B206" s="3"/>
      <c r="C206" s="3"/>
      <c r="D206" s="3"/>
      <c r="G206" s="14"/>
      <c r="H206" s="14"/>
    </row>
    <row r="207" spans="1:8" x14ac:dyDescent="0.25">
      <c r="A207" s="3"/>
      <c r="B207" s="3"/>
      <c r="C207" s="3"/>
      <c r="D207" s="3"/>
      <c r="G207" s="14"/>
      <c r="H207" s="14"/>
    </row>
    <row r="208" spans="1:8" x14ac:dyDescent="0.25">
      <c r="A208" s="3"/>
      <c r="B208" s="3"/>
      <c r="C208" s="3"/>
      <c r="D208" s="3"/>
      <c r="G208" s="14"/>
      <c r="H208" s="14"/>
    </row>
    <row r="209" spans="1:8" x14ac:dyDescent="0.25">
      <c r="A209" s="3"/>
      <c r="B209" s="3"/>
      <c r="C209" s="3"/>
      <c r="D209" s="3"/>
      <c r="G209" s="14"/>
      <c r="H209" s="14"/>
    </row>
    <row r="210" spans="1:8" x14ac:dyDescent="0.25">
      <c r="A210" s="3"/>
      <c r="B210" s="3"/>
      <c r="C210" s="3"/>
      <c r="D210" s="3"/>
      <c r="G210" s="14"/>
      <c r="H210" s="14"/>
    </row>
    <row r="211" spans="1:8" x14ac:dyDescent="0.25">
      <c r="A211" s="3"/>
      <c r="B211" s="3"/>
      <c r="C211" s="3"/>
      <c r="D211" s="3"/>
      <c r="G211" s="14"/>
      <c r="H211" s="14"/>
    </row>
    <row r="212" spans="1:8" x14ac:dyDescent="0.25">
      <c r="A212" s="3"/>
      <c r="B212" s="3"/>
      <c r="C212" s="3"/>
      <c r="D212" s="3"/>
      <c r="G212" s="14"/>
      <c r="H212" s="14"/>
    </row>
    <row r="213" spans="1:8" x14ac:dyDescent="0.25">
      <c r="A213" s="3"/>
      <c r="B213" s="3"/>
      <c r="C213" s="3"/>
      <c r="D213" s="3"/>
      <c r="G213" s="14"/>
      <c r="H213" s="14"/>
    </row>
    <row r="214" spans="1:8" x14ac:dyDescent="0.25">
      <c r="A214" s="3"/>
      <c r="B214" s="3"/>
      <c r="C214" s="3"/>
      <c r="D214" s="3"/>
      <c r="G214" s="14"/>
      <c r="H214" s="14"/>
    </row>
    <row r="215" spans="1:8" x14ac:dyDescent="0.25">
      <c r="A215" s="3"/>
      <c r="B215" s="3"/>
      <c r="C215" s="3"/>
      <c r="D215" s="3"/>
      <c r="G215" s="14"/>
      <c r="H215" s="14"/>
    </row>
    <row r="216" spans="1:8" x14ac:dyDescent="0.25">
      <c r="A216" s="3"/>
      <c r="B216" s="3"/>
      <c r="C216" s="3"/>
      <c r="D216" s="3"/>
      <c r="G216" s="14"/>
      <c r="H216" s="14"/>
    </row>
    <row r="217" spans="1:8" x14ac:dyDescent="0.25">
      <c r="A217" s="3"/>
      <c r="B217" s="3"/>
      <c r="C217" s="3"/>
      <c r="D217" s="3"/>
      <c r="G217" s="14"/>
      <c r="H217" s="14"/>
    </row>
    <row r="218" spans="1:8" x14ac:dyDescent="0.25">
      <c r="A218" s="3"/>
      <c r="B218" s="3"/>
      <c r="C218" s="3"/>
      <c r="D218" s="3"/>
      <c r="G218" s="14"/>
      <c r="H218" s="14"/>
    </row>
    <row r="219" spans="1:8" x14ac:dyDescent="0.25">
      <c r="A219" s="3"/>
      <c r="B219" s="3"/>
      <c r="C219" s="3"/>
      <c r="D219" s="3"/>
      <c r="G219" s="14"/>
      <c r="H219" s="14"/>
    </row>
    <row r="220" spans="1:8" x14ac:dyDescent="0.25">
      <c r="A220" s="3"/>
      <c r="B220" s="3"/>
      <c r="C220" s="3"/>
      <c r="D220" s="3"/>
      <c r="G220" s="14"/>
      <c r="H220" s="14"/>
    </row>
    <row r="221" spans="1:8" x14ac:dyDescent="0.25">
      <c r="A221" s="3"/>
      <c r="B221" s="3"/>
      <c r="C221" s="3"/>
      <c r="D221" s="3"/>
      <c r="G221" s="14"/>
      <c r="H221" s="14"/>
    </row>
    <row r="222" spans="1:8" x14ac:dyDescent="0.25">
      <c r="A222" s="3"/>
      <c r="B222" s="3"/>
      <c r="C222" s="3"/>
      <c r="D222" s="3"/>
      <c r="G222" s="14"/>
      <c r="H222" s="14"/>
    </row>
    <row r="223" spans="1:8" x14ac:dyDescent="0.25">
      <c r="A223" s="3"/>
      <c r="B223" s="3"/>
      <c r="C223" s="3"/>
      <c r="D223" s="3"/>
      <c r="G223" s="14"/>
      <c r="H223" s="14"/>
    </row>
    <row r="224" spans="1:8" x14ac:dyDescent="0.25">
      <c r="A224" s="3"/>
      <c r="B224" s="3"/>
      <c r="C224" s="3"/>
      <c r="D224" s="3"/>
      <c r="G224" s="14"/>
      <c r="H224" s="14"/>
    </row>
    <row r="225" spans="1:8" x14ac:dyDescent="0.25">
      <c r="A225" s="3"/>
      <c r="B225" s="3"/>
      <c r="C225" s="3"/>
      <c r="D225" s="3"/>
      <c r="G225" s="14"/>
      <c r="H225" s="14"/>
    </row>
    <row r="226" spans="1:8" x14ac:dyDescent="0.25">
      <c r="A226" s="3"/>
      <c r="B226" s="3"/>
      <c r="C226" s="3"/>
      <c r="D226" s="3"/>
      <c r="G226" s="14"/>
      <c r="H226" s="14"/>
    </row>
    <row r="227" spans="1:8" x14ac:dyDescent="0.25">
      <c r="A227" s="3"/>
      <c r="B227" s="3"/>
      <c r="C227" s="3"/>
      <c r="D227" s="3"/>
      <c r="G227" s="14"/>
      <c r="H227" s="14"/>
    </row>
    <row r="228" spans="1:8" x14ac:dyDescent="0.25">
      <c r="A228" s="3"/>
      <c r="B228" s="3"/>
      <c r="C228" s="3"/>
      <c r="D228" s="3"/>
      <c r="G228" s="14"/>
      <c r="H228" s="14"/>
    </row>
    <row r="229" spans="1:8" x14ac:dyDescent="0.25">
      <c r="A229" s="3"/>
      <c r="B229" s="3"/>
      <c r="C229" s="3"/>
      <c r="D229" s="3"/>
      <c r="G229" s="14"/>
      <c r="H229" s="14"/>
    </row>
    <row r="230" spans="1:8" x14ac:dyDescent="0.25">
      <c r="A230" s="3"/>
      <c r="B230" s="3"/>
      <c r="C230" s="3"/>
      <c r="D230" s="3"/>
      <c r="G230" s="14"/>
      <c r="H230" s="14"/>
    </row>
    <row r="231" spans="1:8" x14ac:dyDescent="0.25">
      <c r="A231" s="3"/>
      <c r="B231" s="3"/>
      <c r="C231" s="3"/>
      <c r="D231" s="3"/>
      <c r="G231" s="14"/>
      <c r="H231" s="14"/>
    </row>
    <row r="232" spans="1:8" x14ac:dyDescent="0.25">
      <c r="A232" s="3"/>
      <c r="B232" s="3"/>
      <c r="C232" s="3"/>
      <c r="D232" s="3"/>
      <c r="G232" s="14"/>
      <c r="H232" s="14"/>
    </row>
    <row r="233" spans="1:8" x14ac:dyDescent="0.25">
      <c r="A233" s="3"/>
      <c r="B233" s="3"/>
      <c r="C233" s="3"/>
      <c r="D233" s="3"/>
      <c r="G233" s="14"/>
      <c r="H233" s="14"/>
    </row>
    <row r="234" spans="1:8" x14ac:dyDescent="0.25">
      <c r="A234" s="3"/>
      <c r="B234" s="3"/>
      <c r="C234" s="3"/>
      <c r="D234" s="3"/>
      <c r="G234" s="14"/>
      <c r="H234" s="14"/>
    </row>
    <row r="235" spans="1:8" x14ac:dyDescent="0.25">
      <c r="A235" s="3"/>
      <c r="B235" s="3"/>
      <c r="C235" s="3"/>
      <c r="D235" s="3"/>
      <c r="G235" s="14"/>
      <c r="H235" s="14"/>
    </row>
    <row r="236" spans="1:8" x14ac:dyDescent="0.25">
      <c r="A236" s="3"/>
      <c r="B236" s="3"/>
      <c r="C236" s="3"/>
      <c r="D236" s="3"/>
      <c r="G236" s="14"/>
      <c r="H236" s="14"/>
    </row>
    <row r="237" spans="1:8" x14ac:dyDescent="0.25">
      <c r="A237" s="3"/>
      <c r="B237" s="3"/>
      <c r="C237" s="3"/>
      <c r="D237" s="3"/>
      <c r="G237" s="14"/>
      <c r="H237" s="14"/>
    </row>
    <row r="238" spans="1:8" x14ac:dyDescent="0.25">
      <c r="A238" s="3"/>
      <c r="B238" s="3"/>
      <c r="C238" s="3"/>
      <c r="D238" s="3"/>
      <c r="G238" s="14"/>
      <c r="H238" s="14"/>
    </row>
    <row r="239" spans="1:8" x14ac:dyDescent="0.25">
      <c r="A239" s="3"/>
      <c r="B239" s="3"/>
      <c r="C239" s="3"/>
      <c r="D239" s="3"/>
      <c r="G239" s="14"/>
      <c r="H239" s="14"/>
    </row>
    <row r="240" spans="1:8" x14ac:dyDescent="0.25">
      <c r="A240" s="3"/>
      <c r="B240" s="3"/>
      <c r="C240" s="3"/>
      <c r="D240" s="3"/>
      <c r="G240" s="14"/>
      <c r="H240" s="14"/>
    </row>
    <row r="241" spans="1:8" x14ac:dyDescent="0.25">
      <c r="A241" s="3"/>
      <c r="B241" s="3"/>
      <c r="C241" s="3"/>
      <c r="D241" s="3"/>
      <c r="G241" s="14"/>
      <c r="H241" s="14"/>
    </row>
    <row r="242" spans="1:8" x14ac:dyDescent="0.25">
      <c r="A242" s="3"/>
      <c r="B242" s="3"/>
      <c r="C242" s="3"/>
      <c r="D242" s="3"/>
      <c r="G242" s="14"/>
      <c r="H242" s="14"/>
    </row>
    <row r="243" spans="1:8" x14ac:dyDescent="0.25">
      <c r="A243" s="3"/>
      <c r="B243" s="3"/>
      <c r="C243" s="3"/>
      <c r="D243" s="3"/>
      <c r="G243" s="14"/>
      <c r="H243" s="14"/>
    </row>
    <row r="244" spans="1:8" x14ac:dyDescent="0.25">
      <c r="A244" s="3"/>
      <c r="B244" s="3"/>
      <c r="C244" s="3"/>
      <c r="D244" s="3"/>
      <c r="G244" s="14"/>
      <c r="H244" s="14"/>
    </row>
    <row r="245" spans="1:8" x14ac:dyDescent="0.25">
      <c r="A245" s="3"/>
      <c r="B245" s="3"/>
      <c r="C245" s="3"/>
      <c r="D245" s="3"/>
      <c r="G245" s="14"/>
      <c r="H245" s="14"/>
    </row>
    <row r="247" spans="1:8" x14ac:dyDescent="0.25">
      <c r="A247" s="3"/>
      <c r="G247" s="14"/>
      <c r="H247" s="14"/>
    </row>
  </sheetData>
  <phoneticPr fontId="1" type="noConversion"/>
  <pageMargins left="0.7" right="0.7" top="0.75" bottom="0.75" header="0.3" footer="0.3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8A38C7-F9CA-48EF-AB1E-AAA897E982D2}">
  <sheetPr/>
  <dimension ref="A1:I247"/>
  <sheetViews>
    <sheetView tabSelected="1" zoomScale="115" zoomScaleNormal="115" workbookViewId="0">
      <selection activeCell="A6" sqref="A6:H28"/>
    </sheetView>
  </sheetViews>
  <sheetFormatPr defaultRowHeight="15" x14ac:dyDescent="0.25"/>
  <cols>
    <col min="1" max="1" width="8.875" style="4" customWidth="1"/>
    <col min="2" max="3" width="15.125" style="4" customWidth="1"/>
    <col min="4" max="4" width="10.25" style="4" customWidth="1"/>
    <col min="5" max="5" width="12" style="13" customWidth="1"/>
    <col min="6" max="6" width="15" style="13" customWidth="1"/>
    <col min="7" max="7" width="13.875" customWidth="1"/>
    <col min="8" max="8" width="11.125" customWidth="1"/>
    <col min="11" max="12" width="15.125" customWidth="1"/>
    <col min="13" max="13" width="11.125" customWidth="1"/>
  </cols>
  <sheetData>
    <row r="1" spans="1:9" ht="14.25" x14ac:dyDescent="0.2">
      <c r="A1" s="2" t="s">
        <v>12</v>
      </c>
      <c r="B1" s="2" t="s">
        <v>4</v>
      </c>
      <c r="C1" s="2" t="s">
        <v>5</v>
      </c>
      <c r="D1" s="2" t="s">
        <v>13</v>
      </c>
      <c r="E1" s="2" t="s">
        <v>14</v>
      </c>
      <c r="F1" s="2" t="s">
        <v>15</v>
      </c>
      <c r="G1" s="2" t="s">
        <v>16</v>
      </c>
    </row>
    <row r="2" spans="1:9" x14ac:dyDescent="0.25">
      <c r="A2" s="12">
        <v>50</v>
      </c>
      <c r="B2" s="6">
        <v>113.4535554</v>
      </c>
      <c r="C2" s="9">
        <v>23.041672349999999</v>
      </c>
      <c r="D2" s="3">
        <v>1750</v>
      </c>
      <c r="E2" s="13">
        <v>1750</v>
      </c>
      <c r="F2" s="13">
        <v>5</v>
      </c>
      <c r="G2" s="19">
        <f>SUBTOTAL(2,A5:A250)</f>
        <v>12</v>
      </c>
    </row>
    <row r="3" spans="1:9" x14ac:dyDescent="0.25">
      <c r="A3" s="3"/>
      <c r="B3" s="3"/>
      <c r="C3" s="3"/>
      <c r="D3" s="3"/>
    </row>
    <row r="4" spans="1:9" ht="14.25" x14ac:dyDescent="0.2">
      <c r="A4" s="2" t="s">
        <v>0</v>
      </c>
      <c r="B4" s="2" t="s">
        <v>1</v>
      </c>
      <c r="C4" s="2" t="s">
        <v>2</v>
      </c>
      <c r="D4" s="2" t="s">
        <v>3</v>
      </c>
      <c r="E4" s="2" t="s">
        <v>7</v>
      </c>
      <c r="F4" s="2" t="s">
        <v>8</v>
      </c>
      <c r="G4" s="2" t="s">
        <v>13</v>
      </c>
      <c r="H4" s="2" t="s">
        <v>14</v>
      </c>
      <c r="I4" s="24" t="s">
        <v>20</v>
      </c>
    </row>
    <row r="5" spans="1:9" hidden="1" x14ac:dyDescent="0.25">
      <c r="A5" s="3">
        <v>678</v>
      </c>
      <c r="B5" s="3">
        <v>113.4527587</v>
      </c>
      <c r="C5" s="3">
        <v>23.039726030000001</v>
      </c>
      <c r="D5" s="3">
        <v>50</v>
      </c>
      <c r="E5" s="13">
        <f t="shared" ref="E5:E28" si="0">SQRT((B5-$B$2)^2+(C5-$C$2)^2)</f>
        <v>2.1030673865536256E-3</v>
      </c>
      <c r="F5" s="13">
        <f t="shared" ref="F5:F28" si="1">SQRT(1/E5)</f>
        <v>21.805869351348413</v>
      </c>
      <c r="G5" s="14">
        <f>F5/$F$30*$D$2</f>
        <v>303.62555148446978</v>
      </c>
      <c r="H5" s="14">
        <f>F5/$F$30*$E$2</f>
        <v>303.62555148446978</v>
      </c>
      <c r="I5" s="25" t="str">
        <f>IF(MOD(ROW()-1,2)=1,"选中","")</f>
        <v/>
      </c>
    </row>
    <row r="6" spans="1:9" x14ac:dyDescent="0.25">
      <c r="A6" s="3">
        <v>674</v>
      </c>
      <c r="B6" s="3">
        <v>113.4508064</v>
      </c>
      <c r="C6" s="3">
        <v>23.041587759999999</v>
      </c>
      <c r="D6" s="3">
        <v>50</v>
      </c>
      <c r="E6" s="13">
        <f t="shared" si="0"/>
        <v>2.7503011595221539E-3</v>
      </c>
      <c r="F6" s="13">
        <f t="shared" si="1"/>
        <v>19.068207709437342</v>
      </c>
      <c r="G6" s="14">
        <f>F6/$F$30*$D$2</f>
        <v>265.50627211018849</v>
      </c>
      <c r="H6" s="14">
        <f>F6/$F$30*$E$2</f>
        <v>265.50627211018849</v>
      </c>
      <c r="I6" s="25" t="str">
        <f t="shared" ref="I6:I28" si="2">IF(MOD(ROW()-1,2)=1,"选中","")</f>
        <v>选中</v>
      </c>
    </row>
    <row r="7" spans="1:9" hidden="1" x14ac:dyDescent="0.25">
      <c r="A7" s="3">
        <v>676</v>
      </c>
      <c r="B7" s="3">
        <v>113.4564187</v>
      </c>
      <c r="C7" s="3">
        <v>23.042034730000001</v>
      </c>
      <c r="D7" s="3">
        <v>50</v>
      </c>
      <c r="E7" s="13">
        <f t="shared" si="0"/>
        <v>2.8861403559787644E-3</v>
      </c>
      <c r="F7" s="13">
        <f t="shared" si="1"/>
        <v>18.614067149108958</v>
      </c>
      <c r="G7" s="14" t="e">
        <f>F7/$F$124*$D$2</f>
        <v>#DIV/0!</v>
      </c>
      <c r="H7" s="14" t="e">
        <f>F7/$F$124*$E$2</f>
        <v>#DIV/0!</v>
      </c>
      <c r="I7" s="25" t="str">
        <f t="shared" si="2"/>
        <v/>
      </c>
    </row>
    <row r="8" spans="1:9" x14ac:dyDescent="0.25">
      <c r="A8" s="3">
        <v>677</v>
      </c>
      <c r="B8" s="3">
        <v>113.4547342</v>
      </c>
      <c r="C8" s="3">
        <v>23.038580159999999</v>
      </c>
      <c r="D8" s="3">
        <v>50</v>
      </c>
      <c r="E8" s="13">
        <f t="shared" si="0"/>
        <v>3.3092610105753322E-3</v>
      </c>
      <c r="F8" s="13">
        <f t="shared" si="1"/>
        <v>17.383390599402468</v>
      </c>
      <c r="G8" s="14">
        <f>F8/$F$30*$D$2</f>
        <v>242.04683025339426</v>
      </c>
      <c r="H8" s="14">
        <f>F8/$F$30*$E$2</f>
        <v>242.04683025339426</v>
      </c>
      <c r="I8" s="25" t="str">
        <f t="shared" si="2"/>
        <v>选中</v>
      </c>
    </row>
    <row r="9" spans="1:9" hidden="1" x14ac:dyDescent="0.25">
      <c r="A9" s="3">
        <v>673</v>
      </c>
      <c r="B9" s="3">
        <v>113.45014759999999</v>
      </c>
      <c r="C9" s="3">
        <v>23.042761779999999</v>
      </c>
      <c r="D9" s="3">
        <v>50</v>
      </c>
      <c r="E9" s="13">
        <f t="shared" si="0"/>
        <v>3.5777029732686578E-3</v>
      </c>
      <c r="F9" s="13">
        <f t="shared" si="1"/>
        <v>16.71852115436846</v>
      </c>
      <c r="G9" s="14" t="e">
        <f>F9/$F$124*$D$2</f>
        <v>#DIV/0!</v>
      </c>
      <c r="H9" s="14" t="e">
        <f>F9/$F$124*$E$2</f>
        <v>#DIV/0!</v>
      </c>
      <c r="I9" s="25" t="str">
        <f t="shared" si="2"/>
        <v/>
      </c>
    </row>
    <row r="10" spans="1:9" x14ac:dyDescent="0.25">
      <c r="A10" s="3">
        <v>381</v>
      </c>
      <c r="B10" s="3">
        <v>113.4473765</v>
      </c>
      <c r="C10" s="3">
        <v>23.043986189999998</v>
      </c>
      <c r="D10" s="3">
        <v>50</v>
      </c>
      <c r="E10" s="13">
        <f t="shared" si="0"/>
        <v>6.5979285200381127E-3</v>
      </c>
      <c r="F10" s="13">
        <f t="shared" si="1"/>
        <v>12.311081231223</v>
      </c>
      <c r="G10" s="14">
        <f>F10/$F$30*$D$2</f>
        <v>171.41984884767018</v>
      </c>
      <c r="H10" s="14">
        <f>F10/$F$30*$E$2</f>
        <v>171.41984884767018</v>
      </c>
      <c r="I10" s="25" t="str">
        <f t="shared" si="2"/>
        <v>选中</v>
      </c>
    </row>
    <row r="11" spans="1:9" hidden="1" x14ac:dyDescent="0.25">
      <c r="A11" s="3">
        <v>385</v>
      </c>
      <c r="B11" s="3">
        <v>113.447198</v>
      </c>
      <c r="C11" s="3">
        <v>23.044037790000001</v>
      </c>
      <c r="D11" s="3">
        <v>50</v>
      </c>
      <c r="E11" s="13">
        <f t="shared" si="0"/>
        <v>6.7832028683796949E-3</v>
      </c>
      <c r="F11" s="13">
        <f t="shared" si="1"/>
        <v>12.141786640785684</v>
      </c>
      <c r="G11" s="14">
        <f>F11/$F$30*$D$2</f>
        <v>169.06258610539436</v>
      </c>
      <c r="H11" s="14">
        <f>F11/$F$30*$E$2</f>
        <v>169.06258610539436</v>
      </c>
      <c r="I11" s="25" t="str">
        <f t="shared" si="2"/>
        <v/>
      </c>
    </row>
    <row r="12" spans="1:9" x14ac:dyDescent="0.25">
      <c r="A12" s="3">
        <v>384</v>
      </c>
      <c r="B12" s="3">
        <v>113.4484911</v>
      </c>
      <c r="C12" s="3">
        <v>23.046730419999999</v>
      </c>
      <c r="D12" s="3">
        <v>50</v>
      </c>
      <c r="E12" s="13">
        <f t="shared" si="0"/>
        <v>7.1575978243341417E-3</v>
      </c>
      <c r="F12" s="13">
        <f t="shared" si="1"/>
        <v>11.819969443808006</v>
      </c>
      <c r="G12" s="14">
        <f>F12/$F$30*$D$2</f>
        <v>164.58159420660124</v>
      </c>
      <c r="H12" s="14">
        <f>F12/$F$30*$E$2</f>
        <v>164.58159420660124</v>
      </c>
      <c r="I12" s="25" t="str">
        <f t="shared" si="2"/>
        <v>选中</v>
      </c>
    </row>
    <row r="13" spans="1:9" hidden="1" x14ac:dyDescent="0.25">
      <c r="A13" s="3">
        <v>378</v>
      </c>
      <c r="B13" s="3">
        <v>113.4484229</v>
      </c>
      <c r="C13" s="3">
        <v>23.04681823</v>
      </c>
      <c r="D13" s="3">
        <v>50</v>
      </c>
      <c r="E13" s="13">
        <f t="shared" si="0"/>
        <v>7.2679183556522255E-3</v>
      </c>
      <c r="F13" s="13">
        <f t="shared" si="1"/>
        <v>11.729918104827982</v>
      </c>
      <c r="G13" s="14" t="e">
        <f>F13/$F$124*$D$2</f>
        <v>#DIV/0!</v>
      </c>
      <c r="H13" s="14" t="e">
        <f>F13/$F$124*$E$2</f>
        <v>#DIV/0!</v>
      </c>
      <c r="I13" s="25" t="str">
        <f t="shared" si="2"/>
        <v/>
      </c>
    </row>
    <row r="14" spans="1:9" x14ac:dyDescent="0.25">
      <c r="A14" s="3">
        <v>383</v>
      </c>
      <c r="B14" s="3">
        <v>113.4461644</v>
      </c>
      <c r="C14" s="3">
        <v>23.044705310000001</v>
      </c>
      <c r="D14" s="3">
        <v>50</v>
      </c>
      <c r="E14" s="13">
        <f t="shared" si="0"/>
        <v>7.9891005352035662E-3</v>
      </c>
      <c r="F14" s="13">
        <f t="shared" si="1"/>
        <v>11.187963911364392</v>
      </c>
      <c r="G14" s="14">
        <f>F14/$F$30*$D$2</f>
        <v>155.78153101088358</v>
      </c>
      <c r="H14" s="14">
        <f>F14/$F$30*$E$2</f>
        <v>155.78153101088358</v>
      </c>
      <c r="I14" s="25" t="str">
        <f t="shared" si="2"/>
        <v>选中</v>
      </c>
    </row>
    <row r="15" spans="1:9" hidden="1" x14ac:dyDescent="0.25">
      <c r="A15" s="3">
        <v>377</v>
      </c>
      <c r="B15" s="3">
        <v>113.446837</v>
      </c>
      <c r="C15" s="3">
        <v>23.046025159999999</v>
      </c>
      <c r="D15" s="3">
        <v>50</v>
      </c>
      <c r="E15" s="13">
        <f t="shared" si="0"/>
        <v>8.0052391254765883E-3</v>
      </c>
      <c r="F15" s="13">
        <f t="shared" si="1"/>
        <v>11.176680734438492</v>
      </c>
      <c r="G15" s="14" t="e">
        <f>F15/$F$124*$D$2</f>
        <v>#DIV/0!</v>
      </c>
      <c r="H15" s="14" t="e">
        <f>F15/$F$124*$E$2</f>
        <v>#DIV/0!</v>
      </c>
      <c r="I15" s="25" t="str">
        <f t="shared" si="2"/>
        <v/>
      </c>
    </row>
    <row r="16" spans="1:9" x14ac:dyDescent="0.25">
      <c r="A16" s="3">
        <v>379</v>
      </c>
      <c r="B16" s="3">
        <v>113.445599</v>
      </c>
      <c r="C16" s="3">
        <v>23.04502299</v>
      </c>
      <c r="D16" s="3">
        <v>50</v>
      </c>
      <c r="E16" s="13">
        <f t="shared" si="0"/>
        <v>8.6331390217908241E-3</v>
      </c>
      <c r="F16" s="13">
        <f t="shared" si="1"/>
        <v>10.762561167867604</v>
      </c>
      <c r="G16" s="14">
        <f>F16/$F$30*$D$2</f>
        <v>149.85821098561564</v>
      </c>
      <c r="H16" s="14">
        <f>F16/$F$30*$E$2</f>
        <v>149.85821098561564</v>
      </c>
      <c r="I16" s="25" t="str">
        <f t="shared" si="2"/>
        <v>选中</v>
      </c>
    </row>
    <row r="17" spans="1:9" hidden="1" x14ac:dyDescent="0.25">
      <c r="A17" s="3">
        <v>991</v>
      </c>
      <c r="B17" s="3">
        <v>113.45337790000001</v>
      </c>
      <c r="C17" s="3">
        <v>23.032106760000001</v>
      </c>
      <c r="D17" s="3">
        <v>50</v>
      </c>
      <c r="E17" s="13">
        <f t="shared" si="0"/>
        <v>9.5672367117183212E-3</v>
      </c>
      <c r="F17" s="13">
        <f t="shared" si="1"/>
        <v>10.223668056639985</v>
      </c>
      <c r="G17" s="14">
        <f>F17/$F$30*$D$2</f>
        <v>142.35464781868558</v>
      </c>
      <c r="H17" s="14">
        <f>F17/$F$30*$E$2</f>
        <v>142.35464781868558</v>
      </c>
      <c r="I17" s="25" t="str">
        <f t="shared" si="2"/>
        <v/>
      </c>
    </row>
    <row r="18" spans="1:9" x14ac:dyDescent="0.25">
      <c r="A18" s="3">
        <v>382</v>
      </c>
      <c r="B18" s="3">
        <v>113.44362030000001</v>
      </c>
      <c r="C18" s="3">
        <v>23.044886009999999</v>
      </c>
      <c r="D18" s="3">
        <v>50</v>
      </c>
      <c r="E18" s="13">
        <f t="shared" si="0"/>
        <v>1.044192619230077E-2</v>
      </c>
      <c r="F18" s="13">
        <f t="shared" si="1"/>
        <v>9.7861009266396035</v>
      </c>
      <c r="G18" s="14">
        <f>F18/$F$30*$D$2</f>
        <v>136.26195052617305</v>
      </c>
      <c r="H18" s="14">
        <f>F18/$F$30*$E$2</f>
        <v>136.26195052617305</v>
      </c>
      <c r="I18" s="25" t="str">
        <f t="shared" si="2"/>
        <v>选中</v>
      </c>
    </row>
    <row r="19" spans="1:9" hidden="1" x14ac:dyDescent="0.25">
      <c r="A19" s="3">
        <v>989</v>
      </c>
      <c r="B19" s="3">
        <v>113.4581012</v>
      </c>
      <c r="C19" s="3">
        <v>23.031869230000002</v>
      </c>
      <c r="D19" s="3">
        <v>50</v>
      </c>
      <c r="E19" s="13">
        <f t="shared" si="0"/>
        <v>1.0805806743338012E-2</v>
      </c>
      <c r="F19" s="13">
        <f t="shared" si="1"/>
        <v>9.6199187044395167</v>
      </c>
      <c r="G19" s="14" t="e">
        <f>F19/$F$124*$D$2</f>
        <v>#DIV/0!</v>
      </c>
      <c r="H19" s="14" t="e">
        <f>F19/$F$124*$E$2</f>
        <v>#DIV/0!</v>
      </c>
      <c r="I19" s="25" t="str">
        <f t="shared" si="2"/>
        <v/>
      </c>
    </row>
    <row r="20" spans="1:9" x14ac:dyDescent="0.25">
      <c r="A20" s="3">
        <v>675</v>
      </c>
      <c r="B20" s="3">
        <v>113.4426634</v>
      </c>
      <c r="C20" s="3">
        <v>23.040351050000002</v>
      </c>
      <c r="D20" s="3">
        <v>50</v>
      </c>
      <c r="E20" s="13">
        <f t="shared" si="0"/>
        <v>1.0971850240044137E-2</v>
      </c>
      <c r="F20" s="13">
        <f t="shared" si="1"/>
        <v>9.5468492409485819</v>
      </c>
      <c r="G20" s="14">
        <f>F20/$F$30*$D$2</f>
        <v>132.93060317922431</v>
      </c>
      <c r="H20" s="14">
        <f>F20/$F$30*$E$2</f>
        <v>132.93060317922431</v>
      </c>
      <c r="I20" s="25" t="str">
        <f t="shared" si="2"/>
        <v>选中</v>
      </c>
    </row>
    <row r="21" spans="1:9" hidden="1" x14ac:dyDescent="0.25">
      <c r="A21" s="3">
        <v>380</v>
      </c>
      <c r="B21" s="3">
        <v>113.44295270000001</v>
      </c>
      <c r="C21" s="3">
        <v>23.045246519999999</v>
      </c>
      <c r="D21" s="3">
        <v>50</v>
      </c>
      <c r="E21" s="13">
        <f t="shared" si="0"/>
        <v>1.1188920344642096E-2</v>
      </c>
      <c r="F21" s="13">
        <f t="shared" si="1"/>
        <v>9.4537890860579221</v>
      </c>
      <c r="G21" s="14" t="e">
        <f>F21/$F$124*$D$2</f>
        <v>#DIV/0!</v>
      </c>
      <c r="H21" s="14" t="e">
        <f>F21/$F$124*$E$2</f>
        <v>#DIV/0!</v>
      </c>
      <c r="I21" s="25" t="str">
        <f t="shared" si="2"/>
        <v/>
      </c>
    </row>
    <row r="22" spans="1:9" x14ac:dyDescent="0.25">
      <c r="A22" s="3">
        <v>386</v>
      </c>
      <c r="B22" s="3">
        <v>113.4481459</v>
      </c>
      <c r="C22" s="3">
        <v>23.051858469999999</v>
      </c>
      <c r="D22" s="3">
        <v>50</v>
      </c>
      <c r="E22" s="13">
        <f t="shared" si="0"/>
        <v>1.1533418006141653E-2</v>
      </c>
      <c r="F22" s="13">
        <f t="shared" si="1"/>
        <v>9.3115286480922048</v>
      </c>
      <c r="G22" s="14">
        <f>F22/$F$30*$D$2</f>
        <v>129.65399248187313</v>
      </c>
      <c r="H22" s="14">
        <f>F22/$F$30*$E$2</f>
        <v>129.65399248187313</v>
      </c>
      <c r="I22" s="25" t="str">
        <f t="shared" si="2"/>
        <v>选中</v>
      </c>
    </row>
    <row r="23" spans="1:9" hidden="1" x14ac:dyDescent="0.25">
      <c r="A23" s="3">
        <v>990</v>
      </c>
      <c r="B23" s="3">
        <v>113.4567316</v>
      </c>
      <c r="C23" s="3">
        <v>23.026916</v>
      </c>
      <c r="D23" s="3">
        <v>50</v>
      </c>
      <c r="E23" s="13">
        <f t="shared" si="0"/>
        <v>1.5094307263417591E-2</v>
      </c>
      <c r="F23" s="13">
        <f t="shared" si="1"/>
        <v>8.1394190226920191</v>
      </c>
      <c r="G23" s="14">
        <f>F23/$F$30*$D$2</f>
        <v>113.33350437483145</v>
      </c>
      <c r="H23" s="14">
        <f>F23/$F$30*$E$2</f>
        <v>113.33350437483145</v>
      </c>
      <c r="I23" s="25" t="str">
        <f t="shared" si="2"/>
        <v/>
      </c>
    </row>
    <row r="24" spans="1:9" x14ac:dyDescent="0.25">
      <c r="A24" s="3">
        <v>988</v>
      </c>
      <c r="B24" s="3">
        <v>113.4578298</v>
      </c>
      <c r="C24" s="3">
        <v>23.026129040000001</v>
      </c>
      <c r="D24" s="3">
        <v>50</v>
      </c>
      <c r="E24" s="13">
        <f t="shared" si="0"/>
        <v>1.6120328195047495E-2</v>
      </c>
      <c r="F24" s="13">
        <f t="shared" si="1"/>
        <v>7.8761333459944547</v>
      </c>
      <c r="G24" s="14">
        <f>F24/$F$30*$D$2</f>
        <v>109.66750704644167</v>
      </c>
      <c r="H24" s="14">
        <f>F24/$F$30*$E$2</f>
        <v>109.66750704644167</v>
      </c>
      <c r="I24" s="25" t="str">
        <f t="shared" si="2"/>
        <v>选中</v>
      </c>
    </row>
    <row r="25" spans="1:9" hidden="1" x14ac:dyDescent="0.25">
      <c r="A25" s="3">
        <v>1</v>
      </c>
      <c r="B25" s="3">
        <v>113.4450677</v>
      </c>
      <c r="C25" s="3">
        <v>23.060023470000001</v>
      </c>
      <c r="D25" s="3">
        <v>50</v>
      </c>
      <c r="E25" s="13">
        <f t="shared" si="0"/>
        <v>2.0218918283244763E-2</v>
      </c>
      <c r="F25" s="13">
        <f t="shared" si="1"/>
        <v>7.0326829930373185</v>
      </c>
      <c r="G25" s="14" t="e">
        <f>F25/$F$124*$D$2</f>
        <v>#DIV/0!</v>
      </c>
      <c r="H25" s="14" t="e">
        <f>F25/$F$124*$E$2</f>
        <v>#DIV/0!</v>
      </c>
      <c r="I25" s="25" t="str">
        <f t="shared" si="2"/>
        <v/>
      </c>
    </row>
    <row r="26" spans="1:9" x14ac:dyDescent="0.25">
      <c r="A26" s="3">
        <v>8</v>
      </c>
      <c r="B26" s="3">
        <v>113.4639773</v>
      </c>
      <c r="C26" s="3">
        <v>23.021436749999999</v>
      </c>
      <c r="D26" s="3">
        <v>50</v>
      </c>
      <c r="E26" s="13">
        <f t="shared" si="0"/>
        <v>2.2761711424449615E-2</v>
      </c>
      <c r="F26" s="13">
        <f t="shared" si="1"/>
        <v>6.6282295946702483</v>
      </c>
      <c r="G26" s="14">
        <f>F26/$F$30*$D$2</f>
        <v>92.291659351934555</v>
      </c>
      <c r="H26" s="14">
        <f>F26/$F$30*$E$2</f>
        <v>92.291659351934555</v>
      </c>
      <c r="I26" s="25" t="str">
        <f t="shared" si="2"/>
        <v>选中</v>
      </c>
    </row>
    <row r="27" spans="1:9" hidden="1" x14ac:dyDescent="0.25">
      <c r="A27" s="3">
        <v>2</v>
      </c>
      <c r="B27" s="3">
        <v>113.4856102</v>
      </c>
      <c r="C27" s="3">
        <v>23.053327289999999</v>
      </c>
      <c r="D27" s="3">
        <v>50</v>
      </c>
      <c r="E27" s="13">
        <f t="shared" si="0"/>
        <v>3.4107885150554629E-2</v>
      </c>
      <c r="F27" s="13">
        <f t="shared" si="1"/>
        <v>5.4146776124942964</v>
      </c>
      <c r="G27" s="14" t="e">
        <f>F27/$F$124*$D$2</f>
        <v>#DIV/0!</v>
      </c>
      <c r="H27" s="14" t="e">
        <f>F27/$F$124*$E$2</f>
        <v>#DIV/0!</v>
      </c>
      <c r="I27" s="25" t="str">
        <f t="shared" si="2"/>
        <v/>
      </c>
    </row>
    <row r="28" spans="1:9" x14ac:dyDescent="0.25">
      <c r="A28" s="3">
        <v>387</v>
      </c>
      <c r="B28" s="3">
        <v>113.4922961</v>
      </c>
      <c r="C28" s="3">
        <v>23.043969329999999</v>
      </c>
      <c r="D28" s="3">
        <v>50</v>
      </c>
      <c r="E28" s="13">
        <f t="shared" si="0"/>
        <v>3.8808735532233109E-2</v>
      </c>
      <c r="F28" s="13">
        <f t="shared" si="1"/>
        <v>5.0761594280042699</v>
      </c>
      <c r="G28" s="14">
        <f>F28/$F$30*$D$2</f>
        <v>70.680589749364003</v>
      </c>
      <c r="H28" s="14">
        <f>F28/$F$30*$E$2</f>
        <v>70.680589749364003</v>
      </c>
      <c r="I28" s="25" t="str">
        <f t="shared" si="2"/>
        <v>选中</v>
      </c>
    </row>
    <row r="29" spans="1:9" x14ac:dyDescent="0.25">
      <c r="A29" s="3"/>
      <c r="B29" s="3"/>
      <c r="C29" s="3"/>
      <c r="D29" s="3"/>
      <c r="G29" s="14"/>
      <c r="H29" s="14"/>
    </row>
    <row r="30" spans="1:9" x14ac:dyDescent="0.25">
      <c r="A30" s="3"/>
      <c r="B30" s="3"/>
      <c r="C30" s="3"/>
      <c r="D30" s="3"/>
      <c r="F30" s="13">
        <f>SUBTOTAL(9,F5:F26)</f>
        <v>125.6820158194479</v>
      </c>
      <c r="G30" s="13">
        <f>SUBTOTAL(9,G5:G26)</f>
        <v>1750</v>
      </c>
      <c r="H30" s="13">
        <f>SUBTOTAL(9,H5:H26)</f>
        <v>1750</v>
      </c>
    </row>
    <row r="31" spans="1:9" x14ac:dyDescent="0.25">
      <c r="A31" s="3"/>
      <c r="B31" s="3"/>
      <c r="C31" s="3"/>
      <c r="D31" s="3"/>
      <c r="G31" s="14"/>
      <c r="H31" s="14"/>
    </row>
    <row r="32" spans="1:9" x14ac:dyDescent="0.25">
      <c r="A32" s="3"/>
      <c r="B32" s="3"/>
      <c r="C32" s="3"/>
      <c r="D32" s="3"/>
      <c r="G32" s="14"/>
      <c r="H32" s="14"/>
    </row>
    <row r="33" spans="1:8" x14ac:dyDescent="0.25">
      <c r="A33" s="3"/>
      <c r="B33" s="3"/>
      <c r="C33" s="3"/>
      <c r="D33" s="3"/>
      <c r="G33" s="14"/>
      <c r="H33" s="14"/>
    </row>
    <row r="34" spans="1:8" x14ac:dyDescent="0.25">
      <c r="A34" s="3"/>
      <c r="B34" s="3"/>
      <c r="C34" s="3"/>
      <c r="D34" s="3"/>
      <c r="G34" s="14"/>
      <c r="H34" s="14"/>
    </row>
    <row r="35" spans="1:8" x14ac:dyDescent="0.25">
      <c r="A35" s="3"/>
      <c r="B35" s="3"/>
      <c r="C35" s="3"/>
      <c r="D35" s="3"/>
      <c r="G35" s="14"/>
      <c r="H35" s="14"/>
    </row>
    <row r="36" spans="1:8" x14ac:dyDescent="0.25">
      <c r="A36" s="3"/>
      <c r="B36" s="3"/>
      <c r="C36" s="3"/>
      <c r="D36" s="3"/>
      <c r="G36" s="14"/>
      <c r="H36" s="14"/>
    </row>
    <row r="37" spans="1:8" x14ac:dyDescent="0.25">
      <c r="A37" s="3"/>
      <c r="B37" s="3"/>
      <c r="C37" s="3"/>
      <c r="D37" s="3"/>
      <c r="G37" s="14"/>
      <c r="H37" s="14"/>
    </row>
    <row r="38" spans="1:8" x14ac:dyDescent="0.25">
      <c r="A38" s="3"/>
      <c r="B38" s="3"/>
      <c r="C38" s="3"/>
      <c r="D38" s="3"/>
      <c r="G38" s="14"/>
      <c r="H38" s="14"/>
    </row>
    <row r="39" spans="1:8" x14ac:dyDescent="0.25">
      <c r="A39" s="3"/>
      <c r="B39" s="3"/>
      <c r="C39" s="3"/>
      <c r="D39" s="3"/>
      <c r="G39" s="14"/>
      <c r="H39" s="14"/>
    </row>
    <row r="40" spans="1:8" x14ac:dyDescent="0.25">
      <c r="A40" s="3"/>
      <c r="B40" s="3"/>
      <c r="C40" s="3"/>
      <c r="D40" s="3"/>
      <c r="G40" s="14"/>
      <c r="H40" s="14"/>
    </row>
    <row r="41" spans="1:8" x14ac:dyDescent="0.25">
      <c r="A41" s="3"/>
      <c r="B41" s="3"/>
      <c r="C41" s="3"/>
      <c r="D41" s="3"/>
      <c r="G41" s="14"/>
      <c r="H41" s="14"/>
    </row>
    <row r="42" spans="1:8" x14ac:dyDescent="0.25">
      <c r="A42" s="3"/>
      <c r="B42" s="3"/>
      <c r="C42" s="3"/>
      <c r="D42" s="3"/>
      <c r="G42" s="14"/>
      <c r="H42" s="14"/>
    </row>
    <row r="43" spans="1:8" x14ac:dyDescent="0.25">
      <c r="A43" s="3"/>
      <c r="B43" s="3"/>
      <c r="C43" s="3"/>
      <c r="D43" s="3"/>
      <c r="G43" s="14"/>
      <c r="H43" s="14"/>
    </row>
    <row r="44" spans="1:8" x14ac:dyDescent="0.25">
      <c r="A44" s="3"/>
      <c r="B44" s="3"/>
      <c r="C44" s="3"/>
      <c r="D44" s="3"/>
      <c r="G44" s="14"/>
      <c r="H44" s="14"/>
    </row>
    <row r="45" spans="1:8" x14ac:dyDescent="0.25">
      <c r="A45" s="3"/>
      <c r="B45" s="3"/>
      <c r="C45" s="3"/>
      <c r="D45" s="3"/>
      <c r="G45" s="14"/>
      <c r="H45" s="14"/>
    </row>
    <row r="46" spans="1:8" x14ac:dyDescent="0.25">
      <c r="A46" s="3"/>
      <c r="B46" s="3"/>
      <c r="C46" s="3"/>
      <c r="D46" s="3"/>
      <c r="G46" s="14"/>
      <c r="H46" s="14"/>
    </row>
    <row r="47" spans="1:8" x14ac:dyDescent="0.25">
      <c r="A47" s="3"/>
      <c r="B47" s="3"/>
      <c r="C47" s="3"/>
      <c r="D47" s="3"/>
      <c r="G47" s="14"/>
      <c r="H47" s="14"/>
    </row>
    <row r="48" spans="1:8" x14ac:dyDescent="0.25">
      <c r="A48" s="3"/>
      <c r="B48" s="3"/>
      <c r="C48" s="3"/>
      <c r="D48" s="3"/>
      <c r="G48" s="14"/>
      <c r="H48" s="14"/>
    </row>
    <row r="49" spans="1:8" x14ac:dyDescent="0.25">
      <c r="A49" s="3"/>
      <c r="B49" s="3"/>
      <c r="C49" s="3"/>
      <c r="D49" s="3"/>
      <c r="G49" s="14"/>
      <c r="H49" s="14"/>
    </row>
    <row r="50" spans="1:8" x14ac:dyDescent="0.25">
      <c r="A50" s="3"/>
      <c r="B50" s="3"/>
      <c r="C50" s="3"/>
      <c r="D50" s="3"/>
      <c r="G50" s="14"/>
      <c r="H50" s="14"/>
    </row>
    <row r="51" spans="1:8" x14ac:dyDescent="0.25">
      <c r="A51" s="3"/>
      <c r="B51" s="3"/>
      <c r="C51" s="3"/>
      <c r="D51" s="3"/>
      <c r="G51" s="14"/>
      <c r="H51" s="14"/>
    </row>
    <row r="52" spans="1:8" x14ac:dyDescent="0.25">
      <c r="A52" s="3"/>
      <c r="B52" s="3"/>
      <c r="C52" s="3"/>
      <c r="D52" s="3"/>
      <c r="G52" s="14"/>
      <c r="H52" s="14"/>
    </row>
    <row r="53" spans="1:8" x14ac:dyDescent="0.25">
      <c r="A53" s="3"/>
      <c r="B53" s="3"/>
      <c r="C53" s="3"/>
      <c r="D53" s="3"/>
      <c r="G53" s="14"/>
      <c r="H53" s="14"/>
    </row>
    <row r="54" spans="1:8" x14ac:dyDescent="0.25">
      <c r="A54" s="3"/>
      <c r="B54" s="3"/>
      <c r="C54" s="3"/>
      <c r="D54" s="3"/>
      <c r="G54" s="14"/>
      <c r="H54" s="14"/>
    </row>
    <row r="55" spans="1:8" x14ac:dyDescent="0.25">
      <c r="A55" s="3"/>
      <c r="B55" s="3"/>
      <c r="C55" s="3"/>
      <c r="D55" s="3"/>
      <c r="G55" s="14"/>
      <c r="H55" s="14"/>
    </row>
    <row r="56" spans="1:8" x14ac:dyDescent="0.25">
      <c r="A56" s="3"/>
      <c r="B56" s="3"/>
      <c r="C56" s="3"/>
      <c r="D56" s="3"/>
      <c r="G56" s="14"/>
      <c r="H56" s="14"/>
    </row>
    <row r="57" spans="1:8" x14ac:dyDescent="0.25">
      <c r="A57" s="3"/>
      <c r="B57" s="3"/>
      <c r="C57" s="3"/>
      <c r="D57" s="3"/>
      <c r="G57" s="14"/>
      <c r="H57" s="14"/>
    </row>
    <row r="58" spans="1:8" x14ac:dyDescent="0.25">
      <c r="A58" s="3"/>
      <c r="B58" s="3"/>
      <c r="C58" s="3"/>
      <c r="D58" s="3"/>
      <c r="G58" s="14"/>
      <c r="H58" s="14"/>
    </row>
    <row r="59" spans="1:8" x14ac:dyDescent="0.25">
      <c r="A59" s="3"/>
      <c r="B59" s="3"/>
      <c r="C59" s="3"/>
      <c r="D59" s="3"/>
      <c r="G59" s="14"/>
      <c r="H59" s="14"/>
    </row>
    <row r="60" spans="1:8" x14ac:dyDescent="0.25">
      <c r="A60" s="3"/>
      <c r="B60" s="3"/>
      <c r="C60" s="3"/>
      <c r="D60" s="3"/>
      <c r="G60" s="14"/>
      <c r="H60" s="14"/>
    </row>
    <row r="61" spans="1:8" x14ac:dyDescent="0.25">
      <c r="A61" s="3"/>
      <c r="B61" s="3"/>
      <c r="C61" s="3"/>
      <c r="D61" s="3"/>
      <c r="G61" s="14"/>
      <c r="H61" s="14"/>
    </row>
    <row r="62" spans="1:8" x14ac:dyDescent="0.25">
      <c r="A62" s="3"/>
      <c r="B62" s="3"/>
      <c r="C62" s="3"/>
      <c r="D62" s="3"/>
      <c r="G62" s="14"/>
      <c r="H62" s="14"/>
    </row>
    <row r="63" spans="1:8" x14ac:dyDescent="0.25">
      <c r="A63" s="3"/>
      <c r="B63" s="3"/>
      <c r="C63" s="3"/>
      <c r="D63" s="3"/>
      <c r="G63" s="14"/>
      <c r="H63" s="14"/>
    </row>
    <row r="64" spans="1:8" x14ac:dyDescent="0.25">
      <c r="A64" s="3"/>
      <c r="B64" s="3"/>
      <c r="C64" s="3"/>
      <c r="D64" s="3"/>
      <c r="G64" s="14"/>
      <c r="H64" s="14"/>
    </row>
    <row r="65" spans="1:8" x14ac:dyDescent="0.25">
      <c r="A65" s="3"/>
      <c r="B65" s="3"/>
      <c r="C65" s="3"/>
      <c r="D65" s="3"/>
      <c r="G65" s="14"/>
      <c r="H65" s="14"/>
    </row>
    <row r="66" spans="1:8" x14ac:dyDescent="0.25">
      <c r="A66" s="3"/>
      <c r="B66" s="3"/>
      <c r="C66" s="3"/>
      <c r="D66" s="3"/>
      <c r="G66" s="14"/>
      <c r="H66" s="14"/>
    </row>
    <row r="67" spans="1:8" x14ac:dyDescent="0.25">
      <c r="A67" s="3"/>
      <c r="B67" s="3"/>
      <c r="C67" s="3"/>
      <c r="D67" s="3"/>
      <c r="G67" s="14"/>
      <c r="H67" s="14"/>
    </row>
    <row r="68" spans="1:8" x14ac:dyDescent="0.25">
      <c r="A68" s="3"/>
      <c r="B68" s="3"/>
      <c r="C68" s="3"/>
      <c r="D68" s="3"/>
      <c r="G68" s="14"/>
      <c r="H68" s="14"/>
    </row>
    <row r="69" spans="1:8" x14ac:dyDescent="0.25">
      <c r="A69" s="3"/>
      <c r="B69" s="3"/>
      <c r="C69" s="3"/>
      <c r="D69" s="3"/>
      <c r="G69" s="14"/>
      <c r="H69" s="14"/>
    </row>
    <row r="70" spans="1:8" x14ac:dyDescent="0.25">
      <c r="A70" s="3"/>
      <c r="B70" s="3"/>
      <c r="C70" s="3"/>
      <c r="D70" s="3"/>
      <c r="G70" s="14"/>
      <c r="H70" s="14"/>
    </row>
    <row r="71" spans="1:8" x14ac:dyDescent="0.25">
      <c r="A71" s="3"/>
      <c r="B71" s="3"/>
      <c r="C71" s="3"/>
      <c r="D71" s="3"/>
      <c r="G71" s="14"/>
      <c r="H71" s="14"/>
    </row>
    <row r="72" spans="1:8" x14ac:dyDescent="0.25">
      <c r="A72" s="3"/>
      <c r="B72" s="3"/>
      <c r="C72" s="3"/>
      <c r="D72" s="3"/>
      <c r="G72" s="14"/>
      <c r="H72" s="14"/>
    </row>
    <row r="73" spans="1:8" x14ac:dyDescent="0.25">
      <c r="A73" s="3"/>
      <c r="B73" s="3"/>
      <c r="C73" s="3"/>
      <c r="D73" s="3"/>
      <c r="G73" s="14"/>
      <c r="H73" s="14"/>
    </row>
    <row r="74" spans="1:8" x14ac:dyDescent="0.25">
      <c r="A74" s="3"/>
      <c r="B74" s="3"/>
      <c r="C74" s="3"/>
      <c r="D74" s="3"/>
      <c r="G74" s="14"/>
      <c r="H74" s="14"/>
    </row>
    <row r="75" spans="1:8" x14ac:dyDescent="0.25">
      <c r="A75" s="3"/>
      <c r="B75" s="3"/>
      <c r="C75" s="3"/>
      <c r="D75" s="3"/>
      <c r="G75" s="14"/>
      <c r="H75" s="14"/>
    </row>
    <row r="76" spans="1:8" x14ac:dyDescent="0.25">
      <c r="A76" s="3"/>
      <c r="B76" s="3"/>
      <c r="C76" s="3"/>
      <c r="D76" s="3"/>
      <c r="G76" s="14"/>
      <c r="H76" s="14"/>
    </row>
    <row r="77" spans="1:8" x14ac:dyDescent="0.25">
      <c r="A77" s="3"/>
      <c r="B77" s="3"/>
      <c r="C77" s="3"/>
      <c r="D77" s="3"/>
      <c r="G77" s="14"/>
      <c r="H77" s="14"/>
    </row>
    <row r="78" spans="1:8" x14ac:dyDescent="0.25">
      <c r="A78" s="3"/>
      <c r="B78" s="3"/>
      <c r="C78" s="3"/>
      <c r="D78" s="3"/>
      <c r="G78" s="14"/>
      <c r="H78" s="14"/>
    </row>
    <row r="79" spans="1:8" x14ac:dyDescent="0.25">
      <c r="A79" s="3"/>
      <c r="B79" s="3"/>
      <c r="C79" s="3"/>
      <c r="D79" s="3"/>
      <c r="G79" s="14"/>
      <c r="H79" s="14"/>
    </row>
    <row r="80" spans="1:8" x14ac:dyDescent="0.25">
      <c r="A80" s="3"/>
      <c r="B80" s="3"/>
      <c r="C80" s="3"/>
      <c r="D80" s="3"/>
      <c r="G80" s="14"/>
      <c r="H80" s="14"/>
    </row>
    <row r="81" spans="1:8" x14ac:dyDescent="0.25">
      <c r="A81" s="3"/>
      <c r="B81" s="3"/>
      <c r="C81" s="3"/>
      <c r="D81" s="3"/>
      <c r="G81" s="14"/>
      <c r="H81" s="14"/>
    </row>
    <row r="82" spans="1:8" x14ac:dyDescent="0.25">
      <c r="A82" s="3"/>
      <c r="B82" s="3"/>
      <c r="C82" s="3"/>
      <c r="D82" s="3"/>
      <c r="G82" s="14"/>
      <c r="H82" s="14"/>
    </row>
    <row r="83" spans="1:8" x14ac:dyDescent="0.25">
      <c r="A83" s="3"/>
      <c r="B83" s="3"/>
      <c r="C83" s="3"/>
      <c r="D83" s="3"/>
      <c r="G83" s="14"/>
      <c r="H83" s="14"/>
    </row>
    <row r="84" spans="1:8" x14ac:dyDescent="0.25">
      <c r="A84" s="3"/>
      <c r="B84" s="3"/>
      <c r="C84" s="3"/>
      <c r="D84" s="3"/>
      <c r="G84" s="14"/>
      <c r="H84" s="14"/>
    </row>
    <row r="85" spans="1:8" x14ac:dyDescent="0.25">
      <c r="A85" s="3"/>
      <c r="B85" s="3"/>
      <c r="C85" s="3"/>
      <c r="D85" s="3"/>
      <c r="G85" s="14"/>
      <c r="H85" s="14"/>
    </row>
    <row r="86" spans="1:8" x14ac:dyDescent="0.25">
      <c r="A86" s="3"/>
      <c r="B86" s="3"/>
      <c r="C86" s="3"/>
      <c r="D86" s="3"/>
      <c r="G86" s="14"/>
      <c r="H86" s="14"/>
    </row>
    <row r="87" spans="1:8" x14ac:dyDescent="0.25">
      <c r="A87" s="3"/>
      <c r="B87" s="3"/>
      <c r="C87" s="3"/>
      <c r="D87" s="3"/>
      <c r="G87" s="14"/>
      <c r="H87" s="14"/>
    </row>
    <row r="88" spans="1:8" x14ac:dyDescent="0.25">
      <c r="A88" s="3"/>
      <c r="B88" s="3"/>
      <c r="C88" s="3"/>
      <c r="D88" s="3"/>
      <c r="G88" s="14"/>
      <c r="H88" s="14"/>
    </row>
    <row r="89" spans="1:8" x14ac:dyDescent="0.25">
      <c r="A89" s="3"/>
      <c r="B89" s="3"/>
      <c r="C89" s="3"/>
      <c r="D89" s="3"/>
      <c r="G89" s="14"/>
      <c r="H89" s="14"/>
    </row>
    <row r="90" spans="1:8" x14ac:dyDescent="0.25">
      <c r="A90" s="3"/>
      <c r="B90" s="3"/>
      <c r="C90" s="3"/>
      <c r="D90" s="3"/>
      <c r="G90" s="14"/>
      <c r="H90" s="14"/>
    </row>
    <row r="91" spans="1:8" x14ac:dyDescent="0.25">
      <c r="A91" s="3"/>
      <c r="B91" s="3"/>
      <c r="C91" s="3"/>
      <c r="D91" s="3"/>
      <c r="G91" s="14"/>
      <c r="H91" s="14"/>
    </row>
    <row r="92" spans="1:8" x14ac:dyDescent="0.25">
      <c r="A92" s="3"/>
      <c r="B92" s="3"/>
      <c r="C92" s="3"/>
      <c r="D92" s="3"/>
      <c r="G92" s="14"/>
      <c r="H92" s="14"/>
    </row>
    <row r="93" spans="1:8" x14ac:dyDescent="0.25">
      <c r="A93" s="3"/>
      <c r="B93" s="3"/>
      <c r="C93" s="3"/>
      <c r="D93" s="3"/>
      <c r="G93" s="14"/>
      <c r="H93" s="14"/>
    </row>
    <row r="94" spans="1:8" x14ac:dyDescent="0.25">
      <c r="A94" s="3"/>
      <c r="B94" s="3"/>
      <c r="C94" s="3"/>
      <c r="D94" s="3"/>
      <c r="G94" s="14"/>
      <c r="H94" s="14"/>
    </row>
    <row r="95" spans="1:8" x14ac:dyDescent="0.25">
      <c r="A95" s="3"/>
      <c r="B95" s="3"/>
      <c r="C95" s="3"/>
      <c r="D95" s="3"/>
      <c r="G95" s="14"/>
      <c r="H95" s="14"/>
    </row>
    <row r="96" spans="1:8" x14ac:dyDescent="0.25">
      <c r="A96" s="3"/>
      <c r="B96" s="3"/>
      <c r="C96" s="3"/>
      <c r="D96" s="3"/>
      <c r="G96" s="14"/>
      <c r="H96" s="14"/>
    </row>
    <row r="97" spans="1:8" x14ac:dyDescent="0.25">
      <c r="A97" s="3"/>
      <c r="B97" s="3"/>
      <c r="C97" s="3"/>
      <c r="D97" s="3"/>
      <c r="G97" s="14"/>
      <c r="H97" s="14"/>
    </row>
    <row r="98" spans="1:8" x14ac:dyDescent="0.25">
      <c r="A98" s="3"/>
      <c r="B98" s="3"/>
      <c r="C98" s="3"/>
      <c r="D98" s="3"/>
      <c r="G98" s="14"/>
      <c r="H98" s="14"/>
    </row>
    <row r="99" spans="1:8" x14ac:dyDescent="0.25">
      <c r="A99" s="3"/>
      <c r="B99" s="3"/>
      <c r="C99" s="3"/>
      <c r="D99" s="3"/>
      <c r="G99" s="14"/>
      <c r="H99" s="14"/>
    </row>
    <row r="100" spans="1:8" x14ac:dyDescent="0.25">
      <c r="A100" s="3"/>
      <c r="B100" s="3"/>
      <c r="C100" s="3"/>
      <c r="D100" s="3"/>
      <c r="G100" s="14"/>
      <c r="H100" s="14"/>
    </row>
    <row r="101" spans="1:8" x14ac:dyDescent="0.25">
      <c r="A101" s="3"/>
      <c r="B101" s="3"/>
      <c r="C101" s="3"/>
      <c r="D101" s="3"/>
      <c r="G101" s="14"/>
      <c r="H101" s="14"/>
    </row>
    <row r="102" spans="1:8" x14ac:dyDescent="0.25">
      <c r="A102" s="3"/>
      <c r="B102" s="3"/>
      <c r="C102" s="3"/>
      <c r="D102" s="3"/>
      <c r="G102" s="14"/>
      <c r="H102" s="14"/>
    </row>
    <row r="103" spans="1:8" x14ac:dyDescent="0.25">
      <c r="A103" s="3"/>
      <c r="B103" s="3"/>
      <c r="C103" s="3"/>
      <c r="D103" s="3"/>
      <c r="G103" s="14"/>
      <c r="H103" s="14"/>
    </row>
    <row r="104" spans="1:8" x14ac:dyDescent="0.25">
      <c r="A104" s="3"/>
      <c r="B104" s="3"/>
      <c r="C104" s="3"/>
      <c r="D104" s="3"/>
      <c r="G104" s="14"/>
      <c r="H104" s="14"/>
    </row>
    <row r="105" spans="1:8" x14ac:dyDescent="0.25">
      <c r="A105" s="3"/>
      <c r="B105" s="3"/>
      <c r="C105" s="3"/>
      <c r="D105" s="3"/>
      <c r="G105" s="14"/>
      <c r="H105" s="14"/>
    </row>
    <row r="106" spans="1:8" x14ac:dyDescent="0.25">
      <c r="A106" s="3"/>
      <c r="B106" s="3"/>
      <c r="C106" s="3"/>
      <c r="D106" s="3"/>
      <c r="G106" s="14"/>
      <c r="H106" s="14"/>
    </row>
    <row r="107" spans="1:8" x14ac:dyDescent="0.25">
      <c r="A107" s="3"/>
      <c r="B107" s="3"/>
      <c r="C107" s="3"/>
      <c r="D107" s="3"/>
      <c r="G107" s="14"/>
      <c r="H107" s="14"/>
    </row>
    <row r="108" spans="1:8" x14ac:dyDescent="0.25">
      <c r="A108" s="3"/>
      <c r="B108" s="3"/>
      <c r="C108" s="3"/>
      <c r="D108" s="3"/>
      <c r="G108" s="14"/>
      <c r="H108" s="14"/>
    </row>
    <row r="109" spans="1:8" x14ac:dyDescent="0.25">
      <c r="A109" s="3"/>
      <c r="B109" s="3"/>
      <c r="C109" s="3"/>
      <c r="D109" s="3"/>
      <c r="G109" s="14"/>
      <c r="H109" s="14"/>
    </row>
    <row r="110" spans="1:8" x14ac:dyDescent="0.25">
      <c r="A110" s="3"/>
      <c r="B110" s="3"/>
      <c r="C110" s="3"/>
      <c r="D110" s="3"/>
      <c r="G110" s="14"/>
      <c r="H110" s="14"/>
    </row>
    <row r="111" spans="1:8" x14ac:dyDescent="0.25">
      <c r="A111" s="3"/>
      <c r="B111" s="3"/>
      <c r="C111" s="3"/>
      <c r="D111" s="3"/>
      <c r="G111" s="14"/>
      <c r="H111" s="14"/>
    </row>
    <row r="112" spans="1:8" x14ac:dyDescent="0.25">
      <c r="A112" s="3"/>
      <c r="B112" s="3"/>
      <c r="C112" s="3"/>
      <c r="D112" s="3"/>
      <c r="G112" s="14"/>
      <c r="H112" s="14"/>
    </row>
    <row r="113" spans="1:8" x14ac:dyDescent="0.25">
      <c r="A113" s="3"/>
      <c r="B113" s="3"/>
      <c r="C113" s="3"/>
      <c r="D113" s="3"/>
      <c r="G113" s="14"/>
      <c r="H113" s="14"/>
    </row>
    <row r="114" spans="1:8" x14ac:dyDescent="0.25">
      <c r="A114" s="3"/>
      <c r="B114" s="3"/>
      <c r="C114" s="3"/>
      <c r="D114" s="3"/>
      <c r="G114" s="14"/>
      <c r="H114" s="14"/>
    </row>
    <row r="115" spans="1:8" x14ac:dyDescent="0.25">
      <c r="A115" s="3"/>
      <c r="B115" s="3"/>
      <c r="C115" s="3"/>
      <c r="D115" s="3"/>
      <c r="G115" s="14"/>
      <c r="H115" s="14"/>
    </row>
    <row r="116" spans="1:8" x14ac:dyDescent="0.25">
      <c r="A116" s="3"/>
      <c r="B116" s="3"/>
      <c r="C116" s="3"/>
      <c r="D116" s="3"/>
      <c r="G116" s="14"/>
      <c r="H116" s="14"/>
    </row>
    <row r="117" spans="1:8" x14ac:dyDescent="0.25">
      <c r="A117" s="3"/>
      <c r="B117" s="3"/>
      <c r="C117" s="3"/>
      <c r="D117" s="3"/>
      <c r="G117" s="14"/>
      <c r="H117" s="14"/>
    </row>
    <row r="118" spans="1:8" x14ac:dyDescent="0.25">
      <c r="A118" s="3"/>
      <c r="B118" s="3"/>
      <c r="C118" s="3"/>
      <c r="D118" s="3"/>
      <c r="G118" s="14"/>
      <c r="H118" s="14"/>
    </row>
    <row r="119" spans="1:8" x14ac:dyDescent="0.25">
      <c r="A119" s="3"/>
      <c r="B119" s="3"/>
      <c r="C119" s="3"/>
      <c r="D119" s="3"/>
      <c r="G119" s="14"/>
      <c r="H119" s="14"/>
    </row>
    <row r="120" spans="1:8" x14ac:dyDescent="0.25">
      <c r="A120" s="3"/>
      <c r="B120" s="3"/>
      <c r="C120" s="3"/>
      <c r="D120" s="3"/>
      <c r="G120" s="14"/>
      <c r="H120" s="14"/>
    </row>
    <row r="121" spans="1:8" x14ac:dyDescent="0.25">
      <c r="A121" s="3"/>
      <c r="B121" s="3"/>
      <c r="C121" s="3"/>
      <c r="D121" s="3"/>
      <c r="G121" s="14"/>
      <c r="H121" s="14"/>
    </row>
    <row r="122" spans="1:8" x14ac:dyDescent="0.25">
      <c r="A122" s="3"/>
      <c r="B122" s="3"/>
      <c r="C122" s="3"/>
      <c r="D122" s="3"/>
      <c r="G122" s="14"/>
      <c r="H122" s="14"/>
    </row>
    <row r="123" spans="1:8" x14ac:dyDescent="0.25">
      <c r="A123" s="3"/>
      <c r="B123" s="3"/>
      <c r="C123" s="3"/>
      <c r="D123" s="3"/>
      <c r="G123" s="14"/>
      <c r="H123" s="14"/>
    </row>
    <row r="124" spans="1:8" x14ac:dyDescent="0.25">
      <c r="A124" s="3"/>
      <c r="B124" s="3"/>
      <c r="C124" s="3"/>
      <c r="D124" s="3"/>
      <c r="G124" s="14"/>
      <c r="H124" s="14"/>
    </row>
    <row r="125" spans="1:8" x14ac:dyDescent="0.25">
      <c r="A125" s="3"/>
      <c r="B125" s="3"/>
      <c r="C125" s="3"/>
      <c r="D125" s="3"/>
      <c r="G125" s="14"/>
      <c r="H125" s="14"/>
    </row>
    <row r="126" spans="1:8" x14ac:dyDescent="0.25">
      <c r="A126" s="18"/>
      <c r="B126" s="3"/>
      <c r="C126" s="3"/>
      <c r="D126" s="3"/>
      <c r="G126" s="14"/>
      <c r="H126" s="14"/>
    </row>
    <row r="127" spans="1:8" x14ac:dyDescent="0.25">
      <c r="A127" s="3"/>
      <c r="B127" s="3"/>
      <c r="C127" s="3"/>
      <c r="D127" s="3"/>
      <c r="G127" s="14"/>
      <c r="H127" s="14"/>
    </row>
    <row r="128" spans="1:8" x14ac:dyDescent="0.25">
      <c r="A128" s="3"/>
      <c r="B128" s="3"/>
      <c r="C128" s="3"/>
      <c r="D128" s="3"/>
      <c r="G128" s="14"/>
      <c r="H128" s="14"/>
    </row>
    <row r="129" spans="1:8" x14ac:dyDescent="0.25">
      <c r="A129" s="3"/>
      <c r="B129" s="3"/>
      <c r="C129" s="3"/>
      <c r="D129" s="3"/>
      <c r="G129" s="14"/>
      <c r="H129" s="14"/>
    </row>
    <row r="130" spans="1:8" x14ac:dyDescent="0.25">
      <c r="A130" s="3"/>
      <c r="B130" s="3"/>
      <c r="C130" s="3"/>
      <c r="D130" s="3"/>
      <c r="G130" s="14"/>
      <c r="H130" s="14"/>
    </row>
    <row r="131" spans="1:8" x14ac:dyDescent="0.25">
      <c r="A131" s="3"/>
      <c r="B131" s="3"/>
      <c r="C131" s="3"/>
      <c r="D131" s="3"/>
      <c r="G131" s="14"/>
      <c r="H131" s="14"/>
    </row>
    <row r="132" spans="1:8" x14ac:dyDescent="0.25">
      <c r="A132" s="3"/>
      <c r="B132" s="3"/>
      <c r="C132" s="3"/>
      <c r="D132" s="3"/>
      <c r="G132" s="14"/>
      <c r="H132" s="14"/>
    </row>
    <row r="133" spans="1:8" x14ac:dyDescent="0.25">
      <c r="A133" s="3"/>
      <c r="B133" s="3"/>
      <c r="C133" s="3"/>
      <c r="D133" s="3"/>
      <c r="G133" s="14"/>
      <c r="H133" s="14"/>
    </row>
    <row r="134" spans="1:8" x14ac:dyDescent="0.25">
      <c r="A134" s="3"/>
      <c r="B134" s="3"/>
      <c r="C134" s="3"/>
      <c r="D134" s="3"/>
      <c r="G134" s="14"/>
      <c r="H134" s="14"/>
    </row>
    <row r="135" spans="1:8" x14ac:dyDescent="0.25">
      <c r="A135" s="3"/>
      <c r="B135" s="3"/>
      <c r="C135" s="3"/>
      <c r="D135" s="3"/>
      <c r="G135" s="14"/>
      <c r="H135" s="14"/>
    </row>
    <row r="136" spans="1:8" x14ac:dyDescent="0.25">
      <c r="A136" s="3"/>
      <c r="B136" s="3"/>
      <c r="C136" s="3"/>
      <c r="D136" s="3"/>
      <c r="G136" s="14"/>
      <c r="H136" s="14"/>
    </row>
    <row r="137" spans="1:8" x14ac:dyDescent="0.25">
      <c r="A137" s="3"/>
      <c r="B137" s="3"/>
      <c r="C137" s="3"/>
      <c r="D137" s="3"/>
      <c r="G137" s="14"/>
      <c r="H137" s="14"/>
    </row>
    <row r="138" spans="1:8" x14ac:dyDescent="0.25">
      <c r="A138" s="3"/>
      <c r="B138" s="3"/>
      <c r="C138" s="3"/>
      <c r="D138" s="3"/>
      <c r="G138" s="14"/>
      <c r="H138" s="14"/>
    </row>
    <row r="139" spans="1:8" x14ac:dyDescent="0.25">
      <c r="A139" s="3"/>
      <c r="B139" s="3"/>
      <c r="C139" s="3"/>
      <c r="D139" s="3"/>
      <c r="G139" s="14"/>
      <c r="H139" s="14"/>
    </row>
    <row r="140" spans="1:8" x14ac:dyDescent="0.25">
      <c r="A140" s="3"/>
      <c r="B140" s="3"/>
      <c r="C140" s="3"/>
      <c r="D140" s="3"/>
      <c r="G140" s="14"/>
      <c r="H140" s="14"/>
    </row>
    <row r="141" spans="1:8" x14ac:dyDescent="0.25">
      <c r="A141" s="3"/>
      <c r="B141" s="3"/>
      <c r="C141" s="3"/>
      <c r="D141" s="3"/>
      <c r="G141" s="14"/>
      <c r="H141" s="14"/>
    </row>
    <row r="142" spans="1:8" x14ac:dyDescent="0.25">
      <c r="A142" s="3"/>
      <c r="B142" s="3"/>
      <c r="C142" s="3"/>
      <c r="D142" s="3"/>
      <c r="G142" s="14"/>
      <c r="H142" s="14"/>
    </row>
    <row r="143" spans="1:8" x14ac:dyDescent="0.25">
      <c r="A143" s="3"/>
      <c r="B143" s="3"/>
      <c r="C143" s="3"/>
      <c r="D143" s="3"/>
      <c r="G143" s="14"/>
      <c r="H143" s="14"/>
    </row>
    <row r="144" spans="1:8" x14ac:dyDescent="0.25">
      <c r="A144" s="3"/>
      <c r="B144" s="3"/>
      <c r="C144" s="3"/>
      <c r="D144" s="3"/>
      <c r="G144" s="14"/>
      <c r="H144" s="14"/>
    </row>
    <row r="145" spans="1:8" x14ac:dyDescent="0.25">
      <c r="A145" s="3"/>
      <c r="B145" s="3"/>
      <c r="C145" s="3"/>
      <c r="D145" s="3"/>
      <c r="G145" s="14"/>
      <c r="H145" s="14"/>
    </row>
    <row r="146" spans="1:8" x14ac:dyDescent="0.25">
      <c r="A146" s="3"/>
      <c r="B146" s="3"/>
      <c r="C146" s="3"/>
      <c r="D146" s="3"/>
      <c r="G146" s="14"/>
      <c r="H146" s="14"/>
    </row>
    <row r="147" spans="1:8" x14ac:dyDescent="0.25">
      <c r="A147" s="3"/>
      <c r="B147" s="3"/>
      <c r="C147" s="3"/>
      <c r="D147" s="3"/>
      <c r="G147" s="14"/>
      <c r="H147" s="14"/>
    </row>
    <row r="148" spans="1:8" x14ac:dyDescent="0.25">
      <c r="A148" s="3"/>
      <c r="B148" s="3"/>
      <c r="C148" s="3"/>
      <c r="D148" s="3"/>
      <c r="G148" s="14"/>
      <c r="H148" s="14"/>
    </row>
    <row r="149" spans="1:8" x14ac:dyDescent="0.25">
      <c r="A149" s="3"/>
      <c r="B149" s="3"/>
      <c r="C149" s="3"/>
      <c r="D149" s="3"/>
      <c r="G149" s="14"/>
      <c r="H149" s="14"/>
    </row>
    <row r="150" spans="1:8" x14ac:dyDescent="0.25">
      <c r="A150" s="3"/>
      <c r="B150" s="3"/>
      <c r="C150" s="3"/>
      <c r="D150" s="3"/>
      <c r="G150" s="14"/>
      <c r="H150" s="14"/>
    </row>
    <row r="151" spans="1:8" x14ac:dyDescent="0.25">
      <c r="A151" s="3"/>
      <c r="B151" s="3"/>
      <c r="C151" s="3"/>
      <c r="D151" s="3"/>
      <c r="G151" s="14"/>
      <c r="H151" s="14"/>
    </row>
    <row r="152" spans="1:8" x14ac:dyDescent="0.25">
      <c r="A152" s="3"/>
      <c r="B152" s="3"/>
      <c r="C152" s="3"/>
      <c r="D152" s="3"/>
      <c r="G152" s="14"/>
      <c r="H152" s="14"/>
    </row>
    <row r="153" spans="1:8" x14ac:dyDescent="0.25">
      <c r="A153" s="3"/>
      <c r="B153" s="3"/>
      <c r="C153" s="3"/>
      <c r="D153" s="3"/>
      <c r="G153" s="14"/>
      <c r="H153" s="14"/>
    </row>
    <row r="154" spans="1:8" x14ac:dyDescent="0.25">
      <c r="A154" s="3"/>
      <c r="B154" s="3"/>
      <c r="C154" s="3"/>
      <c r="D154" s="3"/>
      <c r="G154" s="14"/>
      <c r="H154" s="14"/>
    </row>
    <row r="155" spans="1:8" x14ac:dyDescent="0.25">
      <c r="A155" s="3"/>
      <c r="B155" s="3"/>
      <c r="C155" s="3"/>
      <c r="D155" s="3"/>
      <c r="G155" s="14"/>
      <c r="H155" s="14"/>
    </row>
    <row r="156" spans="1:8" x14ac:dyDescent="0.25">
      <c r="A156" s="3"/>
      <c r="B156" s="3"/>
      <c r="C156" s="3"/>
      <c r="D156" s="3"/>
      <c r="G156" s="14"/>
      <c r="H156" s="14"/>
    </row>
    <row r="157" spans="1:8" x14ac:dyDescent="0.25">
      <c r="A157" s="3"/>
      <c r="B157" s="3"/>
      <c r="C157" s="3"/>
      <c r="D157" s="3"/>
      <c r="G157" s="14"/>
      <c r="H157" s="14"/>
    </row>
    <row r="158" spans="1:8" x14ac:dyDescent="0.25">
      <c r="A158" s="3"/>
      <c r="B158" s="3"/>
      <c r="C158" s="3"/>
      <c r="D158" s="3"/>
      <c r="G158" s="14"/>
      <c r="H158" s="14"/>
    </row>
    <row r="159" spans="1:8" x14ac:dyDescent="0.25">
      <c r="A159" s="3"/>
      <c r="B159" s="3"/>
      <c r="C159" s="3"/>
      <c r="D159" s="3"/>
      <c r="G159" s="14"/>
      <c r="H159" s="14"/>
    </row>
    <row r="160" spans="1:8" x14ac:dyDescent="0.25">
      <c r="A160" s="3"/>
      <c r="B160" s="3"/>
      <c r="C160" s="3"/>
      <c r="D160" s="3"/>
      <c r="G160" s="14"/>
      <c r="H160" s="14"/>
    </row>
    <row r="161" spans="1:8" x14ac:dyDescent="0.25">
      <c r="A161" s="3"/>
      <c r="B161" s="3"/>
      <c r="C161" s="3"/>
      <c r="D161" s="3"/>
      <c r="G161" s="14"/>
      <c r="H161" s="14"/>
    </row>
    <row r="162" spans="1:8" x14ac:dyDescent="0.25">
      <c r="A162" s="3"/>
      <c r="B162" s="3"/>
      <c r="C162" s="3"/>
      <c r="D162" s="3"/>
      <c r="G162" s="14"/>
      <c r="H162" s="14"/>
    </row>
    <row r="163" spans="1:8" x14ac:dyDescent="0.25">
      <c r="A163" s="3"/>
      <c r="B163" s="3"/>
      <c r="C163" s="3"/>
      <c r="D163" s="3"/>
      <c r="G163" s="14"/>
      <c r="H163" s="14"/>
    </row>
    <row r="164" spans="1:8" x14ac:dyDescent="0.25">
      <c r="A164" s="3"/>
      <c r="B164" s="3"/>
      <c r="C164" s="3"/>
      <c r="D164" s="3"/>
      <c r="G164" s="14"/>
      <c r="H164" s="14"/>
    </row>
    <row r="165" spans="1:8" x14ac:dyDescent="0.25">
      <c r="A165" s="3"/>
      <c r="B165" s="3"/>
      <c r="C165" s="3"/>
      <c r="D165" s="3"/>
      <c r="G165" s="14"/>
      <c r="H165" s="14"/>
    </row>
    <row r="166" spans="1:8" x14ac:dyDescent="0.25">
      <c r="A166" s="3"/>
      <c r="B166" s="3"/>
      <c r="C166" s="3"/>
      <c r="D166" s="3"/>
      <c r="G166" s="14"/>
      <c r="H166" s="14"/>
    </row>
    <row r="167" spans="1:8" x14ac:dyDescent="0.25">
      <c r="A167" s="3"/>
      <c r="B167" s="3"/>
      <c r="C167" s="3"/>
      <c r="D167" s="3"/>
      <c r="G167" s="14"/>
      <c r="H167" s="14"/>
    </row>
    <row r="168" spans="1:8" x14ac:dyDescent="0.25">
      <c r="A168" s="3"/>
      <c r="B168" s="3"/>
      <c r="C168" s="3"/>
      <c r="D168" s="3"/>
      <c r="G168" s="14"/>
      <c r="H168" s="14"/>
    </row>
    <row r="169" spans="1:8" x14ac:dyDescent="0.25">
      <c r="A169" s="3"/>
      <c r="B169" s="3"/>
      <c r="C169" s="3"/>
      <c r="D169" s="3"/>
      <c r="G169" s="14"/>
      <c r="H169" s="14"/>
    </row>
    <row r="170" spans="1:8" x14ac:dyDescent="0.25">
      <c r="A170" s="3"/>
      <c r="B170" s="3"/>
      <c r="C170" s="3"/>
      <c r="D170" s="3"/>
      <c r="G170" s="14"/>
      <c r="H170" s="14"/>
    </row>
    <row r="171" spans="1:8" x14ac:dyDescent="0.25">
      <c r="A171" s="3"/>
      <c r="B171" s="3"/>
      <c r="C171" s="3"/>
      <c r="D171" s="3"/>
      <c r="G171" s="14"/>
      <c r="H171" s="14"/>
    </row>
    <row r="172" spans="1:8" x14ac:dyDescent="0.25">
      <c r="A172" s="3"/>
      <c r="B172" s="3"/>
      <c r="C172" s="3"/>
      <c r="D172" s="3"/>
      <c r="G172" s="14"/>
      <c r="H172" s="14"/>
    </row>
    <row r="173" spans="1:8" x14ac:dyDescent="0.25">
      <c r="A173" s="3"/>
      <c r="B173" s="3"/>
      <c r="C173" s="3"/>
      <c r="D173" s="3"/>
      <c r="G173" s="14"/>
      <c r="H173" s="14"/>
    </row>
    <row r="174" spans="1:8" x14ac:dyDescent="0.25">
      <c r="A174" s="3"/>
      <c r="B174" s="3"/>
      <c r="C174" s="3"/>
      <c r="D174" s="3"/>
      <c r="G174" s="14"/>
      <c r="H174" s="14"/>
    </row>
    <row r="175" spans="1:8" x14ac:dyDescent="0.25">
      <c r="A175" s="3"/>
      <c r="B175" s="3"/>
      <c r="C175" s="3"/>
      <c r="D175" s="3"/>
      <c r="G175" s="14"/>
      <c r="H175" s="14"/>
    </row>
    <row r="176" spans="1:8" x14ac:dyDescent="0.25">
      <c r="A176" s="3"/>
      <c r="B176" s="3"/>
      <c r="C176" s="3"/>
      <c r="D176" s="3"/>
      <c r="G176" s="14"/>
      <c r="H176" s="14"/>
    </row>
    <row r="177" spans="1:8" x14ac:dyDescent="0.25">
      <c r="A177" s="3"/>
      <c r="B177" s="3"/>
      <c r="C177" s="3"/>
      <c r="D177" s="3"/>
      <c r="G177" s="14"/>
      <c r="H177" s="14"/>
    </row>
    <row r="178" spans="1:8" x14ac:dyDescent="0.25">
      <c r="A178" s="3"/>
      <c r="B178" s="3"/>
      <c r="C178" s="3"/>
      <c r="D178" s="3"/>
      <c r="G178" s="14"/>
      <c r="H178" s="14"/>
    </row>
    <row r="179" spans="1:8" x14ac:dyDescent="0.25">
      <c r="A179" s="3"/>
      <c r="B179" s="3"/>
      <c r="C179" s="3"/>
      <c r="D179" s="3"/>
      <c r="G179" s="14"/>
      <c r="H179" s="14"/>
    </row>
    <row r="180" spans="1:8" x14ac:dyDescent="0.25">
      <c r="A180" s="3"/>
      <c r="B180" s="3"/>
      <c r="C180" s="3"/>
      <c r="D180" s="3"/>
      <c r="G180" s="14"/>
      <c r="H180" s="14"/>
    </row>
    <row r="181" spans="1:8" x14ac:dyDescent="0.25">
      <c r="A181" s="3"/>
      <c r="B181" s="3"/>
      <c r="C181" s="3"/>
      <c r="D181" s="3"/>
      <c r="G181" s="14"/>
      <c r="H181" s="14"/>
    </row>
    <row r="182" spans="1:8" x14ac:dyDescent="0.25">
      <c r="A182" s="3"/>
      <c r="B182" s="3"/>
      <c r="C182" s="3"/>
      <c r="D182" s="3"/>
      <c r="G182" s="14"/>
      <c r="H182" s="14"/>
    </row>
    <row r="183" spans="1:8" x14ac:dyDescent="0.25">
      <c r="A183" s="3"/>
      <c r="B183" s="3"/>
      <c r="C183" s="3"/>
      <c r="D183" s="3"/>
      <c r="G183" s="14"/>
      <c r="H183" s="14"/>
    </row>
    <row r="184" spans="1:8" x14ac:dyDescent="0.25">
      <c r="A184" s="3"/>
      <c r="B184" s="3"/>
      <c r="C184" s="3"/>
      <c r="D184" s="3"/>
      <c r="G184" s="14"/>
      <c r="H184" s="14"/>
    </row>
    <row r="185" spans="1:8" x14ac:dyDescent="0.25">
      <c r="A185" s="3"/>
      <c r="B185" s="3"/>
      <c r="C185" s="3"/>
      <c r="D185" s="3"/>
      <c r="G185" s="14"/>
      <c r="H185" s="14"/>
    </row>
    <row r="186" spans="1:8" x14ac:dyDescent="0.25">
      <c r="A186" s="3"/>
      <c r="B186" s="3"/>
      <c r="C186" s="3"/>
      <c r="D186" s="3"/>
      <c r="G186" s="14"/>
      <c r="H186" s="14"/>
    </row>
    <row r="187" spans="1:8" x14ac:dyDescent="0.25">
      <c r="A187" s="3"/>
      <c r="B187" s="3"/>
      <c r="C187" s="3"/>
      <c r="D187" s="3"/>
      <c r="G187" s="14"/>
      <c r="H187" s="14"/>
    </row>
    <row r="188" spans="1:8" x14ac:dyDescent="0.25">
      <c r="A188" s="3"/>
      <c r="B188" s="3"/>
      <c r="C188" s="3"/>
      <c r="D188" s="3"/>
      <c r="G188" s="14"/>
      <c r="H188" s="14"/>
    </row>
    <row r="189" spans="1:8" x14ac:dyDescent="0.25">
      <c r="A189" s="3"/>
      <c r="B189" s="3"/>
      <c r="C189" s="3"/>
      <c r="D189" s="3"/>
      <c r="G189" s="14"/>
      <c r="H189" s="14"/>
    </row>
    <row r="190" spans="1:8" x14ac:dyDescent="0.25">
      <c r="A190" s="3"/>
      <c r="B190" s="3"/>
      <c r="C190" s="3"/>
      <c r="D190" s="3"/>
      <c r="G190" s="14"/>
      <c r="H190" s="14"/>
    </row>
    <row r="191" spans="1:8" x14ac:dyDescent="0.25">
      <c r="A191" s="3"/>
      <c r="B191" s="3"/>
      <c r="C191" s="3"/>
      <c r="D191" s="3"/>
      <c r="G191" s="14"/>
      <c r="H191" s="14"/>
    </row>
    <row r="192" spans="1:8" x14ac:dyDescent="0.25">
      <c r="A192" s="3"/>
      <c r="B192" s="3"/>
      <c r="C192" s="3"/>
      <c r="D192" s="3"/>
      <c r="G192" s="14"/>
      <c r="H192" s="14"/>
    </row>
    <row r="193" spans="1:8" x14ac:dyDescent="0.25">
      <c r="A193" s="3"/>
      <c r="B193" s="3"/>
      <c r="C193" s="3"/>
      <c r="D193" s="3"/>
      <c r="G193" s="14"/>
      <c r="H193" s="14"/>
    </row>
    <row r="194" spans="1:8" x14ac:dyDescent="0.25">
      <c r="A194" s="3"/>
      <c r="B194" s="3"/>
      <c r="C194" s="3"/>
      <c r="D194" s="3"/>
      <c r="G194" s="14"/>
      <c r="H194" s="14"/>
    </row>
    <row r="195" spans="1:8" x14ac:dyDescent="0.25">
      <c r="A195" s="3"/>
      <c r="B195" s="3"/>
      <c r="C195" s="3"/>
      <c r="D195" s="3"/>
      <c r="G195" s="14"/>
      <c r="H195" s="14"/>
    </row>
    <row r="196" spans="1:8" x14ac:dyDescent="0.25">
      <c r="A196" s="3"/>
      <c r="B196" s="3"/>
      <c r="C196" s="3"/>
      <c r="D196" s="3"/>
      <c r="G196" s="14"/>
      <c r="H196" s="14"/>
    </row>
    <row r="197" spans="1:8" x14ac:dyDescent="0.25">
      <c r="A197" s="3"/>
      <c r="B197" s="3"/>
      <c r="C197" s="3"/>
      <c r="D197" s="3"/>
      <c r="G197" s="14"/>
      <c r="H197" s="14"/>
    </row>
    <row r="198" spans="1:8" x14ac:dyDescent="0.25">
      <c r="A198" s="3"/>
      <c r="B198" s="3"/>
      <c r="C198" s="3"/>
      <c r="D198" s="3"/>
      <c r="G198" s="14"/>
      <c r="H198" s="14"/>
    </row>
    <row r="199" spans="1:8" x14ac:dyDescent="0.25">
      <c r="A199" s="3"/>
      <c r="B199" s="3"/>
      <c r="C199" s="3"/>
      <c r="D199" s="3"/>
      <c r="G199" s="14"/>
      <c r="H199" s="14"/>
    </row>
    <row r="200" spans="1:8" x14ac:dyDescent="0.25">
      <c r="A200" s="3"/>
      <c r="B200" s="3"/>
      <c r="C200" s="3"/>
      <c r="D200" s="3"/>
      <c r="G200" s="14"/>
      <c r="H200" s="14"/>
    </row>
    <row r="201" spans="1:8" x14ac:dyDescent="0.25">
      <c r="A201" s="3"/>
      <c r="B201" s="3"/>
      <c r="C201" s="3"/>
      <c r="D201" s="3"/>
      <c r="G201" s="14"/>
      <c r="H201" s="14"/>
    </row>
    <row r="202" spans="1:8" x14ac:dyDescent="0.25">
      <c r="A202" s="3"/>
      <c r="B202" s="3"/>
      <c r="C202" s="3"/>
      <c r="D202" s="3"/>
      <c r="G202" s="14"/>
      <c r="H202" s="14"/>
    </row>
    <row r="203" spans="1:8" x14ac:dyDescent="0.25">
      <c r="A203" s="3"/>
      <c r="B203" s="3"/>
      <c r="C203" s="3"/>
      <c r="D203" s="3"/>
      <c r="G203" s="14"/>
      <c r="H203" s="14"/>
    </row>
    <row r="204" spans="1:8" x14ac:dyDescent="0.25">
      <c r="A204" s="3"/>
      <c r="B204" s="3"/>
      <c r="C204" s="3"/>
      <c r="D204" s="3"/>
      <c r="G204" s="14"/>
      <c r="H204" s="14"/>
    </row>
    <row r="205" spans="1:8" x14ac:dyDescent="0.25">
      <c r="A205" s="3"/>
      <c r="B205" s="3"/>
      <c r="C205" s="3"/>
      <c r="D205" s="3"/>
      <c r="G205" s="14"/>
      <c r="H205" s="14"/>
    </row>
    <row r="206" spans="1:8" x14ac:dyDescent="0.25">
      <c r="A206" s="3"/>
      <c r="B206" s="3"/>
      <c r="C206" s="3"/>
      <c r="D206" s="3"/>
      <c r="G206" s="14"/>
      <c r="H206" s="14"/>
    </row>
    <row r="207" spans="1:8" x14ac:dyDescent="0.25">
      <c r="A207" s="3"/>
      <c r="B207" s="3"/>
      <c r="C207" s="3"/>
      <c r="D207" s="3"/>
      <c r="G207" s="14"/>
      <c r="H207" s="14"/>
    </row>
    <row r="208" spans="1:8" x14ac:dyDescent="0.25">
      <c r="A208" s="3"/>
      <c r="B208" s="3"/>
      <c r="C208" s="3"/>
      <c r="D208" s="3"/>
      <c r="G208" s="14"/>
      <c r="H208" s="14"/>
    </row>
    <row r="209" spans="1:8" x14ac:dyDescent="0.25">
      <c r="A209" s="3"/>
      <c r="B209" s="3"/>
      <c r="C209" s="3"/>
      <c r="D209" s="3"/>
      <c r="G209" s="14"/>
      <c r="H209" s="14"/>
    </row>
    <row r="210" spans="1:8" x14ac:dyDescent="0.25">
      <c r="A210" s="3"/>
      <c r="B210" s="3"/>
      <c r="C210" s="3"/>
      <c r="D210" s="3"/>
      <c r="G210" s="14"/>
      <c r="H210" s="14"/>
    </row>
    <row r="211" spans="1:8" x14ac:dyDescent="0.25">
      <c r="A211" s="3"/>
      <c r="B211" s="3"/>
      <c r="C211" s="3"/>
      <c r="D211" s="3"/>
      <c r="G211" s="14"/>
      <c r="H211" s="14"/>
    </row>
    <row r="212" spans="1:8" x14ac:dyDescent="0.25">
      <c r="A212" s="3"/>
      <c r="B212" s="3"/>
      <c r="C212" s="3"/>
      <c r="D212" s="3"/>
      <c r="G212" s="14"/>
      <c r="H212" s="14"/>
    </row>
    <row r="213" spans="1:8" x14ac:dyDescent="0.25">
      <c r="A213" s="3"/>
      <c r="B213" s="3"/>
      <c r="C213" s="3"/>
      <c r="D213" s="3"/>
      <c r="G213" s="14"/>
      <c r="H213" s="14"/>
    </row>
    <row r="214" spans="1:8" x14ac:dyDescent="0.25">
      <c r="A214" s="3"/>
      <c r="B214" s="3"/>
      <c r="C214" s="3"/>
      <c r="D214" s="3"/>
      <c r="G214" s="14"/>
      <c r="H214" s="14"/>
    </row>
    <row r="215" spans="1:8" x14ac:dyDescent="0.25">
      <c r="A215" s="3"/>
      <c r="B215" s="3"/>
      <c r="C215" s="3"/>
      <c r="D215" s="3"/>
      <c r="G215" s="14"/>
      <c r="H215" s="14"/>
    </row>
    <row r="216" spans="1:8" x14ac:dyDescent="0.25">
      <c r="A216" s="3"/>
      <c r="B216" s="3"/>
      <c r="C216" s="3"/>
      <c r="D216" s="3"/>
      <c r="G216" s="14"/>
      <c r="H216" s="14"/>
    </row>
    <row r="217" spans="1:8" x14ac:dyDescent="0.25">
      <c r="A217" s="3"/>
      <c r="B217" s="3"/>
      <c r="C217" s="3"/>
      <c r="D217" s="3"/>
      <c r="G217" s="14"/>
      <c r="H217" s="14"/>
    </row>
    <row r="218" spans="1:8" x14ac:dyDescent="0.25">
      <c r="A218" s="3"/>
      <c r="B218" s="3"/>
      <c r="C218" s="3"/>
      <c r="D218" s="3"/>
      <c r="G218" s="14"/>
      <c r="H218" s="14"/>
    </row>
    <row r="219" spans="1:8" x14ac:dyDescent="0.25">
      <c r="A219" s="3"/>
      <c r="B219" s="3"/>
      <c r="C219" s="3"/>
      <c r="D219" s="3"/>
      <c r="G219" s="14"/>
      <c r="H219" s="14"/>
    </row>
    <row r="220" spans="1:8" x14ac:dyDescent="0.25">
      <c r="A220" s="3"/>
      <c r="B220" s="3"/>
      <c r="C220" s="3"/>
      <c r="D220" s="3"/>
      <c r="G220" s="14"/>
      <c r="H220" s="14"/>
    </row>
    <row r="221" spans="1:8" x14ac:dyDescent="0.25">
      <c r="A221" s="3"/>
      <c r="B221" s="3"/>
      <c r="C221" s="3"/>
      <c r="D221" s="3"/>
      <c r="G221" s="14"/>
      <c r="H221" s="14"/>
    </row>
    <row r="222" spans="1:8" x14ac:dyDescent="0.25">
      <c r="A222" s="3"/>
      <c r="B222" s="3"/>
      <c r="C222" s="3"/>
      <c r="D222" s="3"/>
      <c r="G222" s="14"/>
      <c r="H222" s="14"/>
    </row>
    <row r="223" spans="1:8" x14ac:dyDescent="0.25">
      <c r="A223" s="3"/>
      <c r="B223" s="3"/>
      <c r="C223" s="3"/>
      <c r="D223" s="3"/>
      <c r="G223" s="14"/>
      <c r="H223" s="14"/>
    </row>
    <row r="224" spans="1:8" x14ac:dyDescent="0.25">
      <c r="A224" s="3"/>
      <c r="B224" s="3"/>
      <c r="C224" s="3"/>
      <c r="D224" s="3"/>
      <c r="G224" s="14"/>
      <c r="H224" s="14"/>
    </row>
    <row r="225" spans="1:8" x14ac:dyDescent="0.25">
      <c r="A225" s="3"/>
      <c r="B225" s="3"/>
      <c r="C225" s="3"/>
      <c r="D225" s="3"/>
      <c r="G225" s="14"/>
      <c r="H225" s="14"/>
    </row>
    <row r="226" spans="1:8" x14ac:dyDescent="0.25">
      <c r="A226" s="3"/>
      <c r="B226" s="3"/>
      <c r="C226" s="3"/>
      <c r="D226" s="3"/>
      <c r="G226" s="14"/>
      <c r="H226" s="14"/>
    </row>
    <row r="227" spans="1:8" x14ac:dyDescent="0.25">
      <c r="A227" s="3"/>
      <c r="B227" s="3"/>
      <c r="C227" s="3"/>
      <c r="D227" s="3"/>
      <c r="G227" s="14"/>
      <c r="H227" s="14"/>
    </row>
    <row r="228" spans="1:8" x14ac:dyDescent="0.25">
      <c r="A228" s="3"/>
      <c r="B228" s="3"/>
      <c r="C228" s="3"/>
      <c r="D228" s="3"/>
      <c r="G228" s="14"/>
      <c r="H228" s="14"/>
    </row>
    <row r="229" spans="1:8" x14ac:dyDescent="0.25">
      <c r="A229" s="3"/>
      <c r="B229" s="3"/>
      <c r="C229" s="3"/>
      <c r="D229" s="3"/>
      <c r="G229" s="14"/>
      <c r="H229" s="14"/>
    </row>
    <row r="230" spans="1:8" x14ac:dyDescent="0.25">
      <c r="A230" s="3"/>
      <c r="B230" s="3"/>
      <c r="C230" s="3"/>
      <c r="D230" s="3"/>
      <c r="G230" s="14"/>
      <c r="H230" s="14"/>
    </row>
    <row r="231" spans="1:8" x14ac:dyDescent="0.25">
      <c r="A231" s="3"/>
      <c r="B231" s="3"/>
      <c r="C231" s="3"/>
      <c r="D231" s="3"/>
      <c r="G231" s="14"/>
      <c r="H231" s="14"/>
    </row>
    <row r="232" spans="1:8" x14ac:dyDescent="0.25">
      <c r="A232" s="3"/>
      <c r="B232" s="3"/>
      <c r="C232" s="3"/>
      <c r="D232" s="3"/>
      <c r="G232" s="14"/>
      <c r="H232" s="14"/>
    </row>
    <row r="233" spans="1:8" x14ac:dyDescent="0.25">
      <c r="A233" s="3"/>
      <c r="B233" s="3"/>
      <c r="C233" s="3"/>
      <c r="D233" s="3"/>
      <c r="G233" s="14"/>
      <c r="H233" s="14"/>
    </row>
    <row r="234" spans="1:8" x14ac:dyDescent="0.25">
      <c r="A234" s="3"/>
      <c r="B234" s="3"/>
      <c r="C234" s="3"/>
      <c r="D234" s="3"/>
      <c r="G234" s="14"/>
      <c r="H234" s="14"/>
    </row>
    <row r="235" spans="1:8" x14ac:dyDescent="0.25">
      <c r="A235" s="3"/>
      <c r="B235" s="3"/>
      <c r="C235" s="3"/>
      <c r="D235" s="3"/>
      <c r="G235" s="14"/>
      <c r="H235" s="14"/>
    </row>
    <row r="236" spans="1:8" x14ac:dyDescent="0.25">
      <c r="A236" s="3"/>
      <c r="B236" s="3"/>
      <c r="C236" s="3"/>
      <c r="D236" s="3"/>
      <c r="G236" s="14"/>
      <c r="H236" s="14"/>
    </row>
    <row r="237" spans="1:8" x14ac:dyDescent="0.25">
      <c r="A237" s="3"/>
      <c r="B237" s="3"/>
      <c r="C237" s="3"/>
      <c r="D237" s="3"/>
      <c r="G237" s="14"/>
      <c r="H237" s="14"/>
    </row>
    <row r="238" spans="1:8" x14ac:dyDescent="0.25">
      <c r="A238" s="3"/>
      <c r="B238" s="3"/>
      <c r="C238" s="3"/>
      <c r="D238" s="3"/>
      <c r="G238" s="14"/>
      <c r="H238" s="14"/>
    </row>
    <row r="239" spans="1:8" x14ac:dyDescent="0.25">
      <c r="A239" s="3"/>
      <c r="B239" s="3"/>
      <c r="C239" s="3"/>
      <c r="D239" s="3"/>
      <c r="G239" s="14"/>
      <c r="H239" s="14"/>
    </row>
    <row r="240" spans="1:8" x14ac:dyDescent="0.25">
      <c r="A240" s="3"/>
      <c r="B240" s="3"/>
      <c r="C240" s="3"/>
      <c r="D240" s="3"/>
      <c r="G240" s="14"/>
      <c r="H240" s="14"/>
    </row>
    <row r="241" spans="1:8" x14ac:dyDescent="0.25">
      <c r="A241" s="3"/>
      <c r="B241" s="3"/>
      <c r="C241" s="3"/>
      <c r="D241" s="3"/>
      <c r="G241" s="14"/>
      <c r="H241" s="14"/>
    </row>
    <row r="242" spans="1:8" x14ac:dyDescent="0.25">
      <c r="A242" s="3"/>
      <c r="B242" s="3"/>
      <c r="C242" s="3"/>
      <c r="D242" s="3"/>
      <c r="G242" s="14"/>
      <c r="H242" s="14"/>
    </row>
    <row r="243" spans="1:8" x14ac:dyDescent="0.25">
      <c r="A243" s="3"/>
      <c r="B243" s="3"/>
      <c r="C243" s="3"/>
      <c r="D243" s="3"/>
      <c r="G243" s="14"/>
      <c r="H243" s="14"/>
    </row>
    <row r="244" spans="1:8" x14ac:dyDescent="0.25">
      <c r="A244" s="3"/>
      <c r="B244" s="3"/>
      <c r="C244" s="3"/>
      <c r="D244" s="3"/>
      <c r="G244" s="14"/>
      <c r="H244" s="14"/>
    </row>
    <row r="245" spans="1:8" x14ac:dyDescent="0.25">
      <c r="A245" s="3"/>
      <c r="B245" s="3"/>
      <c r="C245" s="3"/>
      <c r="D245" s="3"/>
      <c r="G245" s="14"/>
      <c r="H245" s="14"/>
    </row>
    <row r="247" spans="1:8" x14ac:dyDescent="0.25">
      <c r="A247" s="3"/>
      <c r="G247" s="14"/>
      <c r="H247" s="14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45</vt:i4>
      </vt:variant>
    </vt:vector>
  </HeadingPairs>
  <TitlesOfParts>
    <vt:vector size="45" baseType="lpstr">
      <vt:lpstr>充电服务区分区情况</vt:lpstr>
      <vt:lpstr>示例1</vt:lpstr>
      <vt:lpstr>服务区1</vt:lpstr>
      <vt:lpstr>服务区2</vt:lpstr>
      <vt:lpstr>服务区3</vt:lpstr>
      <vt:lpstr>服务区4</vt:lpstr>
      <vt:lpstr>服务区5</vt:lpstr>
      <vt:lpstr>服务区6</vt:lpstr>
      <vt:lpstr>服务区7</vt:lpstr>
      <vt:lpstr>服务区9</vt:lpstr>
      <vt:lpstr>服务区10</vt:lpstr>
      <vt:lpstr>服务区11</vt:lpstr>
      <vt:lpstr>服务区12</vt:lpstr>
      <vt:lpstr>服务区13</vt:lpstr>
      <vt:lpstr>服务区14</vt:lpstr>
      <vt:lpstr>服务区17</vt:lpstr>
      <vt:lpstr>服务区18</vt:lpstr>
      <vt:lpstr>服务区19</vt:lpstr>
      <vt:lpstr>服务区20</vt:lpstr>
      <vt:lpstr>服务区21</vt:lpstr>
      <vt:lpstr>服务区23</vt:lpstr>
      <vt:lpstr>服务区24</vt:lpstr>
      <vt:lpstr>服务区25</vt:lpstr>
      <vt:lpstr>服务区26</vt:lpstr>
      <vt:lpstr>服务区27</vt:lpstr>
      <vt:lpstr>服务区28</vt:lpstr>
      <vt:lpstr>服务区30</vt:lpstr>
      <vt:lpstr>服务区31</vt:lpstr>
      <vt:lpstr>服务区32</vt:lpstr>
      <vt:lpstr>服务区33</vt:lpstr>
      <vt:lpstr>服务区34</vt:lpstr>
      <vt:lpstr>服务区35</vt:lpstr>
      <vt:lpstr>服务区36</vt:lpstr>
      <vt:lpstr>服务区37</vt:lpstr>
      <vt:lpstr>服务区39</vt:lpstr>
      <vt:lpstr>服务区40</vt:lpstr>
      <vt:lpstr>服务区42</vt:lpstr>
      <vt:lpstr>服务区43</vt:lpstr>
      <vt:lpstr>服务区44</vt:lpstr>
      <vt:lpstr>服务区45</vt:lpstr>
      <vt:lpstr>服务区46</vt:lpstr>
      <vt:lpstr>服务区47</vt:lpstr>
      <vt:lpstr>服务区48</vt:lpstr>
      <vt:lpstr>服务区49</vt:lpstr>
      <vt:lpstr>服务区50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胡文杰</dc:creator>
  <cp:lastModifiedBy>文杰 胡</cp:lastModifiedBy>
  <dcterms:created xsi:type="dcterms:W3CDTF">2015-06-05T18:17:20Z</dcterms:created>
  <dcterms:modified xsi:type="dcterms:W3CDTF">2026-05-07T14:16:26Z</dcterms:modified>
</cp:coreProperties>
</file>